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Spectral_Density_Metrics" sheetId="3" state="visible" r:id="rId3"/>
    <sheet xmlns:r="http://schemas.openxmlformats.org/officeDocument/2006/relationships" name="Stage3_Diagnostics" sheetId="4" state="visible" r:id="rId4"/>
    <sheet xmlns:r="http://schemas.openxmlformats.org/officeDocument/2006/relationships" name="Stage3_Summary" sheetId="5" state="visible" r:id="rId5"/>
    <sheet xmlns:r="http://schemas.openxmlformats.org/officeDocument/2006/relationships" name="Uncertainty_Summary" sheetId="6" state="visible" r:id="rId6"/>
    <sheet xmlns:r="http://schemas.openxmlformats.org/officeDocument/2006/relationships" name="Primary_Statistics_Eligible" sheetId="7" state="visible" r:id="rId7"/>
    <sheet xmlns:r="http://schemas.openxmlformats.org/officeDocument/2006/relationships" name="Component_Balance" sheetId="8" state="visible" r:id="rId8"/>
    <sheet xmlns:r="http://schemas.openxmlformats.org/officeDocument/2006/relationships" name="Validation_Summary" sheetId="9" state="visible" r:id="rId9"/>
    <sheet xmlns:r="http://schemas.openxmlformats.org/officeDocument/2006/relationships" name="Charts_Data" sheetId="10" state="visible" r:id="rId10"/>
    <sheet xmlns:r="http://schemas.openxmlformats.org/officeDocument/2006/relationships" name="Legacy_Compatibility" sheetId="11" state="visible" r:id="rId11"/>
    <sheet xmlns:r="http://schemas.openxmlformats.org/officeDocument/2006/relationships" name="Analysis_Settings_By_Note" sheetId="12" state="visible" r:id="rId12"/>
    <sheet xmlns:r="http://schemas.openxmlformats.org/officeDocument/2006/relationships" name="Metadata" sheetId="13" state="visible" r:id="rId13"/>
  </sheets>
  <definedNames>
    <definedName name="_xlnm._FilterDatabase" localSheetId="2" hidden="1">'Spectral_Density_Metrics'!$A$1:$HI$40</definedName>
    <definedName name="_xlnm._FilterDatabase" localSheetId="3" hidden="1">'Stage3_Diagnostics'!$A$1:$H$40</definedName>
    <definedName name="_xlnm._FilterDatabase" localSheetId="4" hidden="1">'Stage3_Summary'!$A$1:$J$2</definedName>
    <definedName name="_xlnm._FilterDatabase" localSheetId="5" hidden="1">'Uncertainty_Summary'!$A$1:$I$118</definedName>
    <definedName name="_xlnm._FilterDatabase" localSheetId="6" hidden="1">'Primary_Statistics_Eligible'!$A$1:$A$2</definedName>
    <definedName name="_xlnm._FilterDatabase" localSheetId="7" hidden="1">'Component_Balance'!$A$1:$AF$40</definedName>
    <definedName name="_xlnm._FilterDatabase" localSheetId="8" hidden="1">'Validation_Summary'!$A$1:$V$40</definedName>
    <definedName name="_xlnm._FilterDatabase" localSheetId="9" hidden="1">'Charts_Data'!$A$1:$BA$40</definedName>
    <definedName name="_xlnm._FilterDatabase" localSheetId="10" hidden="1">'Legacy_Compatibility'!$A$1:$D$40</definedName>
    <definedName name="_xlnm._FilterDatabase" localSheetId="11" hidden="1">'Analysis_Settings_By_Note'!$A$1:$V$40</definedName>
    <definedName name="_xlnm._FilterDatabase" localSheetId="12" hidden="1">'Metadata'!$A$1:$B$93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"/>
  </numFmts>
  <fonts count="7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6"/>
    </font>
    <font>
      <b val="1"/>
      <color rgb="00FFFFFF"/>
      <sz val="14"/>
    </font>
    <font>
      <b val="1"/>
      <sz val="10"/>
    </font>
    <font>
      <b val="1"/>
      <color rgb="00FFFFFF"/>
      <sz val="11"/>
    </font>
    <font>
      <b val="1"/>
      <color rgb="001F4E79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546A"/>
      </patternFill>
    </fill>
    <fill>
      <patternFill patternType="solid">
        <fgColor rgb="00E7E6E6"/>
      </patternFill>
    </fill>
    <fill>
      <patternFill patternType="solid">
        <fgColor rgb="00D6E4F0"/>
      </patternFill>
    </fill>
    <fill>
      <patternFill patternType="solid">
        <fgColor rgb="00ADD8E6"/>
      </patternFill>
    </fill>
    <fill>
      <patternFill patternType="solid">
        <fgColor rgb="00FFE5CC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/>
    </xf>
    <xf numFmtId="0" fontId="4" fillId="4" borderId="1" pivotButton="0" quotePrefix="0" xfId="0"/>
    <xf numFmtId="0" fontId="0" fillId="0" borderId="1" applyAlignment="1" pivotButton="0" quotePrefix="0" xfId="0">
      <alignment vertical="top" wrapText="1"/>
    </xf>
    <xf numFmtId="164" fontId="0" fillId="4" borderId="1" pivotButton="0" quotePrefix="0" xfId="0"/>
    <xf numFmtId="10" fontId="0" fillId="4" borderId="1" pivotButton="0" quotePrefix="0" xfId="0"/>
    <xf numFmtId="0" fontId="0" fillId="4" borderId="1" pivotButton="0" quotePrefix="0" xfId="0"/>
    <xf numFmtId="165" fontId="0" fillId="0" borderId="0" pivotButton="0" quotePrefix="0" xfId="0"/>
    <xf numFmtId="0" fontId="5" fillId="2" borderId="0" pivotButton="0" quotePrefix="0" xfId="0"/>
    <xf numFmtId="0" fontId="5" fillId="2" borderId="0" applyAlignment="1" pivotButton="0" quotePrefix="0" xfId="0">
      <alignment vertical="center" wrapText="1"/>
    </xf>
    <xf numFmtId="0" fontId="6" fillId="5" borderId="0" applyAlignment="1" pivotButton="0" quotePrefix="0" xfId="0">
      <alignment vertical="center" wrapText="1"/>
    </xf>
    <xf numFmtId="0" fontId="6" fillId="6" borderId="0" applyAlignment="1" pivotButton="0" quotePrefix="0" xfId="0">
      <alignment vertical="center" wrapText="1"/>
    </xf>
    <xf numFmtId="0" fontId="6" fillId="7" borderId="0" applyAlignment="1" pivotButton="0" quotePrefix="0" xfId="0">
      <alignment vertical="center" wrapText="1"/>
    </xf>
    <xf numFmtId="164" fontId="0" fillId="0" borderId="0" pivotButton="0" quotePrefix="0" xfId="0"/>
    <xf numFmtId="164" fontId="0" fillId="5" borderId="0" pivotButton="0" quotePrefix="0" xfId="0"/>
    <xf numFmtId="164" fontId="0" fillId="6" borderId="0" pivotButton="0" quotePrefix="0" xfId="0"/>
    <xf numFmtId="164" fontId="0" fillId="7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Harmonic occupancy profile</a:t>
            </a:r>
          </a:p>
        </rich>
      </tx>
    </title>
    <plotArea>
      <lineChart>
        <grouping val="standard"/>
        <ser>
          <idx val="0"/>
          <order val="0"/>
          <tx>
            <strRef>
              <f>'Charts_Data'!AC1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'Charts_Data'!$A$2:$A$40</f>
            </numRef>
          </cat>
          <val>
            <numRef>
              <f>'Charts_Data'!$AC$2:$AC$40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harmonic_occupancy_ratio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Residual log-frequency occupancy</a:t>
            </a:r>
          </a:p>
        </rich>
      </tx>
    </title>
    <plotArea>
      <lineChart>
        <grouping val="standard"/>
        <ser>
          <idx val="0"/>
          <order val="0"/>
          <tx>
            <strRef>
              <f>'Charts_Data'!AD1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'Charts_Data'!$A$2:$A$40</f>
            </numRef>
          </cat>
          <val>
            <numRef>
              <f>'Charts_Data'!$AD$2:$AD$40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Normalized descriptor comparison</a:t>
            </a:r>
          </a:p>
        </rich>
      </tx>
    </title>
    <plotArea>
      <lineChart>
        <grouping val="standard"/>
        <ser>
          <idx val="0"/>
          <order val="0"/>
          <tx>
            <strRef>
              <f>'Charts_Data'!AG1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'Charts_Data'!$A$2:$A$40</f>
            </numRef>
          </cat>
          <val>
            <numRef>
              <f>'Charts_Data'!$AG$2:$AG$40</f>
            </numRef>
          </val>
        </ser>
        <ser>
          <idx val="1"/>
          <order val="1"/>
          <tx>
            <strRef>
              <f>'Charts_Data'!AH1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'Charts_Data'!$A$2:$A$40</f>
            </numRef>
          </cat>
          <val>
            <numRef>
              <f>'Charts_Data'!$AH$2:$AH$40</f>
            </numRef>
          </val>
        </ser>
        <ser>
          <idx val="2"/>
          <order val="2"/>
          <tx>
            <strRef>
              <f>'Charts_Data'!AI1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'Charts_Data'!$A$2:$A$40</f>
            </numRef>
          </cat>
          <val>
            <numRef>
              <f>'Charts_Data'!$AI$2:$AI$40</f>
            </numRef>
          </val>
        </ser>
        <ser>
          <idx val="3"/>
          <order val="3"/>
          <tx>
            <strRef>
              <f>'Charts_Data'!AJ1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'Charts_Data'!$A$2:$A$40</f>
            </numRef>
          </cat>
          <val>
            <numRef>
              <f>'Charts_Data'!$AJ$2:$AJ$40</f>
            </numRef>
          </val>
        </ser>
        <ser>
          <idx val="4"/>
          <order val="4"/>
          <tx>
            <strRef>
              <f>'Charts_Data'!AM1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'Charts_Data'!$A$2:$A$40</f>
            </numRef>
          </cat>
          <val>
            <numRef>
              <f>'Charts_Data'!$AM$2:$AM$40</f>
            </numRef>
          </val>
        </ser>
        <ser>
          <idx val="5"/>
          <order val="5"/>
          <tx>
            <strRef>
              <f>'Charts_Data'!AN1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'Charts_Data'!$A$2:$A$40</f>
            </numRef>
          </cat>
          <val>
            <numRef>
              <f>'Charts_Data'!$AN$2:$AN$40</f>
            </numRef>
          </val>
        </ser>
        <ser>
          <idx val="6"/>
          <order val="6"/>
          <tx>
            <strRef>
              <f>'Charts_Data'!AK1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'Charts_Data'!$A$2:$A$40</f>
            </numRef>
          </cat>
          <val>
            <numRef>
              <f>'Charts_Data'!$AK$2:$AK$40</f>
            </numRef>
          </val>
        </ser>
        <ser>
          <idx val="7"/>
          <order val="7"/>
          <tx>
            <strRef>
              <f>'Charts_Data'!AL1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'Charts_Data'!$A$2:$A$40</f>
            </numRef>
          </cat>
          <val>
            <numRef>
              <f>'Charts_Data'!$AL$2:$AL$40</f>
            </numRef>
          </val>
        </ser>
        <ser>
          <idx val="8"/>
          <order val="8"/>
          <tx>
            <strRef>
              <f>'Charts_Data'!AO1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'Charts_Data'!$A$2:$A$40</f>
            </numRef>
          </cat>
          <val>
            <numRef>
              <f>'Charts_Data'!$AO$2:$AO$40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Weighted component contributions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'Charts_Data'!AT1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'Charts_Data'!$A$2:$A$40</f>
            </numRef>
          </cat>
          <val>
            <numRef>
              <f>'Charts_Data'!$AT$2:$AT$40</f>
            </numRef>
          </val>
        </ser>
        <ser>
          <idx val="1"/>
          <order val="1"/>
          <tx>
            <strRef>
              <f>'Charts_Data'!AU1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'Charts_Data'!$A$2:$A$40</f>
            </numRef>
          </cat>
          <val>
            <numRef>
              <f>'Charts_Data'!$AU$2:$AU$40</f>
            </numRef>
          </val>
        </ser>
        <ser>
          <idx val="2"/>
          <order val="2"/>
          <tx>
            <strRef>
              <f>'Charts_Data'!AV1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'Charts_Data'!$A$2:$A$40</f>
            </numRef>
          </cat>
          <val>
            <numRef>
              <f>'Charts_Data'!$AV$2:$AV$40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energy ratios</a:t>
            </a:r>
          </a:p>
        </rich>
      </tx>
    </title>
    <plotArea>
      <barChart>
        <barDir val="col"/>
        <grouping val="percentStacked"/>
        <ser>
          <idx val="0"/>
          <order val="0"/>
          <tx>
            <strRef>
              <f>'Charts_Data'!AY1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'Charts_Data'!$A$2:$A$40</f>
            </numRef>
          </cat>
          <val>
            <numRef>
              <f>'Charts_Data'!$AY$2:$AY$40</f>
            </numRef>
          </val>
        </ser>
        <ser>
          <idx val="1"/>
          <order val="1"/>
          <tx>
            <strRef>
              <f>'Charts_Data'!AZ1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'Charts_Data'!$A$2:$A$40</f>
            </numRef>
          </cat>
          <val>
            <numRef>
              <f>'Charts_Data'!$AZ$2:$AZ$40</f>
            </numRef>
          </val>
        </ser>
        <ser>
          <idx val="2"/>
          <order val="2"/>
          <tx>
            <strRef>
              <f>'Charts_Data'!BA1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'Charts_Data'!$A$2:$A$40</f>
            </numRef>
          </cat>
          <val>
            <numRef>
              <f>'Charts_Data'!$BA$2:$BA$40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MIDI vs salient_harmonic_order_count_up_to_body_ceiling</a:t>
            </a:r>
          </a:p>
        </rich>
      </tx>
    </title>
    <plotArea>
      <lineChart>
        <grouping val="standard"/>
        <ser>
          <idx val="0"/>
          <order val="0"/>
          <tx>
            <strRef>
              <f>'Charts_Data'!I1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'Charts_Data'!$B$2:$B$40</f>
            </numRef>
          </cat>
          <val>
            <numRef>
              <f>'Charts_Data'!$I$2:$I$40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MIDI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salient_harmonic_order_count_up_to_body_ceiling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36</row>
      <rowOff>0</rowOff>
    </from>
    <ext cx="64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56</row>
      <rowOff>0</rowOff>
    </from>
    <ext cx="720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78</row>
      <rowOff>0</rowOff>
    </from>
    <ext cx="648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102</row>
      <rowOff>0</rowOff>
    </from>
    <ext cx="648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0</col>
      <colOff>0</colOff>
      <row>124</row>
      <rowOff>0</rowOff>
    </from>
    <ext cx="648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3"/>
  <sheetViews>
    <sheetView workbookViewId="0">
      <selection activeCell="A1" sqref="A1"/>
    </sheetView>
  </sheetViews>
  <sheetFormatPr baseColWidth="8" defaultRowHeight="15"/>
  <cols>
    <col width="108" customWidth="1" min="1" max="1"/>
  </cols>
  <sheetData>
    <row r="1">
      <c r="A1" t="inlineStr">
        <is>
          <t>Spectral density — research export workbook</t>
        </is>
      </c>
    </row>
    <row r="2">
      <c r="A2" t="inlineStr"/>
    </row>
    <row r="3">
      <c r="A3" t="inlineStr">
        <is>
          <t>Source compiled workbook (filename only):</t>
        </is>
      </c>
    </row>
    <row r="4">
      <c r="A4" t="inlineStr">
        <is>
          <t>compiled_density_metrics.xlsx</t>
        </is>
      </c>
    </row>
    <row r="5">
      <c r="A5" t="inlineStr"/>
    </row>
    <row r="6">
      <c r="A6" t="inlineStr">
        <is>
          <t>Generated: 2026-08-19T17:08:29Z</t>
        </is>
      </c>
    </row>
    <row r="7">
      <c r="A7" t="inlineStr">
        <is>
          <t>Script: export_research_density_workbook.py  version 1.1.3</t>
        </is>
      </c>
    </row>
    <row r="8">
      <c r="A8" t="inlineStr">
        <is>
          <t>Number of notes in export: 39</t>
        </is>
      </c>
    </row>
    <row r="9">
      <c r="A9" t="inlineStr"/>
    </row>
    <row r="10">
      <c r="A10" s="1" t="inlineStr">
        <is>
          <t>Purpose</t>
        </is>
      </c>
    </row>
    <row r="11">
      <c r="A11" t="inlineStr">
        <is>
          <t>-------</t>
        </is>
      </c>
    </row>
    <row r="12">
      <c r="A12" t="inlineStr">
        <is>
          <t>This workbook is a reduced, professionally formatted export intended for secondary research,</t>
        </is>
      </c>
    </row>
    <row r="13">
      <c r="A13" t="inlineStr">
        <is>
          <t>plotting, thesis writing, and visual inspection.</t>
        </is>
      </c>
    </row>
    <row r="14">
      <c r="A14" t="inlineStr"/>
    </row>
    <row r="15">
      <c r="A15" t="inlineStr">
        <is>
          <t>The file compiled_density_metrics.xlsx remains the complete technical and audit export.</t>
        </is>
      </c>
    </row>
    <row r="16">
      <c r="A16" t="inlineStr">
        <is>
          <t>This workbook (compiled_density_metrics_research.xlsx) is the recommended research and reporting export.</t>
        </is>
      </c>
    </row>
    <row r="17">
      <c r="A17" t="inlineStr"/>
    </row>
    <row r="18">
      <c r="A18" s="1" t="inlineStr">
        <is>
          <t>Metric hierarchy (read carefully)</t>
        </is>
      </c>
    </row>
    <row r="19">
      <c r="A19" t="inlineStr">
        <is>
          <t>-----------------------------------</t>
        </is>
      </c>
    </row>
    <row r="20">
      <c r="A20" t="inlineStr">
        <is>
          <t>density_metric_raw:</t>
        </is>
      </c>
    </row>
    <row r="21">
      <c r="A21" t="inlineStr">
        <is>
          <t xml:space="preserve">    D_H·w_H + D_I·w_I + D_S·w_S where each D_* uses the compile weight_function (linear, log, sqrt,</t>
        </is>
      </c>
    </row>
    <row r="22">
      <c r="A22" t="inlineStr">
        <is>
          <t xml:space="preserve">    d3, …) and w_* are measured component_harmonic / inharmonic / subbass energy ratios.</t>
        </is>
      </c>
    </row>
    <row r="23">
      <c r="A23" t="inlineStr"/>
    </row>
    <row r="24">
      <c r="A24" t="inlineStr">
        <is>
          <t>density_weighted_sum:</t>
        </is>
      </c>
    </row>
    <row r="25">
      <c r="A25" t="inlineStr">
        <is>
          <t xml:space="preserve">    Numerically equal to density_metric_raw. Changes when you change the compile weight_function.</t>
        </is>
      </c>
    </row>
    <row r="26">
      <c r="A26" t="inlineStr">
        <is>
          <t xml:space="preserve">    harmonic_amplitude_sum (if present) is a separate linear diagnostic and does not follow that key.</t>
        </is>
      </c>
    </row>
    <row r="27">
      <c r="A27" t="inlineStr">
        <is>
          <t xml:space="preserve">    Highlighted (soft blue) on Spectral_Density_Metrics.</t>
        </is>
      </c>
    </row>
    <row r="28">
      <c r="A28" t="inlineStr"/>
    </row>
    <row r="29">
      <c r="A29" t="inlineStr">
        <is>
          <t>harmonic_slot_coverage_ratio:</t>
        </is>
      </c>
    </row>
    <row r="30">
      <c r="A30" t="inlineStr">
        <is>
          <t xml:space="preserve">    Defined as harmonic_slot_matched_count / harmonic_slot_expected_count.</t>
        </is>
      </c>
    </row>
    <row r="31">
      <c r="A31" t="inlineStr"/>
    </row>
    <row r="32">
      <c r="A32" t="inlineStr">
        <is>
          <t>harmonic_occupancy_ratio:</t>
        </is>
      </c>
    </row>
    <row r="33">
      <c r="A33" t="inlineStr">
        <is>
          <t xml:space="preserve">    Acoustic core occupancy: unique harmonic-order bins passing n·f0 proximity and subbass exclusion,</t>
        </is>
      </c>
    </row>
    <row r="34">
      <c r="A34" t="inlineStr">
        <is>
          <t xml:space="preserve">    divided by expected_harmonic_slot_count. This is intentionally separate from slot-coverage ratio.</t>
        </is>
      </c>
    </row>
    <row r="35">
      <c r="A35" t="inlineStr"/>
    </row>
    <row r="36">
      <c r="A36" t="inlineStr">
        <is>
          <t>Combined Density Metric:</t>
        </is>
      </c>
    </row>
    <row r="37">
      <c r="A37" t="inlineStr">
        <is>
          <t xml:space="preserve">    Legacy Stage-1 combined harmonic/inharmonic scalar (log/expm1 path in proc_audio).</t>
        </is>
      </c>
    </row>
    <row r="38">
      <c r="A38" t="inlineStr">
        <is>
          <t xml:space="preserve">    Legacy-only (see Legacy_Compatibility sheet), not a primary Spectral_Density_Metrics field.</t>
        </is>
      </c>
    </row>
    <row r="39">
      <c r="A39" t="inlineStr"/>
    </row>
    <row r="40">
      <c r="A40" t="inlineStr">
        <is>
          <t>density_weighted_sum_cdm_mean (legacy editorial blend):</t>
        </is>
      </c>
    </row>
    <row r="41">
      <c r="A41" t="inlineStr">
        <is>
          <t xml:space="preserve">    Deprecated and not acoustically/dimensionally valid as a final scalar.</t>
        </is>
      </c>
    </row>
    <row r="42">
      <c r="A42" t="inlineStr">
        <is>
          <t xml:space="preserve">    Exported only with --include-legacy-cdm-mean.</t>
        </is>
      </c>
    </row>
    <row r="43">
      <c r="A43" t="inlineStr"/>
    </row>
    <row r="44">
      <c r="A44" t="inlineStr">
        <is>
          <t>Total sum:</t>
        </is>
      </c>
    </row>
    <row r="45">
      <c r="A45" t="inlineStr">
        <is>
          <t xml:space="preserve">    Unweighted sum of per-band D values (D_H + D_I + D_S); diagnostic, not energy-ratio-weighted.</t>
        </is>
      </c>
    </row>
    <row r="46">
      <c r="A46" t="inlineStr"/>
    </row>
    <row r="47">
      <c r="A47" t="inlineStr">
        <is>
          <t>effective_partial_density:</t>
        </is>
      </c>
    </row>
    <row r="48">
      <c r="A48" t="inlineStr">
        <is>
          <t xml:space="preserve">    Effective spectral component participation descriptor (not the primary perceived thickness answer).</t>
        </is>
      </c>
    </row>
    <row r="49">
      <c r="A49" t="inlineStr"/>
    </row>
    <row r="50">
      <c r="A50" t="inlineStr">
        <is>
          <t>spectral_body_thickness_index:</t>
        </is>
      </c>
    </row>
    <row r="51">
      <c r="A51" t="inlineStr">
        <is>
          <t xml:space="preserve">    Recommended note-thickness index combining body-weighted effective density, low-mid ratio,</t>
        </is>
      </c>
    </row>
    <row r="52">
      <c r="A52" t="inlineStr">
        <is>
          <t xml:space="preserve">    harmonic body density, and capped residual body contribution (corpus-relative z-score blend).</t>
        </is>
      </c>
    </row>
    <row r="53">
      <c r="A53" t="inlineStr"/>
    </row>
    <row r="54">
      <c r="A54" t="inlineStr">
        <is>
          <t>note_density_final:</t>
        </is>
      </c>
    </row>
    <row r="55">
      <c r="A55" t="inlineStr">
        <is>
          <t xml:space="preserve">    Per-note principled scalar: component_*_energy_ratio × *_density_sum (GUI weight inside sums).</t>
        </is>
      </c>
    </row>
    <row r="56">
      <c r="A56" t="inlineStr">
        <is>
          <t xml:space="preserve">    Highlighted (light blue) on Spectral_Density_Metrics.</t>
        </is>
      </c>
    </row>
    <row r="57">
      <c r="A57" t="inlineStr"/>
    </row>
    <row r="58">
      <c r="A58" t="inlineStr">
        <is>
          <t>EWSD_score_total (Stage 3):</t>
        </is>
      </c>
    </row>
    <row r="59">
      <c r="A59" t="inlineStr">
        <is>
          <t xml:space="preserve">    Strict Effective Weighted Spectral Density (EWSD-R v18): anti-concentration penalty (N_eff/N)^1</t>
        </is>
      </c>
    </row>
    <row r="60">
      <c r="A60" t="inlineStr">
        <is>
          <t xml:space="preserve">    applied separately in each H/I/S compartment using per-note ratios from Metrics.</t>
        </is>
      </c>
    </row>
    <row r="61">
      <c r="A61" t="inlineStr">
        <is>
          <t xml:space="preserve">    Highlighted (pale orange). Requires per-note spectral_analysis.xlsx under the analysis folder.</t>
        </is>
      </c>
    </row>
    <row r="62">
      <c r="A62" t="inlineStr"/>
    </row>
    <row r="63">
      <c r="A63" t="inlineStr">
        <is>
          <t>EWSD_score_acoustic_balanced (Stage 3):</t>
        </is>
      </c>
    </row>
    <row r="64">
      <c r="A64" t="inlineStr">
        <is>
          <t xml:space="preserve">    Companion EWSD with moderated penalty (N_eff/N)^0.5. Preferred for cross-instrument</t>
        </is>
      </c>
    </row>
    <row r="65">
      <c r="A65" t="inlineStr">
        <is>
          <t xml:space="preserve">    bibliographic distance. Filter thesis rows with ewsd_primary_analysis_eligible == True.</t>
        </is>
      </c>
    </row>
    <row r="66">
      <c r="A66" t="inlineStr"/>
    </row>
    <row r="67">
      <c r="A67" t="inlineStr">
        <is>
          <t>EWSD_score_acoustic_balanced_ci_low / _ci_high / _rel_uncertainty:</t>
        </is>
      </c>
    </row>
    <row r="68">
      <c r="A68" t="inlineStr">
        <is>
          <t xml:space="preserve">    Bootstrap 95% uncertainty band for the balanced EWSD (partials + H/I/S ratios resampled).</t>
        </is>
      </c>
    </row>
    <row r="69">
      <c r="A69" t="inlineStr"/>
    </row>
    <row r="70">
      <c r="A70" t="inlineStr">
        <is>
          <t>ewsd_uncertainty_sources:</t>
        </is>
      </c>
    </row>
    <row r="71">
      <c r="A71" t="inlineStr">
        <is>
          <t xml:space="preserve">    UQ provenance: partials+ratios, partials, or unavailable.</t>
        </is>
      </c>
    </row>
    <row r="72">
      <c r="A72" t="inlineStr"/>
    </row>
    <row r="73">
      <c r="A73" t="inlineStr">
        <is>
          <t>ewsd_primary_analysis_eligible:</t>
        </is>
      </c>
    </row>
    <row r="74">
      <c r="A74" t="inlineStr">
        <is>
          <t xml:space="preserve">    Thesis gate: True only for individual_exact rows with valid H/I/S ratios, finite EWSD,</t>
        </is>
      </c>
    </row>
    <row r="75">
      <c r="A75" t="inlineStr">
        <is>
          <t xml:space="preserve">    no warnings, parsed note, and a thesis-safe weight function.</t>
        </is>
      </c>
    </row>
    <row r="76">
      <c r="A76" t="inlineStr"/>
    </row>
    <row r="77">
      <c r="A77" t="inlineStr">
        <is>
          <t>spectral_entropy:</t>
        </is>
      </c>
    </row>
    <row r="78">
      <c r="A78" t="inlineStr">
        <is>
          <t xml:space="preserve">    Distributional spread of spectral power.</t>
        </is>
      </c>
    </row>
    <row r="79">
      <c r="A79" t="inlineStr"/>
    </row>
    <row r="80">
      <c r="A80" t="inlineStr">
        <is>
          <t>core_harmonic_energy_ratio / core_residual_energy_ratio / core_subbass_energy_ratio:</t>
        </is>
      </c>
    </row>
    <row r="81">
      <c r="A81" t="inlineStr">
        <is>
          <t xml:space="preserve">    Acoustic-core peak-classification energy family (sums to ~1).</t>
        </is>
      </c>
    </row>
    <row r="82">
      <c r="A82" t="inlineStr"/>
    </row>
    <row r="83">
      <c r="A83" t="inlineStr">
        <is>
          <t>component_harmonic_energy_ratio / component_inharmonic_energy_ratio / component_subbass_energy_ratio:</t>
        </is>
      </c>
    </row>
    <row r="84">
      <c r="A84" t="inlineStr">
        <is>
          <t xml:space="preserve">    Component-balance energy family (sums to ~1).</t>
        </is>
      </c>
    </row>
    <row r="85">
      <c r="A85" t="inlineStr"/>
    </row>
    <row r="86">
      <c r="A86" t="inlineStr">
        <is>
          <t>nonharmonic / inharmonic fields:</t>
        </is>
      </c>
    </row>
    <row r="87">
      <c r="A87" t="inlineStr">
        <is>
          <t xml:space="preserve">    Interpret as nonharmonic candidate material unless stricter validation is explicitly present.</t>
        </is>
      </c>
    </row>
    <row r="88">
      <c r="A88" t="inlineStr"/>
    </row>
    <row r="89">
      <c r="A89" t="inlineStr">
        <is>
          <t>subbass / low-frequency fields:</t>
        </is>
      </c>
    </row>
    <row r="90">
      <c r="A90" t="inlineStr">
        <is>
          <t xml:space="preserve">    Interpret as low-frequency residual material, not automatically 'ground noise'.</t>
        </is>
      </c>
    </row>
    <row r="91">
      <c r="A91" t="inlineStr"/>
    </row>
    <row r="92">
      <c r="A92" s="1" t="inlineStr">
        <is>
          <t>Instrument and dynamic metadata</t>
        </is>
      </c>
    </row>
    <row r="93">
      <c r="A93" t="inlineStr">
        <is>
          <t>-------------------------------</t>
        </is>
      </c>
    </row>
    <row r="94">
      <c r="A94" t="inlineStr">
        <is>
          <t>Instrument and dynamic may be read from source metadata, inferred conservatively from filenames,</t>
        </is>
      </c>
    </row>
    <row r="95">
      <c r="A95" t="inlineStr">
        <is>
          <t>folder paths, and the compiled workbook location, or supplied manually with --instrument and --dynamic.</t>
        </is>
      </c>
    </row>
    <row r="96">
      <c r="A96" t="inlineStr">
        <is>
          <t>Use --force-metadata to override non-empty workbook values with the CLI arguments.</t>
        </is>
      </c>
    </row>
    <row r="97">
      <c r="A97" t="inlineStr"/>
    </row>
    <row r="98">
      <c r="A98" s="1" t="inlineStr">
        <is>
          <t>Sheets</t>
        </is>
      </c>
    </row>
    <row r="99">
      <c r="A99" t="inlineStr">
        <is>
          <t>------</t>
        </is>
      </c>
    </row>
    <row r="100">
      <c r="A100" t="inlineStr">
        <is>
          <t>README — This sheet.</t>
        </is>
      </c>
    </row>
    <row r="101">
      <c r="A101" t="inlineStr">
        <is>
          <t>Dashboard — Overview KPIs and charts (charts omitted if export was run with --no-charts).</t>
        </is>
      </c>
    </row>
    <row r="102">
      <c r="A102" t="inlineStr">
        <is>
          <t>Spectral_Density_Metrics — Main clean per-note table for analysis.</t>
        </is>
      </c>
    </row>
    <row r="103">
      <c r="A103" t="inlineStr">
        <is>
          <t>Component_Balance — How density_metric_raw and totals relate to components and energy ratios.</t>
        </is>
      </c>
    </row>
    <row r="104">
      <c r="A104" t="inlineStr">
        <is>
          <t>Validation_Summary — Compact QC fields including f0 and alignment.</t>
        </is>
      </c>
    </row>
    <row r="105">
      <c r="A105" t="inlineStr">
        <is>
          <t>Charts_Data — Chart source data (sorted by MIDI); Dashboard charts reference this sheet.</t>
        </is>
      </c>
    </row>
    <row r="106">
      <c r="A106" t="inlineStr">
        <is>
          <t>Metadata — Pipeline and export metadata extracted from Analysis_Metadata plus export audit fields.</t>
        </is>
      </c>
    </row>
    <row r="107">
      <c r="A107" t="inlineStr"/>
    </row>
    <row r="108">
      <c r="A108" s="1" t="inlineStr">
        <is>
          <t>Warnings / Missing Fields</t>
        </is>
      </c>
    </row>
    <row r="109">
      <c r="A109" t="inlineStr">
        <is>
          <t>-------------------------</t>
        </is>
      </c>
    </row>
    <row r="110">
      <c r="A110" t="inlineStr">
        <is>
          <t>- Instrument column missing and could not be inferred; left blank.</t>
        </is>
      </c>
    </row>
    <row r="111">
      <c r="A111" t="inlineStr">
        <is>
          <t>- Legacy editorial mean density_weighted_sum_cdm_mean omitted by default (use --include-legacy-cdm-mean to export it).</t>
        </is>
      </c>
    </row>
    <row r="112">
      <c r="A112" t="inlineStr">
        <is>
          <t>- Run-parameter comparability warning: 39/39 note rows are not in the primary comparable profile (wf=log, threshold/ceiling runtime-configured). Use Primary_Statistics_Eligible for thesis-grade primary statistics.</t>
        </is>
      </c>
    </row>
    <row r="113">
      <c r="A113" t="inlineStr">
        <is>
          <t>- Metadata sheet missing keys (left blank in Metadata sheet): Dynamic, Instrument, density_ci_enabled, dynamic_detected, harmonic_body_stop_enabled, harmonic_body_stop_margin_db, harmonic_tolerance_policy_version, harmonic_tolerance_spacing_cap_fraction, instrument_detected, output_path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cols>
    <col width="22" customWidth="1" min="1" max="1"/>
    <col width="54" customWidth="1" min="2" max="2"/>
    <col width="3" customWidth="1" min="3" max="3"/>
    <col width="26" customWidth="1" min="4" max="4"/>
    <col width="16" customWidth="1" min="5" max="5"/>
    <col width="3" customWidth="1" min="6" max="6"/>
    <col width="26" customWidth="1" min="7" max="7"/>
    <col width="16" customWidth="1" min="8" max="8"/>
  </cols>
  <sheetData>
    <row r="1">
      <c r="A1" s="2" t="inlineStr">
        <is>
          <t>Spectral Density Research Dashboard</t>
        </is>
      </c>
      <c r="D1" s="3" t="inlineStr">
        <is>
          <t>Summary statistics</t>
        </is>
      </c>
    </row>
    <row r="2"/>
    <row r="4">
      <c r="A4" s="1" t="inlineStr">
        <is>
          <t>Run context</t>
        </is>
      </c>
      <c r="D4" s="1" t="inlineStr">
        <is>
          <t>Key performance indicators</t>
        </is>
      </c>
    </row>
    <row r="5">
      <c r="A5" s="4" t="inlineStr">
        <is>
          <t>Compiled workbook</t>
        </is>
      </c>
      <c r="B5" s="5" t="inlineStr">
        <is>
          <t>compiled_density_metrics.xlsx</t>
        </is>
      </c>
      <c r="D5" s="4" t="inlineStr">
        <is>
          <t>Mean spectral_body_thickness_index</t>
        </is>
      </c>
      <c r="E5" s="6" t="n">
        <v>-5.124106267500723e-17</v>
      </c>
      <c r="G5" s="4" t="inlineStr">
        <is>
          <t>Mean harmonic_occupancy_ratio</t>
        </is>
      </c>
      <c r="H5" s="7" t="n">
        <v>0.6545119060119325</v>
      </c>
    </row>
    <row r="6">
      <c r="A6" s="4" t="inlineStr">
        <is>
          <t>Number of notes</t>
        </is>
      </c>
      <c r="B6" s="5" t="n">
        <v>39</v>
      </c>
      <c r="D6" s="4" t="inlineStr">
        <is>
          <t>Mean body_weighted_effective_density</t>
        </is>
      </c>
      <c r="E6" s="6" t="n">
        <v>21.53976744592141</v>
      </c>
      <c r="G6" s="4" t="inlineStr">
        <is>
          <t>Mean residual_log_frequency_occupancy</t>
        </is>
      </c>
      <c r="H6" s="6" t="n">
        <v>0.3083333333333333</v>
      </c>
    </row>
    <row r="7">
      <c r="A7" s="4" t="inlineStr">
        <is>
          <t>Pitch range (MIDI)</t>
        </is>
      </c>
      <c r="B7" s="5" t="inlineStr">
        <is>
          <t>59–97</t>
        </is>
      </c>
      <c r="D7" s="4" t="inlineStr">
        <is>
          <t>Mean low_mid_energy_ratio</t>
        </is>
      </c>
      <c r="E7" s="7" t="n">
        <v>0.7808267228982426</v>
      </c>
      <c r="G7" s="4" t="inlineStr">
        <is>
          <t>Mean effective_partial_density</t>
        </is>
      </c>
      <c r="H7" s="6" t="n">
        <v>2.05248954049408</v>
      </c>
    </row>
    <row r="8">
      <c r="A8" s="4" t="inlineStr">
        <is>
          <t>Dynamic</t>
        </is>
      </c>
      <c r="B8" s="5" t="inlineStr">
        <is>
          <t>ff</t>
        </is>
      </c>
      <c r="D8" s="4" t="inlineStr">
        <is>
          <t>Mean harmonic_body_density_normalized</t>
        </is>
      </c>
      <c r="E8" s="6" t="n">
        <v>0.3794373665506948</v>
      </c>
      <c r="G8" s="4" t="inlineStr">
        <is>
          <t>Mean spectral_entropy</t>
        </is>
      </c>
      <c r="H8" s="6" t="n">
        <v>0.2654744934782324</v>
      </c>
    </row>
    <row r="9">
      <c r="A9" s="4" t="inlineStr">
        <is>
          <t>Generated</t>
        </is>
      </c>
      <c r="B9" s="5" t="inlineStr">
        <is>
          <t>2026-08-19T17:08:29Z</t>
        </is>
      </c>
      <c r="D9" s="4" t="inlineStr">
        <is>
          <t>Mean salient_harmonic_order_count_up_to_body_ceiling</t>
        </is>
      </c>
      <c r="E9" s="6" t="n">
        <v>18.30769230769231</v>
      </c>
      <c r="G9" s="4" t="inlineStr">
        <is>
          <t>Mean core_harmonic_energy_ratio</t>
        </is>
      </c>
      <c r="H9" s="7" t="n">
        <v>0.788502105462207</v>
      </c>
    </row>
    <row r="10">
      <c r="D10" s="4" t="inlineStr">
        <is>
          <t>Corr(MIDI, salient_harmonic_order_count_up_to_body_ceiling)</t>
        </is>
      </c>
      <c r="E10" s="8" t="n">
        <v>-0.9193009878667856</v>
      </c>
      <c r="G10" s="4" t="inlineStr">
        <is>
          <t>Arithmetic validation passed count</t>
        </is>
      </c>
      <c r="H10" s="8" t="n">
        <v>39</v>
      </c>
    </row>
    <row r="11">
      <c r="D11" s="4" t="inlineStr">
        <is>
          <t>Mean final_note_density_salience_weighted</t>
        </is>
      </c>
      <c r="E11" s="6" t="n">
        <v>12.13611750699523</v>
      </c>
      <c r="G11" s="4" t="inlineStr">
        <is>
          <t>Acoustic f0 verified count</t>
        </is>
      </c>
      <c r="H11" s="8" t="n">
        <v>38</v>
      </c>
    </row>
    <row r="12">
      <c r="D12" s="4" t="inlineStr">
        <is>
          <t>Corr(MIDI, final_note_density_salience_weighted)</t>
        </is>
      </c>
      <c r="E12" s="8" t="n">
        <v>-0.8577972765441257</v>
      </c>
      <c r="G12" s="4" t="inlineStr">
        <is>
          <t>f0 fallback / acoustically unverified count</t>
        </is>
      </c>
      <c r="H12" s="8" t="n">
        <v>0</v>
      </c>
    </row>
    <row r="13">
      <c r="D13" s="4" t="inlineStr">
        <is>
          <t>Corr(final_note_density_salience_weighted, salient_harmonic_order_count_up_to_body_ceiling)</t>
        </is>
      </c>
      <c r="E13" s="8" t="n">
        <v>0.919594670140103</v>
      </c>
      <c r="G13" s="4" t="inlineStr">
        <is>
          <t>f0 accepted count</t>
        </is>
      </c>
      <c r="H13" s="8" t="n">
        <v>39</v>
      </c>
    </row>
    <row r="16">
      <c r="D16" s="1" t="inlineStr">
        <is>
          <t>Top 5 thickest notes by spectral_body_thickness_index</t>
        </is>
      </c>
      <c r="G16" s="1" t="inlineStr">
        <is>
          <t>Bottom 5 thinnest notes by spectral_body_thickness_index</t>
        </is>
      </c>
    </row>
    <row r="17">
      <c r="D17" t="inlineStr">
        <is>
          <t>C#4</t>
        </is>
      </c>
      <c r="E17" s="9" t="n">
        <v>1.339801228688317</v>
      </c>
      <c r="G17" t="inlineStr">
        <is>
          <t>C#7</t>
        </is>
      </c>
      <c r="H17" s="9" t="n">
        <v>-0.7644220853677584</v>
      </c>
    </row>
    <row r="18">
      <c r="D18" t="inlineStr">
        <is>
          <t>D#4</t>
        </is>
      </c>
      <c r="E18" s="9" t="n">
        <v>1.29042632393049</v>
      </c>
      <c r="G18" t="inlineStr">
        <is>
          <t>F6</t>
        </is>
      </c>
      <c r="H18" s="9" t="n">
        <v>-0.6255277885324901</v>
      </c>
    </row>
    <row r="19">
      <c r="D19" t="inlineStr">
        <is>
          <t>C4</t>
        </is>
      </c>
      <c r="E19" s="9" t="n">
        <v>1.168108520804401</v>
      </c>
      <c r="G19" t="inlineStr">
        <is>
          <t>F#6</t>
        </is>
      </c>
      <c r="H19" s="9" t="n">
        <v>-0.6185044799001226</v>
      </c>
    </row>
    <row r="20">
      <c r="D20" t="inlineStr">
        <is>
          <t>B3</t>
        </is>
      </c>
      <c r="E20" s="9" t="n">
        <v>1.095135843803019</v>
      </c>
      <c r="G20" t="inlineStr">
        <is>
          <t>B5</t>
        </is>
      </c>
      <c r="H20" s="9" t="n">
        <v>-0.6029863805161051</v>
      </c>
    </row>
    <row r="21">
      <c r="D21" t="inlineStr">
        <is>
          <t>D4</t>
        </is>
      </c>
      <c r="E21" s="9" t="n">
        <v>0.9955996049906863</v>
      </c>
      <c r="G21" t="inlineStr">
        <is>
          <t>G#5</t>
        </is>
      </c>
      <c r="H21" s="9" t="n">
        <v>-0.5908356778091012</v>
      </c>
    </row>
    <row r="24">
      <c r="D24" s="1" t="inlineStr">
        <is>
          <t>Top 5 by salient_harmonic_order_count_up_to_body_ceiling</t>
        </is>
      </c>
      <c r="G24" s="1" t="inlineStr">
        <is>
          <t>Bottom 5 by salient_harmonic_order_count_up_to_body_ceiling</t>
        </is>
      </c>
    </row>
    <row r="25">
      <c r="D25" t="inlineStr">
        <is>
          <t>C#4</t>
        </is>
      </c>
      <c r="E25" t="n">
        <v>38</v>
      </c>
      <c r="G25" t="inlineStr">
        <is>
          <t>C7</t>
        </is>
      </c>
      <c r="H25" t="n">
        <v>9</v>
      </c>
    </row>
    <row r="26">
      <c r="D26" t="inlineStr">
        <is>
          <t>E4</t>
        </is>
      </c>
      <c r="E26" t="n">
        <v>35</v>
      </c>
      <c r="G26" t="inlineStr">
        <is>
          <t>C#7</t>
        </is>
      </c>
      <c r="H26" t="n">
        <v>9</v>
      </c>
    </row>
    <row r="27">
      <c r="D27" t="inlineStr">
        <is>
          <t>D#4</t>
        </is>
      </c>
      <c r="E27" t="n">
        <v>34</v>
      </c>
      <c r="G27" t="inlineStr">
        <is>
          <t>E6</t>
        </is>
      </c>
      <c r="H27" t="n">
        <v>10</v>
      </c>
    </row>
    <row r="28">
      <c r="D28" t="inlineStr">
        <is>
          <t>C4</t>
        </is>
      </c>
      <c r="E28" t="n">
        <v>29</v>
      </c>
      <c r="G28" t="inlineStr">
        <is>
          <t>G6</t>
        </is>
      </c>
      <c r="H28" t="n">
        <v>10</v>
      </c>
    </row>
    <row r="29">
      <c r="D29" t="inlineStr">
        <is>
          <t>D4</t>
        </is>
      </c>
      <c r="E29" t="n">
        <v>29</v>
      </c>
      <c r="G29" t="inlineStr">
        <is>
          <t>A6</t>
        </is>
      </c>
      <c r="H29" t="n">
        <v>10</v>
      </c>
    </row>
    <row r="32">
      <c r="D32" s="1" t="inlineStr">
        <is>
          <t>Top 5 densest notes by final_note_density_salience_weighted</t>
        </is>
      </c>
      <c r="G32" s="1" t="inlineStr">
        <is>
          <t>Bottom 5 least dense notes by final_note_density_salience_weighted</t>
        </is>
      </c>
    </row>
    <row r="33">
      <c r="D33" t="inlineStr">
        <is>
          <t>B3</t>
        </is>
      </c>
      <c r="E33" s="9" t="n">
        <v>24.95246876768071</v>
      </c>
      <c r="G33" t="inlineStr">
        <is>
          <t>E6</t>
        </is>
      </c>
      <c r="H33" s="9" t="n">
        <v>5.990206834334469</v>
      </c>
    </row>
    <row r="34">
      <c r="D34" t="inlineStr">
        <is>
          <t>C#4</t>
        </is>
      </c>
      <c r="E34" s="9" t="n">
        <v>23.55262955105518</v>
      </c>
      <c r="G34" t="inlineStr">
        <is>
          <t>G6</t>
        </is>
      </c>
      <c r="H34" s="9" t="n">
        <v>6.080457510093735</v>
      </c>
    </row>
    <row r="35">
      <c r="D35" t="inlineStr">
        <is>
          <t>C4</t>
        </is>
      </c>
      <c r="E35" s="9" t="n">
        <v>22.41150110964138</v>
      </c>
      <c r="G35" t="inlineStr">
        <is>
          <t>A6</t>
        </is>
      </c>
      <c r="H35" s="9" t="n">
        <v>6.684635312177707</v>
      </c>
    </row>
    <row r="36">
      <c r="D36" t="inlineStr">
        <is>
          <t>D#4</t>
        </is>
      </c>
      <c r="E36" s="9" t="n">
        <v>21.34187422953395</v>
      </c>
      <c r="G36" t="inlineStr">
        <is>
          <t>C#6</t>
        </is>
      </c>
      <c r="H36" s="9" t="n">
        <v>6.690404371787309</v>
      </c>
    </row>
    <row r="37">
      <c r="D37" t="inlineStr">
        <is>
          <t>E4</t>
        </is>
      </c>
      <c r="E37" s="9" t="n">
        <v>20.47687689925603</v>
      </c>
      <c r="G37" t="inlineStr">
        <is>
          <t>F#6</t>
        </is>
      </c>
      <c r="H37" s="9" t="n">
        <v>7.147273930369965</v>
      </c>
    </row>
    <row r="40">
      <c r="A40" s="1" t="inlineStr">
        <is>
          <t>Validation snapshot (from Spectral_Density_Metrics)</t>
        </is>
      </c>
    </row>
    <row r="41">
      <c r="A41" s="10" t="inlineStr">
        <is>
          <t>Note</t>
        </is>
      </c>
      <c r="B41" s="10" t="inlineStr">
        <is>
          <t>f0_fit_accepted</t>
        </is>
      </c>
      <c r="C41" s="10" t="inlineStr">
        <is>
          <t>acoustic_validation_status</t>
        </is>
      </c>
      <c r="D41" s="10" t="inlineStr">
        <is>
          <t>debug_counts_invariant_status</t>
        </is>
      </c>
      <c r="E41" s="10" t="inlineStr">
        <is>
          <t>harmonic_alignment_status</t>
        </is>
      </c>
    </row>
    <row r="42">
      <c r="A42" t="inlineStr">
        <is>
          <t>B3</t>
        </is>
      </c>
      <c r="B42" t="n">
        <v>1</v>
      </c>
      <c r="C42" t="inlineStr">
        <is>
          <t>passed</t>
        </is>
      </c>
      <c r="D42" t="inlineStr">
        <is>
          <t>passed</t>
        </is>
      </c>
      <c r="E42" t="inlineStr">
        <is>
          <t>excellent</t>
        </is>
      </c>
    </row>
    <row r="43">
      <c r="A43" t="inlineStr">
        <is>
          <t>C4</t>
        </is>
      </c>
      <c r="B43" t="n">
        <v>1</v>
      </c>
      <c r="C43" t="inlineStr">
        <is>
          <t>passed</t>
        </is>
      </c>
      <c r="D43" t="inlineStr">
        <is>
          <t>passed</t>
        </is>
      </c>
      <c r="E43" t="inlineStr">
        <is>
          <t>excellent</t>
        </is>
      </c>
    </row>
    <row r="44">
      <c r="A44" t="inlineStr">
        <is>
          <t>C#4</t>
        </is>
      </c>
      <c r="B44" t="n">
        <v>1</v>
      </c>
      <c r="C44" t="inlineStr">
        <is>
          <t>passed</t>
        </is>
      </c>
      <c r="D44" t="inlineStr">
        <is>
          <t>passed</t>
        </is>
      </c>
      <c r="E44" t="inlineStr">
        <is>
          <t>excellent</t>
        </is>
      </c>
    </row>
    <row r="45">
      <c r="A45" t="inlineStr">
        <is>
          <t>D4</t>
        </is>
      </c>
      <c r="B45" t="n">
        <v>1</v>
      </c>
      <c r="C45" t="inlineStr">
        <is>
          <t>passed</t>
        </is>
      </c>
      <c r="D45" t="inlineStr">
        <is>
          <t>passed</t>
        </is>
      </c>
      <c r="E45" t="inlineStr">
        <is>
          <t>excellent</t>
        </is>
      </c>
    </row>
    <row r="46">
      <c r="A46" t="inlineStr">
        <is>
          <t>D#4</t>
        </is>
      </c>
      <c r="B46" t="n">
        <v>1</v>
      </c>
      <c r="C46" t="inlineStr">
        <is>
          <t>passed</t>
        </is>
      </c>
      <c r="D46" t="inlineStr">
        <is>
          <t>passed</t>
        </is>
      </c>
      <c r="E46" t="inlineStr">
        <is>
          <t>excellent</t>
        </is>
      </c>
    </row>
    <row r="47">
      <c r="A47" t="inlineStr">
        <is>
          <t>E4</t>
        </is>
      </c>
      <c r="B47" t="n">
        <v>1</v>
      </c>
      <c r="C47" t="inlineStr">
        <is>
          <t>passed</t>
        </is>
      </c>
      <c r="D47" t="inlineStr">
        <is>
          <t>passed</t>
        </is>
      </c>
      <c r="E47" t="inlineStr">
        <is>
          <t>excellent</t>
        </is>
      </c>
    </row>
    <row r="48">
      <c r="A48" t="inlineStr">
        <is>
          <t>F4</t>
        </is>
      </c>
      <c r="B48" t="n">
        <v>1</v>
      </c>
      <c r="C48" t="inlineStr">
        <is>
          <t>passed</t>
        </is>
      </c>
      <c r="D48" t="inlineStr">
        <is>
          <t>passed</t>
        </is>
      </c>
      <c r="E48" t="inlineStr">
        <is>
          <t>excellent</t>
        </is>
      </c>
    </row>
    <row r="49">
      <c r="A49" t="inlineStr">
        <is>
          <t>F#4</t>
        </is>
      </c>
      <c r="B49" t="n">
        <v>1</v>
      </c>
      <c r="C49" t="inlineStr">
        <is>
          <t>passed</t>
        </is>
      </c>
      <c r="D49" t="inlineStr">
        <is>
          <t>passed</t>
        </is>
      </c>
      <c r="E49" t="inlineStr">
        <is>
          <t>excellent</t>
        </is>
      </c>
    </row>
    <row r="50">
      <c r="A50" t="inlineStr">
        <is>
          <t>G4</t>
        </is>
      </c>
      <c r="B50" t="n">
        <v>1</v>
      </c>
      <c r="C50" t="inlineStr">
        <is>
          <t>passed</t>
        </is>
      </c>
      <c r="D50" t="inlineStr">
        <is>
          <t>passed</t>
        </is>
      </c>
      <c r="E50" t="inlineStr">
        <is>
          <t>excellent</t>
        </is>
      </c>
    </row>
    <row r="51">
      <c r="A51" t="inlineStr">
        <is>
          <t>G#4</t>
        </is>
      </c>
      <c r="B51" t="n">
        <v>1</v>
      </c>
      <c r="C51" t="inlineStr">
        <is>
          <t>passed</t>
        </is>
      </c>
      <c r="D51" t="inlineStr">
        <is>
          <t>passed</t>
        </is>
      </c>
      <c r="E51" t="inlineStr">
        <is>
          <t>excellent</t>
        </is>
      </c>
    </row>
    <row r="52">
      <c r="A52" t="inlineStr">
        <is>
          <t>A4</t>
        </is>
      </c>
      <c r="B52" t="n">
        <v>1</v>
      </c>
      <c r="C52" t="inlineStr">
        <is>
          <t>passed</t>
        </is>
      </c>
      <c r="D52" t="inlineStr">
        <is>
          <t>passed</t>
        </is>
      </c>
      <c r="E52" t="inlineStr">
        <is>
          <t>excellent</t>
        </is>
      </c>
    </row>
    <row r="53">
      <c r="A53" t="inlineStr">
        <is>
          <t>A#4</t>
        </is>
      </c>
      <c r="B53" t="n">
        <v>1</v>
      </c>
      <c r="C53" t="inlineStr">
        <is>
          <t>passed</t>
        </is>
      </c>
      <c r="D53" t="inlineStr">
        <is>
          <t>passed</t>
        </is>
      </c>
      <c r="E53" t="inlineStr">
        <is>
          <t>excellent</t>
        </is>
      </c>
    </row>
    <row r="54">
      <c r="A54" t="inlineStr">
        <is>
          <t>B4</t>
        </is>
      </c>
      <c r="B54" t="n">
        <v>1</v>
      </c>
      <c r="C54" t="inlineStr">
        <is>
          <t>passed</t>
        </is>
      </c>
      <c r="D54" t="inlineStr">
        <is>
          <t>passed</t>
        </is>
      </c>
      <c r="E54" t="inlineStr">
        <is>
          <t>excellent</t>
        </is>
      </c>
    </row>
    <row r="55">
      <c r="A55" t="inlineStr">
        <is>
          <t>C5</t>
        </is>
      </c>
      <c r="B55" t="n">
        <v>1</v>
      </c>
      <c r="C55" t="inlineStr">
        <is>
          <t>passed</t>
        </is>
      </c>
      <c r="D55" t="inlineStr">
        <is>
          <t>passed</t>
        </is>
      </c>
      <c r="E55" t="inlineStr">
        <is>
          <t>excellent</t>
        </is>
      </c>
    </row>
    <row r="56">
      <c r="A56" t="inlineStr">
        <is>
          <t>C#5</t>
        </is>
      </c>
      <c r="B56" t="n">
        <v>1</v>
      </c>
      <c r="C56" t="inlineStr">
        <is>
          <t>passed</t>
        </is>
      </c>
      <c r="D56" t="inlineStr">
        <is>
          <t>passed</t>
        </is>
      </c>
      <c r="E56" t="inlineStr">
        <is>
          <t>excellent</t>
        </is>
      </c>
    </row>
    <row r="57">
      <c r="A57" t="inlineStr">
        <is>
          <t>D5</t>
        </is>
      </c>
      <c r="B57" t="n">
        <v>1</v>
      </c>
      <c r="C57" t="inlineStr">
        <is>
          <t>passed</t>
        </is>
      </c>
      <c r="D57" t="inlineStr">
        <is>
          <t>passed</t>
        </is>
      </c>
      <c r="E57" t="inlineStr">
        <is>
          <t>excellent</t>
        </is>
      </c>
    </row>
    <row r="58">
      <c r="A58" t="inlineStr">
        <is>
          <t>D#5</t>
        </is>
      </c>
      <c r="B58" t="n">
        <v>1</v>
      </c>
      <c r="C58" t="inlineStr">
        <is>
          <t>passed</t>
        </is>
      </c>
      <c r="D58" t="inlineStr">
        <is>
          <t>passed</t>
        </is>
      </c>
      <c r="E58" t="inlineStr">
        <is>
          <t>good</t>
        </is>
      </c>
    </row>
    <row r="59">
      <c r="A59" t="inlineStr">
        <is>
          <t>E5</t>
        </is>
      </c>
      <c r="B59" t="n">
        <v>1</v>
      </c>
      <c r="C59" t="inlineStr">
        <is>
          <t>passed</t>
        </is>
      </c>
      <c r="D59" t="inlineStr">
        <is>
          <t>passed</t>
        </is>
      </c>
      <c r="E59" t="inlineStr">
        <is>
          <t>excellent</t>
        </is>
      </c>
    </row>
    <row r="60">
      <c r="A60" t="inlineStr">
        <is>
          <t>F5</t>
        </is>
      </c>
      <c r="B60" t="n">
        <v>1</v>
      </c>
      <c r="C60" t="inlineStr">
        <is>
          <t>passed</t>
        </is>
      </c>
      <c r="D60" t="inlineStr">
        <is>
          <t>passed</t>
        </is>
      </c>
      <c r="E60" t="inlineStr">
        <is>
          <t>excellent</t>
        </is>
      </c>
    </row>
    <row r="61">
      <c r="A61" t="inlineStr">
        <is>
          <t>F#5</t>
        </is>
      </c>
      <c r="B61" t="n">
        <v>1</v>
      </c>
      <c r="C61" t="inlineStr">
        <is>
          <t>passed</t>
        </is>
      </c>
      <c r="D61" t="inlineStr">
        <is>
          <t>passed</t>
        </is>
      </c>
      <c r="E61" t="inlineStr">
        <is>
          <t>excellent</t>
        </is>
      </c>
    </row>
    <row r="62">
      <c r="A62" t="inlineStr">
        <is>
          <t>G5</t>
        </is>
      </c>
      <c r="B62" t="n">
        <v>1</v>
      </c>
      <c r="C62" t="inlineStr">
        <is>
          <t>passed</t>
        </is>
      </c>
      <c r="D62" t="inlineStr">
        <is>
          <t>passed</t>
        </is>
      </c>
      <c r="E62" t="inlineStr">
        <is>
          <t>excellent</t>
        </is>
      </c>
    </row>
    <row r="63">
      <c r="A63" t="inlineStr">
        <is>
          <t>G#5</t>
        </is>
      </c>
      <c r="B63" t="n">
        <v>1</v>
      </c>
      <c r="C63" t="inlineStr">
        <is>
          <t>passed</t>
        </is>
      </c>
      <c r="D63" t="inlineStr">
        <is>
          <t>passed</t>
        </is>
      </c>
      <c r="E63" t="inlineStr">
        <is>
          <t>good</t>
        </is>
      </c>
    </row>
    <row r="64">
      <c r="A64" t="inlineStr">
        <is>
          <t>A5</t>
        </is>
      </c>
      <c r="B64" t="n">
        <v>1</v>
      </c>
      <c r="C64" t="inlineStr">
        <is>
          <t>passed</t>
        </is>
      </c>
      <c r="D64" t="inlineStr">
        <is>
          <t>passed</t>
        </is>
      </c>
      <c r="E64" t="inlineStr">
        <is>
          <t>excellent</t>
        </is>
      </c>
    </row>
    <row r="65">
      <c r="A65" t="inlineStr">
        <is>
          <t>A#5</t>
        </is>
      </c>
      <c r="B65" t="n">
        <v>1</v>
      </c>
      <c r="C65" t="inlineStr">
        <is>
          <t>passed</t>
        </is>
      </c>
      <c r="D65" t="inlineStr">
        <is>
          <t>passed</t>
        </is>
      </c>
      <c r="E65" t="inlineStr">
        <is>
          <t>excellent</t>
        </is>
      </c>
    </row>
    <row r="66">
      <c r="A66" t="inlineStr">
        <is>
          <t>B5</t>
        </is>
      </c>
      <c r="B66" t="n">
        <v>1</v>
      </c>
      <c r="C66" t="inlineStr">
        <is>
          <t>passed</t>
        </is>
      </c>
      <c r="D66" t="inlineStr">
        <is>
          <t>passed</t>
        </is>
      </c>
      <c r="E66" t="inlineStr">
        <is>
          <t>excellent</t>
        </is>
      </c>
    </row>
    <row r="67">
      <c r="A67" t="inlineStr">
        <is>
          <t>C6</t>
        </is>
      </c>
      <c r="B67" t="n">
        <v>1</v>
      </c>
      <c r="C67" t="inlineStr">
        <is>
          <t>passed</t>
        </is>
      </c>
      <c r="D67" t="inlineStr">
        <is>
          <t>passed</t>
        </is>
      </c>
      <c r="E67" t="inlineStr">
        <is>
          <t>good</t>
        </is>
      </c>
    </row>
    <row r="68">
      <c r="A68" t="inlineStr">
        <is>
          <t>C#6</t>
        </is>
      </c>
      <c r="B68" t="n">
        <v>1</v>
      </c>
      <c r="C68" t="inlineStr">
        <is>
          <t>passed</t>
        </is>
      </c>
      <c r="D68" t="inlineStr">
        <is>
          <t>passed</t>
        </is>
      </c>
      <c r="E68" t="inlineStr">
        <is>
          <t>good</t>
        </is>
      </c>
    </row>
    <row r="69">
      <c r="A69" t="inlineStr">
        <is>
          <t>D6</t>
        </is>
      </c>
      <c r="B69" t="n">
        <v>1</v>
      </c>
      <c r="C69" t="inlineStr">
        <is>
          <t>passed</t>
        </is>
      </c>
      <c r="D69" t="inlineStr">
        <is>
          <t>passed</t>
        </is>
      </c>
      <c r="E69" t="inlineStr">
        <is>
          <t>excellent</t>
        </is>
      </c>
    </row>
    <row r="70">
      <c r="A70" t="inlineStr">
        <is>
          <t>D#6</t>
        </is>
      </c>
      <c r="B70" t="n">
        <v>1</v>
      </c>
      <c r="C70" t="inlineStr">
        <is>
          <t>passed</t>
        </is>
      </c>
      <c r="D70" t="inlineStr">
        <is>
          <t>passed</t>
        </is>
      </c>
      <c r="E70" t="inlineStr">
        <is>
          <t>good</t>
        </is>
      </c>
    </row>
    <row r="71">
      <c r="A71" t="inlineStr">
        <is>
          <t>E6</t>
        </is>
      </c>
      <c r="B71" t="n">
        <v>1</v>
      </c>
      <c r="C71" t="inlineStr">
        <is>
          <t>passed</t>
        </is>
      </c>
      <c r="D71" t="inlineStr">
        <is>
          <t>passed</t>
        </is>
      </c>
      <c r="E71" t="inlineStr">
        <is>
          <t>excellent</t>
        </is>
      </c>
    </row>
    <row r="72">
      <c r="A72" t="inlineStr">
        <is>
          <t>F6</t>
        </is>
      </c>
      <c r="B72" t="n">
        <v>1</v>
      </c>
      <c r="C72" t="inlineStr">
        <is>
          <t>passed</t>
        </is>
      </c>
      <c r="D72" t="inlineStr">
        <is>
          <t>passed</t>
        </is>
      </c>
      <c r="E72" t="inlineStr">
        <is>
          <t>excellent</t>
        </is>
      </c>
    </row>
    <row r="73">
      <c r="A73" t="inlineStr">
        <is>
          <t>F#6</t>
        </is>
      </c>
      <c r="B73" t="n">
        <v>1</v>
      </c>
      <c r="C73" t="inlineStr">
        <is>
          <t>passed</t>
        </is>
      </c>
      <c r="D73" t="inlineStr">
        <is>
          <t>passed</t>
        </is>
      </c>
      <c r="E73" t="inlineStr">
        <is>
          <t>good</t>
        </is>
      </c>
    </row>
    <row r="74">
      <c r="A74" t="inlineStr">
        <is>
          <t>G6</t>
        </is>
      </c>
      <c r="B74" t="n">
        <v>1</v>
      </c>
      <c r="C74" t="inlineStr">
        <is>
          <t>passed</t>
        </is>
      </c>
      <c r="D74" t="inlineStr">
        <is>
          <t>passed</t>
        </is>
      </c>
      <c r="E74" t="inlineStr">
        <is>
          <t>excellent</t>
        </is>
      </c>
    </row>
    <row r="75">
      <c r="A75" t="inlineStr">
        <is>
          <t>G#6</t>
        </is>
      </c>
      <c r="B75" t="n">
        <v>1</v>
      </c>
      <c r="C75" t="inlineStr">
        <is>
          <t>passed</t>
        </is>
      </c>
      <c r="D75" t="inlineStr">
        <is>
          <t>passed</t>
        </is>
      </c>
      <c r="E75" t="inlineStr">
        <is>
          <t>good</t>
        </is>
      </c>
    </row>
    <row r="76">
      <c r="A76" t="inlineStr">
        <is>
          <t>A6</t>
        </is>
      </c>
      <c r="B76" t="n">
        <v>1</v>
      </c>
      <c r="C76" t="inlineStr">
        <is>
          <t>passed</t>
        </is>
      </c>
      <c r="D76" t="inlineStr">
        <is>
          <t>passed</t>
        </is>
      </c>
      <c r="E76" t="inlineStr">
        <is>
          <t>good</t>
        </is>
      </c>
    </row>
    <row r="77">
      <c r="A77" t="inlineStr">
        <is>
          <t>A#6</t>
        </is>
      </c>
      <c r="B77" t="n">
        <v>1</v>
      </c>
      <c r="C77" t="inlineStr">
        <is>
          <t>passed</t>
        </is>
      </c>
      <c r="D77" t="inlineStr">
        <is>
          <t>passed</t>
        </is>
      </c>
      <c r="E77" t="inlineStr">
        <is>
          <t>good</t>
        </is>
      </c>
    </row>
    <row r="78">
      <c r="A78" t="inlineStr">
        <is>
          <t>B6</t>
        </is>
      </c>
      <c r="B78" t="n">
        <v>1</v>
      </c>
      <c r="C78" t="inlineStr">
        <is>
          <t>passed</t>
        </is>
      </c>
      <c r="D78" t="inlineStr">
        <is>
          <t>passed</t>
        </is>
      </c>
      <c r="E78" t="inlineStr">
        <is>
          <t>good</t>
        </is>
      </c>
    </row>
    <row r="79">
      <c r="A79" t="inlineStr">
        <is>
          <t>C7</t>
        </is>
      </c>
      <c r="B79" t="n">
        <v>1</v>
      </c>
      <c r="C79" t="inlineStr">
        <is>
          <t>warning_harmonic_alignment</t>
        </is>
      </c>
      <c r="D79" t="inlineStr">
        <is>
          <t>passed</t>
        </is>
      </c>
      <c r="E79" t="inlineStr">
        <is>
          <t>warning</t>
        </is>
      </c>
    </row>
    <row r="80">
      <c r="A80" t="inlineStr">
        <is>
          <t>C#7</t>
        </is>
      </c>
      <c r="B80" t="n">
        <v>1</v>
      </c>
      <c r="C80" t="inlineStr">
        <is>
          <t>passed</t>
        </is>
      </c>
      <c r="D80" t="inlineStr">
        <is>
          <t>passed</t>
        </is>
      </c>
      <c r="E80" t="inlineStr">
        <is>
          <t>good</t>
        </is>
      </c>
    </row>
  </sheetData>
  <mergeCells count="3">
    <mergeCell ref="A1:B2"/>
    <mergeCell ref="D4:H4"/>
    <mergeCell ref="D1:H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0" customWidth="1" min="2" max="2"/>
    <col width="32" customWidth="1" min="3" max="3"/>
    <col width="48" customWidth="1" min="4" max="4"/>
    <col width="48" customWidth="1" min="5" max="5"/>
    <col width="24" customWidth="1" min="6" max="6"/>
    <col width="32" customWidth="1" min="7" max="7"/>
    <col width="36" customWidth="1" min="8" max="8"/>
    <col width="22" customWidth="1" min="9" max="9"/>
    <col width="45" customWidth="1" min="10" max="10"/>
    <col width="39" customWidth="1" min="11" max="11"/>
    <col width="48" customWidth="1" min="12" max="12"/>
    <col width="44" customWidth="1" min="13" max="13"/>
    <col width="46" customWidth="1" min="14" max="14"/>
    <col width="30" customWidth="1" min="15" max="15"/>
    <col width="32" customWidth="1" min="16" max="16"/>
    <col width="48" customWidth="1" min="17" max="17"/>
    <col width="48" customWidth="1" min="18" max="18"/>
    <col width="48" customWidth="1" min="19" max="19"/>
    <col width="32" customWidth="1" min="20" max="20"/>
    <col width="31" customWidth="1" min="21" max="21"/>
    <col width="33" customWidth="1" min="22" max="22"/>
    <col width="22" customWidth="1" min="23" max="23"/>
    <col width="34" customWidth="1" min="24" max="24"/>
    <col width="48" customWidth="1" min="25" max="25"/>
    <col width="48" customWidth="1" min="26" max="26"/>
    <col width="46" customWidth="1" min="27" max="27"/>
    <col width="48" customWidth="1" min="28" max="28"/>
    <col width="48" customWidth="1" min="29" max="29"/>
    <col width="48" customWidth="1" min="30" max="30"/>
    <col width="42" customWidth="1" min="31" max="31"/>
    <col width="48" customWidth="1" min="32" max="32"/>
    <col width="48" customWidth="1" min="33" max="33"/>
    <col width="48" customWidth="1" min="34" max="34"/>
    <col width="48" customWidth="1" min="35" max="35"/>
    <col width="47" customWidth="1" min="36" max="36"/>
    <col width="48" customWidth="1" min="37" max="37"/>
    <col width="32" customWidth="1" min="38" max="38"/>
    <col width="48" customWidth="1" min="39" max="39"/>
    <col width="32" customWidth="1" min="40" max="40"/>
    <col width="48" customWidth="1" min="41" max="41"/>
    <col width="48" customWidth="1" min="42" max="42"/>
    <col width="32" customWidth="1" min="43" max="43"/>
    <col width="38" customWidth="1" min="44" max="44"/>
    <col width="48" customWidth="1" min="45" max="45"/>
    <col width="20" customWidth="1" min="46" max="46"/>
    <col width="20" customWidth="1" min="47" max="47"/>
    <col width="30" customWidth="1" min="48" max="48"/>
    <col width="32" customWidth="1" min="49" max="49"/>
    <col width="28" customWidth="1" min="50" max="50"/>
    <col width="30" customWidth="1" min="51" max="51"/>
    <col width="27" customWidth="1" min="52" max="52"/>
    <col width="25" customWidth="1" min="53" max="53"/>
    <col width="27" customWidth="1" min="54" max="54"/>
    <col width="24" customWidth="1" min="55" max="55"/>
    <col width="24" customWidth="1" min="56" max="56"/>
    <col width="31" customWidth="1" min="57" max="57"/>
    <col width="30" customWidth="1" min="58" max="58"/>
    <col width="33" customWidth="1" min="59" max="59"/>
    <col width="26" customWidth="1" min="60" max="60"/>
    <col width="30" customWidth="1" min="61" max="61"/>
    <col width="30" customWidth="1" min="62" max="62"/>
    <col width="30" customWidth="1" min="63" max="63"/>
    <col width="29" customWidth="1" min="64" max="64"/>
    <col width="30" customWidth="1" min="65" max="65"/>
    <col width="45" customWidth="1" min="66" max="66"/>
    <col width="34" customWidth="1" min="67" max="67"/>
    <col width="28" customWidth="1" min="68" max="68"/>
    <col width="28" customWidth="1" min="69" max="69"/>
    <col width="27" customWidth="1" min="70" max="70"/>
    <col width="35" customWidth="1" min="71" max="71"/>
    <col width="33" customWidth="1" min="72" max="72"/>
    <col width="35" customWidth="1" min="73" max="73"/>
    <col width="32" customWidth="1" min="74" max="74"/>
    <col width="10" customWidth="1" min="75" max="75"/>
    <col width="10" customWidth="1" min="76" max="76"/>
    <col width="13" customWidth="1" min="77" max="77"/>
    <col width="10" customWidth="1" min="78" max="78"/>
    <col width="11" customWidth="1" min="79" max="79"/>
    <col width="10" customWidth="1" min="80" max="80"/>
    <col width="19" customWidth="1" min="81" max="81"/>
    <col width="19" customWidth="1" min="82" max="82"/>
    <col width="32" customWidth="1" min="83" max="83"/>
    <col width="36" customWidth="1" min="84" max="84"/>
    <col width="17" customWidth="1" min="85" max="85"/>
    <col width="32" customWidth="1" min="86" max="86"/>
    <col width="20" customWidth="1" min="87" max="87"/>
    <col width="19" customWidth="1" min="88" max="88"/>
    <col width="19" customWidth="1" min="89" max="89"/>
    <col width="23" customWidth="1" min="90" max="90"/>
    <col width="22" customWidth="1" min="91" max="91"/>
    <col width="32" customWidth="1" min="92" max="92"/>
    <col width="20" customWidth="1" min="93" max="93"/>
    <col width="40" customWidth="1" min="94" max="94"/>
    <col width="48" customWidth="1" min="95" max="95"/>
    <col width="43" customWidth="1" min="96" max="96"/>
    <col width="48" customWidth="1" min="97" max="97"/>
    <col width="48" customWidth="1" min="98" max="98"/>
    <col width="45" customWidth="1" min="99" max="99"/>
    <col width="43" customWidth="1" min="100" max="100"/>
    <col width="39" customWidth="1" min="101" max="101"/>
    <col width="41" customWidth="1" min="102" max="102"/>
    <col width="27" customWidth="1" min="103" max="103"/>
    <col width="42" customWidth="1" min="104" max="104"/>
    <col width="41" customWidth="1" min="105" max="105"/>
    <col width="43" customWidth="1" min="106" max="106"/>
    <col width="38" customWidth="1" min="107" max="107"/>
    <col width="32" customWidth="1" min="108" max="108"/>
    <col width="48" customWidth="1" min="109" max="109"/>
    <col width="46" customWidth="1" min="110" max="110"/>
    <col width="33" customWidth="1" min="111" max="111"/>
    <col width="46" customWidth="1" min="112" max="112"/>
    <col width="27" customWidth="1" min="113" max="113"/>
    <col width="22" customWidth="1" min="114" max="114"/>
    <col width="19" customWidth="1" min="115" max="115"/>
    <col width="34" customWidth="1" min="116" max="116"/>
    <col width="41" customWidth="1" min="117" max="117"/>
    <col width="42" customWidth="1" min="118" max="118"/>
    <col width="48" customWidth="1" min="119" max="119"/>
    <col width="22" customWidth="1" min="120" max="120"/>
    <col width="24" customWidth="1" min="121" max="121"/>
    <col width="30" customWidth="1" min="122" max="122"/>
    <col width="27" customWidth="1" min="123" max="123"/>
    <col width="23" customWidth="1" min="124" max="124"/>
    <col width="44" customWidth="1" min="125" max="125"/>
    <col width="28" customWidth="1" min="126" max="126"/>
    <col width="27" customWidth="1" min="127" max="127"/>
    <col width="28" customWidth="1" min="128" max="128"/>
    <col width="36" customWidth="1" min="129" max="129"/>
    <col width="17" customWidth="1" min="130" max="130"/>
    <col width="33" customWidth="1" min="131" max="131"/>
    <col width="30" customWidth="1" min="132" max="132"/>
    <col width="23" customWidth="1" min="133" max="133"/>
    <col width="26" customWidth="1" min="134" max="134"/>
    <col width="43" customWidth="1" min="135" max="135"/>
    <col width="21" customWidth="1" min="136" max="136"/>
    <col width="27" customWidth="1" min="137" max="137"/>
    <col width="30" customWidth="1" min="138" max="138"/>
    <col width="31" customWidth="1" min="139" max="139"/>
    <col width="48" customWidth="1" min="140" max="140"/>
    <col width="48" customWidth="1" min="141" max="141"/>
    <col width="20" customWidth="1" min="142" max="142"/>
    <col width="20" customWidth="1" min="143" max="143"/>
    <col width="32" customWidth="1" min="144" max="144"/>
    <col width="31" customWidth="1" min="145" max="145"/>
    <col width="29" customWidth="1" min="146" max="146"/>
    <col width="27" customWidth="1" min="147" max="147"/>
    <col width="38" customWidth="1" min="148" max="148"/>
    <col width="20" customWidth="1" min="149" max="149"/>
    <col width="22" customWidth="1" min="150" max="150"/>
    <col width="22" customWidth="1" min="151" max="151"/>
    <col width="17" customWidth="1" min="152" max="152"/>
    <col width="23" customWidth="1" min="153" max="153"/>
    <col width="23" customWidth="1" min="154" max="154"/>
    <col width="22" customWidth="1" min="155" max="155"/>
    <col width="35" customWidth="1" min="156" max="156"/>
    <col width="36" customWidth="1" min="157" max="157"/>
    <col width="23" customWidth="1" min="158" max="158"/>
    <col width="21" customWidth="1" min="159" max="159"/>
    <col width="22" customWidth="1" min="160" max="160"/>
    <col width="24" customWidth="1" min="161" max="161"/>
    <col width="21" customWidth="1" min="162" max="162"/>
    <col width="40" customWidth="1" min="163" max="163"/>
    <col width="42" customWidth="1" min="164" max="164"/>
    <col width="39" customWidth="1" min="165" max="165"/>
    <col width="21" customWidth="1" min="166" max="166"/>
    <col width="23" customWidth="1" min="167" max="167"/>
    <col width="22" customWidth="1" min="168" max="168"/>
    <col width="24" customWidth="1" min="169" max="169"/>
    <col width="23" customWidth="1" min="170" max="170"/>
    <col width="25" customWidth="1" min="171" max="171"/>
    <col width="23" customWidth="1" min="172" max="172"/>
    <col width="27" customWidth="1" min="173" max="173"/>
    <col width="35" customWidth="1" min="174" max="174"/>
    <col width="35" customWidth="1" min="175" max="175"/>
    <col width="34" customWidth="1" min="176" max="176"/>
    <col width="31" customWidth="1" min="177" max="177"/>
    <col width="24" customWidth="1" min="178" max="178"/>
    <col width="26" customWidth="1" min="179" max="179"/>
    <col width="23" customWidth="1" min="180" max="180"/>
    <col width="35" customWidth="1" min="181" max="181"/>
    <col width="37" customWidth="1" min="182" max="182"/>
    <col width="26" customWidth="1" min="183" max="183"/>
    <col width="48" customWidth="1" min="184" max="184"/>
    <col width="42" customWidth="1" min="185" max="185"/>
    <col width="48" customWidth="1" min="186" max="186"/>
    <col width="37" customWidth="1" min="187" max="187"/>
    <col width="48" customWidth="1" min="188" max="188"/>
    <col width="48" customWidth="1" min="189" max="189"/>
    <col width="46" customWidth="1" min="190" max="190"/>
    <col width="41" customWidth="1" min="191" max="191"/>
    <col width="45" customWidth="1" min="192" max="192"/>
    <col width="48" customWidth="1" min="193" max="193"/>
    <col width="43" customWidth="1" min="194" max="194"/>
    <col width="38" customWidth="1" min="195" max="195"/>
    <col width="33" customWidth="1" min="196" max="196"/>
    <col width="47" customWidth="1" min="197" max="197"/>
    <col width="32" customWidth="1" min="198" max="198"/>
    <col width="48" customWidth="1" min="199" max="199"/>
    <col width="18" customWidth="1" min="200" max="200"/>
    <col width="23" customWidth="1" min="201" max="201"/>
    <col width="20" customWidth="1" min="202" max="202"/>
    <col width="21" customWidth="1" min="203" max="203"/>
    <col width="23" customWidth="1" min="204" max="204"/>
    <col width="32" customWidth="1" min="205" max="205"/>
    <col width="29" customWidth="1" min="206" max="206"/>
    <col width="21" customWidth="1" min="207" max="207"/>
    <col width="25" customWidth="1" min="208" max="208"/>
    <col width="26" customWidth="1" min="209" max="209"/>
    <col width="34" customWidth="1" min="210" max="210"/>
    <col width="37" customWidth="1" min="211" max="211"/>
    <col width="38" customWidth="1" min="212" max="212"/>
    <col width="46" customWidth="1" min="213" max="213"/>
    <col width="26" customWidth="1" min="214" max="214"/>
    <col width="25" customWidth="1" min="215" max="215"/>
    <col width="30" customWidth="1" min="216" max="216"/>
    <col width="28" customWidth="1" min="217" max="217"/>
  </cols>
  <sheetData>
    <row r="1">
      <c r="A1" s="11" t="inlineStr">
        <is>
          <t>metadata_inference_status</t>
        </is>
      </c>
      <c r="B1" s="11" t="inlineStr">
        <is>
          <t>metadata_missing_reason</t>
        </is>
      </c>
      <c r="C1" s="11" t="inlineStr">
        <is>
          <t>f0_final_source</t>
        </is>
      </c>
      <c r="D1" s="11" t="inlineStr">
        <is>
          <t>amplitude_mass_chart_file</t>
        </is>
      </c>
      <c r="E1" s="11" t="inlineStr">
        <is>
          <t>energy_ratio_chart_file</t>
        </is>
      </c>
      <c r="F1" s="11" t="inlineStr">
        <is>
          <t>f0_used_for_density_hz</t>
        </is>
      </c>
      <c r="G1" s="11" t="inlineStr">
        <is>
          <t>f0_used_for_density_source</t>
        </is>
      </c>
      <c r="H1" s="11" t="inlineStr">
        <is>
          <t>acoustic_f0_status</t>
        </is>
      </c>
      <c r="I1" s="12" t="inlineStr">
        <is>
          <t>density_weighted_sum</t>
        </is>
      </c>
      <c r="J1" s="11" t="inlineStr">
        <is>
          <t>density_weighted_sum_alias_of</t>
        </is>
      </c>
      <c r="K1" s="11" t="inlineStr">
        <is>
          <t>density_weighted_sum_semantic_status</t>
        </is>
      </c>
      <c r="L1" s="11" t="inlineStr">
        <is>
          <t>density_component_body_weighted_sum_body_ceiling</t>
        </is>
      </c>
      <c r="M1" s="11" t="inlineStr">
        <is>
          <t>harmonic_component_energy_sum_body_ceiling</t>
        </is>
      </c>
      <c r="N1" s="11" t="inlineStr">
        <is>
          <t>inharmonic_component_energy_sum_body_ceiling</t>
        </is>
      </c>
      <c r="O1" s="11" t="inlineStr">
        <is>
          <t>subbass_component_energy_sum</t>
        </is>
      </c>
      <c r="P1" s="11" t="inlineStr">
        <is>
          <t>spectral_slope_db_per_harmonic</t>
        </is>
      </c>
      <c r="Q1" s="11" t="inlineStr">
        <is>
          <t>validated_harmonic_component_count_body_ceiling</t>
        </is>
      </c>
      <c r="R1" s="11" t="inlineStr">
        <is>
          <t>probable_harmonic_component_count_body_ceiling</t>
        </is>
      </c>
      <c r="S1" s="11" t="inlineStr">
        <is>
          <t>probable_harmonic_component_energy_sum_body_ceiling</t>
        </is>
      </c>
      <c r="T1" s="11" t="inlineStr">
        <is>
          <t>harmonic_candidate_count_20khz</t>
        </is>
      </c>
      <c r="U1" s="11" t="inlineStr">
        <is>
          <t>spectral_body_thickness_index</t>
        </is>
      </c>
      <c r="V1" s="11" t="inlineStr">
        <is>
          <t>body_weighted_effective_density</t>
        </is>
      </c>
      <c r="W1" s="11" t="inlineStr">
        <is>
          <t>low_mid_energy_ratio</t>
        </is>
      </c>
      <c r="X1" s="11" t="inlineStr">
        <is>
          <t>harmonic_body_density_normalized</t>
        </is>
      </c>
      <c r="Y1" s="11" t="inlineStr">
        <is>
          <t>salient_harmonic_order_count_up_to_body_ceiling</t>
        </is>
      </c>
      <c r="Z1" s="11" t="inlineStr">
        <is>
          <t>expected_harmonic_order_count_up_to_body_ceiling</t>
        </is>
      </c>
      <c r="AA1" s="11" t="inlineStr">
        <is>
          <t>salient_harmonic_coverage_up_to_body_ceiling</t>
        </is>
      </c>
      <c r="AB1" s="11" t="inlineStr">
        <is>
          <t>theoretical_harmonic_order_count_up_to_body_ceiling</t>
        </is>
      </c>
      <c r="AC1" s="11" t="inlineStr">
        <is>
          <t>detected_salient_harmonic_order_count_up_to_body_ceiling</t>
        </is>
      </c>
      <c r="AD1" s="11" t="inlineStr">
        <is>
          <t>salient_harmonic_coverage_ratio_up_to_body_ceiling</t>
        </is>
      </c>
      <c r="AE1" s="11" t="inlineStr">
        <is>
          <t>salient_harmonic_mass_up_to_body_ceiling</t>
        </is>
      </c>
      <c r="AF1" s="11" t="inlineStr">
        <is>
          <t>salient_harmonic_order_count_up_to_density_ceiling_hz</t>
        </is>
      </c>
      <c r="AG1" s="11" t="inlineStr">
        <is>
          <t>expected_harmonic_order_count_up_to_density_ceiling_hz</t>
        </is>
      </c>
      <c r="AH1" s="11" t="inlineStr">
        <is>
          <t>salient_harmonic_coverage_up_to_density_ceiling_hz</t>
        </is>
      </c>
      <c r="AI1" s="11" t="inlineStr">
        <is>
          <t>salient_harmonic_mass_up_to_density_ceiling_hz</t>
        </is>
      </c>
      <c r="AJ1" s="11" t="inlineStr">
        <is>
          <t>salient_odd_harmonic_count_up_to_body_ceiling</t>
        </is>
      </c>
      <c r="AK1" s="11" t="inlineStr">
        <is>
          <t>salient_even_harmonic_count_up_to_body_ceiling</t>
        </is>
      </c>
      <c r="AL1" s="11" t="inlineStr">
        <is>
          <t>odd_even_harmonic_energy_ratio</t>
        </is>
      </c>
      <c r="AM1" s="11" t="inlineStr">
        <is>
          <t>salient_inharmonic_log_bin_count_up_to_body_ceiling</t>
        </is>
      </c>
      <c r="AN1" s="11" t="inlineStr">
        <is>
          <t>salient_subbass_particle_count</t>
        </is>
      </c>
      <c r="AO1" s="11" t="inlineStr">
        <is>
          <t>salient_inharmonic_log_bin_count_up_to_density_ceiling_hz</t>
        </is>
      </c>
      <c r="AP1" s="11" t="inlineStr">
        <is>
          <t>salient_subbass_particle_count_up_to_density_ceiling_hz</t>
        </is>
      </c>
      <c r="AQ1" s="11" t="inlineStr">
        <is>
          <t>final_note_density_count_based</t>
        </is>
      </c>
      <c r="AR1" s="11" t="inlineStr">
        <is>
          <t>final_note_density_salience_weighted</t>
        </is>
      </c>
      <c r="AS1" s="11" t="inlineStr">
        <is>
          <t>final_note_density_salience_weighted_norm_for_chart</t>
        </is>
      </c>
      <c r="AT1" s="13" t="inlineStr">
        <is>
          <t>note_density_final</t>
        </is>
      </c>
      <c r="AU1" s="14" t="inlineStr">
        <is>
          <t>EWSD_score_total</t>
        </is>
      </c>
      <c r="AV1" s="11" t="inlineStr">
        <is>
          <t>EWSD_score_acoustic_balanced</t>
        </is>
      </c>
      <c r="AW1" s="11" t="inlineStr">
        <is>
          <t>ewsd_primary_analysis_eligible</t>
        </is>
      </c>
      <c r="AX1" s="11" t="inlineStr">
        <is>
          <t>harmonic_density_component</t>
        </is>
      </c>
      <c r="AY1" s="11" t="inlineStr">
        <is>
          <t>inharmonic_density_component</t>
        </is>
      </c>
      <c r="AZ1" s="11" t="inlineStr">
        <is>
          <t>subbass_density_component</t>
        </is>
      </c>
      <c r="BA1" s="11" t="inlineStr">
        <is>
          <t>harmonic_density_weight</t>
        </is>
      </c>
      <c r="BB1" s="11" t="inlineStr">
        <is>
          <t>inharmonic_density_weight</t>
        </is>
      </c>
      <c r="BC1" s="11" t="inlineStr">
        <is>
          <t>subbass_density_weight</t>
        </is>
      </c>
      <c r="BD1" s="11" t="inlineStr">
        <is>
          <t>density_summation_mode</t>
        </is>
      </c>
      <c r="BE1" s="11" t="inlineStr">
        <is>
          <t>density_salience_threshold_db</t>
        </is>
      </c>
      <c r="BF1" s="11" t="inlineStr">
        <is>
          <t>density_frequency_ceiling_hz</t>
        </is>
      </c>
      <c r="BG1" s="11" t="inlineStr">
        <is>
          <t>harmonic_region_occupancy_count</t>
        </is>
      </c>
      <c r="BH1" s="11" t="inlineStr">
        <is>
          <t>harmonic_occupancy_ratio</t>
        </is>
      </c>
      <c r="BI1" s="11" t="inlineStr">
        <is>
          <t>expected_harmonic_slot_count</t>
        </is>
      </c>
      <c r="BJ1" s="11" t="inlineStr">
        <is>
          <t>detected_harmonic_slot_count</t>
        </is>
      </c>
      <c r="BK1" s="11" t="inlineStr">
        <is>
          <t>harmonic_slot_expected_count</t>
        </is>
      </c>
      <c r="BL1" s="11" t="inlineStr">
        <is>
          <t>harmonic_slot_matched_count</t>
        </is>
      </c>
      <c r="BM1" s="11" t="inlineStr">
        <is>
          <t>harmonic_slot_coverage_ratio</t>
        </is>
      </c>
      <c r="BN1" s="11" t="inlineStr">
        <is>
          <t>harmonic_effective_power_density_normalized</t>
        </is>
      </c>
      <c r="BO1" s="11" t="inlineStr">
        <is>
          <t>residual_log_frequency_occupancy</t>
        </is>
      </c>
      <c r="BP1" s="11" t="inlineStr">
        <is>
          <t>core_harmonic_energy_ratio</t>
        </is>
      </c>
      <c r="BQ1" s="11" t="inlineStr">
        <is>
          <t>core_residual_energy_ratio</t>
        </is>
      </c>
      <c r="BR1" s="11" t="inlineStr">
        <is>
          <t>core_subbass_energy_ratio</t>
        </is>
      </c>
      <c r="BS1" s="11" t="inlineStr">
        <is>
          <t>residual_body_contribution_capped</t>
        </is>
      </c>
      <c r="BT1" s="11" t="inlineStr">
        <is>
          <t>component_harmonic_energy_ratio</t>
        </is>
      </c>
      <c r="BU1" s="11" t="inlineStr">
        <is>
          <t>component_inharmonic_energy_ratio</t>
        </is>
      </c>
      <c r="BV1" s="11" t="inlineStr">
        <is>
          <t>component_subbass_energy_ratio</t>
        </is>
      </c>
      <c r="BW1" s="11" t="inlineStr">
        <is>
          <t>Note</t>
        </is>
      </c>
      <c r="BX1" s="11" t="inlineStr">
        <is>
          <t>MIDI</t>
        </is>
      </c>
      <c r="BY1" s="11" t="inlineStr">
        <is>
          <t>Pitch_Class</t>
        </is>
      </c>
      <c r="BZ1" s="11" t="inlineStr">
        <is>
          <t>Octave</t>
        </is>
      </c>
      <c r="CA1" s="11" t="inlineStr">
        <is>
          <t>Register</t>
        </is>
      </c>
      <c r="CB1" s="11" t="inlineStr">
        <is>
          <t>Dynamic</t>
        </is>
      </c>
      <c r="CC1" s="11" t="inlineStr">
        <is>
          <t>f0_nominal_hz</t>
        </is>
      </c>
      <c r="CD1" s="11" t="inlineStr">
        <is>
          <t>f0_final_hz</t>
        </is>
      </c>
      <c r="CE1" s="11" t="inlineStr">
        <is>
          <t>f0_source</t>
        </is>
      </c>
      <c r="CF1" s="11" t="inlineStr">
        <is>
          <t>f0_used_for_harmonic_validation_hz</t>
        </is>
      </c>
      <c r="CG1" s="11" t="inlineStr">
        <is>
          <t>f0_fit_accepted</t>
        </is>
      </c>
      <c r="CH1" s="11" t="inlineStr">
        <is>
          <t>f0_epistemic_status</t>
        </is>
      </c>
      <c r="CI1" s="11" t="inlineStr">
        <is>
          <t>f0_validation_mode</t>
        </is>
      </c>
      <c r="CJ1" s="11" t="inlineStr">
        <is>
          <t>nominal_prior_hz</t>
        </is>
      </c>
      <c r="CK1" s="11" t="inlineStr">
        <is>
          <t>f0_candidate_hz</t>
        </is>
      </c>
      <c r="CL1" s="11" t="inlineStr">
        <is>
          <t>f0_deviation_cents</t>
        </is>
      </c>
      <c r="CM1" s="11" t="inlineStr">
        <is>
          <t>f0_validation_max_hz</t>
        </is>
      </c>
      <c r="CN1" s="11" t="inlineStr">
        <is>
          <t>f0_detuning_cents_from_nominal</t>
        </is>
      </c>
      <c r="CO1" s="11" t="inlineStr">
        <is>
          <t>density_metric_raw</t>
        </is>
      </c>
      <c r="CP1" s="11" t="inlineStr">
        <is>
          <t>density_body_weighted_sum_body_ceiling</t>
        </is>
      </c>
      <c r="CQ1" s="11" t="inlineStr">
        <is>
          <t>harmonic_effective_component_count_body_ceiling</t>
        </is>
      </c>
      <c r="CR1" s="11" t="inlineStr">
        <is>
          <t>normalized_harmonic_richness_body_ceiling</t>
        </is>
      </c>
      <c r="CS1" s="11" t="inlineStr">
        <is>
          <t>body_density_per_expected_harmonic_slot_body_ceiling</t>
        </is>
      </c>
      <c r="CT1" s="11" t="inlineStr">
        <is>
          <t>pitch_normalized_harmonic_component_energy_body_ceiling</t>
        </is>
      </c>
      <c r="CU1" s="11" t="inlineStr">
        <is>
          <t>richness_weighted_body_density_body_ceiling</t>
        </is>
      </c>
      <c r="CV1" s="11" t="inlineStr">
        <is>
          <t>subbass_component_energy_sum_body_ceiling</t>
        </is>
      </c>
      <c r="CW1" s="11" t="inlineStr">
        <is>
          <t>harmonic_body_energy_sum_body_ceiling</t>
        </is>
      </c>
      <c r="CX1" s="11" t="inlineStr">
        <is>
          <t>inharmonic_body_energy_sum_body_ceiling</t>
        </is>
      </c>
      <c r="CY1" s="11" t="inlineStr">
        <is>
          <t>subbass_rumble_energy_sum</t>
        </is>
      </c>
      <c r="CZ1" s="11" t="inlineStr">
        <is>
          <t>density_full_spectrum_weighted_sum_20khz</t>
        </is>
      </c>
      <c r="DA1" s="11" t="inlineStr">
        <is>
          <t>harmonic_full_spectrum_energy_sum_20khz</t>
        </is>
      </c>
      <c r="DB1" s="11" t="inlineStr">
        <is>
          <t>inharmonic_full_spectrum_energy_sum_20khz</t>
        </is>
      </c>
      <c r="DC1" s="11" t="inlineStr">
        <is>
          <t>high_frequency_spectral_activity_sum</t>
        </is>
      </c>
      <c r="DD1" s="11" t="inlineStr">
        <is>
          <t>spectral_extension_index_20khz</t>
        </is>
      </c>
      <c r="DE1" s="11" t="inlineStr">
        <is>
          <t>brightness_or_upper_spectral_activity_index_20khz</t>
        </is>
      </c>
      <c r="DF1" s="11" t="inlineStr">
        <is>
          <t>full_spectrum_harmonic_candidate_count_20khz</t>
        </is>
      </c>
      <c r="DG1" s="11" t="inlineStr">
        <is>
          <t>density_metric_raw_source_sheet</t>
        </is>
      </c>
      <c r="DH1" s="11" t="inlineStr">
        <is>
          <t>energy_weighted_component_density_diagnostic</t>
        </is>
      </c>
      <c r="DI1" s="11" t="inlineStr">
        <is>
          <t>density_metric_normalized</t>
        </is>
      </c>
      <c r="DJ1" s="11" t="inlineStr">
        <is>
          <t>density_log_weighted</t>
        </is>
      </c>
      <c r="DK1" s="11" t="inlineStr">
        <is>
          <t>Total sum</t>
        </is>
      </c>
      <c r="DL1" s="11" t="inlineStr">
        <is>
          <t>note_effective_component_density</t>
        </is>
      </c>
      <c r="DM1" s="11" t="inlineStr">
        <is>
          <t>note_effective_component_density_ci_low</t>
        </is>
      </c>
      <c r="DN1" s="11" t="inlineStr">
        <is>
          <t>note_effective_component_density_ci_high</t>
        </is>
      </c>
      <c r="DO1" s="11" t="inlineStr">
        <is>
          <t>note_effective_component_density_rel_uncertainty</t>
        </is>
      </c>
      <c r="DP1" s="11" t="inlineStr">
        <is>
          <t>ci_basis_frame_count</t>
        </is>
      </c>
      <c r="DQ1" s="11" t="inlineStr">
        <is>
          <t>ci_basis_partial_count</t>
        </is>
      </c>
      <c r="DR1" s="11" t="inlineStr">
        <is>
          <t>ci_basis_frames_insufficient</t>
        </is>
      </c>
      <c r="DS1" s="11" t="inlineStr">
        <is>
          <t>effective_partial_density</t>
        </is>
      </c>
      <c r="DT1" s="11" t="inlineStr">
        <is>
          <t>harmonic_body_density</t>
        </is>
      </c>
      <c r="DU1" s="11" t="inlineStr">
        <is>
          <t>expected_harmonic_slots_up_to_body_ceiling</t>
        </is>
      </c>
      <c r="DV1" s="11" t="inlineStr">
        <is>
          <t>residual_body_contribution</t>
        </is>
      </c>
      <c r="DW1" s="11" t="inlineStr">
        <is>
          <t>note_density_final_ci_low</t>
        </is>
      </c>
      <c r="DX1" s="11" t="inlineStr">
        <is>
          <t>note_density_final_ci_high</t>
        </is>
      </c>
      <c r="DY1" s="11" t="inlineStr">
        <is>
          <t>note_density_final_rel_uncertainty</t>
        </is>
      </c>
      <c r="DZ1" s="11" t="inlineStr">
        <is>
          <t>density_fragile</t>
        </is>
      </c>
      <c r="EA1" s="11" t="inlineStr">
        <is>
          <t>density_perturbation_spread_pct</t>
        </is>
      </c>
      <c r="EB1" s="11" t="inlineStr">
        <is>
          <t>density_effective_ceiling_hz</t>
        </is>
      </c>
      <c r="EC1" s="11" t="inlineStr">
        <is>
          <t>harmonic_body_stop_hz</t>
        </is>
      </c>
      <c r="ED1" s="11" t="inlineStr">
        <is>
          <t>harmonic_body_stop_order</t>
        </is>
      </c>
      <c r="EE1" s="11" t="inlineStr">
        <is>
          <t>validated_harmonics_above_body_stop_count</t>
        </is>
      </c>
      <c r="EF1" s="11" t="inlineStr">
        <is>
          <t>bin_to_f0_ratio</t>
        </is>
      </c>
      <c r="EG1" s="11" t="inlineStr">
        <is>
          <t>low_f0_resolution_warning</t>
        </is>
      </c>
      <c r="EH1" s="11" t="inlineStr">
        <is>
          <t>valid_for_primary_statistics</t>
        </is>
      </c>
      <c r="EI1" s="11" t="inlineStr">
        <is>
          <t>is_primary_comparable_profile</t>
        </is>
      </c>
      <c r="EJ1" s="11" t="inlineStr">
        <is>
          <t>analysis_parameter_profile_id</t>
        </is>
      </c>
      <c r="EK1" s="11" t="inlineStr">
        <is>
          <t>primary_comparable_profile_definition</t>
        </is>
      </c>
      <c r="EL1" s="11" t="inlineStr">
        <is>
          <t>density_confidence</t>
        </is>
      </c>
      <c r="EM1" s="11" t="inlineStr">
        <is>
          <t>f0_confidence</t>
        </is>
      </c>
      <c r="EN1" s="11" t="inlineStr">
        <is>
          <t>harmonic_assignment_confidence</t>
        </is>
      </c>
      <c r="EO1" s="11" t="inlineStr">
        <is>
          <t>spectral_stability_confidence</t>
        </is>
      </c>
      <c r="EP1" s="11" t="inlineStr">
        <is>
          <t>qc_status</t>
        </is>
      </c>
      <c r="EQ1" s="11" t="inlineStr">
        <is>
          <t>outlier_ratio_max_to_mean</t>
        </is>
      </c>
      <c r="ER1" s="11" t="inlineStr">
        <is>
          <t>outlier_policy_applied</t>
        </is>
      </c>
      <c r="ES1" s="11" t="inlineStr">
        <is>
          <t>density_winsorized</t>
        </is>
      </c>
      <c r="ET1" s="11" t="inlineStr">
        <is>
          <t>density_median_based</t>
        </is>
      </c>
      <c r="EU1" s="11" t="inlineStr">
        <is>
          <t>density_trimmed_mean</t>
        </is>
      </c>
      <c r="EV1" s="11" t="inlineStr">
        <is>
          <t>sethares_status</t>
        </is>
      </c>
      <c r="EW1" s="11" t="inlineStr">
        <is>
          <t>sethares_value_status</t>
        </is>
      </c>
      <c r="EX1" s="11" t="inlineStr">
        <is>
          <t>sethares_curve_status</t>
        </is>
      </c>
      <c r="EY1" s="11" t="inlineStr">
        <is>
          <t>sethares_plot_status</t>
        </is>
      </c>
      <c r="EZ1" s="11" t="inlineStr">
        <is>
          <t>body_density_frequency_ceiling_hz</t>
        </is>
      </c>
      <c r="FA1" s="11" t="inlineStr">
        <is>
          <t>full_spectrum_frequency_ceiling_hz</t>
        </is>
      </c>
      <c r="FB1" s="11" t="inlineStr">
        <is>
          <t>residual_energy_ratio</t>
        </is>
      </c>
      <c r="FC1" s="11" t="inlineStr">
        <is>
          <t>spectral_entropy</t>
        </is>
      </c>
      <c r="FD1" s="11" t="inlineStr">
        <is>
          <t>harmonic_density_sum</t>
        </is>
      </c>
      <c r="FE1" s="11" t="inlineStr">
        <is>
          <t>inharmonic_density_sum</t>
        </is>
      </c>
      <c r="FF1" s="11" t="inlineStr">
        <is>
          <t>subbass_density_sum</t>
        </is>
      </c>
      <c r="FG1" s="11" t="inlineStr">
        <is>
          <t>weighted_harmonic_density_contribution</t>
        </is>
      </c>
      <c r="FH1" s="11" t="inlineStr">
        <is>
          <t>weighted_inharmonic_density_contribution</t>
        </is>
      </c>
      <c r="FI1" s="11" t="inlineStr">
        <is>
          <t>weighted_subbass_density_contribution</t>
        </is>
      </c>
      <c r="FJ1" s="11" t="inlineStr">
        <is>
          <t>harmonic_energy_sum</t>
        </is>
      </c>
      <c r="FK1" s="11" t="inlineStr">
        <is>
          <t>inharmonic_energy_sum</t>
        </is>
      </c>
      <c r="FL1" s="11" t="inlineStr">
        <is>
          <t>subbass_energy_sum</t>
        </is>
      </c>
      <c r="FM1" s="11" t="inlineStr">
        <is>
          <t>total_component_energy</t>
        </is>
      </c>
      <c r="FN1" s="11" t="inlineStr">
        <is>
          <t>harmonic_energy_ratio</t>
        </is>
      </c>
      <c r="FO1" s="11" t="inlineStr">
        <is>
          <t>inharmonic_energy_ratio</t>
        </is>
      </c>
      <c r="FP1" s="11" t="inlineStr">
        <is>
          <t>subbass_energy_ratio</t>
        </is>
      </c>
      <c r="FQ1" s="11" t="inlineStr">
        <is>
          <t>harmonic_alignment_status</t>
        </is>
      </c>
      <c r="FR1" s="11" t="inlineStr">
        <is>
          <t>harmonic_alignment_coverage_ratio</t>
        </is>
      </c>
      <c r="FS1" s="11" t="inlineStr">
        <is>
          <t>mean_abs_harmonic_deviation_cents</t>
        </is>
      </c>
      <c r="FT1" s="11" t="inlineStr">
        <is>
          <t>max_abs_harmonic_deviation_cents</t>
        </is>
      </c>
      <c r="FU1" s="11" t="inlineStr">
        <is>
          <t>debug_counts_invariant_status</t>
        </is>
      </c>
      <c r="FV1" s="11" t="inlineStr">
        <is>
          <t>harmonic_amplitude_sum</t>
        </is>
      </c>
      <c r="FW1" s="11" t="inlineStr">
        <is>
          <t>inharmonic_amplitude_sum</t>
        </is>
      </c>
      <c r="FX1" s="11" t="inlineStr">
        <is>
          <t>subbass_amplitude_sum</t>
        </is>
      </c>
      <c r="FY1" s="11" t="inlineStr">
        <is>
          <t>density_metric_raw_norm_for_chart</t>
        </is>
      </c>
      <c r="FZ1" s="11" t="inlineStr">
        <is>
          <t>density_weighted_sum_norm_for_chart</t>
        </is>
      </c>
      <c r="GA1" s="11" t="inlineStr">
        <is>
          <t>Total sum_norm_for_chart</t>
        </is>
      </c>
      <c r="GB1" s="11" t="inlineStr">
        <is>
          <t>note_effective_component_density_norm_for_chart</t>
        </is>
      </c>
      <c r="GC1" s="11" t="inlineStr">
        <is>
          <t>effective_partial_density_norm_for_chart</t>
        </is>
      </c>
      <c r="GD1" s="11" t="inlineStr">
        <is>
          <t>body_weighted_effective_density_norm_for_chart</t>
        </is>
      </c>
      <c r="GE1" s="11" t="inlineStr">
        <is>
          <t>low_mid_energy_ratio_norm_for_chart</t>
        </is>
      </c>
      <c r="GF1" s="11" t="inlineStr">
        <is>
          <t>harmonic_body_density_normalized_norm_for_chart</t>
        </is>
      </c>
      <c r="GG1" s="11" t="inlineStr">
        <is>
          <t>residual_body_contribution_capped_norm_for_chart</t>
        </is>
      </c>
      <c r="GH1" s="11" t="inlineStr">
        <is>
          <t>spectral_body_thickness_index_norm_for_chart</t>
        </is>
      </c>
      <c r="GI1" s="11" t="inlineStr">
        <is>
          <t>harmonic_occupancy_ratio_norm_for_chart</t>
        </is>
      </c>
      <c r="GJ1" s="11" t="inlineStr">
        <is>
          <t>harmonic_slot_coverage_ratio_norm_for_chart</t>
        </is>
      </c>
      <c r="GK1" s="11" t="inlineStr">
        <is>
          <t>residual_log_frequency_occupancy_norm_for_chart</t>
        </is>
      </c>
      <c r="GL1" s="11" t="inlineStr">
        <is>
          <t>core_residual_energy_ratio_norm_for_chart</t>
        </is>
      </c>
      <c r="GM1" s="11" t="inlineStr">
        <is>
          <t>residual_energy_ratio_norm_for_chart</t>
        </is>
      </c>
      <c r="GN1" s="11" t="inlineStr">
        <is>
          <t>spectral_entropy_norm_for_chart</t>
        </is>
      </c>
      <c r="GO1" s="11" t="inlineStr">
        <is>
          <t>final_note_density_count_based_norm_for_chart</t>
        </is>
      </c>
      <c r="GP1" s="11" t="inlineStr">
        <is>
          <t>richness_weighted_body_density</t>
        </is>
      </c>
      <c r="GQ1" s="11" t="inlineStr">
        <is>
          <t>density_weighted_sum_legacy_compiled_semantics</t>
        </is>
      </c>
      <c r="GR1" s="11" t="inlineStr">
        <is>
          <t>ewsd_mode</t>
        </is>
      </c>
      <c r="GS1" s="11" t="inlineStr">
        <is>
          <t>ewsd_his_ratio_source</t>
        </is>
      </c>
      <c r="GT1" s="11" t="inlineStr">
        <is>
          <t>ewsd_H_ratio</t>
        </is>
      </c>
      <c r="GU1" s="11" t="inlineStr">
        <is>
          <t>ewsd_I_ratio</t>
        </is>
      </c>
      <c r="GV1" s="11" t="inlineStr">
        <is>
          <t>ewsd_S_noise_ratio</t>
        </is>
      </c>
      <c r="GW1" s="11" t="inlineStr">
        <is>
          <t>ewsd_weight_function_canonical</t>
        </is>
      </c>
      <c r="GX1" s="11" t="inlineStr">
        <is>
          <t>ewsd_acoustic_balance_alpha</t>
        </is>
      </c>
      <c r="GY1" s="11" t="inlineStr">
        <is>
          <t>ewsd_stage3_version</t>
        </is>
      </c>
      <c r="GZ1" s="11" t="inlineStr">
        <is>
          <t>EWSD_score_total_ci_low</t>
        </is>
      </c>
      <c r="HA1" s="11" t="inlineStr">
        <is>
          <t>EWSD_score_total_ci_high</t>
        </is>
      </c>
      <c r="HB1" s="11" t="inlineStr">
        <is>
          <t>EWSD_score_total_rel_uncertainty</t>
        </is>
      </c>
      <c r="HC1" s="11" t="inlineStr">
        <is>
          <t>EWSD_score_acoustic_balanced_ci_low</t>
        </is>
      </c>
      <c r="HD1" s="11" t="inlineStr">
        <is>
          <t>EWSD_score_acoustic_balanced_ci_high</t>
        </is>
      </c>
      <c r="HE1" s="11" t="inlineStr">
        <is>
          <t>EWSD_score_acoustic_balanced_rel_uncertainty</t>
        </is>
      </c>
      <c r="HF1" s="11" t="inlineStr">
        <is>
          <t>ewsd_uncertainty_sources</t>
        </is>
      </c>
      <c r="HG1" s="11" t="inlineStr">
        <is>
          <t>ewsd_merge_status</t>
        </is>
      </c>
      <c r="HH1" s="11" t="inlineStr">
        <is>
          <t>arithmetic_validation_status</t>
        </is>
      </c>
      <c r="HI1" s="11" t="inlineStr">
        <is>
          <t>acoustic_validation_status</t>
        </is>
      </c>
    </row>
    <row r="2">
      <c r="A2" t="inlineStr">
        <is>
          <t>incomplete_inference</t>
        </is>
      </c>
      <c r="B2" t="inlineStr">
        <is>
          <t>missing_instrument_technique</t>
        </is>
      </c>
      <c r="C2" t="inlineStr">
        <is>
          <t>prior_constrained_harmonic_fit</t>
        </is>
      </c>
      <c r="D2" t="inlineStr">
        <is>
          <t>IOWA_flt_ff.B3_SustainStable/B3/component_amplitude_mass_pie.png</t>
        </is>
      </c>
      <c r="E2" t="inlineStr">
        <is>
          <t>IOWA_flt_ff.B3_SustainStable/B3/component_energy_ratio_pie.png</t>
        </is>
      </c>
      <c r="F2" s="15" t="n">
        <v>246.7215633054352</v>
      </c>
      <c r="G2" s="15" t="inlineStr">
        <is>
          <t>prior_constrained_harmonic_fit</t>
        </is>
      </c>
      <c r="H2" s="15" t="inlineStr">
        <is>
          <t>fit_accepted_acoustically_verified</t>
        </is>
      </c>
      <c r="I2" s="16" t="n">
        <v>417.7905106024004</v>
      </c>
      <c r="J2" t="inlineStr">
        <is>
          <t>richness_weighted_body_density_body_ceiling</t>
        </is>
      </c>
      <c r="K2" t="inlineStr">
        <is>
          <t>research_body_ceiling_richness_metric</t>
        </is>
      </c>
      <c r="L2" s="15" t="n">
        <v>33246.43332745859</v>
      </c>
      <c r="M2" s="15" t="n">
        <v>33246.43332745859</v>
      </c>
      <c r="N2" s="15" t="n">
        <v>236.1946873552395</v>
      </c>
      <c r="O2" s="15" t="n">
        <v>132.4727295675742</v>
      </c>
      <c r="P2" s="15" t="n">
        <v>-2.68238885474736</v>
      </c>
      <c r="Q2" s="15" t="n">
        <v>15</v>
      </c>
      <c r="R2" s="15" t="n">
        <v>59</v>
      </c>
      <c r="S2" s="15" t="n">
        <v>8311.987613743639</v>
      </c>
      <c r="T2" s="15" t="n">
        <v>82</v>
      </c>
      <c r="U2" s="15" t="n">
        <v>1.095135843803019</v>
      </c>
      <c r="V2" s="15" t="n">
        <v>45.14847090632604</v>
      </c>
      <c r="W2" s="15" t="n">
        <v>0.9064292303623215</v>
      </c>
      <c r="X2" s="15" t="n">
        <v>0.3394537630303986</v>
      </c>
      <c r="Y2" s="15" t="n">
        <v>25</v>
      </c>
      <c r="Z2" s="15" t="n">
        <v>81</v>
      </c>
      <c r="AA2" s="15" t="n">
        <v>0.308641975308642</v>
      </c>
      <c r="AB2" s="15" t="n">
        <v>81</v>
      </c>
      <c r="AC2" s="15" t="n">
        <v>25</v>
      </c>
      <c r="AD2" s="15" t="n">
        <v>0.308641975308642</v>
      </c>
      <c r="AE2" s="15" t="n">
        <v>638.444781657207</v>
      </c>
      <c r="AF2" s="15" t="n">
        <v>25</v>
      </c>
      <c r="AG2" s="15" t="n">
        <v>81</v>
      </c>
      <c r="AH2" s="15" t="n">
        <v>0.308641975308642</v>
      </c>
      <c r="AI2" s="15" t="n">
        <v>638.444781657207</v>
      </c>
      <c r="AJ2" s="15" t="n">
        <v>14</v>
      </c>
      <c r="AK2" s="15" t="n">
        <v>11</v>
      </c>
      <c r="AL2" s="15" t="n">
        <v>0.8630539730031366</v>
      </c>
      <c r="AM2" s="15" t="n">
        <v>71</v>
      </c>
      <c r="AN2" s="15" t="n">
        <v>0</v>
      </c>
      <c r="AO2" s="15" t="n">
        <v>71</v>
      </c>
      <c r="AP2" s="15" t="n">
        <v>0</v>
      </c>
      <c r="AQ2" s="15" t="n">
        <v>44.96753861082763</v>
      </c>
      <c r="AR2" s="15" t="n">
        <v>24.95246876768071</v>
      </c>
      <c r="AS2" s="15" t="n">
        <v>1</v>
      </c>
      <c r="AT2" s="17" t="n">
        <v>2.658568931092335</v>
      </c>
      <c r="AU2" s="18" t="n">
        <v>19.88568643741788</v>
      </c>
      <c r="AV2" s="15" t="n">
        <v>22.06102943174711</v>
      </c>
      <c r="AW2" s="15" t="b">
        <v>1</v>
      </c>
      <c r="AX2" s="15" t="n">
        <v>16.13317438737292</v>
      </c>
      <c r="AY2" s="15" t="n">
        <v>36.45052793810898</v>
      </c>
      <c r="AZ2" s="15" t="n">
        <v>0</v>
      </c>
      <c r="BA2" s="15" t="n">
        <v>1</v>
      </c>
      <c r="BB2" s="15" t="n">
        <v>0.5</v>
      </c>
      <c r="BC2" s="15" t="n">
        <v>0.25</v>
      </c>
      <c r="BD2" s="15" t="inlineStr">
        <is>
          <t>his_note_adaptive</t>
        </is>
      </c>
      <c r="BE2" s="15" t="n">
        <v>-90</v>
      </c>
      <c r="BF2" s="15" t="n">
        <v>20000</v>
      </c>
      <c r="BG2" s="15" t="n">
        <v>25</v>
      </c>
      <c r="BH2" s="15" t="n">
        <v>0.308641975308642</v>
      </c>
      <c r="BI2" s="15" t="n">
        <v>81</v>
      </c>
      <c r="BJ2" s="15" t="n">
        <v>25</v>
      </c>
      <c r="BK2" s="15" t="n">
        <v>81</v>
      </c>
      <c r="BL2" s="15" t="n">
        <v>72</v>
      </c>
      <c r="BM2" s="15" t="n">
        <v>0.8888888888888888</v>
      </c>
      <c r="BN2" s="15" t="n">
        <v>0.2074860114372536</v>
      </c>
      <c r="BO2" s="15" t="n">
        <v>0.5916666666666667</v>
      </c>
      <c r="BP2" s="19" t="n">
        <v>0.7949571145698945</v>
      </c>
      <c r="BQ2" s="19" t="n">
        <v>0.2050428854301057</v>
      </c>
      <c r="BR2" s="19" t="n">
        <v>0</v>
      </c>
      <c r="BS2" s="15" t="n">
        <v>0.1526082832930975</v>
      </c>
      <c r="BT2" s="19" t="n">
        <v>1</v>
      </c>
      <c r="BU2" s="19" t="n">
        <v>0</v>
      </c>
      <c r="BV2" s="19" t="n">
        <v>0</v>
      </c>
      <c r="BW2" t="inlineStr">
        <is>
          <t>B3</t>
        </is>
      </c>
      <c r="BX2" t="n">
        <v>59</v>
      </c>
      <c r="BY2" t="inlineStr">
        <is>
          <t>B</t>
        </is>
      </c>
      <c r="BZ2" t="n">
        <v>3</v>
      </c>
      <c r="CA2" t="inlineStr">
        <is>
          <t>Middle</t>
        </is>
      </c>
      <c r="CB2" t="inlineStr">
        <is>
          <t>ff</t>
        </is>
      </c>
      <c r="CC2" s="15" t="n">
        <v>246.941650628062</v>
      </c>
      <c r="CD2" s="15" t="n">
        <v>246.7215633054352</v>
      </c>
      <c r="CE2" t="inlineStr">
        <is>
          <t>prior_constrained_harmonic_fit</t>
        </is>
      </c>
      <c r="CF2" t="n">
        <v>246.7215633054352</v>
      </c>
      <c r="CG2" s="15" t="n">
        <v>1</v>
      </c>
      <c r="CH2" t="inlineStr">
        <is>
          <t>free_fit_acoustically_verified</t>
        </is>
      </c>
      <c r="CI2" s="15" t="inlineStr">
        <is>
          <t>free_f0_fit</t>
        </is>
      </c>
      <c r="CJ2" s="15" t="n">
        <v>246.941650628062</v>
      </c>
      <c r="CK2" s="15" t="n">
        <v>246.7215633054352</v>
      </c>
      <c r="CL2" s="15" t="n">
        <v>-1.543654382944697</v>
      </c>
      <c r="CM2" s="15" t="n">
        <v>20000</v>
      </c>
      <c r="CN2" s="15" t="n">
        <v>-1.543654382944697</v>
      </c>
      <c r="CO2" s="15" t="n">
        <v>2.42988674501041</v>
      </c>
      <c r="CP2" s="15" t="n">
        <v>33246.43332745859</v>
      </c>
      <c r="CQ2" t="n">
        <v>4.071538264027229</v>
      </c>
      <c r="CR2" t="n">
        <v>0.05026590449416332</v>
      </c>
      <c r="CS2" t="n">
        <v>102.6124485415389</v>
      </c>
      <c r="CT2" t="n">
        <v>102.6124485415389</v>
      </c>
      <c r="CU2" t="n">
        <v>417.7905106024004</v>
      </c>
      <c r="CV2" t="n">
        <v>132.4727295675742</v>
      </c>
      <c r="CW2" s="15" t="n">
        <v>33246.43332745859</v>
      </c>
      <c r="CX2" s="15" t="n">
        <v>236.1946873552395</v>
      </c>
      <c r="CY2" s="15" t="n">
        <v>132.4727295675742</v>
      </c>
      <c r="CZ2" s="15" t="n">
        <v>2.658568931092335</v>
      </c>
      <c r="DA2" s="15" t="n">
        <v>2.658568931092335</v>
      </c>
      <c r="DB2" s="15" t="n">
        <v>1.774292860095749</v>
      </c>
      <c r="DC2" s="15" t="n">
        <v>0</v>
      </c>
      <c r="DD2" s="15" t="n">
        <v>7.996553810470234e-05</v>
      </c>
      <c r="DE2" s="15" t="n">
        <v>0</v>
      </c>
      <c r="DF2" s="15" t="n">
        <v>15</v>
      </c>
      <c r="DG2" s="15" t="inlineStr">
        <is>
          <t>Density_Metrics</t>
        </is>
      </c>
      <c r="DH2" s="15" t="n">
        <v>2.42988674501041</v>
      </c>
      <c r="DI2" t="n">
        <v>0.9676834924644466</v>
      </c>
      <c r="DJ2" s="15" t="n">
        <v>0.5633112419882489</v>
      </c>
      <c r="DK2" s="15" t="n">
        <v>5.953296998109801</v>
      </c>
      <c r="DL2" s="15" t="n">
        <v>4.16222409960857</v>
      </c>
      <c r="DM2" s="15" t="n">
        <v>1.56549371722279</v>
      </c>
      <c r="DN2" s="15" t="n">
        <v>7.936153662722316</v>
      </c>
      <c r="DO2" s="15" t="n">
        <v>0.3980495139462407</v>
      </c>
      <c r="DP2" s="15" t="n">
        <v>6.9375</v>
      </c>
      <c r="DQ2" s="15" t="n">
        <v>39</v>
      </c>
      <c r="DR2" s="15" t="b">
        <v>1</v>
      </c>
      <c r="DS2" s="15" t="n">
        <v>4.071538264027229</v>
      </c>
      <c r="DT2" s="15" t="n">
        <v>27.49575480546229</v>
      </c>
      <c r="DU2" t="n">
        <v>81</v>
      </c>
      <c r="DV2" s="15" t="n">
        <v>0.1526082832930975</v>
      </c>
      <c r="DW2" s="15" t="n">
        <v>2.009138544645199</v>
      </c>
      <c r="DX2" s="15" t="n">
        <v>2.56312660120071</v>
      </c>
      <c r="DY2" s="15" t="n">
        <v>0.06150608283306276</v>
      </c>
      <c r="DZ2" s="15" t="b">
        <v>1</v>
      </c>
      <c r="EA2" s="15" t="n">
        <v>0.1085181650390925</v>
      </c>
      <c r="EB2" s="15" t="n">
        <v>20000</v>
      </c>
      <c r="EC2" s="15" t="n">
        <v>4687.709702803269</v>
      </c>
      <c r="ED2" s="15" t="n">
        <v>19</v>
      </c>
      <c r="EE2" s="15" t="n">
        <v>0</v>
      </c>
      <c r="EF2" s="15" t="n">
        <v>0.0435997796852683</v>
      </c>
      <c r="EG2" s="15" t="b">
        <v>0</v>
      </c>
      <c r="EH2" s="15" t="b">
        <v>1</v>
      </c>
      <c r="EI2" s="15" t="b">
        <v>0</v>
      </c>
      <c r="EJ2" s="15" t="inlineStr">
        <is>
          <t>wf=log|dst=-90.0|ceil=20000.0|fft=adaptive_tier</t>
        </is>
      </c>
      <c r="EK2" s="15" t="inlineStr">
        <is>
          <t>wf=log|dst=runtime_configured|ceil=runtime_configured|fft=fixed</t>
        </is>
      </c>
      <c r="EL2" s="15" t="n">
        <v>0.5875622813960553</v>
      </c>
      <c r="EM2" s="15" t="n">
        <v>0.9859086902630511</v>
      </c>
      <c r="EN2" s="15" t="n">
        <v>0.1851851851851852</v>
      </c>
      <c r="EO2" s="15" t="n">
        <v>0.395442779814337</v>
      </c>
      <c r="EP2" s="15" t="inlineStr">
        <is>
          <t>warn:power_outlier_detected</t>
        </is>
      </c>
      <c r="EQ2" s="15" t="n">
        <v>327.9176449932345</v>
      </c>
      <c r="ER2" s="15" t="inlineStr">
        <is>
          <t>winsorize_p95_for_robust_diagnostics</t>
        </is>
      </c>
      <c r="ES2" s="15" t="n">
        <v>0.1675263485373865</v>
      </c>
      <c r="ET2" s="15" t="n">
        <v>0.0431657983905538</v>
      </c>
      <c r="EU2" s="15" t="n">
        <v>0.062802230760785</v>
      </c>
      <c r="EV2" t="inlineStr">
        <is>
          <t>computed</t>
        </is>
      </c>
      <c r="EW2" s="15" t="inlineStr">
        <is>
          <t>computed</t>
        </is>
      </c>
      <c r="EX2" s="15" t="inlineStr">
        <is>
          <t>computed</t>
        </is>
      </c>
      <c r="EY2" s="15" t="inlineStr">
        <is>
          <t>available_from_curve</t>
        </is>
      </c>
      <c r="EZ2" s="15" t="n">
        <v>20000</v>
      </c>
      <c r="FA2" s="15" t="n">
        <v>20000</v>
      </c>
      <c r="FB2" s="15" t="n">
        <v>0.2050428854301057</v>
      </c>
      <c r="FC2" s="15" t="n">
        <v>0.5795885790659325</v>
      </c>
      <c r="FD2" s="15" t="n">
        <v>2.658568931092335</v>
      </c>
      <c r="FE2" s="15" t="n">
        <v>1.774292860095749</v>
      </c>
      <c r="FF2" s="15" t="n">
        <v>1.520435206921716</v>
      </c>
      <c r="FG2" s="15" t="n">
        <v>2.010500893200044</v>
      </c>
      <c r="FH2" s="15" t="n">
        <v>0.3407701903953635</v>
      </c>
      <c r="FI2" s="15" t="n">
        <v>0.07861566141500267</v>
      </c>
      <c r="FJ2" s="15" t="n">
        <v>8311.608331864647</v>
      </c>
      <c r="FK2" s="15" t="n">
        <v>59.04867183880988</v>
      </c>
      <c r="FL2" s="15" t="n">
        <v>33.11818239189355</v>
      </c>
      <c r="FM2" s="15" t="n">
        <v>0.003825962828100556</v>
      </c>
      <c r="FN2" t="n">
        <v>1</v>
      </c>
      <c r="FO2" t="n">
        <v>0</v>
      </c>
      <c r="FP2" t="n">
        <v>0</v>
      </c>
      <c r="FQ2" t="inlineStr">
        <is>
          <t>excellent</t>
        </is>
      </c>
      <c r="FR2" s="19" t="n">
        <v>0.8888888888888888</v>
      </c>
      <c r="FS2" s="15" t="n">
        <v>3.280911247567159</v>
      </c>
      <c r="FT2" s="15" t="n">
        <v>12.54519120951682</v>
      </c>
      <c r="FU2" t="inlineStr">
        <is>
          <t>passed</t>
        </is>
      </c>
      <c r="FV2" t="n">
        <v>227.2922453318862</v>
      </c>
      <c r="FW2" t="n">
        <v>29.23465229711105</v>
      </c>
      <c r="FX2" t="n">
        <v>16.07315573091341</v>
      </c>
      <c r="FY2" t="n">
        <v>0.8058546265364284</v>
      </c>
      <c r="FZ2" t="n">
        <v>0.559537269254413</v>
      </c>
      <c r="GA2" t="n">
        <v>0.9324776711356658</v>
      </c>
      <c r="GB2" t="n">
        <v>0.7719422165953684</v>
      </c>
      <c r="GC2" t="n">
        <v>0.7696336545426131</v>
      </c>
      <c r="GD2" t="n">
        <v>0.8764477548744717</v>
      </c>
      <c r="GE2" t="n">
        <v>0.9716560261436111</v>
      </c>
      <c r="GF2" t="n">
        <v>0.3459793687988094</v>
      </c>
      <c r="GG2" t="n">
        <v>0.9717673221018029</v>
      </c>
      <c r="GH2" t="n">
        <v>0.8837265117010397</v>
      </c>
      <c r="GI2" t="n">
        <v>0</v>
      </c>
      <c r="GJ2" t="n">
        <v>0.8888888888888888</v>
      </c>
      <c r="GK2" t="n">
        <v>1</v>
      </c>
      <c r="GL2" t="n">
        <v>0.6073512976000875</v>
      </c>
      <c r="GM2" t="n">
        <v>0.6073512976000875</v>
      </c>
      <c r="GN2" t="n">
        <v>0.9940834244273026</v>
      </c>
      <c r="GO2" t="n">
        <v>1</v>
      </c>
      <c r="GP2" t="n">
        <v>417.7905106024004</v>
      </c>
      <c r="GQ2" t="inlineStr">
        <is>
          <t>compiled workbook density_weighted_sum = density_component_ratio_weighted_sum (per-note component ratios); research density_weighted_sum maps body-ceiling richness</t>
        </is>
      </c>
      <c r="GR2" s="15" t="inlineStr">
        <is>
          <t>individual_exact</t>
        </is>
      </c>
      <c r="GS2" s="15" t="inlineStr">
        <is>
          <t>density_weight</t>
        </is>
      </c>
      <c r="GT2" s="15" t="n">
        <v>0.5659230736776601</v>
      </c>
      <c r="GU2" s="15" t="n">
        <v>0.4340769263223399</v>
      </c>
      <c r="GV2" s="15" t="n">
        <v>0</v>
      </c>
      <c r="GW2" s="15" t="inlineStr">
        <is>
          <t>log</t>
        </is>
      </c>
      <c r="GX2" s="15" t="n">
        <v>0.5</v>
      </c>
      <c r="GY2" s="15" t="inlineStr">
        <is>
          <t>EWSD-R v18.1</t>
        </is>
      </c>
      <c r="GZ2" s="15" t="n">
        <v>14.97996115384562</v>
      </c>
      <c r="HA2" s="15" t="n">
        <v>33.9067064107364</v>
      </c>
      <c r="HB2" s="15" t="n">
        <v>0.2476631549020768</v>
      </c>
      <c r="HC2" s="15" t="n">
        <v>17.71993534704008</v>
      </c>
      <c r="HD2" s="15" t="n">
        <v>36.98763071485501</v>
      </c>
      <c r="HE2" s="15" t="n">
        <v>0.2197265100319334</v>
      </c>
      <c r="HF2" s="15" t="inlineStr">
        <is>
          <t>partials+ratios</t>
        </is>
      </c>
      <c r="HG2" s="15" t="inlineStr">
        <is>
          <t>merged_individual_exact</t>
        </is>
      </c>
      <c r="HH2" s="15" t="inlineStr">
        <is>
          <t>passed</t>
        </is>
      </c>
      <c r="HI2" s="15" t="inlineStr">
        <is>
          <t>passed</t>
        </is>
      </c>
    </row>
    <row r="3">
      <c r="A3" t="inlineStr">
        <is>
          <t>incomplete_inference</t>
        </is>
      </c>
      <c r="B3" t="inlineStr">
        <is>
          <t>missing_instrument_technique</t>
        </is>
      </c>
      <c r="C3" t="inlineStr">
        <is>
          <t>prior_constrained_harmonic_fit</t>
        </is>
      </c>
      <c r="D3" t="inlineStr">
        <is>
          <t>IOWA_flt_ff.C4_SustainStable/C4/component_amplitude_mass_pie.png</t>
        </is>
      </c>
      <c r="E3" t="inlineStr">
        <is>
          <t>IOWA_flt_ff.C4_SustainStable/C4/component_energy_ratio_pie.png</t>
        </is>
      </c>
      <c r="F3" s="15" t="n">
        <v>262.0161825401063</v>
      </c>
      <c r="G3" s="15" t="inlineStr">
        <is>
          <t>prior_constrained_harmonic_fit</t>
        </is>
      </c>
      <c r="H3" s="15" t="inlineStr">
        <is>
          <t>fit_accepted_acoustically_verified</t>
        </is>
      </c>
      <c r="I3" s="16" t="n">
        <v>509.5565345090764</v>
      </c>
      <c r="J3" t="inlineStr">
        <is>
          <t>richness_weighted_body_density_body_ceiling</t>
        </is>
      </c>
      <c r="K3" t="inlineStr">
        <is>
          <t>research_body_ceiling_richness_metric</t>
        </is>
      </c>
      <c r="L3" s="15" t="n">
        <v>39874.85054905577</v>
      </c>
      <c r="M3" s="15" t="n">
        <v>39874.85054905577</v>
      </c>
      <c r="N3" s="15" t="n">
        <v>276.1148559671067</v>
      </c>
      <c r="O3" s="15" t="n">
        <v>87.44658978063974</v>
      </c>
      <c r="P3" s="15" t="n">
        <v>-1.917911351713885</v>
      </c>
      <c r="Q3" s="15" t="n">
        <v>27</v>
      </c>
      <c r="R3" s="15" t="n">
        <v>69</v>
      </c>
      <c r="S3" s="15" t="n">
        <v>9968.868624855462</v>
      </c>
      <c r="T3" s="15" t="n">
        <v>77</v>
      </c>
      <c r="U3" s="15" t="n">
        <v>1.168108520804401</v>
      </c>
      <c r="V3" s="15" t="n">
        <v>50.30652784874547</v>
      </c>
      <c r="W3" s="15" t="n">
        <v>0.7771341565385738</v>
      </c>
      <c r="X3" s="15" t="n">
        <v>0.431971929197831</v>
      </c>
      <c r="Y3" s="15" t="n">
        <v>29</v>
      </c>
      <c r="Z3" s="15" t="n">
        <v>76</v>
      </c>
      <c r="AA3" s="15" t="n">
        <v>0.3815789473684211</v>
      </c>
      <c r="AB3" s="15" t="n">
        <v>76</v>
      </c>
      <c r="AC3" s="15" t="n">
        <v>29</v>
      </c>
      <c r="AD3" s="15" t="n">
        <v>0.3815789473684211</v>
      </c>
      <c r="AE3" s="15" t="n">
        <v>758.6435082818115</v>
      </c>
      <c r="AF3" s="15" t="n">
        <v>29</v>
      </c>
      <c r="AG3" s="15" t="n">
        <v>76</v>
      </c>
      <c r="AH3" s="15" t="n">
        <v>0.3815789473684211</v>
      </c>
      <c r="AI3" s="15" t="n">
        <v>758.6435082818115</v>
      </c>
      <c r="AJ3" s="15" t="n">
        <v>15</v>
      </c>
      <c r="AK3" s="15" t="n">
        <v>14</v>
      </c>
      <c r="AL3" s="15" t="n">
        <v>1.632572671071666</v>
      </c>
      <c r="AM3" s="15" t="n">
        <v>66</v>
      </c>
      <c r="AN3" s="15" t="n">
        <v>0</v>
      </c>
      <c r="AO3" s="15" t="n">
        <v>66</v>
      </c>
      <c r="AP3" s="15" t="n">
        <v>0</v>
      </c>
      <c r="AQ3" s="15" t="n">
        <v>39.9671461969225</v>
      </c>
      <c r="AR3" s="15" t="n">
        <v>22.41150110964138</v>
      </c>
      <c r="AS3" s="15" t="n">
        <v>0.8659987048501377</v>
      </c>
      <c r="AT3" s="17" t="n">
        <v>2.738612894675979</v>
      </c>
      <c r="AU3" s="18" t="n">
        <v>21.85315394463951</v>
      </c>
      <c r="AV3" s="15" t="n">
        <v>27.29266365044042</v>
      </c>
      <c r="AW3" s="15" t="b">
        <v>1</v>
      </c>
      <c r="AX3" s="15" t="n">
        <v>18.09360887399598</v>
      </c>
      <c r="AY3" s="15" t="n">
        <v>32.66093658625997</v>
      </c>
      <c r="AZ3" s="15" t="n">
        <v>0</v>
      </c>
      <c r="BA3" s="15" t="n">
        <v>1</v>
      </c>
      <c r="BB3" s="15" t="n">
        <v>0.5</v>
      </c>
      <c r="BC3" s="15" t="n">
        <v>0.25</v>
      </c>
      <c r="BD3" s="15" t="inlineStr">
        <is>
          <t>his_note_adaptive</t>
        </is>
      </c>
      <c r="BE3" s="15" t="n">
        <v>-90</v>
      </c>
      <c r="BF3" s="15" t="n">
        <v>20000</v>
      </c>
      <c r="BG3" s="15" t="n">
        <v>29</v>
      </c>
      <c r="BH3" s="15" t="n">
        <v>0.3815789473684211</v>
      </c>
      <c r="BI3" s="15" t="n">
        <v>76</v>
      </c>
      <c r="BJ3" s="15" t="n">
        <v>29</v>
      </c>
      <c r="BK3" s="15" t="n">
        <v>76</v>
      </c>
      <c r="BL3" s="15" t="n">
        <v>66</v>
      </c>
      <c r="BM3" s="15" t="n">
        <v>0.868421052631579</v>
      </c>
      <c r="BN3" s="15" t="n">
        <v>0.2426507174238862</v>
      </c>
      <c r="BO3" s="15" t="n">
        <v>0.55</v>
      </c>
      <c r="BP3" s="19" t="n">
        <v>0.8316245911723987</v>
      </c>
      <c r="BQ3" s="19" t="n">
        <v>0.1683754088276012</v>
      </c>
      <c r="BR3" s="19" t="n">
        <v>0</v>
      </c>
      <c r="BS3" s="15" t="n">
        <v>0.1113561044709211</v>
      </c>
      <c r="BT3" s="19" t="n">
        <v>1</v>
      </c>
      <c r="BU3" s="19" t="n">
        <v>0</v>
      </c>
      <c r="BV3" s="19" t="n">
        <v>0</v>
      </c>
      <c r="BW3" t="inlineStr">
        <is>
          <t>C4</t>
        </is>
      </c>
      <c r="BX3" t="n">
        <v>60</v>
      </c>
      <c r="BY3" t="inlineStr">
        <is>
          <t>C</t>
        </is>
      </c>
      <c r="BZ3" t="n">
        <v>4</v>
      </c>
      <c r="CA3" t="inlineStr">
        <is>
          <t>High</t>
        </is>
      </c>
      <c r="CB3" t="inlineStr">
        <is>
          <t>ff</t>
        </is>
      </c>
      <c r="CC3" s="15" t="n">
        <v>261.6255653005986</v>
      </c>
      <c r="CD3" s="15" t="n">
        <v>262.0161825401063</v>
      </c>
      <c r="CE3" t="inlineStr">
        <is>
          <t>prior_constrained_harmonic_fit</t>
        </is>
      </c>
      <c r="CF3" t="n">
        <v>262.0161825401063</v>
      </c>
      <c r="CG3" s="15" t="n">
        <v>1</v>
      </c>
      <c r="CH3" t="inlineStr">
        <is>
          <t>free_fit_acoustically_verified</t>
        </is>
      </c>
      <c r="CI3" s="15" t="inlineStr">
        <is>
          <t>free_f0_fit</t>
        </is>
      </c>
      <c r="CJ3" s="15" t="n">
        <v>261.6255653005986</v>
      </c>
      <c r="CK3" s="15" t="n">
        <v>262.0161825401063</v>
      </c>
      <c r="CL3" s="15" t="n">
        <v>2.582872711781751</v>
      </c>
      <c r="CM3" s="15" t="n">
        <v>20000</v>
      </c>
      <c r="CN3" s="15" t="n">
        <v>2.582872711781751</v>
      </c>
      <c r="CO3" s="15" t="n">
        <v>2.511034614036971</v>
      </c>
      <c r="CP3" s="15" t="n">
        <v>39874.85054905577</v>
      </c>
      <c r="CQ3" t="n">
        <v>3.884784127283139</v>
      </c>
      <c r="CR3" t="n">
        <v>0.05111558062214656</v>
      </c>
      <c r="CS3" t="n">
        <v>131.1672715429466</v>
      </c>
      <c r="CT3" t="n">
        <v>131.1672715429466</v>
      </c>
      <c r="CU3" t="n">
        <v>509.5565345090764</v>
      </c>
      <c r="CV3" t="n">
        <v>87.44658978063974</v>
      </c>
      <c r="CW3" s="15" t="n">
        <v>39874.85054905577</v>
      </c>
      <c r="CX3" s="15" t="n">
        <v>276.1148559671067</v>
      </c>
      <c r="CY3" s="15" t="n">
        <v>87.44658978063974</v>
      </c>
      <c r="CZ3" s="15" t="n">
        <v>2.738612894675979</v>
      </c>
      <c r="DA3" s="15" t="n">
        <v>2.738612894675979</v>
      </c>
      <c r="DB3" s="15" t="n">
        <v>1.90808513530688</v>
      </c>
      <c r="DC3" s="15" t="n">
        <v>0</v>
      </c>
      <c r="DD3" s="15" t="n">
        <v>6.868020461435508e-05</v>
      </c>
      <c r="DE3" s="15" t="n">
        <v>0</v>
      </c>
      <c r="DF3" s="15" t="n">
        <v>27</v>
      </c>
      <c r="DG3" s="15" t="inlineStr">
        <is>
          <t>Density_Metrics</t>
        </is>
      </c>
      <c r="DH3" s="15" t="n">
        <v>2.511034614036971</v>
      </c>
      <c r="DI3" t="n">
        <v>1</v>
      </c>
      <c r="DJ3" s="15" t="n">
        <v>0.5727104995459016</v>
      </c>
      <c r="DK3" s="15" t="n">
        <v>6.068881147296784</v>
      </c>
      <c r="DL3" s="15" t="n">
        <v>3.955892595778071</v>
      </c>
      <c r="DM3" s="15" t="n">
        <v>2.118414917517967</v>
      </c>
      <c r="DN3" s="15" t="n">
        <v>8.37057428217156</v>
      </c>
      <c r="DO3" s="15" t="n">
        <v>0.4091102748755392</v>
      </c>
      <c r="DP3" s="15" t="n">
        <v>2.6875</v>
      </c>
      <c r="DQ3" s="15" t="n">
        <v>61</v>
      </c>
      <c r="DR3" s="15" t="b">
        <v>1</v>
      </c>
      <c r="DS3" s="15" t="n">
        <v>3.884784127283139</v>
      </c>
      <c r="DT3" s="15" t="n">
        <v>32.82986661903515</v>
      </c>
      <c r="DU3" t="n">
        <v>76</v>
      </c>
      <c r="DV3" s="15" t="n">
        <v>0.1113561044709211</v>
      </c>
      <c r="DW3" s="15" t="n">
        <v>2.076605497949263</v>
      </c>
      <c r="DX3" s="15" t="n">
        <v>2.661057064836842</v>
      </c>
      <c r="DY3" s="15" t="n">
        <v>0.06108657903210934</v>
      </c>
      <c r="DZ3" s="15" t="b">
        <v>1</v>
      </c>
      <c r="EA3" s="15" t="n">
        <v>0.4245937756840427</v>
      </c>
      <c r="EB3" s="15" t="n">
        <v>20000</v>
      </c>
      <c r="EC3" s="15" t="n">
        <v>7860.48547620319</v>
      </c>
      <c r="ED3" s="15" t="n">
        <v>30</v>
      </c>
      <c r="EE3" s="15" t="n">
        <v>0</v>
      </c>
      <c r="EF3" s="15" t="n">
        <v>0.04115271208350588</v>
      </c>
      <c r="EG3" s="15" t="b">
        <v>0</v>
      </c>
      <c r="EH3" s="15" t="b">
        <v>1</v>
      </c>
      <c r="EI3" s="15" t="b">
        <v>0</v>
      </c>
      <c r="EJ3" s="15" t="inlineStr">
        <is>
          <t>wf=log|dst=-90.0|ceil=20000.0|fft=adaptive_tier</t>
        </is>
      </c>
      <c r="EK3" s="15" t="inlineStr">
        <is>
          <t>wf=log|dst=runtime_configured|ceil=runtime_configured|fft=fixed</t>
        </is>
      </c>
      <c r="EL3" s="15" t="n">
        <v>0.6412241623626717</v>
      </c>
      <c r="EM3" s="15" t="n">
        <v>0.9829189629775643</v>
      </c>
      <c r="EN3" s="15" t="n">
        <v>0.3506493506493507</v>
      </c>
      <c r="EO3" s="15" t="n">
        <v>0.3809167814774748</v>
      </c>
      <c r="EP3" s="15" t="inlineStr">
        <is>
          <t>warn:power_outlier_detected</t>
        </is>
      </c>
      <c r="EQ3" s="15" t="n">
        <v>411.9347798950097</v>
      </c>
      <c r="ER3" s="15" t="inlineStr">
        <is>
          <t>winsorize_p95_for_robust_diagnostics</t>
        </is>
      </c>
      <c r="ES3" s="15" t="n">
        <v>0.1214614560764305</v>
      </c>
      <c r="ET3" s="15" t="n">
        <v>0.05033981717659545</v>
      </c>
      <c r="EU3" s="15" t="n">
        <v>0.06159919828863899</v>
      </c>
      <c r="EV3" t="inlineStr">
        <is>
          <t>computed</t>
        </is>
      </c>
      <c r="EW3" s="15" t="inlineStr">
        <is>
          <t>computed</t>
        </is>
      </c>
      <c r="EX3" s="15" t="inlineStr">
        <is>
          <t>computed</t>
        </is>
      </c>
      <c r="EY3" s="15" t="inlineStr">
        <is>
          <t>available_from_curve</t>
        </is>
      </c>
      <c r="EZ3" s="15" t="n">
        <v>20000</v>
      </c>
      <c r="FA3" s="15" t="n">
        <v>20000</v>
      </c>
      <c r="FB3" s="15" t="n">
        <v>0.1683754088276012</v>
      </c>
      <c r="FC3" s="15" t="n">
        <v>0.5224538373083832</v>
      </c>
      <c r="FD3" s="15" t="n">
        <v>2.738612894675979</v>
      </c>
      <c r="FE3" s="15" t="n">
        <v>1.90808513530688</v>
      </c>
      <c r="FF3" s="15" t="n">
        <v>1.422183117313924</v>
      </c>
      <c r="FG3" s="15" t="n">
        <v>2.071032880314655</v>
      </c>
      <c r="FH3" s="15" t="n">
        <v>0.3664662973473271</v>
      </c>
      <c r="FI3" s="15" t="n">
        <v>0.07353543637498859</v>
      </c>
      <c r="FJ3" s="15" t="n">
        <v>9968.712637263943</v>
      </c>
      <c r="FK3" s="15" t="n">
        <v>69.02871399177667</v>
      </c>
      <c r="FL3" s="15" t="n">
        <v>21.86164744515994</v>
      </c>
      <c r="FM3" s="15" t="n">
        <v>0.00458186782214556</v>
      </c>
      <c r="FN3" t="n">
        <v>1</v>
      </c>
      <c r="FO3" t="n">
        <v>0</v>
      </c>
      <c r="FP3" t="n">
        <v>0</v>
      </c>
      <c r="FQ3" t="inlineStr">
        <is>
          <t>excellent</t>
        </is>
      </c>
      <c r="FR3" s="19" t="n">
        <v>0.868421052631579</v>
      </c>
      <c r="FS3" s="15" t="n">
        <v>1.497211670874164</v>
      </c>
      <c r="FT3" s="15" t="n">
        <v>11.00430630600794</v>
      </c>
      <c r="FU3" t="inlineStr">
        <is>
          <t>passed</t>
        </is>
      </c>
      <c r="FV3" t="n">
        <v>273.3942399252722</v>
      </c>
      <c r="FW3" t="n">
        <v>39.96272614185588</v>
      </c>
      <c r="FX3" t="n">
        <v>12.7176157295983</v>
      </c>
      <c r="FY3" t="n">
        <v>1</v>
      </c>
      <c r="FZ3" t="n">
        <v>0.6981188539229598</v>
      </c>
      <c r="GA3" t="n">
        <v>1</v>
      </c>
      <c r="GB3" t="n">
        <v>0.7213426465428082</v>
      </c>
      <c r="GC3" t="n">
        <v>0.7227747939911378</v>
      </c>
      <c r="GD3" t="n">
        <v>1</v>
      </c>
      <c r="GE3" t="n">
        <v>0.826378767179154</v>
      </c>
      <c r="GF3" t="n">
        <v>0.5817029404176258</v>
      </c>
      <c r="GG3" t="n">
        <v>0.6591364620567348</v>
      </c>
      <c r="GH3" t="n">
        <v>0.9184056622046625</v>
      </c>
      <c r="GI3" t="n">
        <v>0.1054981203007519</v>
      </c>
      <c r="GJ3" t="n">
        <v>0.8070175438596494</v>
      </c>
      <c r="GK3" t="n">
        <v>0.9090909090909092</v>
      </c>
      <c r="GL3" t="n">
        <v>0.3442224459870016</v>
      </c>
      <c r="GM3" t="n">
        <v>0.3442224459870016</v>
      </c>
      <c r="GN3" t="n">
        <v>0.8926489099101995</v>
      </c>
      <c r="GO3" t="n">
        <v>0.8541346865265265</v>
      </c>
      <c r="GP3" t="n">
        <v>509.5565345090764</v>
      </c>
      <c r="GQ3" t="inlineStr">
        <is>
          <t>compiled workbook density_weighted_sum = density_component_ratio_weighted_sum (per-note component ratios); research density_weighted_sum maps body-ceiling richness</t>
        </is>
      </c>
      <c r="GR3" s="15" t="inlineStr">
        <is>
          <t>individual_exact</t>
        </is>
      </c>
      <c r="GS3" s="15" t="inlineStr">
        <is>
          <t>density_weight</t>
        </is>
      </c>
      <c r="GT3" s="15" t="n">
        <v>0.7035906433264191</v>
      </c>
      <c r="GU3" s="15" t="n">
        <v>0.296409356673581</v>
      </c>
      <c r="GV3" s="15" t="n">
        <v>0</v>
      </c>
      <c r="GW3" s="15" t="inlineStr">
        <is>
          <t>log</t>
        </is>
      </c>
      <c r="GX3" s="15" t="n">
        <v>0.5</v>
      </c>
      <c r="GY3" s="15" t="inlineStr">
        <is>
          <t>EWSD-R v18.1</t>
        </is>
      </c>
      <c r="GZ3" s="15" t="n">
        <v>11.98222896767003</v>
      </c>
      <c r="HA3" s="15" t="n">
        <v>36.50225439201386</v>
      </c>
      <c r="HB3" s="15" t="n">
        <v>0.280587567187965</v>
      </c>
      <c r="HC3" s="15" t="n">
        <v>17.63746459722897</v>
      </c>
      <c r="HD3" s="15" t="n">
        <v>44.72700090424322</v>
      </c>
      <c r="HE3" s="15" t="n">
        <v>0.2467473477339555</v>
      </c>
      <c r="HF3" s="15" t="inlineStr">
        <is>
          <t>partials+ratios</t>
        </is>
      </c>
      <c r="HG3" s="15" t="inlineStr">
        <is>
          <t>merged_individual_exact</t>
        </is>
      </c>
      <c r="HH3" s="15" t="inlineStr">
        <is>
          <t>passed</t>
        </is>
      </c>
      <c r="HI3" s="15" t="inlineStr">
        <is>
          <t>passed</t>
        </is>
      </c>
    </row>
    <row r="4">
      <c r="A4" t="inlineStr">
        <is>
          <t>incomplete_inference</t>
        </is>
      </c>
      <c r="B4" t="inlineStr">
        <is>
          <t>missing_instrument_technique</t>
        </is>
      </c>
      <c r="C4" t="inlineStr">
        <is>
          <t>prior_constrained_harmonic_fit</t>
        </is>
      </c>
      <c r="D4" t="inlineStr">
        <is>
          <t>IOWA_flt_ff.C#4_SustainStable/C#4/component_amplitude_mass_pie.png</t>
        </is>
      </c>
      <c r="E4" t="inlineStr">
        <is>
          <t>IOWA_flt_ff.C#4_SustainStable/C#4/component_energy_ratio_pie.png</t>
        </is>
      </c>
      <c r="F4" s="15" t="n">
        <v>277.3992541831122</v>
      </c>
      <c r="G4" s="15" t="inlineStr">
        <is>
          <t>prior_constrained_harmonic_fit</t>
        </is>
      </c>
      <c r="H4" s="15" t="inlineStr">
        <is>
          <t>fit_accepted_acoustically_verified</t>
        </is>
      </c>
      <c r="I4" s="16" t="n">
        <v>664.4164061283924</v>
      </c>
      <c r="J4" t="inlineStr">
        <is>
          <t>richness_weighted_body_density_body_ceiling</t>
        </is>
      </c>
      <c r="K4" t="inlineStr">
        <is>
          <t>research_body_ceiling_richness_metric</t>
        </is>
      </c>
      <c r="L4" s="15" t="n">
        <v>39308.47292771981</v>
      </c>
      <c r="M4" s="15" t="n">
        <v>39308.47292771981</v>
      </c>
      <c r="N4" s="15" t="n">
        <v>239.100372601209</v>
      </c>
      <c r="O4" s="15" t="n">
        <v>54.06513436203493</v>
      </c>
      <c r="P4" s="15" t="n">
        <v>-2.620824040347012</v>
      </c>
      <c r="Q4" s="15" t="n">
        <v>20</v>
      </c>
      <c r="R4" s="15" t="n">
        <v>62</v>
      </c>
      <c r="S4" s="15" t="n">
        <v>9827.270927253914</v>
      </c>
      <c r="T4" s="15" t="n">
        <v>73</v>
      </c>
      <c r="U4" s="15" t="n">
        <v>1.339801228688317</v>
      </c>
      <c r="V4" s="15" t="n">
        <v>49.9473054578489</v>
      </c>
      <c r="W4" s="15" t="n">
        <v>0.8751723220679283</v>
      </c>
      <c r="X4" s="15" t="n">
        <v>0.4782259022521831</v>
      </c>
      <c r="Y4" s="15" t="n">
        <v>38</v>
      </c>
      <c r="Z4" s="15" t="n">
        <v>72</v>
      </c>
      <c r="AA4" s="15" t="n">
        <v>0.5277777777777778</v>
      </c>
      <c r="AB4" s="15" t="n">
        <v>72</v>
      </c>
      <c r="AC4" s="15" t="n">
        <v>38</v>
      </c>
      <c r="AD4" s="15" t="n">
        <v>0.5277777777777778</v>
      </c>
      <c r="AE4" s="15" t="n">
        <v>740.0294954141298</v>
      </c>
      <c r="AF4" s="15" t="n">
        <v>38</v>
      </c>
      <c r="AG4" s="15" t="n">
        <v>72</v>
      </c>
      <c r="AH4" s="15" t="n">
        <v>0.5277777777777778</v>
      </c>
      <c r="AI4" s="15" t="n">
        <v>740.0294954141298</v>
      </c>
      <c r="AJ4" s="15" t="n">
        <v>20</v>
      </c>
      <c r="AK4" s="15" t="n">
        <v>18</v>
      </c>
      <c r="AL4" s="15" t="n">
        <v>0.8192815998265988</v>
      </c>
      <c r="AM4" s="15" t="n">
        <v>65</v>
      </c>
      <c r="AN4" s="15" t="n">
        <v>0</v>
      </c>
      <c r="AO4" s="15" t="n">
        <v>65</v>
      </c>
      <c r="AP4" s="15" t="n">
        <v>0</v>
      </c>
      <c r="AQ4" s="15" t="n">
        <v>43.75475773309295</v>
      </c>
      <c r="AR4" s="15" t="n">
        <v>23.55262955105518</v>
      </c>
      <c r="AS4" s="15" t="n">
        <v>0.926177624718714</v>
      </c>
      <c r="AT4" s="17" t="n">
        <v>2.723480131739759</v>
      </c>
      <c r="AU4" s="18" t="n">
        <v>20.63005465712094</v>
      </c>
      <c r="AV4" s="15" t="n">
        <v>25.36466816701331</v>
      </c>
      <c r="AW4" s="15" t="b">
        <v>1</v>
      </c>
      <c r="AX4" s="15" t="n">
        <v>21.38650121981428</v>
      </c>
      <c r="AY4" s="15" t="n">
        <v>31.54947725739469</v>
      </c>
      <c r="AZ4" s="15" t="n">
        <v>0</v>
      </c>
      <c r="BA4" s="15" t="n">
        <v>1</v>
      </c>
      <c r="BB4" s="15" t="n">
        <v>0.5</v>
      </c>
      <c r="BC4" s="15" t="n">
        <v>0.25</v>
      </c>
      <c r="BD4" s="15" t="inlineStr">
        <is>
          <t>his_note_adaptive</t>
        </is>
      </c>
      <c r="BE4" s="15" t="n">
        <v>-90</v>
      </c>
      <c r="BF4" s="15" t="n">
        <v>20000</v>
      </c>
      <c r="BG4" s="15" t="n">
        <v>38</v>
      </c>
      <c r="BH4" s="15" t="n">
        <v>0.5277777777777778</v>
      </c>
      <c r="BI4" s="15" t="n">
        <v>72</v>
      </c>
      <c r="BJ4" s="15" t="n">
        <v>38</v>
      </c>
      <c r="BK4" s="15" t="n">
        <v>72</v>
      </c>
      <c r="BL4" s="15" t="n">
        <v>64</v>
      </c>
      <c r="BM4" s="15" t="n">
        <v>0.8888888888888888</v>
      </c>
      <c r="BN4" s="15" t="n">
        <v>0.3296060340815824</v>
      </c>
      <c r="BO4" s="15" t="n">
        <v>0.5416666666666666</v>
      </c>
      <c r="BP4" s="19" t="n">
        <v>0.8462381175795185</v>
      </c>
      <c r="BQ4" s="19" t="n">
        <v>0.1537618824204815</v>
      </c>
      <c r="BR4" s="19" t="n">
        <v>0</v>
      </c>
      <c r="BS4" s="15" t="n">
        <v>0.0984210999019054</v>
      </c>
      <c r="BT4" s="19" t="n">
        <v>1</v>
      </c>
      <c r="BU4" s="19" t="n">
        <v>0</v>
      </c>
      <c r="BV4" s="19" t="n">
        <v>0</v>
      </c>
      <c r="BW4" t="inlineStr">
        <is>
          <t>C#4</t>
        </is>
      </c>
      <c r="BX4" t="n">
        <v>61</v>
      </c>
      <c r="BY4" t="inlineStr">
        <is>
          <t>C#</t>
        </is>
      </c>
      <c r="BZ4" t="n">
        <v>4</v>
      </c>
      <c r="CA4" t="inlineStr">
        <is>
          <t>High</t>
        </is>
      </c>
      <c r="CB4" t="inlineStr">
        <is>
          <t>ff</t>
        </is>
      </c>
      <c r="CC4" s="15" t="n">
        <v>277.182630976872</v>
      </c>
      <c r="CD4" s="15" t="n">
        <v>277.3992541831122</v>
      </c>
      <c r="CE4" t="inlineStr">
        <is>
          <t>prior_constrained_harmonic_fit</t>
        </is>
      </c>
      <c r="CF4" t="n">
        <v>277.3992541831122</v>
      </c>
      <c r="CG4" s="15" t="n">
        <v>1</v>
      </c>
      <c r="CH4" t="inlineStr">
        <is>
          <t>free_fit_acoustically_verified</t>
        </is>
      </c>
      <c r="CI4" s="15" t="inlineStr">
        <is>
          <t>free_f0_fit</t>
        </is>
      </c>
      <c r="CJ4" s="15" t="n">
        <v>277.182630976872</v>
      </c>
      <c r="CK4" s="15" t="n">
        <v>277.3992541831122</v>
      </c>
      <c r="CL4" s="15" t="n">
        <v>1.352462096470259</v>
      </c>
      <c r="CM4" s="15" t="n">
        <v>20000</v>
      </c>
      <c r="CN4" s="15" t="n">
        <v>1.352462096470259</v>
      </c>
      <c r="CO4" s="15" t="n">
        <v>2.480182785424226</v>
      </c>
      <c r="CP4" s="15" t="n">
        <v>39308.47292771981</v>
      </c>
      <c r="CQ4" t="n">
        <v>4.86795621180283</v>
      </c>
      <c r="CR4" t="n">
        <v>0.06761050294170597</v>
      </c>
      <c r="CS4" t="n">
        <v>136.4877532212494</v>
      </c>
      <c r="CT4" t="n">
        <v>136.4877532212494</v>
      </c>
      <c r="CU4" t="n">
        <v>664.4164061283924</v>
      </c>
      <c r="CV4" t="n">
        <v>54.06513436203493</v>
      </c>
      <c r="CW4" s="15" t="n">
        <v>39308.47292771981</v>
      </c>
      <c r="CX4" s="15" t="n">
        <v>239.100372601209</v>
      </c>
      <c r="CY4" s="15" t="n">
        <v>54.06513436203493</v>
      </c>
      <c r="CZ4" s="15" t="n">
        <v>2.723480131739759</v>
      </c>
      <c r="DA4" s="15" t="n">
        <v>2.723480131739759</v>
      </c>
      <c r="DB4" s="15" t="n">
        <v>1.831782513118727</v>
      </c>
      <c r="DC4" s="15" t="n">
        <v>0</v>
      </c>
      <c r="DD4" s="15" t="n">
        <v>6.928481136236652e-05</v>
      </c>
      <c r="DE4" s="15" t="n">
        <v>0</v>
      </c>
      <c r="DF4" s="15" t="n">
        <v>20</v>
      </c>
      <c r="DG4" s="15" t="inlineStr">
        <is>
          <t>Density_Metrics</t>
        </is>
      </c>
      <c r="DH4" s="15" t="n">
        <v>2.480182785424226</v>
      </c>
      <c r="DI4" t="n">
        <v>0.9877134992722603</v>
      </c>
      <c r="DJ4" s="15" t="n">
        <v>0.5709490408170117</v>
      </c>
      <c r="DK4" s="15" t="n">
        <v>5.885517314607528</v>
      </c>
      <c r="DL4" s="15" t="n">
        <v>4.940773000900113</v>
      </c>
      <c r="DM4" s="15" t="n">
        <v>1.949883863528103</v>
      </c>
      <c r="DN4" s="15" t="n">
        <v>9.053956639492229</v>
      </c>
      <c r="DO4" s="15" t="n">
        <v>0.3631215179793706</v>
      </c>
      <c r="DP4" s="15" t="n">
        <v>1.8125</v>
      </c>
      <c r="DQ4" s="15" t="n">
        <v>49</v>
      </c>
      <c r="DR4" s="15" t="b">
        <v>1</v>
      </c>
      <c r="DS4" s="15" t="n">
        <v>4.86795621180283</v>
      </c>
      <c r="DT4" s="15" t="n">
        <v>34.43226496215718</v>
      </c>
      <c r="DU4" t="n">
        <v>72</v>
      </c>
      <c r="DV4" s="15" t="n">
        <v>0.0984210999019054</v>
      </c>
      <c r="DW4" s="15" t="n">
        <v>2.078789298349617</v>
      </c>
      <c r="DX4" s="15" t="n">
        <v>2.638185052177927</v>
      </c>
      <c r="DY4" s="15" t="n">
        <v>0.0581521285970368</v>
      </c>
      <c r="DZ4" s="15" t="b">
        <v>1</v>
      </c>
      <c r="EA4" s="15" t="n">
        <v>0.1272994276643982</v>
      </c>
      <c r="EB4" s="15" t="n">
        <v>20000</v>
      </c>
      <c r="EC4" s="15" t="n">
        <v>6102.783592028468</v>
      </c>
      <c r="ED4" s="15" t="n">
        <v>22</v>
      </c>
      <c r="EE4" s="15" t="n">
        <v>0</v>
      </c>
      <c r="EF4" s="15" t="n">
        <v>0.03884298783280674</v>
      </c>
      <c r="EG4" s="15" t="b">
        <v>0</v>
      </c>
      <c r="EH4" s="15" t="b">
        <v>1</v>
      </c>
      <c r="EI4" s="15" t="b">
        <v>0</v>
      </c>
      <c r="EJ4" s="15" t="inlineStr">
        <is>
          <t>wf=log|dst=-90.0|ceil=20000.0|fft=adaptive_tier</t>
        </is>
      </c>
      <c r="EK4" s="15" t="inlineStr">
        <is>
          <t>wf=log|dst=runtime_configured|ceil=runtime_configured|fft=fixed</t>
        </is>
      </c>
      <c r="EL4" s="15" t="n">
        <v>0.6227166443640266</v>
      </c>
      <c r="EM4" s="15" t="n">
        <v>0.986023035953238</v>
      </c>
      <c r="EN4" s="15" t="n">
        <v>0.273972602739726</v>
      </c>
      <c r="EO4" s="15" t="n">
        <v>0.4155793361308267</v>
      </c>
      <c r="EP4" s="15" t="inlineStr">
        <is>
          <t>warn:power_outlier_detected</t>
        </is>
      </c>
      <c r="EQ4" s="15" t="n">
        <v>244.8469325486925</v>
      </c>
      <c r="ER4" s="15" t="inlineStr">
        <is>
          <t>winsorize_p95_for_robust_diagnostics</t>
        </is>
      </c>
      <c r="ES4" s="15" t="n">
        <v>0.1444655103342347</v>
      </c>
      <c r="ET4" s="15" t="n">
        <v>0.04774517840349792</v>
      </c>
      <c r="EU4" s="15" t="n">
        <v>0.05900027609285627</v>
      </c>
      <c r="EV4" t="inlineStr">
        <is>
          <t>computed</t>
        </is>
      </c>
      <c r="EW4" s="15" t="inlineStr">
        <is>
          <t>computed</t>
        </is>
      </c>
      <c r="EX4" s="15" t="inlineStr">
        <is>
          <t>computed</t>
        </is>
      </c>
      <c r="EY4" s="15" t="inlineStr">
        <is>
          <t>available_from_curve</t>
        </is>
      </c>
      <c r="EZ4" s="15" t="n">
        <v>20000</v>
      </c>
      <c r="FA4" s="15" t="n">
        <v>20000</v>
      </c>
      <c r="FB4" s="15" t="n">
        <v>0.1537618824204815</v>
      </c>
      <c r="FC4" s="15" t="n">
        <v>0.5829211924179498</v>
      </c>
      <c r="FD4" s="15" t="n">
        <v>2.723480131739759</v>
      </c>
      <c r="FE4" s="15" t="n">
        <v>1.831782513118727</v>
      </c>
      <c r="FF4" s="15" t="n">
        <v>1.330254669749042</v>
      </c>
      <c r="FG4" s="15" t="n">
        <v>2.059588966619569</v>
      </c>
      <c r="FH4" s="15" t="n">
        <v>0.3518116370736454</v>
      </c>
      <c r="FI4" s="15" t="n">
        <v>0.06878218173101107</v>
      </c>
      <c r="FJ4" s="15" t="n">
        <v>9827.118231929953</v>
      </c>
      <c r="FK4" s="15" t="n">
        <v>59.77509315030226</v>
      </c>
      <c r="FL4" s="15" t="n">
        <v>13.51628359050873</v>
      </c>
      <c r="FM4" s="15" t="n">
        <v>0.004518597300298439</v>
      </c>
      <c r="FN4" t="n">
        <v>1</v>
      </c>
      <c r="FO4" t="n">
        <v>0</v>
      </c>
      <c r="FP4" t="n">
        <v>0</v>
      </c>
      <c r="FQ4" t="inlineStr">
        <is>
          <t>excellent</t>
        </is>
      </c>
      <c r="FR4" s="19" t="n">
        <v>0.8888888888888888</v>
      </c>
      <c r="FS4" s="15" t="n">
        <v>3.859084030568035</v>
      </c>
      <c r="FT4" s="15" t="n">
        <v>17.88446556157235</v>
      </c>
      <c r="FU4" t="inlineStr">
        <is>
          <t>passed</t>
        </is>
      </c>
      <c r="FV4" t="n">
        <v>264.0148972052791</v>
      </c>
      <c r="FW4" t="n">
        <v>33.44317923906024</v>
      </c>
      <c r="FX4" t="n">
        <v>10.19608077746259</v>
      </c>
      <c r="FY4" t="n">
        <v>0.9261873434274052</v>
      </c>
      <c r="FZ4" t="n">
        <v>0.93198238529267</v>
      </c>
      <c r="GA4" t="n">
        <v>0.8928819124442448</v>
      </c>
      <c r="GB4" t="n">
        <v>0.9628691421443016</v>
      </c>
      <c r="GC4" t="n">
        <v>0.9694645027698081</v>
      </c>
      <c r="GD4" t="n">
        <v>0.9913954550346988</v>
      </c>
      <c r="GE4" t="n">
        <v>0.9365354463224269</v>
      </c>
      <c r="GF4" t="n">
        <v>0.6995517065745411</v>
      </c>
      <c r="GG4" t="n">
        <v>0.5611081464972099</v>
      </c>
      <c r="GH4" t="n">
        <v>1</v>
      </c>
      <c r="GI4" t="n">
        <v>0.3169642857142857</v>
      </c>
      <c r="GJ4" t="n">
        <v>0.8888888888888888</v>
      </c>
      <c r="GK4" t="n">
        <v>0.8909090909090909</v>
      </c>
      <c r="GL4" t="n">
        <v>0.2393545691159686</v>
      </c>
      <c r="GM4" t="n">
        <v>0.2393545691159686</v>
      </c>
      <c r="GN4" t="n">
        <v>1</v>
      </c>
      <c r="GO4" t="n">
        <v>0.9646222439635995</v>
      </c>
      <c r="GP4" t="n">
        <v>664.4164061283924</v>
      </c>
      <c r="GQ4" t="inlineStr">
        <is>
          <t>compiled workbook density_weighted_sum = density_component_ratio_weighted_sum (per-note component ratios); research density_weighted_sum maps body-ceiling richness</t>
        </is>
      </c>
      <c r="GR4" s="15" t="inlineStr">
        <is>
          <t>individual_exact</t>
        </is>
      </c>
      <c r="GS4" s="15" t="inlineStr">
        <is>
          <t>density_weight</t>
        </is>
      </c>
      <c r="GT4" s="15" t="n">
        <v>0.7868608247002611</v>
      </c>
      <c r="GU4" s="15" t="n">
        <v>0.213139175299739</v>
      </c>
      <c r="GV4" s="15" t="n">
        <v>0</v>
      </c>
      <c r="GW4" s="15" t="inlineStr">
        <is>
          <t>log</t>
        </is>
      </c>
      <c r="GX4" s="15" t="n">
        <v>0.5</v>
      </c>
      <c r="GY4" s="15" t="inlineStr">
        <is>
          <t>EWSD-R v18.1</t>
        </is>
      </c>
      <c r="GZ4" s="15" t="n">
        <v>11.52311510697649</v>
      </c>
      <c r="HA4" s="15" t="n">
        <v>34.46190084566226</v>
      </c>
      <c r="HB4" s="15" t="n">
        <v>0.2889837926399676</v>
      </c>
      <c r="HC4" s="15" t="n">
        <v>16.40670589891685</v>
      </c>
      <c r="HD4" s="15" t="n">
        <v>40.21560239151594</v>
      </c>
      <c r="HE4" s="15" t="n">
        <v>0.2417589984219428</v>
      </c>
      <c r="HF4" s="15" t="inlineStr">
        <is>
          <t>partials+ratios</t>
        </is>
      </c>
      <c r="HG4" s="15" t="inlineStr">
        <is>
          <t>merged_individual_exact</t>
        </is>
      </c>
      <c r="HH4" s="15" t="inlineStr">
        <is>
          <t>passed</t>
        </is>
      </c>
      <c r="HI4" s="15" t="inlineStr">
        <is>
          <t>passed</t>
        </is>
      </c>
    </row>
    <row r="5">
      <c r="A5" t="inlineStr">
        <is>
          <t>incomplete_inference</t>
        </is>
      </c>
      <c r="B5" t="inlineStr">
        <is>
          <t>missing_instrument_technique</t>
        </is>
      </c>
      <c r="C5" t="inlineStr">
        <is>
          <t>prior_constrained_harmonic_fit</t>
        </is>
      </c>
      <c r="D5" t="inlineStr">
        <is>
          <t>IOWA_flt_ff.D4_SustainStable/D4/component_amplitude_mass_pie.png</t>
        </is>
      </c>
      <c r="E5" t="inlineStr">
        <is>
          <t>IOWA_flt_ff.D4_SustainStable/D4/component_energy_ratio_pie.png</t>
        </is>
      </c>
      <c r="F5" s="15" t="n">
        <v>293.8184491369294</v>
      </c>
      <c r="G5" s="15" t="inlineStr">
        <is>
          <t>prior_constrained_harmonic_fit</t>
        </is>
      </c>
      <c r="H5" s="15" t="inlineStr">
        <is>
          <t>fit_accepted_acoustically_verified</t>
        </is>
      </c>
      <c r="I5" s="16" t="n">
        <v>564.3562015680677</v>
      </c>
      <c r="J5" t="inlineStr">
        <is>
          <t>richness_weighted_body_density_body_ceiling</t>
        </is>
      </c>
      <c r="K5" t="inlineStr">
        <is>
          <t>research_body_ceiling_richness_metric</t>
        </is>
      </c>
      <c r="L5" s="15" t="n">
        <v>41602.39848316184</v>
      </c>
      <c r="M5" s="15" t="n">
        <v>41602.39848316184</v>
      </c>
      <c r="N5" s="15" t="n">
        <v>220.3479979305923</v>
      </c>
      <c r="O5" s="15" t="n">
        <v>63.33446970432524</v>
      </c>
      <c r="P5" s="15" t="n">
        <v>-2.696027298637484</v>
      </c>
      <c r="Q5" s="15" t="n">
        <v>19</v>
      </c>
      <c r="R5" s="15" t="n">
        <v>51</v>
      </c>
      <c r="S5" s="15" t="n">
        <v>10400.7161083544</v>
      </c>
      <c r="T5" s="15" t="n">
        <v>69</v>
      </c>
      <c r="U5" s="15" t="n">
        <v>0.9955996049906863</v>
      </c>
      <c r="V5" s="15" t="n">
        <v>45.15285130455499</v>
      </c>
      <c r="W5" s="15" t="n">
        <v>0.869755198570906</v>
      </c>
      <c r="X5" s="15" t="n">
        <v>0.458384690584716</v>
      </c>
      <c r="Y5" s="15" t="n">
        <v>29</v>
      </c>
      <c r="Z5" s="15" t="n">
        <v>68</v>
      </c>
      <c r="AA5" s="15" t="n">
        <v>0.4264705882352941</v>
      </c>
      <c r="AB5" s="15" t="n">
        <v>68</v>
      </c>
      <c r="AC5" s="15" t="n">
        <v>29</v>
      </c>
      <c r="AD5" s="15" t="n">
        <v>0.4264705882352941</v>
      </c>
      <c r="AE5" s="15" t="n">
        <v>703.6089908969893</v>
      </c>
      <c r="AF5" s="15" t="n">
        <v>29</v>
      </c>
      <c r="AG5" s="15" t="n">
        <v>68</v>
      </c>
      <c r="AH5" s="15" t="n">
        <v>0.4264705882352941</v>
      </c>
      <c r="AI5" s="15" t="n">
        <v>703.6089908969893</v>
      </c>
      <c r="AJ5" s="15" t="n">
        <v>15</v>
      </c>
      <c r="AK5" s="15" t="n">
        <v>14</v>
      </c>
      <c r="AL5" s="15" t="n">
        <v>3.672077887208808</v>
      </c>
      <c r="AM5" s="15" t="n">
        <v>48</v>
      </c>
      <c r="AN5" s="15" t="n">
        <v>0</v>
      </c>
      <c r="AO5" s="15" t="n">
        <v>48</v>
      </c>
      <c r="AP5" s="15" t="n">
        <v>0</v>
      </c>
      <c r="AQ5" s="15" t="n">
        <v>31.847503981096</v>
      </c>
      <c r="AR5" s="15" t="n">
        <v>17.88211748209845</v>
      </c>
      <c r="AS5" s="15" t="n">
        <v>0.627135659741698</v>
      </c>
      <c r="AT5" s="17" t="n">
        <v>2.702564491595578</v>
      </c>
      <c r="AU5" s="18" t="n">
        <v>18.85521674583623</v>
      </c>
      <c r="AV5" s="15" t="n">
        <v>23.7390284438217</v>
      </c>
      <c r="AW5" s="15" t="b">
        <v>1</v>
      </c>
      <c r="AX5" s="15" t="n">
        <v>16.82551344926906</v>
      </c>
      <c r="AY5" s="15" t="n">
        <v>23.87571487375708</v>
      </c>
      <c r="AZ5" s="15" t="n">
        <v>0</v>
      </c>
      <c r="BA5" s="15" t="n">
        <v>1</v>
      </c>
      <c r="BB5" s="15" t="n">
        <v>0.5</v>
      </c>
      <c r="BC5" s="15" t="n">
        <v>0.25</v>
      </c>
      <c r="BD5" s="15" t="inlineStr">
        <is>
          <t>his_note_adaptive</t>
        </is>
      </c>
      <c r="BE5" s="15" t="n">
        <v>-90</v>
      </c>
      <c r="BF5" s="15" t="n">
        <v>20000</v>
      </c>
      <c r="BG5" s="15" t="n">
        <v>29</v>
      </c>
      <c r="BH5" s="15" t="n">
        <v>0.4264705882352941</v>
      </c>
      <c r="BI5" s="15" t="n">
        <v>68</v>
      </c>
      <c r="BJ5" s="15" t="n">
        <v>29</v>
      </c>
      <c r="BK5" s="15" t="n">
        <v>68</v>
      </c>
      <c r="BL5" s="15" t="n">
        <v>59</v>
      </c>
      <c r="BM5" s="15" t="n">
        <v>0.8676470588235294</v>
      </c>
      <c r="BN5" s="15" t="n">
        <v>0.2697597903520928</v>
      </c>
      <c r="BO5" s="15" t="n">
        <v>0.4</v>
      </c>
      <c r="BP5" s="19" t="n">
        <v>0.8795926053483764</v>
      </c>
      <c r="BQ5" s="19" t="n">
        <v>0.1204073946516236</v>
      </c>
      <c r="BR5" s="19" t="n">
        <v>0</v>
      </c>
      <c r="BS5" s="15" t="n">
        <v>0.0547559831310471</v>
      </c>
      <c r="BT5" s="19" t="n">
        <v>1</v>
      </c>
      <c r="BU5" s="19" t="n">
        <v>0</v>
      </c>
      <c r="BV5" s="19" t="n">
        <v>0</v>
      </c>
      <c r="BW5" t="inlineStr">
        <is>
          <t>D4</t>
        </is>
      </c>
      <c r="BX5" t="n">
        <v>62</v>
      </c>
      <c r="BY5" t="inlineStr">
        <is>
          <t>D</t>
        </is>
      </c>
      <c r="BZ5" t="n">
        <v>4</v>
      </c>
      <c r="CA5" t="inlineStr">
        <is>
          <t>High</t>
        </is>
      </c>
      <c r="CB5" t="inlineStr">
        <is>
          <t>ff</t>
        </is>
      </c>
      <c r="CC5" s="15" t="n">
        <v>293.6647679174076</v>
      </c>
      <c r="CD5" s="15" t="n">
        <v>293.8184491369294</v>
      </c>
      <c r="CE5" t="inlineStr">
        <is>
          <t>prior_constrained_harmonic_fit</t>
        </is>
      </c>
      <c r="CF5" t="n">
        <v>293.8184491369294</v>
      </c>
      <c r="CG5" s="15" t="n">
        <v>1</v>
      </c>
      <c r="CH5" t="inlineStr">
        <is>
          <t>free_fit_acoustically_verified</t>
        </is>
      </c>
      <c r="CI5" s="15" t="inlineStr">
        <is>
          <t>free_f0_fit</t>
        </is>
      </c>
      <c r="CJ5" s="15" t="n">
        <v>293.6647679174076</v>
      </c>
      <c r="CK5" s="15" t="n">
        <v>293.8184491369294</v>
      </c>
      <c r="CL5" s="15" t="n">
        <v>0.9057558013014267</v>
      </c>
      <c r="CM5" s="15" t="n">
        <v>20000</v>
      </c>
      <c r="CN5" s="15" t="n">
        <v>0.9057558013014267</v>
      </c>
      <c r="CO5" s="15" t="n">
        <v>2.458673544441766</v>
      </c>
      <c r="CP5" s="15" t="n">
        <v>41602.39848316184</v>
      </c>
      <c r="CQ5" t="n">
        <v>3.689808578912679</v>
      </c>
      <c r="CR5" t="n">
        <v>0.05426189086636293</v>
      </c>
      <c r="CS5" t="n">
        <v>152.9499944233891</v>
      </c>
      <c r="CT5" t="n">
        <v>152.9499944233891</v>
      </c>
      <c r="CU5" t="n">
        <v>564.3562015680677</v>
      </c>
      <c r="CV5" t="n">
        <v>63.33446970432524</v>
      </c>
      <c r="CW5" s="15" t="n">
        <v>41602.39848316184</v>
      </c>
      <c r="CX5" s="15" t="n">
        <v>220.3479979305923</v>
      </c>
      <c r="CY5" s="15" t="n">
        <v>63.33446970432524</v>
      </c>
      <c r="CZ5" s="15" t="n">
        <v>2.702564491595578</v>
      </c>
      <c r="DA5" s="15" t="n">
        <v>2.702564491595578</v>
      </c>
      <c r="DB5" s="15" t="n">
        <v>1.796547520620051</v>
      </c>
      <c r="DC5" s="15" t="n">
        <v>0</v>
      </c>
      <c r="DD5" s="15" t="n">
        <v>6.49617471619915e-05</v>
      </c>
      <c r="DE5" s="15" t="n">
        <v>0</v>
      </c>
      <c r="DF5" s="15" t="n">
        <v>19</v>
      </c>
      <c r="DG5" s="15" t="inlineStr">
        <is>
          <t>Density_Metrics</t>
        </is>
      </c>
      <c r="DH5" s="15" t="n">
        <v>2.458673544441766</v>
      </c>
      <c r="DI5" t="n">
        <v>0.97914761138596</v>
      </c>
      <c r="DJ5" s="15" t="n">
        <v>0.5685026318387995</v>
      </c>
      <c r="DK5" s="15" t="n">
        <v>5.85015933312923</v>
      </c>
      <c r="DL5" s="15" t="n">
        <v>3.740264986775492</v>
      </c>
      <c r="DM5" s="15" t="n">
        <v>1.629872749291563</v>
      </c>
      <c r="DN5" s="15" t="n">
        <v>7.687497612485585</v>
      </c>
      <c r="DO5" s="15" t="n">
        <v>0.4179663507868131</v>
      </c>
      <c r="DP5" s="15" t="n">
        <v>4.3125</v>
      </c>
      <c r="DQ5" s="15" t="n">
        <v>47</v>
      </c>
      <c r="DR5" s="15" t="b">
        <v>1</v>
      </c>
      <c r="DS5" s="15" t="n">
        <v>3.689808578912679</v>
      </c>
      <c r="DT5" s="15" t="n">
        <v>31.17015895976069</v>
      </c>
      <c r="DU5" t="n">
        <v>68</v>
      </c>
      <c r="DV5" s="15" t="n">
        <v>0.0547559831310471</v>
      </c>
      <c r="DW5" s="15" t="n">
        <v>2.023191529026563</v>
      </c>
      <c r="DX5" s="15" t="n">
        <v>2.633484796743106</v>
      </c>
      <c r="DY5" s="15" t="n">
        <v>0.06396035424542246</v>
      </c>
      <c r="DZ5" s="15" t="b">
        <v>1</v>
      </c>
      <c r="EA5" s="15" t="n">
        <v>0.3749843348669393</v>
      </c>
      <c r="EB5" s="15" t="n">
        <v>20000</v>
      </c>
      <c r="EC5" s="15" t="n">
        <v>6170.187431875518</v>
      </c>
      <c r="ED5" s="15" t="n">
        <v>21</v>
      </c>
      <c r="EE5" s="15" t="n">
        <v>0</v>
      </c>
      <c r="EF5" s="15" t="n">
        <v>0.03666289844319382</v>
      </c>
      <c r="EG5" s="15" t="b">
        <v>0</v>
      </c>
      <c r="EH5" s="15" t="b">
        <v>1</v>
      </c>
      <c r="EI5" s="15" t="b">
        <v>0</v>
      </c>
      <c r="EJ5" s="15" t="inlineStr">
        <is>
          <t>wf=log|dst=-90.0|ceil=20000.0|fft=adaptive_tier</t>
        </is>
      </c>
      <c r="EK5" s="15" t="inlineStr">
        <is>
          <t>wf=log|dst=runtime_configured|ceil=runtime_configured|fft=fixed</t>
        </is>
      </c>
      <c r="EL5" s="15" t="n">
        <v>0.6176751213580328</v>
      </c>
      <c r="EM5" s="15" t="n">
        <v>0.9889118106893555</v>
      </c>
      <c r="EN5" s="15" t="n">
        <v>0.2753623188405797</v>
      </c>
      <c r="EO5" s="15" t="n">
        <v>0.3814399747680998</v>
      </c>
      <c r="EP5" s="15" t="inlineStr">
        <is>
          <t>warn:power_outlier_detected</t>
        </is>
      </c>
      <c r="EQ5" s="15" t="n">
        <v>408.4508638194415</v>
      </c>
      <c r="ER5" s="15" t="inlineStr">
        <is>
          <t>winsorize_p95_for_robust_diagnostics</t>
        </is>
      </c>
      <c r="ES5" s="15" t="n">
        <v>0.151407783314246</v>
      </c>
      <c r="ET5" s="15" t="n">
        <v>0.04989164144362296</v>
      </c>
      <c r="EU5" s="15" t="n">
        <v>0.05535920441447423</v>
      </c>
      <c r="EV5" t="inlineStr">
        <is>
          <t>computed</t>
        </is>
      </c>
      <c r="EW5" s="15" t="inlineStr">
        <is>
          <t>computed</t>
        </is>
      </c>
      <c r="EX5" s="15" t="inlineStr">
        <is>
          <t>computed</t>
        </is>
      </c>
      <c r="EY5" s="15" t="inlineStr">
        <is>
          <t>available_from_curve</t>
        </is>
      </c>
      <c r="EZ5" s="15" t="n">
        <v>20000</v>
      </c>
      <c r="FA5" s="15" t="n">
        <v>20000</v>
      </c>
      <c r="FB5" s="15" t="n">
        <v>0.1204073946516236</v>
      </c>
      <c r="FC5" s="15" t="n">
        <v>0.5224344485333301</v>
      </c>
      <c r="FD5" s="15" t="n">
        <v>2.702564491595578</v>
      </c>
      <c r="FE5" s="15" t="n">
        <v>1.796547520620051</v>
      </c>
      <c r="FF5" s="15" t="n">
        <v>1.3510473209136</v>
      </c>
      <c r="FG5" s="15" t="n">
        <v>2.043771843091218</v>
      </c>
      <c r="FH5" s="15" t="n">
        <v>0.345044414270469</v>
      </c>
      <c r="FI5" s="15" t="n">
        <v>0.06985728708007928</v>
      </c>
      <c r="FJ5" s="15" t="n">
        <v>10400.59962079046</v>
      </c>
      <c r="FK5" s="15" t="n">
        <v>55.08699948264807</v>
      </c>
      <c r="FL5" s="15" t="n">
        <v>15.83361742608131</v>
      </c>
      <c r="FM5" s="15" t="n">
        <v>0.004823498218657374</v>
      </c>
      <c r="FN5" t="n">
        <v>1</v>
      </c>
      <c r="FO5" t="n">
        <v>0</v>
      </c>
      <c r="FP5" t="n">
        <v>0</v>
      </c>
      <c r="FQ5" t="inlineStr">
        <is>
          <t>excellent</t>
        </is>
      </c>
      <c r="FR5" s="19" t="n">
        <v>0.8676470588235294</v>
      </c>
      <c r="FS5" s="15" t="n">
        <v>3.797348171433942</v>
      </c>
      <c r="FT5" s="15" t="n">
        <v>13.28348659739279</v>
      </c>
      <c r="FU5" t="inlineStr">
        <is>
          <t>passed</t>
        </is>
      </c>
      <c r="FV5" t="n">
        <v>251.5777396576891</v>
      </c>
      <c r="FW5" t="n">
        <v>30.79806765177104</v>
      </c>
      <c r="FX5" t="n">
        <v>10.72063215721592</v>
      </c>
      <c r="FY5" t="n">
        <v>0.8747267237764954</v>
      </c>
      <c r="FZ5" t="n">
        <v>0.7808752421485946</v>
      </c>
      <c r="GA5" t="n">
        <v>0.8722263703984713</v>
      </c>
      <c r="GB5" t="n">
        <v>0.6684633522787817</v>
      </c>
      <c r="GC5" t="n">
        <v>0.6738530823154366</v>
      </c>
      <c r="GD5" t="n">
        <v>0.8765526796633551</v>
      </c>
      <c r="GE5" t="n">
        <v>0.9304487113073546</v>
      </c>
      <c r="GF5" t="n">
        <v>0.6489990262389179</v>
      </c>
      <c r="GG5" t="n">
        <v>0.2301907646811686</v>
      </c>
      <c r="GH5" t="n">
        <v>0.8364234340536072</v>
      </c>
      <c r="GI5" t="n">
        <v>0.1704306722689075</v>
      </c>
      <c r="GJ5" t="n">
        <v>0.8039215686274512</v>
      </c>
      <c r="GK5" t="n">
        <v>0.5818181818181819</v>
      </c>
      <c r="GL5" t="n">
        <v>0</v>
      </c>
      <c r="GM5" t="n">
        <v>0</v>
      </c>
      <c r="GN5" t="n">
        <v>0.8926144879293855</v>
      </c>
      <c r="GO5" t="n">
        <v>0.6172784442423281</v>
      </c>
      <c r="GP5" t="n">
        <v>564.3562015680677</v>
      </c>
      <c r="GQ5" t="inlineStr">
        <is>
          <t>compiled workbook density_weighted_sum = density_component_ratio_weighted_sum (per-note component ratios); research density_weighted_sum maps body-ceiling richness</t>
        </is>
      </c>
      <c r="GR5" s="15" t="inlineStr">
        <is>
          <t>individual_exact</t>
        </is>
      </c>
      <c r="GS5" s="15" t="inlineStr">
        <is>
          <t>density_weight</t>
        </is>
      </c>
      <c r="GT5" s="15" t="n">
        <v>0.8501313694160001</v>
      </c>
      <c r="GU5" s="15" t="n">
        <v>0.149868630584</v>
      </c>
      <c r="GV5" s="15" t="n">
        <v>0</v>
      </c>
      <c r="GW5" s="15" t="inlineStr">
        <is>
          <t>log</t>
        </is>
      </c>
      <c r="GX5" s="15" t="n">
        <v>0.5</v>
      </c>
      <c r="GY5" s="15" t="inlineStr">
        <is>
          <t>EWSD-R v18.1</t>
        </is>
      </c>
      <c r="GZ5" s="15" t="n">
        <v>10.04596765101876</v>
      </c>
      <c r="HA5" s="15" t="n">
        <v>31.70353257934907</v>
      </c>
      <c r="HB5" s="15" t="n">
        <v>0.2999970232817089</v>
      </c>
      <c r="HC5" s="15" t="n">
        <v>14.19842463224156</v>
      </c>
      <c r="HD5" s="15" t="n">
        <v>37.00158065015888</v>
      </c>
      <c r="HE5" s="15" t="n">
        <v>0.2496575616129028</v>
      </c>
      <c r="HF5" s="15" t="inlineStr">
        <is>
          <t>partials+ratios</t>
        </is>
      </c>
      <c r="HG5" s="15" t="inlineStr">
        <is>
          <t>merged_individual_exact</t>
        </is>
      </c>
      <c r="HH5" s="15" t="inlineStr">
        <is>
          <t>passed</t>
        </is>
      </c>
      <c r="HI5" s="15" t="inlineStr">
        <is>
          <t>passed</t>
        </is>
      </c>
    </row>
    <row r="6">
      <c r="A6" t="inlineStr">
        <is>
          <t>incomplete_inference</t>
        </is>
      </c>
      <c r="B6" t="inlineStr">
        <is>
          <t>missing_instrument_technique</t>
        </is>
      </c>
      <c r="C6" t="inlineStr">
        <is>
          <t>prior_constrained_harmonic_fit</t>
        </is>
      </c>
      <c r="D6" t="inlineStr">
        <is>
          <t>IOWA_flt_ff.D#4_SustainStable/D#4/component_amplitude_mass_pie.png</t>
        </is>
      </c>
      <c r="E6" t="inlineStr">
        <is>
          <t>IOWA_flt_ff.D#4_SustainStable/D#4/component_energy_ratio_pie.png</t>
        </is>
      </c>
      <c r="F6" s="15" t="n">
        <v>310.7728948286763</v>
      </c>
      <c r="G6" s="15" t="inlineStr">
        <is>
          <t>prior_constrained_harmonic_fit</t>
        </is>
      </c>
      <c r="H6" s="15" t="inlineStr">
        <is>
          <t>fit_accepted_acoustically_verified</t>
        </is>
      </c>
      <c r="I6" s="16" t="n">
        <v>709.4563446760469</v>
      </c>
      <c r="J6" t="inlineStr">
        <is>
          <t>richness_weighted_body_density_body_ceiling</t>
        </is>
      </c>
      <c r="K6" t="inlineStr">
        <is>
          <t>research_body_ceiling_richness_metric</t>
        </is>
      </c>
      <c r="L6" s="15" t="n">
        <v>36399.48098512227</v>
      </c>
      <c r="M6" s="15" t="n">
        <v>36399.48098512227</v>
      </c>
      <c r="N6" s="15" t="n">
        <v>309.8244913432642</v>
      </c>
      <c r="O6" s="15" t="n">
        <v>62.71638585519851</v>
      </c>
      <c r="P6" s="15" t="n">
        <v>-2.805484538379921</v>
      </c>
      <c r="Q6" s="15" t="n">
        <v>20</v>
      </c>
      <c r="R6" s="15" t="n">
        <v>50</v>
      </c>
      <c r="S6" s="15" t="n">
        <v>9100.02570946577</v>
      </c>
      <c r="T6" s="15" t="n">
        <v>65</v>
      </c>
      <c r="U6" s="15" t="n">
        <v>1.29042632393049</v>
      </c>
      <c r="V6" s="15" t="n">
        <v>47.55576748146424</v>
      </c>
      <c r="W6" s="15" t="n">
        <v>0.878053876183755</v>
      </c>
      <c r="X6" s="15" t="n">
        <v>0.4858952154975311</v>
      </c>
      <c r="Y6" s="15" t="n">
        <v>34</v>
      </c>
      <c r="Z6" s="15" t="n">
        <v>64</v>
      </c>
      <c r="AA6" s="15" t="n">
        <v>0.53125</v>
      </c>
      <c r="AB6" s="15" t="n">
        <v>64</v>
      </c>
      <c r="AC6" s="15" t="n">
        <v>34</v>
      </c>
      <c r="AD6" s="15" t="n">
        <v>0.53125</v>
      </c>
      <c r="AE6" s="15" t="n">
        <v>696.1788418520057</v>
      </c>
      <c r="AF6" s="15" t="n">
        <v>34</v>
      </c>
      <c r="AG6" s="15" t="n">
        <v>64</v>
      </c>
      <c r="AH6" s="15" t="n">
        <v>0.53125</v>
      </c>
      <c r="AI6" s="15" t="n">
        <v>696.1788418520057</v>
      </c>
      <c r="AJ6" s="15" t="n">
        <v>16</v>
      </c>
      <c r="AK6" s="15" t="n">
        <v>18</v>
      </c>
      <c r="AL6" s="15" t="n">
        <v>0.9292284683101715</v>
      </c>
      <c r="AM6" s="15" t="n">
        <v>54</v>
      </c>
      <c r="AN6" s="15" t="n">
        <v>0</v>
      </c>
      <c r="AO6" s="15" t="n">
        <v>54</v>
      </c>
      <c r="AP6" s="15" t="n">
        <v>0</v>
      </c>
      <c r="AQ6" s="15" t="n">
        <v>38.58535106805172</v>
      </c>
      <c r="AR6" s="15" t="n">
        <v>21.34187422953395</v>
      </c>
      <c r="AS6" s="15" t="n">
        <v>0.8095905145262592</v>
      </c>
      <c r="AT6" s="17" t="n">
        <v>2.697221838622978</v>
      </c>
      <c r="AU6" s="18" t="n">
        <v>18.92929209665492</v>
      </c>
      <c r="AV6" s="15" t="n">
        <v>23.62236609181559</v>
      </c>
      <c r="AW6" s="15" t="b">
        <v>1</v>
      </c>
      <c r="AX6" s="15" t="n">
        <v>19.59645789611627</v>
      </c>
      <c r="AY6" s="15" t="n">
        <v>27.20946857954599</v>
      </c>
      <c r="AZ6" s="15" t="n">
        <v>0</v>
      </c>
      <c r="BA6" s="15" t="n">
        <v>1</v>
      </c>
      <c r="BB6" s="15" t="n">
        <v>0.5</v>
      </c>
      <c r="BC6" s="15" t="n">
        <v>0.25</v>
      </c>
      <c r="BD6" s="15" t="inlineStr">
        <is>
          <t>his_note_adaptive</t>
        </is>
      </c>
      <c r="BE6" s="15" t="n">
        <v>-90</v>
      </c>
      <c r="BF6" s="15" t="n">
        <v>20000</v>
      </c>
      <c r="BG6" s="15" t="n">
        <v>34</v>
      </c>
      <c r="BH6" s="15" t="n">
        <v>0.53125</v>
      </c>
      <c r="BI6" s="15" t="n">
        <v>64</v>
      </c>
      <c r="BJ6" s="15" t="n">
        <v>34</v>
      </c>
      <c r="BK6" s="15" t="n">
        <v>64</v>
      </c>
      <c r="BL6" s="15" t="n">
        <v>56</v>
      </c>
      <c r="BM6" s="15" t="n">
        <v>0.875</v>
      </c>
      <c r="BN6" s="15" t="n">
        <v>0.3504449898543707</v>
      </c>
      <c r="BO6" s="15" t="n">
        <v>0.45</v>
      </c>
      <c r="BP6" s="19" t="n">
        <v>0.8147209377023434</v>
      </c>
      <c r="BQ6" s="19" t="n">
        <v>0.1852790622976566</v>
      </c>
      <c r="BR6" s="19" t="n">
        <v>0</v>
      </c>
      <c r="BS6" s="15" t="n">
        <v>0.1023363635026728</v>
      </c>
      <c r="BT6" s="19" t="n">
        <v>1</v>
      </c>
      <c r="BU6" s="19" t="n">
        <v>0</v>
      </c>
      <c r="BV6" s="19" t="n">
        <v>0</v>
      </c>
      <c r="BW6" t="inlineStr">
        <is>
          <t>D#4</t>
        </is>
      </c>
      <c r="BX6" t="n">
        <v>63</v>
      </c>
      <c r="BY6" t="inlineStr">
        <is>
          <t>D#</t>
        </is>
      </c>
      <c r="BZ6" t="n">
        <v>4</v>
      </c>
      <c r="CA6" t="inlineStr">
        <is>
          <t>High</t>
        </is>
      </c>
      <c r="CB6" t="inlineStr">
        <is>
          <t>ff</t>
        </is>
      </c>
      <c r="CC6" s="15" t="n">
        <v>311.1269837220809</v>
      </c>
      <c r="CD6" s="15" t="n">
        <v>310.7728948286763</v>
      </c>
      <c r="CE6" t="inlineStr">
        <is>
          <t>prior_constrained_harmonic_fit</t>
        </is>
      </c>
      <c r="CF6" t="n">
        <v>310.7728948286763</v>
      </c>
      <c r="CG6" s="15" t="n">
        <v>1</v>
      </c>
      <c r="CH6" t="inlineStr">
        <is>
          <t>free_fit_acoustically_verified</t>
        </is>
      </c>
      <c r="CI6" s="15" t="inlineStr">
        <is>
          <t>free_f0_fit</t>
        </is>
      </c>
      <c r="CJ6" s="15" t="n">
        <v>311.1269837220809</v>
      </c>
      <c r="CK6" s="15" t="n">
        <v>310.7728948286763</v>
      </c>
      <c r="CL6" s="15" t="n">
        <v>-1.971413200235628</v>
      </c>
      <c r="CM6" s="15" t="n">
        <v>20000</v>
      </c>
      <c r="CN6" s="15" t="n">
        <v>-1.971413200235628</v>
      </c>
      <c r="CO6" s="15" t="n">
        <v>2.4726535477193</v>
      </c>
      <c r="CP6" s="15" t="n">
        <v>36399.48098512227</v>
      </c>
      <c r="CQ6" t="n">
        <v>4.989654229171639</v>
      </c>
      <c r="CR6" t="n">
        <v>0.07796334733080686</v>
      </c>
      <c r="CS6" t="n">
        <v>142.1854725981339</v>
      </c>
      <c r="CT6" t="n">
        <v>142.1854725981339</v>
      </c>
      <c r="CU6" t="n">
        <v>709.4563446760469</v>
      </c>
      <c r="CV6" t="n">
        <v>62.71638585519851</v>
      </c>
      <c r="CW6" s="15" t="n">
        <v>36399.48098512227</v>
      </c>
      <c r="CX6" s="15" t="n">
        <v>309.8244913432642</v>
      </c>
      <c r="CY6" s="15" t="n">
        <v>62.71638585519851</v>
      </c>
      <c r="CZ6" s="15" t="n">
        <v>2.697221838622978</v>
      </c>
      <c r="DA6" s="15" t="n">
        <v>2.697221838622978</v>
      </c>
      <c r="DB6" s="15" t="n">
        <v>1.885701534227075</v>
      </c>
      <c r="DC6" s="15" t="n">
        <v>0</v>
      </c>
      <c r="DD6" s="15" t="n">
        <v>7.410055763502305e-05</v>
      </c>
      <c r="DE6" s="15" t="n">
        <v>0</v>
      </c>
      <c r="DF6" s="15" t="n">
        <v>20</v>
      </c>
      <c r="DG6" s="15" t="inlineStr">
        <is>
          <t>Density_Metrics</t>
        </is>
      </c>
      <c r="DH6" s="15" t="n">
        <v>2.4726535477193</v>
      </c>
      <c r="DI6" t="n">
        <v>0.984715038931317</v>
      </c>
      <c r="DJ6" s="15" t="n">
        <v>0.5678755096478719</v>
      </c>
      <c r="DK6" s="15" t="n">
        <v>5.951326612013231</v>
      </c>
      <c r="DL6" s="15" t="n">
        <v>5.092182701257737</v>
      </c>
      <c r="DM6" s="15" t="n">
        <v>2.01967617422429</v>
      </c>
      <c r="DN6" s="15" t="n">
        <v>9.289047143487917</v>
      </c>
      <c r="DO6" s="15" t="n">
        <v>0.3729622991351293</v>
      </c>
      <c r="DP6" s="15" t="n">
        <v>10.125</v>
      </c>
      <c r="DQ6" s="15" t="n">
        <v>49</v>
      </c>
      <c r="DR6" s="15" t="b">
        <v>0</v>
      </c>
      <c r="DS6" s="15" t="n">
        <v>4.989654229171639</v>
      </c>
      <c r="DT6" s="15" t="n">
        <v>31.09729379184199</v>
      </c>
      <c r="DU6" t="n">
        <v>64</v>
      </c>
      <c r="DV6" s="15" t="n">
        <v>0.1023363635026728</v>
      </c>
      <c r="DW6" s="15" t="n">
        <v>2.029799452579906</v>
      </c>
      <c r="DX6" s="15" t="n">
        <v>2.610637281792314</v>
      </c>
      <c r="DY6" s="15" t="n">
        <v>0.06155278963755303</v>
      </c>
      <c r="DZ6" s="15" t="b">
        <v>1</v>
      </c>
      <c r="EA6" s="15" t="n">
        <v>0.1549432992306075</v>
      </c>
      <c r="EB6" s="15" t="n">
        <v>20000</v>
      </c>
      <c r="EC6" s="15" t="n">
        <v>6526.230791402202</v>
      </c>
      <c r="ED6" s="15" t="n">
        <v>21</v>
      </c>
      <c r="EE6" s="15" t="n">
        <v>0</v>
      </c>
      <c r="EF6" s="15" t="n">
        <v>0.03460516806898831</v>
      </c>
      <c r="EG6" s="15" t="b">
        <v>0</v>
      </c>
      <c r="EH6" s="15" t="b">
        <v>1</v>
      </c>
      <c r="EI6" s="15" t="b">
        <v>0</v>
      </c>
      <c r="EJ6" s="15" t="inlineStr">
        <is>
          <t>wf=log|dst=-90.0|ceil=20000.0|fft=adaptive_tier</t>
        </is>
      </c>
      <c r="EK6" s="15" t="inlineStr">
        <is>
          <t>wf=log|dst=runtime_configured|ceil=runtime_configured|fft=fixed</t>
        </is>
      </c>
      <c r="EL6" s="15" t="n">
        <v>0.6331347227724478</v>
      </c>
      <c r="EM6" s="15" t="n">
        <v>0.986204696445878</v>
      </c>
      <c r="EN6" s="15" t="n">
        <v>0.3076923076923077</v>
      </c>
      <c r="EO6" s="15" t="n">
        <v>0.4082515083974749</v>
      </c>
      <c r="EP6" s="15" t="inlineStr">
        <is>
          <t>warn:power_outlier_detected</t>
        </is>
      </c>
      <c r="EQ6" s="15" t="n">
        <v>271.4948380549437</v>
      </c>
      <c r="ER6" s="15" t="inlineStr">
        <is>
          <t>winsorize_p95_for_robust_diagnostics</t>
        </is>
      </c>
      <c r="ES6" s="15" t="n">
        <v>0.160614019254203</v>
      </c>
      <c r="ET6" s="15" t="n">
        <v>0.05227071213876478</v>
      </c>
      <c r="EU6" s="15" t="n">
        <v>0.06299001561462857</v>
      </c>
      <c r="EV6" t="inlineStr">
        <is>
          <t>computed</t>
        </is>
      </c>
      <c r="EW6" s="15" t="inlineStr">
        <is>
          <t>computed</t>
        </is>
      </c>
      <c r="EX6" s="15" t="inlineStr">
        <is>
          <t>computed</t>
        </is>
      </c>
      <c r="EY6" s="15" t="inlineStr">
        <is>
          <t>available_from_curve</t>
        </is>
      </c>
      <c r="EZ6" s="15" t="n">
        <v>20000</v>
      </c>
      <c r="FA6" s="15" t="n">
        <v>20000</v>
      </c>
      <c r="FB6" s="15" t="n">
        <v>0.1852790622976566</v>
      </c>
      <c r="FC6" s="15" t="n">
        <v>0.5792100200362814</v>
      </c>
      <c r="FD6" s="15" t="n">
        <v>2.697221838622978</v>
      </c>
      <c r="FE6" s="15" t="n">
        <v>1.885701534227075</v>
      </c>
      <c r="FF6" s="15" t="n">
        <v>1.368403239163177</v>
      </c>
      <c r="FG6" s="15" t="n">
        <v>2.039731545904319</v>
      </c>
      <c r="FH6" s="15" t="n">
        <v>0.3621673091851997</v>
      </c>
      <c r="FI6" s="15" t="n">
        <v>0.07075469262978215</v>
      </c>
      <c r="FJ6" s="15" t="n">
        <v>9099.870246280569</v>
      </c>
      <c r="FK6" s="15" t="n">
        <v>77.45612283581606</v>
      </c>
      <c r="FL6" s="15" t="n">
        <v>15.67909646379963</v>
      </c>
      <c r="FM6" s="15" t="n">
        <v>0.004203992552033938</v>
      </c>
      <c r="FN6" t="n">
        <v>1</v>
      </c>
      <c r="FO6" t="n">
        <v>0</v>
      </c>
      <c r="FP6" t="n">
        <v>0</v>
      </c>
      <c r="FQ6" t="inlineStr">
        <is>
          <t>excellent</t>
        </is>
      </c>
      <c r="FR6" s="19" t="n">
        <v>0.875</v>
      </c>
      <c r="FS6" s="15" t="n">
        <v>3.346865071092373</v>
      </c>
      <c r="FT6" s="15" t="n">
        <v>14.06569699444445</v>
      </c>
      <c r="FU6" t="inlineStr">
        <is>
          <t>passed</t>
        </is>
      </c>
      <c r="FV6" t="n">
        <v>248.4956975877362</v>
      </c>
      <c r="FW6" t="n">
        <v>37.93010212442377</v>
      </c>
      <c r="FX6" t="n">
        <v>11.17812833352406</v>
      </c>
      <c r="FY6" t="n">
        <v>0.9081737260194057</v>
      </c>
      <c r="FZ6" t="n">
        <v>1</v>
      </c>
      <c r="GA6" t="n">
        <v>0.9313266044977389</v>
      </c>
      <c r="GB6" t="n">
        <v>1</v>
      </c>
      <c r="GC6" t="n">
        <v>1</v>
      </c>
      <c r="GD6" t="n">
        <v>0.9341103398093734</v>
      </c>
      <c r="GE6" t="n">
        <v>0.9397731898119871</v>
      </c>
      <c r="GF6" t="n">
        <v>0.7190920626467232</v>
      </c>
      <c r="GG6" t="n">
        <v>0.5907800877560567</v>
      </c>
      <c r="GH6" t="n">
        <v>0.9765353304337967</v>
      </c>
      <c r="GI6" t="n">
        <v>0.3219866071428571</v>
      </c>
      <c r="GJ6" t="n">
        <v>0.8333333333333335</v>
      </c>
      <c r="GK6" t="n">
        <v>0.6909090909090909</v>
      </c>
      <c r="GL6" t="n">
        <v>0.4655244644994353</v>
      </c>
      <c r="GM6" t="n">
        <v>0.4655244644994353</v>
      </c>
      <c r="GN6" t="n">
        <v>0.9934113473301194</v>
      </c>
      <c r="GO6" t="n">
        <v>0.813826654087239</v>
      </c>
      <c r="GP6" t="n">
        <v>709.4563446760469</v>
      </c>
      <c r="GQ6" t="inlineStr">
        <is>
          <t>compiled workbook density_weighted_sum = density_component_ratio_weighted_sum (per-note component ratios); research density_weighted_sum maps body-ceiling richness</t>
        </is>
      </c>
      <c r="GR6" s="15" t="inlineStr">
        <is>
          <t>individual_exact</t>
        </is>
      </c>
      <c r="GS6" s="15" t="inlineStr">
        <is>
          <t>density_weight</t>
        </is>
      </c>
      <c r="GT6" s="15" t="n">
        <v>0.7707324465974136</v>
      </c>
      <c r="GU6" s="15" t="n">
        <v>0.2292675534025864</v>
      </c>
      <c r="GV6" s="15" t="n">
        <v>0</v>
      </c>
      <c r="GW6" s="15" t="inlineStr">
        <is>
          <t>log</t>
        </is>
      </c>
      <c r="GX6" s="15" t="n">
        <v>0.5</v>
      </c>
      <c r="GY6" s="15" t="inlineStr">
        <is>
          <t>EWSD-R v18.1</t>
        </is>
      </c>
      <c r="GZ6" s="15" t="n">
        <v>9.900814023036107</v>
      </c>
      <c r="HA6" s="15" t="n">
        <v>31.61725518451464</v>
      </c>
      <c r="HB6" s="15" t="n">
        <v>0.2972566778310414</v>
      </c>
      <c r="HC6" s="15" t="n">
        <v>14.58808526499316</v>
      </c>
      <c r="HD6" s="15" t="n">
        <v>37.649775028537</v>
      </c>
      <c r="HE6" s="15" t="n">
        <v>0.2525643165712977</v>
      </c>
      <c r="HF6" s="15" t="inlineStr">
        <is>
          <t>partials+ratios</t>
        </is>
      </c>
      <c r="HG6" s="15" t="inlineStr">
        <is>
          <t>merged_individual_exact</t>
        </is>
      </c>
      <c r="HH6" s="15" t="inlineStr">
        <is>
          <t>passed</t>
        </is>
      </c>
      <c r="HI6" s="15" t="inlineStr">
        <is>
          <t>passed</t>
        </is>
      </c>
    </row>
    <row r="7">
      <c r="A7" t="inlineStr">
        <is>
          <t>incomplete_inference</t>
        </is>
      </c>
      <c r="B7" t="inlineStr">
        <is>
          <t>missing_instrument_technique</t>
        </is>
      </c>
      <c r="C7" t="inlineStr">
        <is>
          <t>prior_constrained_harmonic_fit</t>
        </is>
      </c>
      <c r="D7" t="inlineStr">
        <is>
          <t>IOWA_flt_ff.E4_SustainStable/E4/component_amplitude_mass_pie.png</t>
        </is>
      </c>
      <c r="E7" t="inlineStr">
        <is>
          <t>IOWA_flt_ff.E4_SustainStable/E4/component_energy_ratio_pie.png</t>
        </is>
      </c>
      <c r="F7" s="15" t="n">
        <v>329.6573157708623</v>
      </c>
      <c r="G7" s="15" t="inlineStr">
        <is>
          <t>prior_constrained_harmonic_fit</t>
        </is>
      </c>
      <c r="H7" s="15" t="inlineStr">
        <is>
          <t>fit_accepted_acoustically_verified</t>
        </is>
      </c>
      <c r="I7" s="16" t="n">
        <v>655.641110044553</v>
      </c>
      <c r="J7" t="inlineStr">
        <is>
          <t>richness_weighted_body_density_body_ceiling</t>
        </is>
      </c>
      <c r="K7" t="inlineStr">
        <is>
          <t>research_body_ceiling_richness_metric</t>
        </is>
      </c>
      <c r="L7" s="15" t="n">
        <v>36368.70091776053</v>
      </c>
      <c r="M7" s="15" t="n">
        <v>36368.70091776053</v>
      </c>
      <c r="N7" s="15" t="n">
        <v>105.4971961051638</v>
      </c>
      <c r="O7" s="15" t="n">
        <v>30.39618530715707</v>
      </c>
      <c r="P7" s="15" t="n">
        <v>-2.927928876506834</v>
      </c>
      <c r="Q7" s="15" t="n">
        <v>19</v>
      </c>
      <c r="R7" s="15" t="n">
        <v>54</v>
      </c>
      <c r="S7" s="15" t="n">
        <v>9092.342879235761</v>
      </c>
      <c r="T7" s="15" t="n">
        <v>61</v>
      </c>
      <c r="U7" s="15" t="n">
        <v>0.8977046297145023</v>
      </c>
      <c r="V7" s="15" t="n">
        <v>41.4729735677988</v>
      </c>
      <c r="W7" s="15" t="n">
        <v>0.8589468737506635</v>
      </c>
      <c r="X7" s="15" t="n">
        <v>0.447040561703422</v>
      </c>
      <c r="Y7" s="15" t="n">
        <v>35</v>
      </c>
      <c r="Z7" s="15" t="n">
        <v>60</v>
      </c>
      <c r="AA7" s="15" t="n">
        <v>0.5833333333333334</v>
      </c>
      <c r="AB7" s="15" t="n">
        <v>60</v>
      </c>
      <c r="AC7" s="15" t="n">
        <v>35</v>
      </c>
      <c r="AD7" s="15" t="n">
        <v>0.5833333333333334</v>
      </c>
      <c r="AE7" s="15" t="n">
        <v>663.0368297233227</v>
      </c>
      <c r="AF7" s="15" t="n">
        <v>35</v>
      </c>
      <c r="AG7" s="15" t="n">
        <v>60</v>
      </c>
      <c r="AH7" s="15" t="n">
        <v>0.5833333333333334</v>
      </c>
      <c r="AI7" s="15" t="n">
        <v>663.0368297233227</v>
      </c>
      <c r="AJ7" s="15" t="n">
        <v>18</v>
      </c>
      <c r="AK7" s="15" t="n">
        <v>17</v>
      </c>
      <c r="AL7" s="15" t="n">
        <v>0.8492809247001837</v>
      </c>
      <c r="AM7" s="15" t="n">
        <v>45</v>
      </c>
      <c r="AN7" s="15" t="n">
        <v>0</v>
      </c>
      <c r="AO7" s="15" t="n">
        <v>45</v>
      </c>
      <c r="AP7" s="15" t="n">
        <v>0</v>
      </c>
      <c r="AQ7" s="15" t="n">
        <v>36.63292108742471</v>
      </c>
      <c r="AR7" s="15" t="n">
        <v>20.47687689925603</v>
      </c>
      <c r="AS7" s="15" t="n">
        <v>0.7639737345599003</v>
      </c>
      <c r="AT7" s="17" t="n">
        <v>2.675161915897589</v>
      </c>
      <c r="AU7" s="18" t="n">
        <v>17.6253072928357</v>
      </c>
      <c r="AV7" s="15" t="n">
        <v>22.33582815835092</v>
      </c>
      <c r="AW7" s="15" t="b">
        <v>1</v>
      </c>
      <c r="AX7" s="15" t="n">
        <v>20.02534700788695</v>
      </c>
      <c r="AY7" s="15" t="n">
        <v>22.79051364604453</v>
      </c>
      <c r="AZ7" s="15" t="n">
        <v>0</v>
      </c>
      <c r="BA7" s="15" t="n">
        <v>1</v>
      </c>
      <c r="BB7" s="15" t="n">
        <v>0.5</v>
      </c>
      <c r="BC7" s="15" t="n">
        <v>0.25</v>
      </c>
      <c r="BD7" s="15" t="inlineStr">
        <is>
          <t>his_note_adaptive</t>
        </is>
      </c>
      <c r="BE7" s="15" t="n">
        <v>-90</v>
      </c>
      <c r="BF7" s="15" t="n">
        <v>20000</v>
      </c>
      <c r="BG7" s="15" t="n">
        <v>35</v>
      </c>
      <c r="BH7" s="15" t="n">
        <v>0.5833333333333334</v>
      </c>
      <c r="BI7" s="15" t="n">
        <v>60</v>
      </c>
      <c r="BJ7" s="15" t="n">
        <v>35</v>
      </c>
      <c r="BK7" s="15" t="n">
        <v>60</v>
      </c>
      <c r="BL7" s="15" t="n">
        <v>53</v>
      </c>
      <c r="BM7" s="15" t="n">
        <v>0.8833333333333333</v>
      </c>
      <c r="BN7" s="15" t="n">
        <v>0.3190106977417593</v>
      </c>
      <c r="BO7" s="15" t="n">
        <v>0.375</v>
      </c>
      <c r="BP7" s="19" t="n">
        <v>0.8318303866544954</v>
      </c>
      <c r="BQ7" s="19" t="n">
        <v>0.1681696133455048</v>
      </c>
      <c r="BR7" s="19" t="n">
        <v>0</v>
      </c>
      <c r="BS7" s="15" t="n">
        <v>0.07581305758520943</v>
      </c>
      <c r="BT7" s="19" t="n">
        <v>1</v>
      </c>
      <c r="BU7" s="19" t="n">
        <v>0</v>
      </c>
      <c r="BV7" s="19" t="n">
        <v>0</v>
      </c>
      <c r="BW7" t="inlineStr">
        <is>
          <t>E4</t>
        </is>
      </c>
      <c r="BX7" t="n">
        <v>64</v>
      </c>
      <c r="BY7" t="inlineStr">
        <is>
          <t>E</t>
        </is>
      </c>
      <c r="BZ7" t="n">
        <v>4</v>
      </c>
      <c r="CA7" t="inlineStr">
        <is>
          <t>High</t>
        </is>
      </c>
      <c r="CB7" t="inlineStr">
        <is>
          <t>ff</t>
        </is>
      </c>
      <c r="CC7" s="15" t="n">
        <v>329.6275569128699</v>
      </c>
      <c r="CD7" s="15" t="n">
        <v>329.6573157708623</v>
      </c>
      <c r="CE7" t="inlineStr">
        <is>
          <t>prior_constrained_harmonic_fit</t>
        </is>
      </c>
      <c r="CF7" t="n">
        <v>329.6573157708623</v>
      </c>
      <c r="CG7" s="15" t="n">
        <v>1</v>
      </c>
      <c r="CH7" t="inlineStr">
        <is>
          <t>free_fit_acoustically_verified</t>
        </is>
      </c>
      <c r="CI7" s="15" t="inlineStr">
        <is>
          <t>free_f0_fit</t>
        </is>
      </c>
      <c r="CJ7" s="15" t="n">
        <v>329.6275569128699</v>
      </c>
      <c r="CK7" s="15" t="n">
        <v>329.6573157708623</v>
      </c>
      <c r="CL7" s="15" t="n">
        <v>0.1562891866244766</v>
      </c>
      <c r="CM7" s="15" t="n">
        <v>20000</v>
      </c>
      <c r="CN7" s="15" t="n">
        <v>0.1562891866244766</v>
      </c>
      <c r="CO7" s="15" t="n">
        <v>2.402314771080618</v>
      </c>
      <c r="CP7" s="15" t="n">
        <v>36368.70091776053</v>
      </c>
      <c r="CQ7" t="n">
        <v>4.326628734045584</v>
      </c>
      <c r="CR7" t="n">
        <v>0.07211047890075974</v>
      </c>
      <c r="CS7" t="n">
        <v>151.5362538240022</v>
      </c>
      <c r="CT7" t="n">
        <v>151.5362538240022</v>
      </c>
      <c r="CU7" t="n">
        <v>655.641110044553</v>
      </c>
      <c r="CV7" t="n">
        <v>30.39618530715707</v>
      </c>
      <c r="CW7" s="15" t="n">
        <v>36368.70091776053</v>
      </c>
      <c r="CX7" s="15" t="n">
        <v>105.4971961051638</v>
      </c>
      <c r="CY7" s="15" t="n">
        <v>30.39618530715707</v>
      </c>
      <c r="CZ7" s="15" t="n">
        <v>2.675161915897589</v>
      </c>
      <c r="DA7" s="15" t="n">
        <v>2.675161915897589</v>
      </c>
      <c r="DB7" s="15" t="n">
        <v>1.646434489554931</v>
      </c>
      <c r="DC7" s="15" t="n">
        <v>0</v>
      </c>
      <c r="DD7" s="15" t="n">
        <v>7.355670805913179e-05</v>
      </c>
      <c r="DE7" s="15" t="n">
        <v>0</v>
      </c>
      <c r="DF7" s="15" t="n">
        <v>19</v>
      </c>
      <c r="DG7" s="15" t="inlineStr">
        <is>
          <t>Density_Metrics</t>
        </is>
      </c>
      <c r="DH7" s="15" t="n">
        <v>2.402314771080618</v>
      </c>
      <c r="DI7" t="n">
        <v>0.9567031683479803</v>
      </c>
      <c r="DJ7" s="15" t="n">
        <v>0.5652764774696868</v>
      </c>
      <c r="DK7" s="15" t="n">
        <v>5.541027726994885</v>
      </c>
      <c r="DL7" s="15" t="n">
        <v>4.359008990295781</v>
      </c>
      <c r="DM7" s="15" t="n">
        <v>1.48020246736361</v>
      </c>
      <c r="DN7" s="15" t="n">
        <v>8.317393875418501</v>
      </c>
      <c r="DO7" s="15" t="n">
        <v>0.4082682889808444</v>
      </c>
      <c r="DP7" s="15" t="n">
        <v>9.5</v>
      </c>
      <c r="DQ7" s="15" t="n">
        <v>47</v>
      </c>
      <c r="DR7" s="15" t="b">
        <v>1</v>
      </c>
      <c r="DS7" s="15" t="n">
        <v>4.326628734045584</v>
      </c>
      <c r="DT7" s="15" t="n">
        <v>26.82243370220532</v>
      </c>
      <c r="DU7" t="n">
        <v>60</v>
      </c>
      <c r="DV7" s="15" t="n">
        <v>0.07581305758520943</v>
      </c>
      <c r="DW7" s="15" t="n">
        <v>2.020258423881687</v>
      </c>
      <c r="DX7" s="15" t="n">
        <v>2.606277176947587</v>
      </c>
      <c r="DY7" s="15" t="n">
        <v>0.0626662514180447</v>
      </c>
      <c r="DZ7" s="15" t="b">
        <v>1</v>
      </c>
      <c r="EA7" s="15" t="n">
        <v>0.09245585977974254</v>
      </c>
      <c r="EB7" s="15" t="n">
        <v>20000</v>
      </c>
      <c r="EC7" s="15" t="n">
        <v>6263.488999646383</v>
      </c>
      <c r="ED7" s="15" t="n">
        <v>19</v>
      </c>
      <c r="EE7" s="15" t="n">
        <v>0</v>
      </c>
      <c r="EF7" s="15" t="n">
        <v>0.03266292922635083</v>
      </c>
      <c r="EG7" s="15" t="b">
        <v>0</v>
      </c>
      <c r="EH7" s="15" t="b">
        <v>1</v>
      </c>
      <c r="EI7" s="15" t="b">
        <v>0</v>
      </c>
      <c r="EJ7" s="15" t="inlineStr">
        <is>
          <t>wf=log|dst=-90.0|ceil=20000.0|fft=adaptive_tier</t>
        </is>
      </c>
      <c r="EK7" s="15" t="inlineStr">
        <is>
          <t>wf=log|dst=runtime_configured|ceil=runtime_configured|fft=fixed</t>
        </is>
      </c>
      <c r="EL7" s="15" t="n">
        <v>0.6332018894564082</v>
      </c>
      <c r="EM7" s="15" t="n">
        <v>0.9837085482270281</v>
      </c>
      <c r="EN7" s="15" t="n">
        <v>0.3114754098360656</v>
      </c>
      <c r="EO7" s="15" t="n">
        <v>0.4075832465581127</v>
      </c>
      <c r="EP7" s="15" t="inlineStr">
        <is>
          <t>warn:power_outlier_detected</t>
        </is>
      </c>
      <c r="EQ7" s="15" t="n">
        <v>274.1099979754774</v>
      </c>
      <c r="ER7" s="15" t="inlineStr">
        <is>
          <t>winsorize_p95_for_robust_diagnostics</t>
        </is>
      </c>
      <c r="ES7" s="15" t="n">
        <v>0.2246394970537876</v>
      </c>
      <c r="ET7" s="15" t="n">
        <v>0.05759878092380195</v>
      </c>
      <c r="EU7" s="15" t="n">
        <v>0.06258822319111297</v>
      </c>
      <c r="EV7" t="inlineStr">
        <is>
          <t>computed</t>
        </is>
      </c>
      <c r="EW7" s="15" t="inlineStr">
        <is>
          <t>computed</t>
        </is>
      </c>
      <c r="EX7" s="15" t="inlineStr">
        <is>
          <t>computed</t>
        </is>
      </c>
      <c r="EY7" s="15" t="inlineStr">
        <is>
          <t>available_from_curve</t>
        </is>
      </c>
      <c r="EZ7" s="15" t="n">
        <v>20000</v>
      </c>
      <c r="FA7" s="15" t="n">
        <v>20000</v>
      </c>
      <c r="FB7" s="15" t="n">
        <v>0.1681696133455048</v>
      </c>
      <c r="FC7" s="15" t="n">
        <v>0.544646969102481</v>
      </c>
      <c r="FD7" s="15" t="n">
        <v>2.675161915897589</v>
      </c>
      <c r="FE7" s="15" t="n">
        <v>1.646434489554931</v>
      </c>
      <c r="FF7" s="15" t="n">
        <v>1.219431321542365</v>
      </c>
      <c r="FG7" s="15" t="n">
        <v>2.023049076691419</v>
      </c>
      <c r="FH7" s="15" t="n">
        <v>0.3162137475145166</v>
      </c>
      <c r="FI7" s="15" t="n">
        <v>0.06305194687468178</v>
      </c>
      <c r="FJ7" s="15" t="n">
        <v>9092.175229440132</v>
      </c>
      <c r="FK7" s="15" t="n">
        <v>26.37429902629096</v>
      </c>
      <c r="FL7" s="15" t="n">
        <v>7.599046326789267</v>
      </c>
      <c r="FM7" s="15" t="n">
        <v>0.004201439534257763</v>
      </c>
      <c r="FN7" t="n">
        <v>1</v>
      </c>
      <c r="FO7" t="n">
        <v>0</v>
      </c>
      <c r="FP7" t="n">
        <v>0</v>
      </c>
      <c r="FQ7" t="inlineStr">
        <is>
          <t>excellent</t>
        </is>
      </c>
      <c r="FR7" s="19" t="n">
        <v>0.8833333333333333</v>
      </c>
      <c r="FS7" s="15" t="n">
        <v>2.600112565855691</v>
      </c>
      <c r="FT7" s="15" t="n">
        <v>15.22058251991264</v>
      </c>
      <c r="FU7" t="inlineStr">
        <is>
          <t>passed</t>
        </is>
      </c>
      <c r="FV7" t="n">
        <v>236.1638472649367</v>
      </c>
      <c r="FW7" t="n">
        <v>21.65156905501568</v>
      </c>
      <c r="FX7" t="n">
        <v>7.787076079041911</v>
      </c>
      <c r="FY7" t="n">
        <v>0.7398889857877452</v>
      </c>
      <c r="FZ7" t="n">
        <v>0.9187302644590279</v>
      </c>
      <c r="GA7" t="n">
        <v>0.6916368508269263</v>
      </c>
      <c r="GB7" t="n">
        <v>0.8202006292796123</v>
      </c>
      <c r="GC7" t="n">
        <v>0.8336389235609909</v>
      </c>
      <c r="GD7" t="n">
        <v>0.7884076356595534</v>
      </c>
      <c r="GE7" t="n">
        <v>0.9183043676951393</v>
      </c>
      <c r="GF7" t="n">
        <v>0.6200957449961462</v>
      </c>
      <c r="GG7" t="n">
        <v>0.3897724276283595</v>
      </c>
      <c r="GH7" t="n">
        <v>0.7899003418407932</v>
      </c>
      <c r="GI7" t="n">
        <v>0.3973214285714286</v>
      </c>
      <c r="GJ7" t="n">
        <v>0.8666666666666667</v>
      </c>
      <c r="GK7" t="n">
        <v>0.5272727272727273</v>
      </c>
      <c r="GL7" t="n">
        <v>0.3427456405482682</v>
      </c>
      <c r="GM7" t="n">
        <v>0.3427456405482682</v>
      </c>
      <c r="GN7" t="n">
        <v>0.9320496226796932</v>
      </c>
      <c r="GO7" t="n">
        <v>0.7568727617552662</v>
      </c>
      <c r="GP7" t="n">
        <v>655.641110044553</v>
      </c>
      <c r="GQ7" t="inlineStr">
        <is>
          <t>compiled workbook density_weighted_sum = density_component_ratio_weighted_sum (per-note component ratios); research density_weighted_sum maps body-ceiling richness</t>
        </is>
      </c>
      <c r="GR7" s="15" t="inlineStr">
        <is>
          <t>individual_exact</t>
        </is>
      </c>
      <c r="GS7" s="15" t="inlineStr">
        <is>
          <t>density_weight</t>
        </is>
      </c>
      <c r="GT7" s="15" t="n">
        <v>0.8367078912575288</v>
      </c>
      <c r="GU7" s="15" t="n">
        <v>0.1632921087424712</v>
      </c>
      <c r="GV7" s="15" t="n">
        <v>0</v>
      </c>
      <c r="GW7" s="15" t="inlineStr">
        <is>
          <t>log</t>
        </is>
      </c>
      <c r="GX7" s="15" t="n">
        <v>0.5</v>
      </c>
      <c r="GY7" s="15" t="inlineStr">
        <is>
          <t>EWSD-R v18.1</t>
        </is>
      </c>
      <c r="GZ7" s="15" t="n">
        <v>9.606165979444569</v>
      </c>
      <c r="HA7" s="15" t="n">
        <v>30.72257971822491</v>
      </c>
      <c r="HB7" s="15" t="n">
        <v>0.3049503380467254</v>
      </c>
      <c r="HC7" s="15" t="n">
        <v>14.07039565710844</v>
      </c>
      <c r="HD7" s="15" t="n">
        <v>36.49603255010347</v>
      </c>
      <c r="HE7" s="15" t="n">
        <v>0.2532806583341576</v>
      </c>
      <c r="HF7" s="15" t="inlineStr">
        <is>
          <t>partials+ratios</t>
        </is>
      </c>
      <c r="HG7" s="15" t="inlineStr">
        <is>
          <t>merged_individual_exact</t>
        </is>
      </c>
      <c r="HH7" s="15" t="inlineStr">
        <is>
          <t>passed</t>
        </is>
      </c>
      <c r="HI7" s="15" t="inlineStr">
        <is>
          <t>passed</t>
        </is>
      </c>
    </row>
    <row r="8">
      <c r="A8" t="inlineStr">
        <is>
          <t>incomplete_inference</t>
        </is>
      </c>
      <c r="B8" t="inlineStr">
        <is>
          <t>missing_instrument_technique</t>
        </is>
      </c>
      <c r="C8" t="inlineStr">
        <is>
          <t>prior_constrained_harmonic_fit</t>
        </is>
      </c>
      <c r="D8" t="inlineStr">
        <is>
          <t>IOWA_flt_ff.F4_SustainStable/F4/component_amplitude_mass_pie.png</t>
        </is>
      </c>
      <c r="E8" t="inlineStr">
        <is>
          <t>IOWA_flt_ff.F4_SustainStable/F4/component_energy_ratio_pie.png</t>
        </is>
      </c>
      <c r="F8" s="15" t="n">
        <v>349.004371296592</v>
      </c>
      <c r="G8" s="15" t="inlineStr">
        <is>
          <t>prior_constrained_harmonic_fit</t>
        </is>
      </c>
      <c r="H8" s="15" t="inlineStr">
        <is>
          <t>fit_accepted_acoustically_verified</t>
        </is>
      </c>
      <c r="I8" s="16" t="n">
        <v>554.4245713615593</v>
      </c>
      <c r="J8" t="inlineStr">
        <is>
          <t>richness_weighted_body_density_body_ceiling</t>
        </is>
      </c>
      <c r="K8" t="inlineStr">
        <is>
          <t>research_body_ceiling_richness_metric</t>
        </is>
      </c>
      <c r="L8" s="15" t="n">
        <v>35156.74502154106</v>
      </c>
      <c r="M8" s="15" t="n">
        <v>35156.74502154106</v>
      </c>
      <c r="N8" s="15" t="n">
        <v>169.3947141764743</v>
      </c>
      <c r="O8" s="15" t="n">
        <v>16.54723389892806</v>
      </c>
      <c r="P8" s="15" t="n">
        <v>-3.125772417328588</v>
      </c>
      <c r="Q8" s="15" t="n">
        <v>18</v>
      </c>
      <c r="R8" s="15" t="n">
        <v>49</v>
      </c>
      <c r="S8" s="15" t="n">
        <v>8789.2711862171</v>
      </c>
      <c r="T8" s="15" t="n">
        <v>58</v>
      </c>
      <c r="U8" s="15" t="n">
        <v>0.700910223533079</v>
      </c>
      <c r="V8" s="15" t="n">
        <v>37.56712991786592</v>
      </c>
      <c r="W8" s="15" t="n">
        <v>0.8611098223748695</v>
      </c>
      <c r="X8" s="15" t="n">
        <v>0.4467774436155969</v>
      </c>
      <c r="Y8" s="15" t="n">
        <v>28</v>
      </c>
      <c r="Z8" s="15" t="n">
        <v>57</v>
      </c>
      <c r="AA8" s="15" t="n">
        <v>0.4912280701754386</v>
      </c>
      <c r="AB8" s="15" t="n">
        <v>57</v>
      </c>
      <c r="AC8" s="15" t="n">
        <v>28</v>
      </c>
      <c r="AD8" s="15" t="n">
        <v>0.4912280701754386</v>
      </c>
      <c r="AE8" s="15" t="n">
        <v>603.2382775858358</v>
      </c>
      <c r="AF8" s="15" t="n">
        <v>28</v>
      </c>
      <c r="AG8" s="15" t="n">
        <v>57</v>
      </c>
      <c r="AH8" s="15" t="n">
        <v>0.4912280701754386</v>
      </c>
      <c r="AI8" s="15" t="n">
        <v>603.2382775858358</v>
      </c>
      <c r="AJ8" s="15" t="n">
        <v>15</v>
      </c>
      <c r="AK8" s="15" t="n">
        <v>13</v>
      </c>
      <c r="AL8" s="15" t="n">
        <v>1.341547783842821</v>
      </c>
      <c r="AM8" s="15" t="n">
        <v>31</v>
      </c>
      <c r="AN8" s="15" t="n">
        <v>0</v>
      </c>
      <c r="AO8" s="15" t="n">
        <v>31</v>
      </c>
      <c r="AP8" s="15" t="n">
        <v>0</v>
      </c>
      <c r="AQ8" s="15" t="n">
        <v>28.43380535505248</v>
      </c>
      <c r="AR8" s="15" t="n">
        <v>16.43900868236866</v>
      </c>
      <c r="AS8" s="15" t="n">
        <v>0.551031405681585</v>
      </c>
      <c r="AT8" s="17" t="n">
        <v>2.635273527141893</v>
      </c>
      <c r="AU8" s="18" t="n">
        <v>15.67870871539576</v>
      </c>
      <c r="AV8" s="15" t="n">
        <v>20.23720166626874</v>
      </c>
      <c r="AW8" s="15" t="b">
        <v>1</v>
      </c>
      <c r="AX8" s="15" t="n">
        <v>16.37572305850492</v>
      </c>
      <c r="AY8" s="15" t="n">
        <v>16.81337757194044</v>
      </c>
      <c r="AZ8" s="15" t="n">
        <v>0</v>
      </c>
      <c r="BA8" s="15" t="n">
        <v>1</v>
      </c>
      <c r="BB8" s="15" t="n">
        <v>0.5</v>
      </c>
      <c r="BC8" s="15" t="n">
        <v>0.25</v>
      </c>
      <c r="BD8" s="15" t="inlineStr">
        <is>
          <t>his_note_adaptive</t>
        </is>
      </c>
      <c r="BE8" s="15" t="n">
        <v>-90</v>
      </c>
      <c r="BF8" s="15" t="n">
        <v>20000</v>
      </c>
      <c r="BG8" s="15" t="n">
        <v>28</v>
      </c>
      <c r="BH8" s="15" t="n">
        <v>0.4912280701754386</v>
      </c>
      <c r="BI8" s="15" t="n">
        <v>57</v>
      </c>
      <c r="BJ8" s="15" t="n">
        <v>28</v>
      </c>
      <c r="BK8" s="15" t="n">
        <v>57</v>
      </c>
      <c r="BL8" s="15" t="n">
        <v>50</v>
      </c>
      <c r="BM8" s="15" t="n">
        <v>0.8771929824561403</v>
      </c>
      <c r="BN8" s="15" t="n">
        <v>0.3037139835713135</v>
      </c>
      <c r="BO8" s="15" t="n">
        <v>0.2583333333333334</v>
      </c>
      <c r="BP8" s="19" t="n">
        <v>0.8271381879486103</v>
      </c>
      <c r="BQ8" s="19" t="n">
        <v>0.1728618120513899</v>
      </c>
      <c r="BR8" s="19" t="n">
        <v>0</v>
      </c>
      <c r="BS8" s="15" t="n">
        <v>0.05398852182611374</v>
      </c>
      <c r="BT8" s="19" t="n">
        <v>1</v>
      </c>
      <c r="BU8" s="19" t="n">
        <v>0</v>
      </c>
      <c r="BV8" s="19" t="n">
        <v>0</v>
      </c>
      <c r="BW8" t="inlineStr">
        <is>
          <t>F4</t>
        </is>
      </c>
      <c r="BX8" t="n">
        <v>65</v>
      </c>
      <c r="BY8" t="inlineStr">
        <is>
          <t>F</t>
        </is>
      </c>
      <c r="BZ8" t="n">
        <v>4</v>
      </c>
      <c r="CA8" t="inlineStr">
        <is>
          <t>High</t>
        </is>
      </c>
      <c r="CB8" t="inlineStr">
        <is>
          <t>ff</t>
        </is>
      </c>
      <c r="CC8" s="15" t="n">
        <v>349.2282314330039</v>
      </c>
      <c r="CD8" s="15" t="n">
        <v>349.004371296592</v>
      </c>
      <c r="CE8" t="inlineStr">
        <is>
          <t>prior_constrained_harmonic_fit</t>
        </is>
      </c>
      <c r="CF8" t="n">
        <v>349.004371296592</v>
      </c>
      <c r="CG8" s="15" t="n">
        <v>1</v>
      </c>
      <c r="CH8" t="inlineStr">
        <is>
          <t>free_fit_acoustically_verified</t>
        </is>
      </c>
      <c r="CI8" s="15" t="inlineStr">
        <is>
          <t>free_f0_fit</t>
        </is>
      </c>
      <c r="CJ8" s="15" t="n">
        <v>349.2282314330039</v>
      </c>
      <c r="CK8" s="15" t="n">
        <v>349.004371296592</v>
      </c>
      <c r="CL8" s="15" t="n">
        <v>-1.11010085220613</v>
      </c>
      <c r="CM8" s="15" t="n">
        <v>20000</v>
      </c>
      <c r="CN8" s="15" t="n">
        <v>-1.11010085220613</v>
      </c>
      <c r="CO8" s="15" t="n">
        <v>2.381833398741051</v>
      </c>
      <c r="CP8" s="15" t="n">
        <v>35156.74502154106</v>
      </c>
      <c r="CQ8" t="n">
        <v>3.595577525535511</v>
      </c>
      <c r="CR8" t="n">
        <v>0.06308030746553528</v>
      </c>
      <c r="CS8" t="n">
        <v>154.1962500944784</v>
      </c>
      <c r="CT8" t="n">
        <v>154.1962500944784</v>
      </c>
      <c r="CU8" t="n">
        <v>554.4245713615593</v>
      </c>
      <c r="CV8" t="n">
        <v>16.54723389892806</v>
      </c>
      <c r="CW8" s="15" t="n">
        <v>35156.74502154106</v>
      </c>
      <c r="CX8" s="15" t="n">
        <v>169.3947141764743</v>
      </c>
      <c r="CY8" s="15" t="n">
        <v>16.54723389892806</v>
      </c>
      <c r="CZ8" s="15" t="n">
        <v>2.635273527141893</v>
      </c>
      <c r="DA8" s="15" t="n">
        <v>2.635273527141893</v>
      </c>
      <c r="DB8" s="15" t="n">
        <v>1.730443217245666</v>
      </c>
      <c r="DC8" s="15" t="n">
        <v>0</v>
      </c>
      <c r="DD8" s="15" t="n">
        <v>7.49578359864436e-05</v>
      </c>
      <c r="DE8" s="15" t="n">
        <v>0</v>
      </c>
      <c r="DF8" s="15" t="n">
        <v>18</v>
      </c>
      <c r="DG8" s="15" t="inlineStr">
        <is>
          <t>Density_Metrics</t>
        </is>
      </c>
      <c r="DH8" s="15" t="n">
        <v>2.381833398741051</v>
      </c>
      <c r="DI8" t="n">
        <v>0.9485466211522252</v>
      </c>
      <c r="DJ8" s="15" t="n">
        <v>0.5605370938358223</v>
      </c>
      <c r="DK8" s="15" t="n">
        <v>5.460383125975491</v>
      </c>
      <c r="DL8" s="15" t="n">
        <v>3.63368734118469</v>
      </c>
      <c r="DM8" s="15" t="n">
        <v>1.252639670248505</v>
      </c>
      <c r="DN8" s="15" t="n">
        <v>7.39783789532358</v>
      </c>
      <c r="DO8" s="15" t="n">
        <v>0.4565438217271242</v>
      </c>
      <c r="DP8" s="15" t="n">
        <v>9.875</v>
      </c>
      <c r="DQ8" s="15" t="n">
        <v>45</v>
      </c>
      <c r="DR8" s="15" t="b">
        <v>1</v>
      </c>
      <c r="DS8" s="15" t="n">
        <v>3.595577525535511</v>
      </c>
      <c r="DT8" s="15" t="n">
        <v>25.46631428608902</v>
      </c>
      <c r="DU8" t="n">
        <v>57</v>
      </c>
      <c r="DV8" s="15" t="n">
        <v>0.05398852182611374</v>
      </c>
      <c r="DW8" s="15" t="n">
        <v>1.872763567149135</v>
      </c>
      <c r="DX8" s="15" t="n">
        <v>2.592263005188328</v>
      </c>
      <c r="DY8" s="15" t="n">
        <v>0.07647931175033852</v>
      </c>
      <c r="DZ8" s="15" t="b">
        <v>1</v>
      </c>
      <c r="EA8" s="15" t="n">
        <v>0.2304628735078402</v>
      </c>
      <c r="EB8" s="15" t="n">
        <v>20000</v>
      </c>
      <c r="EC8" s="15" t="n">
        <v>6282.078683338656</v>
      </c>
      <c r="ED8" s="15" t="n">
        <v>18</v>
      </c>
      <c r="EE8" s="15" t="n">
        <v>0</v>
      </c>
      <c r="EF8" s="15" t="n">
        <v>0.03082969987369268</v>
      </c>
      <c r="EG8" s="15" t="b">
        <v>0</v>
      </c>
      <c r="EH8" s="15" t="b">
        <v>1</v>
      </c>
      <c r="EI8" s="15" t="b">
        <v>0</v>
      </c>
      <c r="EJ8" s="15" t="inlineStr">
        <is>
          <t>wf=log|dst=-90.0|ceil=20000.0|fft=adaptive_tier</t>
        </is>
      </c>
      <c r="EK8" s="15" t="inlineStr">
        <is>
          <t>wf=log|dst=runtime_configured|ceil=runtime_configured|fft=fixed</t>
        </is>
      </c>
      <c r="EL8" s="15" t="n">
        <v>0.6291086097552533</v>
      </c>
      <c r="EM8" s="15" t="n">
        <v>0.9824642084626954</v>
      </c>
      <c r="EN8" s="15" t="n">
        <v>0.3103448275862069</v>
      </c>
      <c r="EO8" s="15" t="n">
        <v>0.3918951314593394</v>
      </c>
      <c r="EP8" s="15" t="inlineStr">
        <is>
          <t>warn:power_outlier_detected</t>
        </is>
      </c>
      <c r="EQ8" s="15" t="n">
        <v>346.2074876695527</v>
      </c>
      <c r="ER8" s="15" t="inlineStr">
        <is>
          <t>winsorize_p95_for_robust_diagnostics</t>
        </is>
      </c>
      <c r="ES8" s="15" t="n">
        <v>0.1658383295364032</v>
      </c>
      <c r="ET8" s="15" t="n">
        <v>0.03927607610700581</v>
      </c>
      <c r="EU8" s="15" t="n">
        <v>0.04615559097300383</v>
      </c>
      <c r="EV8" t="inlineStr">
        <is>
          <t>computed</t>
        </is>
      </c>
      <c r="EW8" s="15" t="inlineStr">
        <is>
          <t>computed</t>
        </is>
      </c>
      <c r="EX8" s="15" t="inlineStr">
        <is>
          <t>computed</t>
        </is>
      </c>
      <c r="EY8" s="15" t="inlineStr">
        <is>
          <t>available_from_curve</t>
        </is>
      </c>
      <c r="EZ8" s="15" t="n">
        <v>20000</v>
      </c>
      <c r="FA8" s="15" t="n">
        <v>20000</v>
      </c>
      <c r="FB8" s="15" t="n">
        <v>0.1728618120513899</v>
      </c>
      <c r="FC8" s="15" t="n">
        <v>0.4967770018063536</v>
      </c>
      <c r="FD8" s="15" t="n">
        <v>2.635273527141893</v>
      </c>
      <c r="FE8" s="15" t="n">
        <v>1.730443217245666</v>
      </c>
      <c r="FF8" s="15" t="n">
        <v>1.094666381587932</v>
      </c>
      <c r="FG8" s="15" t="n">
        <v>1.992884110764172</v>
      </c>
      <c r="FH8" s="15" t="n">
        <v>0.3323484402554316</v>
      </c>
      <c r="FI8" s="15" t="n">
        <v>0.05660084772144711</v>
      </c>
      <c r="FJ8" s="15" t="n">
        <v>8789.186255385266</v>
      </c>
      <c r="FK8" s="15" t="n">
        <v>42.34867854411856</v>
      </c>
      <c r="FL8" s="15" t="n">
        <v>4.136808474732016</v>
      </c>
      <c r="FM8" s="15" t="n">
        <v>0.004042170999919928</v>
      </c>
      <c r="FN8" t="n">
        <v>1</v>
      </c>
      <c r="FO8" t="n">
        <v>0</v>
      </c>
      <c r="FP8" t="n">
        <v>0</v>
      </c>
      <c r="FQ8" t="inlineStr">
        <is>
          <t>excellent</t>
        </is>
      </c>
      <c r="FR8" s="19" t="n">
        <v>0.8771929824561403</v>
      </c>
      <c r="FS8" s="15" t="n">
        <v>2.766444805302939</v>
      </c>
      <c r="FT8" s="15" t="n">
        <v>14.46825051763848</v>
      </c>
      <c r="FU8" t="inlineStr">
        <is>
          <t>passed</t>
        </is>
      </c>
      <c r="FV8" t="n">
        <v>215.3954707846202</v>
      </c>
      <c r="FW8" t="n">
        <v>26.37900707349502</v>
      </c>
      <c r="FX8" t="n">
        <v>5.717794808450487</v>
      </c>
      <c r="FY8" t="n">
        <v>0.6908875304246948</v>
      </c>
      <c r="FZ8" t="n">
        <v>0.7658768691804071</v>
      </c>
      <c r="GA8" t="n">
        <v>0.6445256222591095</v>
      </c>
      <c r="GB8" t="n">
        <v>0.642326853760655</v>
      </c>
      <c r="GC8" t="n">
        <v>0.6502093769239464</v>
      </c>
      <c r="GD8" t="n">
        <v>0.69484997287188</v>
      </c>
      <c r="GE8" t="n">
        <v>0.9207346787511812</v>
      </c>
      <c r="GF8" t="n">
        <v>0.6194253562715426</v>
      </c>
      <c r="GG8" t="n">
        <v>0.2243745364318223</v>
      </c>
      <c r="GH8" t="n">
        <v>0.6963768052147852</v>
      </c>
      <c r="GI8" t="n">
        <v>0.2640977443609023</v>
      </c>
      <c r="GJ8" t="n">
        <v>0.8421052631578947</v>
      </c>
      <c r="GK8" t="n">
        <v>0.2727272727272729</v>
      </c>
      <c r="GL8" t="n">
        <v>0.376417247416782</v>
      </c>
      <c r="GM8" t="n">
        <v>0.376417247416782</v>
      </c>
      <c r="GN8" t="n">
        <v>0.8470633823771246</v>
      </c>
      <c r="GO8" t="n">
        <v>0.5176982155372513</v>
      </c>
      <c r="GP8" t="n">
        <v>554.4245713615593</v>
      </c>
      <c r="GQ8" t="inlineStr">
        <is>
          <t>compiled workbook density_weighted_sum = density_component_ratio_weighted_sum (per-note component ratios); research density_weighted_sum maps body-ceiling richness</t>
        </is>
      </c>
      <c r="GR8" s="15" t="inlineStr">
        <is>
          <t>individual_exact</t>
        </is>
      </c>
      <c r="GS8" s="15" t="inlineStr">
        <is>
          <t>density_weight</t>
        </is>
      </c>
      <c r="GT8" s="15" t="n">
        <v>0.8553982149825055</v>
      </c>
      <c r="GU8" s="15" t="n">
        <v>0.1446017850174946</v>
      </c>
      <c r="GV8" s="15" t="n">
        <v>0</v>
      </c>
      <c r="GW8" s="15" t="inlineStr">
        <is>
          <t>log</t>
        </is>
      </c>
      <c r="GX8" s="15" t="n">
        <v>0.5</v>
      </c>
      <c r="GY8" s="15" t="inlineStr">
        <is>
          <t>EWSD-R v18.1</t>
        </is>
      </c>
      <c r="GZ8" s="15" t="n">
        <v>7.805607943596333</v>
      </c>
      <c r="HA8" s="15" t="n">
        <v>28.08948470036279</v>
      </c>
      <c r="HB8" s="15" t="n">
        <v>0.3357989496337889</v>
      </c>
      <c r="HC8" s="15" t="n">
        <v>11.49991021933139</v>
      </c>
      <c r="HD8" s="15" t="n">
        <v>33.41548820884843</v>
      </c>
      <c r="HE8" s="15" t="n">
        <v>0.2818300676095907</v>
      </c>
      <c r="HF8" s="15" t="inlineStr">
        <is>
          <t>partials+ratios</t>
        </is>
      </c>
      <c r="HG8" s="15" t="inlineStr">
        <is>
          <t>merged_individual_exact</t>
        </is>
      </c>
      <c r="HH8" s="15" t="inlineStr">
        <is>
          <t>passed</t>
        </is>
      </c>
      <c r="HI8" s="15" t="inlineStr">
        <is>
          <t>passed</t>
        </is>
      </c>
    </row>
    <row r="9">
      <c r="A9" t="inlineStr">
        <is>
          <t>incomplete_inference</t>
        </is>
      </c>
      <c r="B9" t="inlineStr">
        <is>
          <t>missing_instrument_technique</t>
        </is>
      </c>
      <c r="C9" t="inlineStr">
        <is>
          <t>prior_constrained_harmonic_fit</t>
        </is>
      </c>
      <c r="D9" t="inlineStr">
        <is>
          <t>IOWA_flt_ff.F#4_SustainStable/F#4/component_amplitude_mass_pie.png</t>
        </is>
      </c>
      <c r="E9" t="inlineStr">
        <is>
          <t>IOWA_flt_ff.F#4_SustainStable/F#4/component_energy_ratio_pie.png</t>
        </is>
      </c>
      <c r="F9" s="15" t="n">
        <v>369.8973726855696</v>
      </c>
      <c r="G9" s="15" t="inlineStr">
        <is>
          <t>prior_constrained_harmonic_fit</t>
        </is>
      </c>
      <c r="H9" s="15" t="inlineStr">
        <is>
          <t>fit_accepted_acoustically_verified</t>
        </is>
      </c>
      <c r="I9" s="16" t="n">
        <v>566.9854890301073</v>
      </c>
      <c r="J9" t="inlineStr">
        <is>
          <t>richness_weighted_body_density_body_ceiling</t>
        </is>
      </c>
      <c r="K9" t="inlineStr">
        <is>
          <t>research_body_ceiling_richness_metric</t>
        </is>
      </c>
      <c r="L9" s="15" t="n">
        <v>38561.88647433398</v>
      </c>
      <c r="M9" s="15" t="n">
        <v>38561.88647433398</v>
      </c>
      <c r="N9" s="15" t="n">
        <v>189.9909681107173</v>
      </c>
      <c r="O9" s="15" t="n">
        <v>16.56157201794051</v>
      </c>
      <c r="P9" s="15" t="n">
        <v>-2.827371949920656</v>
      </c>
      <c r="Q9" s="15" t="n">
        <v>20</v>
      </c>
      <c r="R9" s="15" t="n">
        <v>42</v>
      </c>
      <c r="S9" s="15" t="n">
        <v>9640.57130849247</v>
      </c>
      <c r="T9" s="15" t="n">
        <v>55</v>
      </c>
      <c r="U9" s="15" t="n">
        <v>0.5489374982944296</v>
      </c>
      <c r="V9" s="15" t="n">
        <v>34.08485256175376</v>
      </c>
      <c r="W9" s="15" t="n">
        <v>0.8795337281395262</v>
      </c>
      <c r="X9" s="15" t="n">
        <v>0.4357991137473753</v>
      </c>
      <c r="Y9" s="15" t="n">
        <v>27</v>
      </c>
      <c r="Z9" s="15" t="n">
        <v>54</v>
      </c>
      <c r="AA9" s="15" t="n">
        <v>0.5</v>
      </c>
      <c r="AB9" s="15" t="n">
        <v>54</v>
      </c>
      <c r="AC9" s="15" t="n">
        <v>27</v>
      </c>
      <c r="AD9" s="15" t="n">
        <v>0.5</v>
      </c>
      <c r="AE9" s="15" t="n">
        <v>604.5344679726852</v>
      </c>
      <c r="AF9" s="15" t="n">
        <v>27</v>
      </c>
      <c r="AG9" s="15" t="n">
        <v>54</v>
      </c>
      <c r="AH9" s="15" t="n">
        <v>0.5</v>
      </c>
      <c r="AI9" s="15" t="n">
        <v>604.5344679726852</v>
      </c>
      <c r="AJ9" s="15" t="n">
        <v>13</v>
      </c>
      <c r="AK9" s="15" t="n">
        <v>14</v>
      </c>
      <c r="AL9" s="15" t="n">
        <v>1.665372655828214</v>
      </c>
      <c r="AM9" s="15" t="n">
        <v>32</v>
      </c>
      <c r="AN9" s="15" t="n">
        <v>0</v>
      </c>
      <c r="AO9" s="15" t="n">
        <v>32</v>
      </c>
      <c r="AP9" s="15" t="n">
        <v>0</v>
      </c>
      <c r="AQ9" s="15" t="n">
        <v>27.53907865680179</v>
      </c>
      <c r="AR9" s="15" t="n">
        <v>15.62389078639423</v>
      </c>
      <c r="AS9" s="15" t="n">
        <v>0.5080450837522905</v>
      </c>
      <c r="AT9" s="17" t="n">
        <v>2.637218464464654</v>
      </c>
      <c r="AU9" s="18" t="n">
        <v>14.53608987971477</v>
      </c>
      <c r="AV9" s="15" t="n">
        <v>19.64943372816406</v>
      </c>
      <c r="AW9" s="15" t="b">
        <v>1</v>
      </c>
      <c r="AX9" s="15" t="n">
        <v>15.55377997758272</v>
      </c>
      <c r="AY9" s="15" t="n">
        <v>16.20406364144968</v>
      </c>
      <c r="AZ9" s="15" t="n">
        <v>0</v>
      </c>
      <c r="BA9" s="15" t="n">
        <v>1</v>
      </c>
      <c r="BB9" s="15" t="n">
        <v>0.5</v>
      </c>
      <c r="BC9" s="15" t="n">
        <v>0.25</v>
      </c>
      <c r="BD9" s="15" t="inlineStr">
        <is>
          <t>his_note_adaptive</t>
        </is>
      </c>
      <c r="BE9" s="15" t="n">
        <v>-90</v>
      </c>
      <c r="BF9" s="15" t="n">
        <v>20000</v>
      </c>
      <c r="BG9" s="15" t="n">
        <v>27</v>
      </c>
      <c r="BH9" s="15" t="n">
        <v>0.5</v>
      </c>
      <c r="BI9" s="15" t="n">
        <v>54</v>
      </c>
      <c r="BJ9" s="15" t="n">
        <v>27</v>
      </c>
      <c r="BK9" s="15" t="n">
        <v>54</v>
      </c>
      <c r="BL9" s="15" t="n">
        <v>48</v>
      </c>
      <c r="BM9" s="15" t="n">
        <v>0.8888888888888888</v>
      </c>
      <c r="BN9" s="15" t="n">
        <v>0.290082050186765</v>
      </c>
      <c r="BO9" s="15" t="n">
        <v>0.2666666666666667</v>
      </c>
      <c r="BP9" s="19" t="n">
        <v>0.8625164558159193</v>
      </c>
      <c r="BQ9" s="19" t="n">
        <v>0.1374835441840808</v>
      </c>
      <c r="BR9" s="19" t="n">
        <v>0</v>
      </c>
      <c r="BS9" s="15" t="n">
        <v>0.04250617852201625</v>
      </c>
      <c r="BT9" s="19" t="n">
        <v>1</v>
      </c>
      <c r="BU9" s="19" t="n">
        <v>0</v>
      </c>
      <c r="BV9" s="19" t="n">
        <v>0</v>
      </c>
      <c r="BW9" t="inlineStr">
        <is>
          <t>F#4</t>
        </is>
      </c>
      <c r="BX9" t="n">
        <v>66</v>
      </c>
      <c r="BY9" t="inlineStr">
        <is>
          <t>F#</t>
        </is>
      </c>
      <c r="BZ9" t="n">
        <v>4</v>
      </c>
      <c r="CA9" t="inlineStr">
        <is>
          <t>High</t>
        </is>
      </c>
      <c r="CB9" t="inlineStr">
        <is>
          <t>ff</t>
        </is>
      </c>
      <c r="CC9" s="15" t="n">
        <v>369.9944227116344</v>
      </c>
      <c r="CD9" s="15" t="n">
        <v>369.8973726855696</v>
      </c>
      <c r="CE9" t="inlineStr">
        <is>
          <t>prior_constrained_harmonic_fit</t>
        </is>
      </c>
      <c r="CF9" t="n">
        <v>369.8973726855696</v>
      </c>
      <c r="CG9" s="15" t="n">
        <v>1</v>
      </c>
      <c r="CH9" t="inlineStr">
        <is>
          <t>free_fit_acoustically_verified</t>
        </is>
      </c>
      <c r="CI9" s="15" t="inlineStr">
        <is>
          <t>free_f0_fit</t>
        </is>
      </c>
      <c r="CJ9" s="15" t="n">
        <v>369.9944227116344</v>
      </c>
      <c r="CK9" s="15" t="n">
        <v>369.8973726855696</v>
      </c>
      <c r="CL9" s="15" t="n">
        <v>-0.4541645456671363</v>
      </c>
      <c r="CM9" s="15" t="n">
        <v>20000</v>
      </c>
      <c r="CN9" s="15" t="n">
        <v>-0.4541645456671363</v>
      </c>
      <c r="CO9" s="15" t="n">
        <v>2.390066394724947</v>
      </c>
      <c r="CP9" s="15" t="n">
        <v>38561.88647433398</v>
      </c>
      <c r="CQ9" t="n">
        <v>3.175904418265844</v>
      </c>
      <c r="CR9" t="n">
        <v>0.05881304478270081</v>
      </c>
      <c r="CS9" t="n">
        <v>178.5272521959907</v>
      </c>
      <c r="CT9" t="n">
        <v>178.5272521959907</v>
      </c>
      <c r="CU9" t="n">
        <v>566.9854890301073</v>
      </c>
      <c r="CV9" t="n">
        <v>16.56157201794051</v>
      </c>
      <c r="CW9" s="15" t="n">
        <v>38561.88647433398</v>
      </c>
      <c r="CX9" s="15" t="n">
        <v>189.9909681107173</v>
      </c>
      <c r="CY9" s="15" t="n">
        <v>16.56157201794051</v>
      </c>
      <c r="CZ9" s="15" t="n">
        <v>2.637218464464654</v>
      </c>
      <c r="DA9" s="15" t="n">
        <v>2.637218464464654</v>
      </c>
      <c r="DB9" s="15" t="n">
        <v>1.769539755488298</v>
      </c>
      <c r="DC9" s="15" t="n">
        <v>0</v>
      </c>
      <c r="DD9" s="15" t="n">
        <v>6.838924921943156e-05</v>
      </c>
      <c r="DE9" s="15" t="n">
        <v>0</v>
      </c>
      <c r="DF9" s="15" t="n">
        <v>20</v>
      </c>
      <c r="DG9" s="15" t="inlineStr">
        <is>
          <t>Density_Metrics</t>
        </is>
      </c>
      <c r="DH9" s="15" t="n">
        <v>2.390066394724947</v>
      </c>
      <c r="DI9" t="n">
        <v>0.9518253477527558</v>
      </c>
      <c r="DJ9" s="15" t="n">
        <v>0.5607693871317202</v>
      </c>
      <c r="DK9" s="15" t="n">
        <v>5.486983297359315</v>
      </c>
      <c r="DL9" s="15" t="n">
        <v>3.20999815292391</v>
      </c>
      <c r="DM9" s="15" t="n">
        <v>1.125873804992501</v>
      </c>
      <c r="DN9" s="15" t="n">
        <v>7.070072619560459</v>
      </c>
      <c r="DO9" s="15" t="n">
        <v>0.4867852753263771</v>
      </c>
      <c r="DP9" s="15" t="n">
        <v>9.625</v>
      </c>
      <c r="DQ9" s="15" t="n">
        <v>49</v>
      </c>
      <c r="DR9" s="15" t="b">
        <v>1</v>
      </c>
      <c r="DS9" s="15" t="n">
        <v>3.175904418265844</v>
      </c>
      <c r="DT9" s="15" t="n">
        <v>23.53315214235827</v>
      </c>
      <c r="DU9" t="n">
        <v>54</v>
      </c>
      <c r="DV9" s="15" t="n">
        <v>0.04250617852201625</v>
      </c>
      <c r="DW9" s="15" t="n">
        <v>1.829018254578634</v>
      </c>
      <c r="DX9" s="15" t="n">
        <v>2.603399446356702</v>
      </c>
      <c r="DY9" s="15" t="n">
        <v>0.08348678832475796</v>
      </c>
      <c r="DZ9" s="15" t="b">
        <v>1</v>
      </c>
      <c r="EA9" s="15" t="n">
        <v>0.09450350821948852</v>
      </c>
      <c r="EB9" s="15" t="n">
        <v>20000</v>
      </c>
      <c r="EC9" s="15" t="n">
        <v>7767.844826396962</v>
      </c>
      <c r="ED9" s="15" t="n">
        <v>21</v>
      </c>
      <c r="EE9" s="15" t="n">
        <v>0</v>
      </c>
      <c r="EF9" s="15" t="n">
        <v>0.02909936177846458</v>
      </c>
      <c r="EG9" s="15" t="b">
        <v>0</v>
      </c>
      <c r="EH9" s="15" t="b">
        <v>1</v>
      </c>
      <c r="EI9" s="15" t="b">
        <v>0</v>
      </c>
      <c r="EJ9" s="15" t="inlineStr">
        <is>
          <t>wf=log|dst=-90.0|ceil=20000.0|fft=adaptive_tier</t>
        </is>
      </c>
      <c r="EK9" s="15" t="inlineStr">
        <is>
          <t>wf=log|dst=runtime_configured|ceil=runtime_configured|fft=fixed</t>
        </is>
      </c>
      <c r="EL9" s="15" t="n">
        <v>0.6488505649011215</v>
      </c>
      <c r="EM9" s="15" t="n">
        <v>0.9903261704012349</v>
      </c>
      <c r="EN9" s="15" t="n">
        <v>0.3636363636363636</v>
      </c>
      <c r="EO9" s="15" t="n">
        <v>0.3796553047391922</v>
      </c>
      <c r="EP9" s="15" t="inlineStr">
        <is>
          <t>warn:power_outlier_detected</t>
        </is>
      </c>
      <c r="EQ9" s="15" t="n">
        <v>420.4950884662686</v>
      </c>
      <c r="ER9" s="15" t="inlineStr">
        <is>
          <t>winsorize_p95_for_robust_diagnostics</t>
        </is>
      </c>
      <c r="ES9" s="15" t="n">
        <v>0.1877649867417502</v>
      </c>
      <c r="ET9" s="15" t="n">
        <v>0.04765714214508108</v>
      </c>
      <c r="EU9" s="15" t="n">
        <v>0.05230821420717047</v>
      </c>
      <c r="EV9" t="inlineStr">
        <is>
          <t>computed</t>
        </is>
      </c>
      <c r="EW9" s="15" t="inlineStr">
        <is>
          <t>computed</t>
        </is>
      </c>
      <c r="EX9" s="15" t="inlineStr">
        <is>
          <t>computed</t>
        </is>
      </c>
      <c r="EY9" s="15" t="inlineStr">
        <is>
          <t>available_from_curve</t>
        </is>
      </c>
      <c r="EZ9" s="15" t="n">
        <v>20000</v>
      </c>
      <c r="FA9" s="15" t="n">
        <v>20000</v>
      </c>
      <c r="FB9" s="15" t="n">
        <v>0.1374835441840808</v>
      </c>
      <c r="FC9" s="15" t="n">
        <v>0.4430038479052468</v>
      </c>
      <c r="FD9" s="15" t="n">
        <v>2.637218464464654</v>
      </c>
      <c r="FE9" s="15" t="n">
        <v>1.769539755488298</v>
      </c>
      <c r="FF9" s="15" t="n">
        <v>1.080225077406363</v>
      </c>
      <c r="FG9" s="15" t="n">
        <v>1.994354938990176</v>
      </c>
      <c r="FH9" s="15" t="n">
        <v>0.33985731045402</v>
      </c>
      <c r="FI9" s="15" t="n">
        <v>0.05585414528075066</v>
      </c>
      <c r="FJ9" s="15" t="n">
        <v>9640.471618583495</v>
      </c>
      <c r="FK9" s="15" t="n">
        <v>47.49774202767932</v>
      </c>
      <c r="FL9" s="15" t="n">
        <v>4.140393004485128</v>
      </c>
      <c r="FM9" s="15" t="n">
        <v>0.004477083263835665</v>
      </c>
      <c r="FN9" t="n">
        <v>1</v>
      </c>
      <c r="FO9" t="n">
        <v>0</v>
      </c>
      <c r="FP9" t="n">
        <v>0</v>
      </c>
      <c r="FQ9" t="inlineStr">
        <is>
          <t>excellent</t>
        </is>
      </c>
      <c r="FR9" s="19" t="n">
        <v>0.8888888888888888</v>
      </c>
      <c r="FS9" s="15" t="n">
        <v>2.548523671848322</v>
      </c>
      <c r="FT9" s="15" t="n">
        <v>17.96084857258214</v>
      </c>
      <c r="FU9" t="inlineStr">
        <is>
          <t>passed</t>
        </is>
      </c>
      <c r="FV9" t="n">
        <v>216.3645017656075</v>
      </c>
      <c r="FW9" t="n">
        <v>28.91099787828371</v>
      </c>
      <c r="FX9" t="n">
        <v>5.514438407639032</v>
      </c>
      <c r="FY9" t="n">
        <v>0.7105848816822411</v>
      </c>
      <c r="FZ9" t="n">
        <v>0.7848458928047584</v>
      </c>
      <c r="GA9" t="n">
        <v>0.6600649979664192</v>
      </c>
      <c r="GB9" t="n">
        <v>0.5384237155393327</v>
      </c>
      <c r="GC9" t="n">
        <v>0.5449083434175171</v>
      </c>
      <c r="GD9" t="n">
        <v>0.6114381008626432</v>
      </c>
      <c r="GE9" t="n">
        <v>0.9414359665091157</v>
      </c>
      <c r="GF9" t="n">
        <v>0.5914540806383504</v>
      </c>
      <c r="GG9" t="n">
        <v>0.1373552573298188</v>
      </c>
      <c r="GH9" t="n">
        <v>0.6241540880613912</v>
      </c>
      <c r="GI9" t="n">
        <v>0.2767857142857142</v>
      </c>
      <c r="GJ9" t="n">
        <v>0.8888888888888888</v>
      </c>
      <c r="GK9" t="n">
        <v>0.2909090909090911</v>
      </c>
      <c r="GL9" t="n">
        <v>0.1225398645551162</v>
      </c>
      <c r="GM9" t="n">
        <v>0.1225398645551162</v>
      </c>
      <c r="GN9" t="n">
        <v>0.7515968834970185</v>
      </c>
      <c r="GO9" t="n">
        <v>0.491598345864923</v>
      </c>
      <c r="GP9" t="n">
        <v>566.9854890301073</v>
      </c>
      <c r="GQ9" t="inlineStr">
        <is>
          <t>compiled workbook density_weighted_sum = density_component_ratio_weighted_sum (per-note component ratios); research density_weighted_sum maps body-ceiling richness</t>
        </is>
      </c>
      <c r="GR9" s="15" t="inlineStr">
        <is>
          <t>individual_exact</t>
        </is>
      </c>
      <c r="GS9" s="15" t="inlineStr">
        <is>
          <t>density_weight</t>
        </is>
      </c>
      <c r="GT9" s="15" t="n">
        <v>0.8921842686396414</v>
      </c>
      <c r="GU9" s="15" t="n">
        <v>0.1078157313603587</v>
      </c>
      <c r="GV9" s="15" t="n">
        <v>0</v>
      </c>
      <c r="GW9" s="15" t="inlineStr">
        <is>
          <t>log</t>
        </is>
      </c>
      <c r="GX9" s="15" t="n">
        <v>0.5</v>
      </c>
      <c r="GY9" s="15" t="inlineStr">
        <is>
          <t>EWSD-R v18.1</t>
        </is>
      </c>
      <c r="GZ9" s="15" t="n">
        <v>7.225522541651944</v>
      </c>
      <c r="HA9" s="15" t="n">
        <v>25.69477154799691</v>
      </c>
      <c r="HB9" s="15" t="n">
        <v>0.3412986212879788</v>
      </c>
      <c r="HC9" s="15" t="n">
        <v>11.19864074155177</v>
      </c>
      <c r="HD9" s="15" t="n">
        <v>32.42228726708545</v>
      </c>
      <c r="HE9" s="15" t="n">
        <v>0.2855404199671995</v>
      </c>
      <c r="HF9" s="15" t="inlineStr">
        <is>
          <t>partials+ratios</t>
        </is>
      </c>
      <c r="HG9" s="15" t="inlineStr">
        <is>
          <t>merged_individual_exact</t>
        </is>
      </c>
      <c r="HH9" s="15" t="inlineStr">
        <is>
          <t>passed</t>
        </is>
      </c>
      <c r="HI9" s="15" t="inlineStr">
        <is>
          <t>passed</t>
        </is>
      </c>
    </row>
    <row r="10">
      <c r="A10" t="inlineStr">
        <is>
          <t>incomplete_inference</t>
        </is>
      </c>
      <c r="B10" t="inlineStr">
        <is>
          <t>missing_instrument_technique</t>
        </is>
      </c>
      <c r="C10" t="inlineStr">
        <is>
          <t>prior_constrained_harmonic_fit</t>
        </is>
      </c>
      <c r="D10" t="inlineStr">
        <is>
          <t>IOWA_flt_ff.G4_SustainStable/G4/component_amplitude_mass_pie.png</t>
        </is>
      </c>
      <c r="E10" t="inlineStr">
        <is>
          <t>IOWA_flt_ff.G4_SustainStable/G4/component_energy_ratio_pie.png</t>
        </is>
      </c>
      <c r="F10" s="15" t="n">
        <v>392.021373878421</v>
      </c>
      <c r="G10" s="15" t="inlineStr">
        <is>
          <t>prior_constrained_harmonic_fit</t>
        </is>
      </c>
      <c r="H10" s="15" t="inlineStr">
        <is>
          <t>fit_accepted_acoustically_verified</t>
        </is>
      </c>
      <c r="I10" s="16" t="n">
        <v>553.661093542088</v>
      </c>
      <c r="J10" t="inlineStr">
        <is>
          <t>richness_weighted_body_density_body_ceiling</t>
        </is>
      </c>
      <c r="K10" t="inlineStr">
        <is>
          <t>research_body_ceiling_richness_metric</t>
        </is>
      </c>
      <c r="L10" s="15" t="n">
        <v>39035.67616462205</v>
      </c>
      <c r="M10" s="15" t="n">
        <v>39035.67616462205</v>
      </c>
      <c r="N10" s="15" t="n">
        <v>189.8573763080534</v>
      </c>
      <c r="O10" s="15" t="n">
        <v>11.72167246501978</v>
      </c>
      <c r="P10" s="15" t="n">
        <v>-3.065645246819049</v>
      </c>
      <c r="Q10" s="15" t="n">
        <v>19</v>
      </c>
      <c r="R10" s="15" t="n">
        <v>45</v>
      </c>
      <c r="S10" s="15" t="n">
        <v>9759.076466538812</v>
      </c>
      <c r="T10" s="15" t="n">
        <v>52</v>
      </c>
      <c r="U10" s="15" t="n">
        <v>0.5101372002425455</v>
      </c>
      <c r="V10" s="15" t="n">
        <v>33.1849636737162</v>
      </c>
      <c r="W10" s="15" t="n">
        <v>0.8752979488669956</v>
      </c>
      <c r="X10" s="15" t="n">
        <v>0.4447158795994719</v>
      </c>
      <c r="Y10" s="15" t="n">
        <v>26</v>
      </c>
      <c r="Z10" s="15" t="n">
        <v>51</v>
      </c>
      <c r="AA10" s="15" t="n">
        <v>0.5098039215686274</v>
      </c>
      <c r="AB10" s="15" t="n">
        <v>51</v>
      </c>
      <c r="AC10" s="15" t="n">
        <v>26</v>
      </c>
      <c r="AD10" s="15" t="n">
        <v>0.5098039215686274</v>
      </c>
      <c r="AE10" s="15" t="n">
        <v>593.4428123126019</v>
      </c>
      <c r="AF10" s="15" t="n">
        <v>26</v>
      </c>
      <c r="AG10" s="15" t="n">
        <v>51</v>
      </c>
      <c r="AH10" s="15" t="n">
        <v>0.5098039215686274</v>
      </c>
      <c r="AI10" s="15" t="n">
        <v>593.4428123126019</v>
      </c>
      <c r="AJ10" s="15" t="n">
        <v>12</v>
      </c>
      <c r="AK10" s="15" t="n">
        <v>14</v>
      </c>
      <c r="AL10" s="15" t="n">
        <v>1.887347697428594</v>
      </c>
      <c r="AM10" s="15" t="n">
        <v>27</v>
      </c>
      <c r="AN10" s="15" t="n">
        <v>0</v>
      </c>
      <c r="AO10" s="15" t="n">
        <v>27</v>
      </c>
      <c r="AP10" s="15" t="n">
        <v>0</v>
      </c>
      <c r="AQ10" s="15" t="n">
        <v>26.091557277094</v>
      </c>
      <c r="AR10" s="15" t="n">
        <v>14.78497190909185</v>
      </c>
      <c r="AS10" s="15" t="n">
        <v>0.4638035855464729</v>
      </c>
      <c r="AT10" s="17" t="n">
        <v>2.629006155742987</v>
      </c>
      <c r="AU10" s="18" t="n">
        <v>13.72738167815079</v>
      </c>
      <c r="AV10" s="15" t="n">
        <v>18.7441405519416</v>
      </c>
      <c r="AW10" s="15" t="b">
        <v>1</v>
      </c>
      <c r="AX10" s="15" t="n">
        <v>14.83283984048252</v>
      </c>
      <c r="AY10" s="15" t="n">
        <v>14.31002032345464</v>
      </c>
      <c r="AZ10" s="15" t="n">
        <v>0</v>
      </c>
      <c r="BA10" s="15" t="n">
        <v>1</v>
      </c>
      <c r="BB10" s="15" t="n">
        <v>0.5</v>
      </c>
      <c r="BC10" s="15" t="n">
        <v>0.25</v>
      </c>
      <c r="BD10" s="15" t="inlineStr">
        <is>
          <t>his_note_adaptive</t>
        </is>
      </c>
      <c r="BE10" s="15" t="n">
        <v>-90</v>
      </c>
      <c r="BF10" s="15" t="n">
        <v>20000</v>
      </c>
      <c r="BG10" s="15" t="n">
        <v>26</v>
      </c>
      <c r="BH10" s="15" t="n">
        <v>0.5098039215686274</v>
      </c>
      <c r="BI10" s="15" t="n">
        <v>51</v>
      </c>
      <c r="BJ10" s="15" t="n">
        <v>26</v>
      </c>
      <c r="BK10" s="15" t="n">
        <v>51</v>
      </c>
      <c r="BL10" s="15" t="n">
        <v>45</v>
      </c>
      <c r="BM10" s="15" t="n">
        <v>0.8823529411764706</v>
      </c>
      <c r="BN10" s="15" t="n">
        <v>0.2808326108047141</v>
      </c>
      <c r="BO10" s="15" t="n">
        <v>0.225</v>
      </c>
      <c r="BP10" s="19" t="n">
        <v>0.8636356335776452</v>
      </c>
      <c r="BQ10" s="19" t="n">
        <v>0.1363643664223549</v>
      </c>
      <c r="BR10" s="19" t="n">
        <v>0</v>
      </c>
      <c r="BS10" s="15" t="n">
        <v>0.03552653602066939</v>
      </c>
      <c r="BT10" s="19" t="n">
        <v>1</v>
      </c>
      <c r="BU10" s="19" t="n">
        <v>0</v>
      </c>
      <c r="BV10" s="19" t="n">
        <v>0</v>
      </c>
      <c r="BW10" t="inlineStr">
        <is>
          <t>G4</t>
        </is>
      </c>
      <c r="BX10" t="n">
        <v>67</v>
      </c>
      <c r="BY10" t="inlineStr">
        <is>
          <t>G</t>
        </is>
      </c>
      <c r="BZ10" t="n">
        <v>4</v>
      </c>
      <c r="CA10" t="inlineStr">
        <is>
          <t>High</t>
        </is>
      </c>
      <c r="CB10" t="inlineStr">
        <is>
          <t>ff</t>
        </is>
      </c>
      <c r="CC10" s="15" t="n">
        <v>391.9954359817492</v>
      </c>
      <c r="CD10" s="15" t="n">
        <v>392.021373878421</v>
      </c>
      <c r="CE10" t="inlineStr">
        <is>
          <t>prior_constrained_harmonic_fit</t>
        </is>
      </c>
      <c r="CF10" t="n">
        <v>392.021373878421</v>
      </c>
      <c r="CG10" s="15" t="n">
        <v>1</v>
      </c>
      <c r="CH10" t="inlineStr">
        <is>
          <t>free_fit_acoustically_verified</t>
        </is>
      </c>
      <c r="CI10" s="15" t="inlineStr">
        <is>
          <t>free_f0_fit</t>
        </is>
      </c>
      <c r="CJ10" s="15" t="n">
        <v>391.9954359817492</v>
      </c>
      <c r="CK10" s="15" t="n">
        <v>392.021373878421</v>
      </c>
      <c r="CL10" s="15" t="n">
        <v>0.1145500181398689</v>
      </c>
      <c r="CM10" s="15" t="n">
        <v>20000</v>
      </c>
      <c r="CN10" s="15" t="n">
        <v>0.1145500181398689</v>
      </c>
      <c r="CO10" s="15" t="n">
        <v>2.378722489888288</v>
      </c>
      <c r="CP10" s="15" t="n">
        <v>39035.67616462205</v>
      </c>
      <c r="CQ10" t="n">
        <v>2.893426582551411</v>
      </c>
      <c r="CR10" t="n">
        <v>0.0567338545598316</v>
      </c>
      <c r="CS10" t="n">
        <v>191.3513537481473</v>
      </c>
      <c r="CT10" t="n">
        <v>191.3513537481473</v>
      </c>
      <c r="CU10" t="n">
        <v>553.661093542088</v>
      </c>
      <c r="CV10" t="n">
        <v>11.72167246501978</v>
      </c>
      <c r="CW10" s="15" t="n">
        <v>39035.67616462205</v>
      </c>
      <c r="CX10" s="15" t="n">
        <v>189.8573763080534</v>
      </c>
      <c r="CY10" s="15" t="n">
        <v>11.72167246501978</v>
      </c>
      <c r="CZ10" s="15" t="n">
        <v>2.629006155742987</v>
      </c>
      <c r="DA10" s="15" t="n">
        <v>2.629006155742987</v>
      </c>
      <c r="DB10" s="15" t="n">
        <v>1.761359481334184</v>
      </c>
      <c r="DC10" s="15" t="n">
        <v>0</v>
      </c>
      <c r="DD10" s="15" t="n">
        <v>6.734880535067175e-05</v>
      </c>
      <c r="DE10" s="15" t="n">
        <v>0</v>
      </c>
      <c r="DF10" s="15" t="n">
        <v>19</v>
      </c>
      <c r="DG10" s="15" t="inlineStr">
        <is>
          <t>Density_Metrics</t>
        </is>
      </c>
      <c r="DH10" s="15" t="n">
        <v>2.378722489888288</v>
      </c>
      <c r="DI10" t="n">
        <v>0.9473077259034809</v>
      </c>
      <c r="DJ10" s="15" t="n">
        <v>0.5597877048781381</v>
      </c>
      <c r="DK10" s="15" t="n">
        <v>5.401694014700539</v>
      </c>
      <c r="DL10" s="15" t="n">
        <v>2.923370511668342</v>
      </c>
      <c r="DM10" s="15" t="n">
        <v>1.188681559690423</v>
      </c>
      <c r="DN10" s="15" t="n">
        <v>6.354357021118705</v>
      </c>
      <c r="DO10" s="15" t="n">
        <v>0.5112908386701123</v>
      </c>
      <c r="DP10" s="15" t="n">
        <v>9.125</v>
      </c>
      <c r="DQ10" s="15" t="n">
        <v>47</v>
      </c>
      <c r="DR10" s="15" t="b">
        <v>1</v>
      </c>
      <c r="DS10" s="15" t="n">
        <v>2.893426582551411</v>
      </c>
      <c r="DT10" s="15" t="n">
        <v>22.68050985957307</v>
      </c>
      <c r="DU10" t="n">
        <v>51</v>
      </c>
      <c r="DV10" s="15" t="n">
        <v>0.03552653602066939</v>
      </c>
      <c r="DW10" s="15" t="n">
        <v>1.882124735481775</v>
      </c>
      <c r="DX10" s="15" t="n">
        <v>2.603437691445393</v>
      </c>
      <c r="DY10" s="15" t="n">
        <v>0.08067229258029104</v>
      </c>
      <c r="DZ10" s="15" t="b">
        <v>1</v>
      </c>
      <c r="EA10" s="15" t="n">
        <v>0.1653607915205777</v>
      </c>
      <c r="EB10" s="15" t="n">
        <v>20000</v>
      </c>
      <c r="EC10" s="15" t="n">
        <v>7840.42747756842</v>
      </c>
      <c r="ED10" s="15" t="n">
        <v>20</v>
      </c>
      <c r="EE10" s="15" t="n">
        <v>0</v>
      </c>
      <c r="EF10" s="15" t="n">
        <v>0.0274661400981242</v>
      </c>
      <c r="EG10" s="15" t="b">
        <v>0</v>
      </c>
      <c r="EH10" s="15" t="b">
        <v>1</v>
      </c>
      <c r="EI10" s="15" t="b">
        <v>0</v>
      </c>
      <c r="EJ10" s="15" t="inlineStr">
        <is>
          <t>wf=log|dst=-90.0|ceil=20000.0|fft=adaptive_tier</t>
        </is>
      </c>
      <c r="EK10" s="15" t="inlineStr">
        <is>
          <t>wf=log|dst=runtime_configured|ceil=runtime_configured|fft=fixed</t>
        </is>
      </c>
      <c r="EL10" s="15" t="n">
        <v>0.6494251520668654</v>
      </c>
      <c r="EM10" s="15" t="n">
        <v>0.9918278450076403</v>
      </c>
      <c r="EN10" s="15" t="n">
        <v>0.3653846153846154</v>
      </c>
      <c r="EO10" s="15" t="n">
        <v>0.3760900321440592</v>
      </c>
      <c r="EP10" s="15" t="inlineStr">
        <is>
          <t>warn:power_outlier_detected</t>
        </is>
      </c>
      <c r="EQ10" s="15" t="n">
        <v>445.9715992029306</v>
      </c>
      <c r="ER10" s="15" t="inlineStr">
        <is>
          <t>winsorize_p95_for_robust_diagnostics</t>
        </is>
      </c>
      <c r="ES10" s="15" t="n">
        <v>0.2017018873960477</v>
      </c>
      <c r="ET10" s="15" t="n">
        <v>0.05140095306848173</v>
      </c>
      <c r="EU10" s="15" t="n">
        <v>0.05400572671711214</v>
      </c>
      <c r="EV10" t="inlineStr">
        <is>
          <t>computed</t>
        </is>
      </c>
      <c r="EW10" s="15" t="inlineStr">
        <is>
          <t>computed</t>
        </is>
      </c>
      <c r="EX10" s="15" t="inlineStr">
        <is>
          <t>computed</t>
        </is>
      </c>
      <c r="EY10" s="15" t="inlineStr">
        <is>
          <t>available_from_curve</t>
        </is>
      </c>
      <c r="EZ10" s="15" t="n">
        <v>20000</v>
      </c>
      <c r="FA10" s="15" t="n">
        <v>20000</v>
      </c>
      <c r="FB10" s="15" t="n">
        <v>0.1363643664223549</v>
      </c>
      <c r="FC10" s="15" t="n">
        <v>0.4258215878118743</v>
      </c>
      <c r="FD10" s="15" t="n">
        <v>2.629006155742987</v>
      </c>
      <c r="FE10" s="15" t="n">
        <v>1.761359481334184</v>
      </c>
      <c r="FF10" s="15" t="n">
        <v>1.011328377623369</v>
      </c>
      <c r="FG10" s="15" t="n">
        <v>1.988144509827687</v>
      </c>
      <c r="FH10" s="15" t="n">
        <v>0.3382862092882107</v>
      </c>
      <c r="FI10" s="15" t="n">
        <v>0.05229177077239067</v>
      </c>
      <c r="FJ10" s="15" t="n">
        <v>9758.919041155512</v>
      </c>
      <c r="FK10" s="15" t="n">
        <v>47.46434407701336</v>
      </c>
      <c r="FL10" s="15" t="n">
        <v>2.930418116254945</v>
      </c>
      <c r="FM10" s="15" t="n">
        <v>0.004529630788242475</v>
      </c>
      <c r="FN10" t="n">
        <v>1</v>
      </c>
      <c r="FO10" t="n">
        <v>0</v>
      </c>
      <c r="FP10" t="n">
        <v>0</v>
      </c>
      <c r="FQ10" t="inlineStr">
        <is>
          <t>excellent</t>
        </is>
      </c>
      <c r="FR10" s="19" t="n">
        <v>0.8823529411764706</v>
      </c>
      <c r="FS10" s="15" t="n">
        <v>2.249073284296554</v>
      </c>
      <c r="FT10" s="15" t="n">
        <v>16.21537715117335</v>
      </c>
      <c r="FU10" t="inlineStr">
        <is>
          <t>passed</t>
        </is>
      </c>
      <c r="FV10" t="n">
        <v>212.3022228301713</v>
      </c>
      <c r="FW10" t="n">
        <v>28.36220358027764</v>
      </c>
      <c r="FX10" t="n">
        <v>4.632138664018098</v>
      </c>
      <c r="FY10" t="n">
        <v>0.6834447156191309</v>
      </c>
      <c r="FZ10" t="n">
        <v>0.7647238938026222</v>
      </c>
      <c r="GA10" t="n">
        <v>0.6102404239846292</v>
      </c>
      <c r="GB10" t="n">
        <v>0.4681327752637965</v>
      </c>
      <c r="GC10" t="n">
        <v>0.4740312547307839</v>
      </c>
      <c r="GD10" t="n">
        <v>0.5898828342725839</v>
      </c>
      <c r="GE10" t="n">
        <v>0.9366766018705946</v>
      </c>
      <c r="GF10" t="n">
        <v>0.6141727745015758</v>
      </c>
      <c r="GG10" t="n">
        <v>0.08445982973533384</v>
      </c>
      <c r="GH10" t="n">
        <v>0.6057148388654048</v>
      </c>
      <c r="GI10" t="n">
        <v>0.2909663865546218</v>
      </c>
      <c r="GJ10" t="n">
        <v>0.8627450980392157</v>
      </c>
      <c r="GK10" t="n">
        <v>0.2000000000000001</v>
      </c>
      <c r="GL10" t="n">
        <v>0.1145085521638586</v>
      </c>
      <c r="GM10" t="n">
        <v>0.1145085521638586</v>
      </c>
      <c r="GN10" t="n">
        <v>0.7210922525620664</v>
      </c>
      <c r="GO10" t="n">
        <v>0.4493730278631831</v>
      </c>
      <c r="GP10" t="n">
        <v>553.661093542088</v>
      </c>
      <c r="GQ10" t="inlineStr">
        <is>
          <t>compiled workbook density_weighted_sum = density_component_ratio_weighted_sum (per-note component ratios); research density_weighted_sum maps body-ceiling richness</t>
        </is>
      </c>
      <c r="GR10" s="15" t="inlineStr">
        <is>
          <t>individual_exact</t>
        </is>
      </c>
      <c r="GS10" s="15" t="inlineStr">
        <is>
          <t>density_weight</t>
        </is>
      </c>
      <c r="GT10" s="15" t="n">
        <v>0.9084427229059995</v>
      </c>
      <c r="GU10" s="15" t="n">
        <v>0.09155727709400049</v>
      </c>
      <c r="GV10" s="15" t="n">
        <v>0</v>
      </c>
      <c r="GW10" s="15" t="inlineStr">
        <is>
          <t>log</t>
        </is>
      </c>
      <c r="GX10" s="15" t="n">
        <v>0.5</v>
      </c>
      <c r="GY10" s="15" t="inlineStr">
        <is>
          <t>EWSD-R v18.1</t>
        </is>
      </c>
      <c r="GZ10" s="15" t="n">
        <v>6.057618422315396</v>
      </c>
      <c r="HA10" s="15" t="n">
        <v>24.96958192840215</v>
      </c>
      <c r="HB10" s="15" t="n">
        <v>0.3651422824371423</v>
      </c>
      <c r="HC10" s="15" t="n">
        <v>9.652112858001001</v>
      </c>
      <c r="HD10" s="15" t="n">
        <v>30.80634596728846</v>
      </c>
      <c r="HE10" s="15" t="n">
        <v>0.3008193672969491</v>
      </c>
      <c r="HF10" s="15" t="inlineStr">
        <is>
          <t>partials+ratios</t>
        </is>
      </c>
      <c r="HG10" s="15" t="inlineStr">
        <is>
          <t>merged_individual_exact</t>
        </is>
      </c>
      <c r="HH10" s="15" t="inlineStr">
        <is>
          <t>passed</t>
        </is>
      </c>
      <c r="HI10" s="15" t="inlineStr">
        <is>
          <t>passed</t>
        </is>
      </c>
    </row>
    <row r="11">
      <c r="A11" t="inlineStr">
        <is>
          <t>incomplete_inference</t>
        </is>
      </c>
      <c r="B11" t="inlineStr">
        <is>
          <t>missing_instrument_technique</t>
        </is>
      </c>
      <c r="C11" t="inlineStr">
        <is>
          <t>prior_constrained_harmonic_fit</t>
        </is>
      </c>
      <c r="D11" t="inlineStr">
        <is>
          <t>IOWA_flt_ff.G#4_SustainStable/G#4/component_amplitude_mass_pie.png</t>
        </is>
      </c>
      <c r="E11" t="inlineStr">
        <is>
          <t>IOWA_flt_ff.G#4_SustainStable/G#4/component_energy_ratio_pie.png</t>
        </is>
      </c>
      <c r="F11" s="15" t="n">
        <v>415.1043136302681</v>
      </c>
      <c r="G11" s="15" t="inlineStr">
        <is>
          <t>prior_constrained_harmonic_fit</t>
        </is>
      </c>
      <c r="H11" s="15" t="inlineStr">
        <is>
          <t>fit_accepted_acoustically_verified</t>
        </is>
      </c>
      <c r="I11" s="16" t="n">
        <v>643.4962655153979</v>
      </c>
      <c r="J11" t="inlineStr">
        <is>
          <t>richness_weighted_body_density_body_ceiling</t>
        </is>
      </c>
      <c r="K11" t="inlineStr">
        <is>
          <t>research_body_ceiling_richness_metric</t>
        </is>
      </c>
      <c r="L11" s="15" t="n">
        <v>38006.60646705184</v>
      </c>
      <c r="M11" s="15" t="n">
        <v>38006.60646705184</v>
      </c>
      <c r="N11" s="15" t="n">
        <v>195.6879700330268</v>
      </c>
      <c r="O11" s="15" t="n">
        <v>17.30453872175923</v>
      </c>
      <c r="P11" s="15" t="n">
        <v>-3.439115341481222</v>
      </c>
      <c r="Q11" s="15" t="n">
        <v>17</v>
      </c>
      <c r="R11" s="15" t="n">
        <v>39</v>
      </c>
      <c r="S11" s="15" t="n">
        <v>9501.813830734152</v>
      </c>
      <c r="T11" s="15" t="n">
        <v>49</v>
      </c>
      <c r="U11" s="15" t="n">
        <v>0.5369363564526748</v>
      </c>
      <c r="V11" s="15" t="n">
        <v>32.44739735642864</v>
      </c>
      <c r="W11" s="15" t="n">
        <v>0.8073797263413305</v>
      </c>
      <c r="X11" s="15" t="n">
        <v>0.4477884984186318</v>
      </c>
      <c r="Y11" s="15" t="n">
        <v>26</v>
      </c>
      <c r="Z11" s="15" t="n">
        <v>48</v>
      </c>
      <c r="AA11" s="15" t="n">
        <v>0.5416666666666666</v>
      </c>
      <c r="AB11" s="15" t="n">
        <v>48</v>
      </c>
      <c r="AC11" s="15" t="n">
        <v>26</v>
      </c>
      <c r="AD11" s="15" t="n">
        <v>0.5416666666666666</v>
      </c>
      <c r="AE11" s="15" t="n">
        <v>578.4705658526191</v>
      </c>
      <c r="AF11" s="15" t="n">
        <v>26</v>
      </c>
      <c r="AG11" s="15" t="n">
        <v>48</v>
      </c>
      <c r="AH11" s="15" t="n">
        <v>0.5416666666666666</v>
      </c>
      <c r="AI11" s="15" t="n">
        <v>578.4705658526191</v>
      </c>
      <c r="AJ11" s="15" t="n">
        <v>12</v>
      </c>
      <c r="AK11" s="15" t="n">
        <v>14</v>
      </c>
      <c r="AL11" s="15" t="n">
        <v>2.001963400039655</v>
      </c>
      <c r="AM11" s="15" t="n">
        <v>46</v>
      </c>
      <c r="AN11" s="15" t="n">
        <v>0</v>
      </c>
      <c r="AO11" s="15" t="n">
        <v>46</v>
      </c>
      <c r="AP11" s="15" t="n">
        <v>0</v>
      </c>
      <c r="AQ11" s="15" t="n">
        <v>29.54512815852045</v>
      </c>
      <c r="AR11" s="15" t="n">
        <v>16.01907665763938</v>
      </c>
      <c r="AS11" s="15" t="n">
        <v>0.5288857341258725</v>
      </c>
      <c r="AT11" s="17" t="n">
        <v>2.617642317747352</v>
      </c>
      <c r="AU11" s="18" t="n">
        <v>13.41315007086601</v>
      </c>
      <c r="AV11" s="15" t="n">
        <v>17.61266113206138</v>
      </c>
      <c r="AW11" s="15" t="b">
        <v>1</v>
      </c>
      <c r="AX11" s="15" t="n">
        <v>14.8313112067252</v>
      </c>
      <c r="AY11" s="15" t="n">
        <v>21.53214343508615</v>
      </c>
      <c r="AZ11" s="15" t="n">
        <v>0</v>
      </c>
      <c r="BA11" s="15" t="n">
        <v>1</v>
      </c>
      <c r="BB11" s="15" t="n">
        <v>0.5</v>
      </c>
      <c r="BC11" s="15" t="n">
        <v>0.25</v>
      </c>
      <c r="BD11" s="15" t="inlineStr">
        <is>
          <t>his_note_adaptive</t>
        </is>
      </c>
      <c r="BE11" s="15" t="n">
        <v>-90</v>
      </c>
      <c r="BF11" s="15" t="n">
        <v>20000</v>
      </c>
      <c r="BG11" s="15" t="n">
        <v>26</v>
      </c>
      <c r="BH11" s="15" t="n">
        <v>0.5416666666666666</v>
      </c>
      <c r="BI11" s="15" t="n">
        <v>48</v>
      </c>
      <c r="BJ11" s="15" t="n">
        <v>26</v>
      </c>
      <c r="BK11" s="15" t="n">
        <v>48</v>
      </c>
      <c r="BL11" s="15" t="n">
        <v>42</v>
      </c>
      <c r="BM11" s="15" t="n">
        <v>0.875</v>
      </c>
      <c r="BN11" s="15" t="n">
        <v>0.3229373402265716</v>
      </c>
      <c r="BO11" s="15" t="n">
        <v>0.3833333333333334</v>
      </c>
      <c r="BP11" s="19" t="n">
        <v>0.8287331227537544</v>
      </c>
      <c r="BQ11" s="19" t="n">
        <v>0.1712668772462456</v>
      </c>
      <c r="BR11" s="19" t="n">
        <v>0</v>
      </c>
      <c r="BS11" s="15" t="n">
        <v>0.07922007838451237</v>
      </c>
      <c r="BT11" s="19" t="n">
        <v>1</v>
      </c>
      <c r="BU11" s="19" t="n">
        <v>0</v>
      </c>
      <c r="BV11" s="19" t="n">
        <v>0</v>
      </c>
      <c r="BW11" t="inlineStr">
        <is>
          <t>G#4</t>
        </is>
      </c>
      <c r="BX11" t="n">
        <v>68</v>
      </c>
      <c r="BY11" t="inlineStr">
        <is>
          <t>G#</t>
        </is>
      </c>
      <c r="BZ11" t="n">
        <v>4</v>
      </c>
      <c r="CA11" t="inlineStr">
        <is>
          <t>High</t>
        </is>
      </c>
      <c r="CB11" t="inlineStr">
        <is>
          <t>ff</t>
        </is>
      </c>
      <c r="CC11" s="15" t="n">
        <v>415.3046975799452</v>
      </c>
      <c r="CD11" s="15" t="n">
        <v>415.1043136302681</v>
      </c>
      <c r="CE11" t="inlineStr">
        <is>
          <t>prior_constrained_harmonic_fit</t>
        </is>
      </c>
      <c r="CF11" t="n">
        <v>415.1043136302681</v>
      </c>
      <c r="CG11" s="15" t="n">
        <v>1</v>
      </c>
      <c r="CH11" t="inlineStr">
        <is>
          <t>free_fit_acoustically_verified</t>
        </is>
      </c>
      <c r="CI11" s="15" t="inlineStr">
        <is>
          <t>free_f0_fit</t>
        </is>
      </c>
      <c r="CJ11" s="15" t="n">
        <v>415.3046975799452</v>
      </c>
      <c r="CK11" s="15" t="n">
        <v>415.1043136302681</v>
      </c>
      <c r="CL11" s="15" t="n">
        <v>-0.8355196502392441</v>
      </c>
      <c r="CM11" s="15" t="n">
        <v>20000</v>
      </c>
      <c r="CN11" s="15" t="n">
        <v>-0.8355196502392441</v>
      </c>
      <c r="CO11" s="15" t="n">
        <v>2.372941144595964</v>
      </c>
      <c r="CP11" s="15" t="n">
        <v>38006.60646705184</v>
      </c>
      <c r="CQ11" t="n">
        <v>3.250784388921009</v>
      </c>
      <c r="CR11" t="n">
        <v>0.06772467476918768</v>
      </c>
      <c r="CS11" t="n">
        <v>197.9510753492284</v>
      </c>
      <c r="CT11" t="n">
        <v>197.9510753492284</v>
      </c>
      <c r="CU11" t="n">
        <v>643.4962655153979</v>
      </c>
      <c r="CV11" t="n">
        <v>17.30453872175923</v>
      </c>
      <c r="CW11" s="15" t="n">
        <v>38006.60646705184</v>
      </c>
      <c r="CX11" s="15" t="n">
        <v>195.6879700330268</v>
      </c>
      <c r="CY11" s="15" t="n">
        <v>17.30453872175923</v>
      </c>
      <c r="CZ11" s="15" t="n">
        <v>2.617642317747352</v>
      </c>
      <c r="DA11" s="15" t="n">
        <v>2.617642317747352</v>
      </c>
      <c r="DB11" s="15" t="n">
        <v>1.75049985766299</v>
      </c>
      <c r="DC11" s="15" t="n">
        <v>0</v>
      </c>
      <c r="DD11" s="15" t="n">
        <v>6.887335021653675e-05</v>
      </c>
      <c r="DE11" s="15" t="n">
        <v>0</v>
      </c>
      <c r="DF11" s="15" t="n">
        <v>17</v>
      </c>
      <c r="DG11" s="15" t="inlineStr">
        <is>
          <t>Density_Metrics</t>
        </is>
      </c>
      <c r="DH11" s="15" t="n">
        <v>2.372941144595964</v>
      </c>
      <c r="DI11" t="n">
        <v>0.9450053501178165</v>
      </c>
      <c r="DJ11" s="15" t="n">
        <v>0.5584256252358791</v>
      </c>
      <c r="DK11" s="15" t="n">
        <v>5.474199832806857</v>
      </c>
      <c r="DL11" s="15" t="n">
        <v>3.287298852156045</v>
      </c>
      <c r="DM11" s="15" t="n">
        <v>1.187543967658535</v>
      </c>
      <c r="DN11" s="15" t="n">
        <v>7.210846241833964</v>
      </c>
      <c r="DO11" s="15" t="n">
        <v>0.5618595405017369</v>
      </c>
      <c r="DP11" s="15" t="n">
        <v>9.125</v>
      </c>
      <c r="DQ11" s="15" t="n">
        <v>43</v>
      </c>
      <c r="DR11" s="15" t="b">
        <v>1</v>
      </c>
      <c r="DS11" s="15" t="n">
        <v>3.250784388921009</v>
      </c>
      <c r="DT11" s="15" t="n">
        <v>21.49384792409433</v>
      </c>
      <c r="DU11" t="n">
        <v>48</v>
      </c>
      <c r="DV11" s="15" t="n">
        <v>0.07922007838451237</v>
      </c>
      <c r="DW11" s="15" t="n">
        <v>1.717602484529158</v>
      </c>
      <c r="DX11" s="15" t="n">
        <v>2.576085129196217</v>
      </c>
      <c r="DY11" s="15" t="n">
        <v>0.0911233598487209</v>
      </c>
      <c r="DZ11" s="15" t="b">
        <v>1</v>
      </c>
      <c r="EA11" s="15" t="n">
        <v>0.1003222808905908</v>
      </c>
      <c r="EB11" s="15" t="n">
        <v>20000</v>
      </c>
      <c r="EC11" s="15" t="n">
        <v>7056.773331714558</v>
      </c>
      <c r="ED11" s="15" t="n">
        <v>17</v>
      </c>
      <c r="EE11" s="15" t="n">
        <v>0</v>
      </c>
      <c r="EF11" s="15" t="n">
        <v>0.02592458410713607</v>
      </c>
      <c r="EG11" s="15" t="b">
        <v>0</v>
      </c>
      <c r="EH11" s="15" t="b">
        <v>1</v>
      </c>
      <c r="EI11" s="15" t="b">
        <v>0</v>
      </c>
      <c r="EJ11" s="15" t="inlineStr">
        <is>
          <t>wf=log|dst=-90.0|ceil=20000.0|fft=adaptive_tier</t>
        </is>
      </c>
      <c r="EK11" s="15" t="inlineStr">
        <is>
          <t>wf=log|dst=runtime_configured|ceil=runtime_configured|fft=fixed</t>
        </is>
      </c>
      <c r="EL11" s="15" t="n">
        <v>0.6459296191482767</v>
      </c>
      <c r="EM11" s="15" t="n">
        <v>0.9897423852985539</v>
      </c>
      <c r="EN11" s="15" t="n">
        <v>0.3469387755102041</v>
      </c>
      <c r="EO11" s="15" t="n">
        <v>0.3955848716767801</v>
      </c>
      <c r="EP11" s="15" t="inlineStr">
        <is>
          <t>warn:power_outlier_detected</t>
        </is>
      </c>
      <c r="EQ11" s="15" t="n">
        <v>327.2116228012775</v>
      </c>
      <c r="ER11" s="15" t="inlineStr">
        <is>
          <t>winsorize_p95_for_robust_diagnostics</t>
        </is>
      </c>
      <c r="ES11" s="15" t="n">
        <v>0.2228220216473257</v>
      </c>
      <c r="ET11" s="15" t="n">
        <v>0.05706600072097986</v>
      </c>
      <c r="EU11" s="15" t="n">
        <v>0.05949694646465556</v>
      </c>
      <c r="EV11" t="inlineStr">
        <is>
          <t>computed</t>
        </is>
      </c>
      <c r="EW11" s="15" t="inlineStr">
        <is>
          <t>computed</t>
        </is>
      </c>
      <c r="EX11" s="15" t="inlineStr">
        <is>
          <t>computed</t>
        </is>
      </c>
      <c r="EY11" s="15" t="inlineStr">
        <is>
          <t>available_from_curve</t>
        </is>
      </c>
      <c r="EZ11" s="15" t="n">
        <v>20000</v>
      </c>
      <c r="FA11" s="15" t="n">
        <v>20000</v>
      </c>
      <c r="FB11" s="15" t="n">
        <v>0.1712668772462456</v>
      </c>
      <c r="FC11" s="15" t="n">
        <v>0.4533013764774951</v>
      </c>
      <c r="FD11" s="15" t="n">
        <v>2.617642317747352</v>
      </c>
      <c r="FE11" s="15" t="n">
        <v>1.75049985766299</v>
      </c>
      <c r="FF11" s="15" t="n">
        <v>1.106057657396516</v>
      </c>
      <c r="FG11" s="15" t="n">
        <v>1.979550786274685</v>
      </c>
      <c r="FH11" s="15" t="n">
        <v>0.3362005130036328</v>
      </c>
      <c r="FI11" s="15" t="n">
        <v>0.05718984531764566</v>
      </c>
      <c r="FJ11" s="15" t="n">
        <v>9501.65161676296</v>
      </c>
      <c r="FK11" s="15" t="n">
        <v>48.92199250825671</v>
      </c>
      <c r="FL11" s="15" t="n">
        <v>4.326134680439808</v>
      </c>
      <c r="FM11" s="15" t="n">
        <v>0.004405186541865242</v>
      </c>
      <c r="FN11" t="n">
        <v>1</v>
      </c>
      <c r="FO11" t="n">
        <v>0</v>
      </c>
      <c r="FP11" t="n">
        <v>0</v>
      </c>
      <c r="FQ11" t="inlineStr">
        <is>
          <t>excellent</t>
        </is>
      </c>
      <c r="FR11" s="19" t="n">
        <v>0.875</v>
      </c>
      <c r="FS11" s="15" t="n">
        <v>3.272553147315318</v>
      </c>
      <c r="FT11" s="15" t="n">
        <v>12.46147853909068</v>
      </c>
      <c r="FU11" t="inlineStr">
        <is>
          <t>passed</t>
        </is>
      </c>
      <c r="FV11" t="n">
        <v>206.8062148712369</v>
      </c>
      <c r="FW11" t="n">
        <v>27.64944664392439</v>
      </c>
      <c r="FX11" t="n">
        <v>5.883041407161265</v>
      </c>
      <c r="FY11" t="n">
        <v>0.669612911354096</v>
      </c>
      <c r="FZ11" t="n">
        <v>0.9003895787809052</v>
      </c>
      <c r="GA11" t="n">
        <v>0.6525971115511262</v>
      </c>
      <c r="GB11" t="n">
        <v>0.5573805014556584</v>
      </c>
      <c r="GC11" t="n">
        <v>0.5636966292579377</v>
      </c>
      <c r="GD11" t="n">
        <v>0.5722157213563971</v>
      </c>
      <c r="GE11" t="n">
        <v>0.8603629967929787</v>
      </c>
      <c r="GF11" t="n">
        <v>0.6220013849494396</v>
      </c>
      <c r="GG11" t="n">
        <v>0.4155926357504312</v>
      </c>
      <c r="GH11" t="n">
        <v>0.6184507286500643</v>
      </c>
      <c r="GI11" t="n">
        <v>0.3370535714285713</v>
      </c>
      <c r="GJ11" t="n">
        <v>0.8333333333333335</v>
      </c>
      <c r="GK11" t="n">
        <v>0.5454545454545456</v>
      </c>
      <c r="GL11" t="n">
        <v>0.3649718630445536</v>
      </c>
      <c r="GM11" t="n">
        <v>0.3649718630445536</v>
      </c>
      <c r="GN11" t="n">
        <v>0.7698786640620631</v>
      </c>
      <c r="GO11" t="n">
        <v>0.5501163610906473</v>
      </c>
      <c r="GP11" t="n">
        <v>643.4962655153979</v>
      </c>
      <c r="GQ11" t="inlineStr">
        <is>
          <t>compiled workbook density_weighted_sum = density_component_ratio_weighted_sum (per-note component ratios); research density_weighted_sum maps body-ceiling richness</t>
        </is>
      </c>
      <c r="GR11" s="15" t="inlineStr">
        <is>
          <t>individual_exact</t>
        </is>
      </c>
      <c r="GS11" s="15" t="inlineStr">
        <is>
          <t>density_weight</t>
        </is>
      </c>
      <c r="GT11" s="15" t="n">
        <v>0.8227435920739776</v>
      </c>
      <c r="GU11" s="15" t="n">
        <v>0.1772564079260224</v>
      </c>
      <c r="GV11" s="15" t="n">
        <v>0</v>
      </c>
      <c r="GW11" s="15" t="inlineStr">
        <is>
          <t>log</t>
        </is>
      </c>
      <c r="GX11" s="15" t="n">
        <v>0.5</v>
      </c>
      <c r="GY11" s="15" t="inlineStr">
        <is>
          <t>EWSD-R v18.1</t>
        </is>
      </c>
      <c r="GZ11" s="15" t="n">
        <v>6.13686312682429</v>
      </c>
      <c r="HA11" s="15" t="n">
        <v>23.89638945958822</v>
      </c>
      <c r="HB11" s="15" t="n">
        <v>0.3447665223162369</v>
      </c>
      <c r="HC11" s="15" t="n">
        <v>9.6448514110257</v>
      </c>
      <c r="HD11" s="15" t="n">
        <v>29.45079711837635</v>
      </c>
      <c r="HE11" s="15" t="n">
        <v>0.2943476867414149</v>
      </c>
      <c r="HF11" s="15" t="inlineStr">
        <is>
          <t>partials+ratios</t>
        </is>
      </c>
      <c r="HG11" s="15" t="inlineStr">
        <is>
          <t>merged_individual_exact</t>
        </is>
      </c>
      <c r="HH11" s="15" t="inlineStr">
        <is>
          <t>passed</t>
        </is>
      </c>
      <c r="HI11" s="15" t="inlineStr">
        <is>
          <t>passed</t>
        </is>
      </c>
    </row>
    <row r="12">
      <c r="A12" t="inlineStr">
        <is>
          <t>incomplete_inference</t>
        </is>
      </c>
      <c r="B12" t="inlineStr">
        <is>
          <t>missing_instrument_technique</t>
        </is>
      </c>
      <c r="C12" t="inlineStr">
        <is>
          <t>prior_constrained_harmonic_fit</t>
        </is>
      </c>
      <c r="D12" t="inlineStr">
        <is>
          <t>IOWA_flt_ff.A4_SustainStable/A4/component_amplitude_mass_pie.png</t>
        </is>
      </c>
      <c r="E12" t="inlineStr">
        <is>
          <t>IOWA_flt_ff.A4_SustainStable/A4/component_energy_ratio_pie.png</t>
        </is>
      </c>
      <c r="F12" s="15" t="n">
        <v>440.2913267740533</v>
      </c>
      <c r="G12" s="15" t="inlineStr">
        <is>
          <t>prior_constrained_harmonic_fit</t>
        </is>
      </c>
      <c r="H12" s="15" t="inlineStr">
        <is>
          <t>fit_accepted_acoustically_verified</t>
        </is>
      </c>
      <c r="I12" s="16" t="n">
        <v>573.7325601647595</v>
      </c>
      <c r="J12" t="inlineStr">
        <is>
          <t>richness_weighted_body_density_body_ceiling</t>
        </is>
      </c>
      <c r="K12" t="inlineStr">
        <is>
          <t>research_body_ceiling_richness_metric</t>
        </is>
      </c>
      <c r="L12" s="15" t="n">
        <v>37074.41568240889</v>
      </c>
      <c r="M12" s="15" t="n">
        <v>37074.41568240889</v>
      </c>
      <c r="N12" s="15" t="n">
        <v>177.9503329138098</v>
      </c>
      <c r="O12" s="15" t="n">
        <v>12.67270097112349</v>
      </c>
      <c r="P12" s="15" t="n">
        <v>-3.031103555155915</v>
      </c>
      <c r="Q12" s="15" t="n">
        <v>20</v>
      </c>
      <c r="R12" s="15" t="n">
        <v>44</v>
      </c>
      <c r="S12" s="15" t="n">
        <v>9268.664351061749</v>
      </c>
      <c r="T12" s="15" t="n">
        <v>46</v>
      </c>
      <c r="U12" s="15" t="n">
        <v>0.4958420153231913</v>
      </c>
      <c r="V12" s="15" t="n">
        <v>30.93566188660431</v>
      </c>
      <c r="W12" s="15" t="n">
        <v>0.8695635788792011</v>
      </c>
      <c r="X12" s="15" t="n">
        <v>0.4603856983118521</v>
      </c>
      <c r="Y12" s="15" t="n">
        <v>18</v>
      </c>
      <c r="Z12" s="15" t="n">
        <v>45</v>
      </c>
      <c r="AA12" s="15" t="n">
        <v>0.4</v>
      </c>
      <c r="AB12" s="15" t="n">
        <v>45</v>
      </c>
      <c r="AC12" s="15" t="n">
        <v>18</v>
      </c>
      <c r="AD12" s="15" t="n">
        <v>0.4</v>
      </c>
      <c r="AE12" s="15" t="n">
        <v>540.8028823507378</v>
      </c>
      <c r="AF12" s="15" t="n">
        <v>18</v>
      </c>
      <c r="AG12" s="15" t="n">
        <v>45</v>
      </c>
      <c r="AH12" s="15" t="n">
        <v>0.4</v>
      </c>
      <c r="AI12" s="15" t="n">
        <v>540.8028823507378</v>
      </c>
      <c r="AJ12" s="15" t="n">
        <v>9</v>
      </c>
      <c r="AK12" s="15" t="n">
        <v>9</v>
      </c>
      <c r="AL12" s="15" t="n">
        <v>0.9013886013686028</v>
      </c>
      <c r="AM12" s="15" t="n">
        <v>31</v>
      </c>
      <c r="AN12" s="15" t="n">
        <v>0</v>
      </c>
      <c r="AO12" s="15" t="n">
        <v>31</v>
      </c>
      <c r="AP12" s="15" t="n">
        <v>0</v>
      </c>
      <c r="AQ12" s="15" t="n">
        <v>19.8728274539505</v>
      </c>
      <c r="AR12" s="15" t="n">
        <v>11.74987889453718</v>
      </c>
      <c r="AS12" s="15" t="n">
        <v>0.3037439352145005</v>
      </c>
      <c r="AT12" s="17" t="n">
        <v>2.590561011521437</v>
      </c>
      <c r="AU12" s="18" t="n">
        <v>10.10487745712318</v>
      </c>
      <c r="AV12" s="15" t="n">
        <v>14.694597435492</v>
      </c>
      <c r="AW12" s="15" t="b">
        <v>1</v>
      </c>
      <c r="AX12" s="15" t="n">
        <v>11.14120754660527</v>
      </c>
      <c r="AY12" s="15" t="n">
        <v>15.36622438220533</v>
      </c>
      <c r="AZ12" s="15" t="n">
        <v>0</v>
      </c>
      <c r="BA12" s="15" t="n">
        <v>1</v>
      </c>
      <c r="BB12" s="15" t="n">
        <v>0.5</v>
      </c>
      <c r="BC12" s="15" t="n">
        <v>0.25</v>
      </c>
      <c r="BD12" s="15" t="inlineStr">
        <is>
          <t>his_note_adaptive</t>
        </is>
      </c>
      <c r="BE12" s="15" t="n">
        <v>-90</v>
      </c>
      <c r="BF12" s="15" t="n">
        <v>20000</v>
      </c>
      <c r="BG12" s="15" t="n">
        <v>18</v>
      </c>
      <c r="BH12" s="15" t="n">
        <v>0.4</v>
      </c>
      <c r="BI12" s="15" t="n">
        <v>45</v>
      </c>
      <c r="BJ12" s="15" t="n">
        <v>18</v>
      </c>
      <c r="BK12" s="15" t="n">
        <v>45</v>
      </c>
      <c r="BL12" s="15" t="n">
        <v>40</v>
      </c>
      <c r="BM12" s="15" t="n">
        <v>0.8888888888888888</v>
      </c>
      <c r="BN12" s="15" t="n">
        <v>0.3123291789211108</v>
      </c>
      <c r="BO12" s="15" t="n">
        <v>0.2583333333333334</v>
      </c>
      <c r="BP12" s="19" t="n">
        <v>0.8445183200213514</v>
      </c>
      <c r="BQ12" s="19" t="n">
        <v>0.1554816799786486</v>
      </c>
      <c r="BR12" s="19" t="n">
        <v>0</v>
      </c>
      <c r="BS12" s="15" t="n">
        <v>0.04756095836989707</v>
      </c>
      <c r="BT12" s="19" t="n">
        <v>1</v>
      </c>
      <c r="BU12" s="19" t="n">
        <v>0</v>
      </c>
      <c r="BV12" s="19" t="n">
        <v>0</v>
      </c>
      <c r="BW12" t="inlineStr">
        <is>
          <t>A4</t>
        </is>
      </c>
      <c r="BX12" t="n">
        <v>69</v>
      </c>
      <c r="BY12" t="inlineStr">
        <is>
          <t>A</t>
        </is>
      </c>
      <c r="BZ12" t="n">
        <v>4</v>
      </c>
      <c r="CA12" t="inlineStr">
        <is>
          <t>High</t>
        </is>
      </c>
      <c r="CB12" t="inlineStr">
        <is>
          <t>ff</t>
        </is>
      </c>
      <c r="CC12" s="15" t="n">
        <v>439.9999999999999</v>
      </c>
      <c r="CD12" s="15" t="n">
        <v>440.2913267740533</v>
      </c>
      <c r="CE12" t="inlineStr">
        <is>
          <t>prior_constrained_harmonic_fit</t>
        </is>
      </c>
      <c r="CF12" t="n">
        <v>440.2913267740533</v>
      </c>
      <c r="CG12" s="15" t="n">
        <v>1</v>
      </c>
      <c r="CH12" t="inlineStr">
        <is>
          <t>free_fit_acoustically_verified</t>
        </is>
      </c>
      <c r="CI12" s="15" t="inlineStr">
        <is>
          <t>free_f0_fit</t>
        </is>
      </c>
      <c r="CJ12" s="15" t="n">
        <v>439.9999999999999</v>
      </c>
      <c r="CK12" s="15" t="n">
        <v>440.2913267740533</v>
      </c>
      <c r="CL12" s="15" t="n">
        <v>1.145881672848481</v>
      </c>
      <c r="CM12" s="15" t="n">
        <v>20000</v>
      </c>
      <c r="CN12" s="15" t="n">
        <v>1.145881672848481</v>
      </c>
      <c r="CO12" s="15" t="n">
        <v>2.346632461777321</v>
      </c>
      <c r="CP12" s="15" t="n">
        <v>37074.41568240889</v>
      </c>
      <c r="CQ12" t="n">
        <v>2.785529021261345</v>
      </c>
      <c r="CR12" t="n">
        <v>0.06190064491691879</v>
      </c>
      <c r="CS12" t="n">
        <v>205.9689760133827</v>
      </c>
      <c r="CT12" t="n">
        <v>205.9689760133827</v>
      </c>
      <c r="CU12" t="n">
        <v>573.7325601647595</v>
      </c>
      <c r="CV12" t="n">
        <v>12.67270097112349</v>
      </c>
      <c r="CW12" s="15" t="n">
        <v>37074.41568240889</v>
      </c>
      <c r="CX12" s="15" t="n">
        <v>177.9503329138098</v>
      </c>
      <c r="CY12" s="15" t="n">
        <v>12.67270097112349</v>
      </c>
      <c r="CZ12" s="15" t="n">
        <v>2.590561011521437</v>
      </c>
      <c r="DA12" s="15" t="n">
        <v>2.590561011521437</v>
      </c>
      <c r="DB12" s="15" t="n">
        <v>1.738884827822976</v>
      </c>
      <c r="DC12" s="15" t="n">
        <v>0</v>
      </c>
      <c r="DD12" s="15" t="n">
        <v>6.987462819948392e-05</v>
      </c>
      <c r="DE12" s="15" t="n">
        <v>0</v>
      </c>
      <c r="DF12" s="15" t="n">
        <v>20</v>
      </c>
      <c r="DG12" s="15" t="inlineStr">
        <is>
          <t>Density_Metrics</t>
        </is>
      </c>
      <c r="DH12" s="15" t="n">
        <v>2.346632461777321</v>
      </c>
      <c r="DI12" t="n">
        <v>0.9345281218583673</v>
      </c>
      <c r="DJ12" s="15" t="n">
        <v>0.5551623107434478</v>
      </c>
      <c r="DK12" s="15" t="n">
        <v>5.365916016573767</v>
      </c>
      <c r="DL12" s="15" t="n">
        <v>2.814232446050394</v>
      </c>
      <c r="DM12" s="15" t="n">
        <v>1.124940219943549</v>
      </c>
      <c r="DN12" s="15" t="n">
        <v>6.286311829577522</v>
      </c>
      <c r="DO12" s="15" t="n">
        <v>0.6393948002066012</v>
      </c>
      <c r="DP12" s="15" t="n">
        <v>7.1875</v>
      </c>
      <c r="DQ12" s="15" t="n">
        <v>47</v>
      </c>
      <c r="DR12" s="15" t="b">
        <v>1</v>
      </c>
      <c r="DS12" s="15" t="n">
        <v>2.785529021261345</v>
      </c>
      <c r="DT12" s="15" t="n">
        <v>20.71735642403334</v>
      </c>
      <c r="DU12" t="n">
        <v>45</v>
      </c>
      <c r="DV12" s="15" t="n">
        <v>0.04756095836989707</v>
      </c>
      <c r="DW12" s="15" t="n">
        <v>1.762186562769249</v>
      </c>
      <c r="DX12" s="15" t="n">
        <v>2.587803392040035</v>
      </c>
      <c r="DY12" s="15" t="n">
        <v>0.09390053726867233</v>
      </c>
      <c r="DZ12" s="15" t="b">
        <v>1</v>
      </c>
      <c r="EA12" s="15" t="n">
        <v>0.1287411008121372</v>
      </c>
      <c r="EB12" s="15" t="n">
        <v>20000</v>
      </c>
      <c r="EC12" s="15" t="n">
        <v>8805.826535481066</v>
      </c>
      <c r="ED12" s="15" t="n">
        <v>20</v>
      </c>
      <c r="EE12" s="15" t="n">
        <v>0</v>
      </c>
      <c r="EF12" s="15" t="n">
        <v>0.02446954900568182</v>
      </c>
      <c r="EG12" s="15" t="b">
        <v>0</v>
      </c>
      <c r="EH12" s="15" t="b">
        <v>1</v>
      </c>
      <c r="EI12" s="15" t="b">
        <v>0</v>
      </c>
      <c r="EJ12" s="15" t="inlineStr">
        <is>
          <t>wf=log|dst=-90.0|ceil=20000.0|fft=adaptive_tier</t>
        </is>
      </c>
      <c r="EK12" s="15" t="inlineStr">
        <is>
          <t>wf=log|dst=runtime_configured|ceil=runtime_configured|fft=fixed</t>
        </is>
      </c>
      <c r="EL12" s="15" t="n">
        <v>0.67307695225662</v>
      </c>
      <c r="EM12" s="15" t="n">
        <v>0.9904197839384369</v>
      </c>
      <c r="EN12" s="15" t="n">
        <v>0.4347826086956522</v>
      </c>
      <c r="EO12" s="15" t="n">
        <v>0.3760706822042256</v>
      </c>
      <c r="EP12" s="15" t="inlineStr">
        <is>
          <t>warn:power_outlier_detected</t>
        </is>
      </c>
      <c r="EQ12" s="15" t="n">
        <v>446.1152606400001</v>
      </c>
      <c r="ER12" s="15" t="inlineStr">
        <is>
          <t>winsorize_p95_for_robust_diagnostics</t>
        </is>
      </c>
      <c r="ES12" s="15" t="n">
        <v>0.1662255545386576</v>
      </c>
      <c r="ET12" s="15" t="n">
        <v>0.04094122573727313</v>
      </c>
      <c r="EU12" s="15" t="n">
        <v>0.0434175434402364</v>
      </c>
      <c r="EV12" t="inlineStr">
        <is>
          <t>computed</t>
        </is>
      </c>
      <c r="EW12" s="15" t="inlineStr">
        <is>
          <t>computed</t>
        </is>
      </c>
      <c r="EX12" s="15" t="inlineStr">
        <is>
          <t>computed</t>
        </is>
      </c>
      <c r="EY12" s="15" t="inlineStr">
        <is>
          <t>available_from_curve</t>
        </is>
      </c>
      <c r="EZ12" s="15" t="n">
        <v>20000</v>
      </c>
      <c r="FA12" s="15" t="n">
        <v>20000</v>
      </c>
      <c r="FB12" s="15" t="n">
        <v>0.1554816799786486</v>
      </c>
      <c r="FC12" s="15" t="n">
        <v>0.4105388075289589</v>
      </c>
      <c r="FD12" s="15" t="n">
        <v>2.590561011521437</v>
      </c>
      <c r="FE12" s="15" t="n">
        <v>1.738884827822976</v>
      </c>
      <c r="FF12" s="15" t="n">
        <v>1.036470177229353</v>
      </c>
      <c r="FG12" s="15" t="n">
        <v>1.959070974854541</v>
      </c>
      <c r="FH12" s="15" t="n">
        <v>0.3339697336215777</v>
      </c>
      <c r="FI12" s="15" t="n">
        <v>0.05359175330120198</v>
      </c>
      <c r="FJ12" s="15" t="n">
        <v>9268.603920602223</v>
      </c>
      <c r="FK12" s="15" t="n">
        <v>44.48758322845246</v>
      </c>
      <c r="FL12" s="15" t="n">
        <v>3.168175242780873</v>
      </c>
      <c r="FM12" s="15" t="n">
        <v>0.004234726602604188</v>
      </c>
      <c r="FN12" t="n">
        <v>1</v>
      </c>
      <c r="FO12" t="n">
        <v>0</v>
      </c>
      <c r="FP12" t="n">
        <v>0</v>
      </c>
      <c r="FQ12" t="inlineStr">
        <is>
          <t>excellent</t>
        </is>
      </c>
      <c r="FR12" s="19" t="n">
        <v>0.8888888888888888</v>
      </c>
      <c r="FS12" s="15" t="n">
        <v>3.986377719639371</v>
      </c>
      <c r="FT12" s="15" t="n">
        <v>17.09555633475413</v>
      </c>
      <c r="FU12" t="inlineStr">
        <is>
          <t>passed</t>
        </is>
      </c>
      <c r="FV12" t="n">
        <v>194.2740146053771</v>
      </c>
      <c r="FW12" t="n">
        <v>26.90657922904644</v>
      </c>
      <c r="FX12" t="n">
        <v>4.938012249929823</v>
      </c>
      <c r="FY12" t="n">
        <v>0.6066696805283019</v>
      </c>
      <c r="FZ12" t="n">
        <v>0.7950350648959718</v>
      </c>
      <c r="GA12" t="n">
        <v>0.5893395152301311</v>
      </c>
      <c r="GB12" t="n">
        <v>0.4413683738315612</v>
      </c>
      <c r="GC12" t="n">
        <v>0.4469584580234015</v>
      </c>
      <c r="GD12" t="n">
        <v>0.536004738535203</v>
      </c>
      <c r="GE12" t="n">
        <v>0.9302334054743385</v>
      </c>
      <c r="GF12" t="n">
        <v>0.654097318907449</v>
      </c>
      <c r="GG12" t="n">
        <v>0.175663056246174</v>
      </c>
      <c r="GH12" t="n">
        <v>0.598921270509868</v>
      </c>
      <c r="GI12" t="n">
        <v>0.1321428571428571</v>
      </c>
      <c r="GJ12" t="n">
        <v>0.8888888888888888</v>
      </c>
      <c r="GK12" t="n">
        <v>0.2727272727272729</v>
      </c>
      <c r="GL12" t="n">
        <v>0.251695978954261</v>
      </c>
      <c r="GM12" t="n">
        <v>0.251695978954261</v>
      </c>
      <c r="GN12" t="n">
        <v>0.6939598747691057</v>
      </c>
      <c r="GO12" t="n">
        <v>0.2679678700325291</v>
      </c>
      <c r="GP12" t="n">
        <v>573.7325601647595</v>
      </c>
      <c r="GQ12" t="inlineStr">
        <is>
          <t>compiled workbook density_weighted_sum = density_component_ratio_weighted_sum (per-note component ratios); research density_weighted_sum maps body-ceiling richness</t>
        </is>
      </c>
      <c r="GR12" s="15" t="inlineStr">
        <is>
          <t>individual_exact</t>
        </is>
      </c>
      <c r="GS12" s="15" t="inlineStr">
        <is>
          <t>density_weight</t>
        </is>
      </c>
      <c r="GT12" s="15" t="n">
        <v>0.8559363496961154</v>
      </c>
      <c r="GU12" s="15" t="n">
        <v>0.1440636503038845</v>
      </c>
      <c r="GV12" s="15" t="n">
        <v>0</v>
      </c>
      <c r="GW12" s="15" t="inlineStr">
        <is>
          <t>log</t>
        </is>
      </c>
      <c r="GX12" s="15" t="n">
        <v>0.5</v>
      </c>
      <c r="GY12" s="15" t="inlineStr">
        <is>
          <t>EWSD-R v18.1</t>
        </is>
      </c>
      <c r="GZ12" s="15" t="n">
        <v>3.791622355682208</v>
      </c>
      <c r="HA12" s="15" t="n">
        <v>19.8260458541398</v>
      </c>
      <c r="HB12" s="15" t="n">
        <v>0.416317747812917</v>
      </c>
      <c r="HC12" s="15" t="n">
        <v>6.85280794772101</v>
      </c>
      <c r="HD12" s="15" t="n">
        <v>26.87147204862794</v>
      </c>
      <c r="HE12" s="15" t="n">
        <v>0.3562591705299473</v>
      </c>
      <c r="HF12" s="15" t="inlineStr">
        <is>
          <t>partials+ratios</t>
        </is>
      </c>
      <c r="HG12" s="15" t="inlineStr">
        <is>
          <t>merged_individual_exact</t>
        </is>
      </c>
      <c r="HH12" s="15" t="inlineStr">
        <is>
          <t>passed</t>
        </is>
      </c>
      <c r="HI12" s="15" t="inlineStr">
        <is>
          <t>passed</t>
        </is>
      </c>
    </row>
    <row r="13">
      <c r="A13" t="inlineStr">
        <is>
          <t>incomplete_inference</t>
        </is>
      </c>
      <c r="B13" t="inlineStr">
        <is>
          <t>missing_instrument_technique</t>
        </is>
      </c>
      <c r="C13" t="inlineStr">
        <is>
          <t>prior_constrained_harmonic_fit</t>
        </is>
      </c>
      <c r="D13" t="inlineStr">
        <is>
          <t>IOWA_flt_ff.A#4_SustainStable/A#4/component_amplitude_mass_pie.png</t>
        </is>
      </c>
      <c r="E13" t="inlineStr">
        <is>
          <t>IOWA_flt_ff.A#4_SustainStable/A#4/component_energy_ratio_pie.png</t>
        </is>
      </c>
      <c r="F13" s="15" t="n">
        <v>465.9880257075461</v>
      </c>
      <c r="G13" s="15" t="inlineStr">
        <is>
          <t>prior_constrained_harmonic_fit</t>
        </is>
      </c>
      <c r="H13" s="15" t="inlineStr">
        <is>
          <t>fit_accepted_acoustically_verified</t>
        </is>
      </c>
      <c r="I13" s="16" t="n">
        <v>678.015321200738</v>
      </c>
      <c r="J13" t="inlineStr">
        <is>
          <t>richness_weighted_body_density_body_ceiling</t>
        </is>
      </c>
      <c r="K13" t="inlineStr">
        <is>
          <t>research_body_ceiling_richness_metric</t>
        </is>
      </c>
      <c r="L13" s="15" t="n">
        <v>39811.5975841018</v>
      </c>
      <c r="M13" s="15" t="n">
        <v>39811.9600831399</v>
      </c>
      <c r="N13" s="15" t="n">
        <v>156.7209779067909</v>
      </c>
      <c r="O13" s="15" t="n">
        <v>5.630448943242471</v>
      </c>
      <c r="P13" s="15" t="n">
        <v>-2.896816841428567</v>
      </c>
      <c r="Q13" s="15" t="n">
        <v>20</v>
      </c>
      <c r="R13" s="15" t="n">
        <v>40</v>
      </c>
      <c r="S13" s="15" t="n">
        <v>9953.019486767767</v>
      </c>
      <c r="T13" s="15" t="n">
        <v>43</v>
      </c>
      <c r="U13" s="15" t="n">
        <v>0.4514227656400376</v>
      </c>
      <c r="V13" s="15" t="n">
        <v>27.9790683377925</v>
      </c>
      <c r="W13" s="15" t="n">
        <v>0.9307114064367656</v>
      </c>
      <c r="X13" s="15" t="n">
        <v>0.4831100601475528</v>
      </c>
      <c r="Y13" s="15" t="n">
        <v>22</v>
      </c>
      <c r="Z13" s="15" t="n">
        <v>42</v>
      </c>
      <c r="AA13" s="15" t="n">
        <v>0.5238095238095238</v>
      </c>
      <c r="AB13" s="15" t="n">
        <v>42</v>
      </c>
      <c r="AC13" s="15" t="n">
        <v>22</v>
      </c>
      <c r="AD13" s="15" t="n">
        <v>0.5238095238095238</v>
      </c>
      <c r="AE13" s="15" t="n">
        <v>530.2073780439945</v>
      </c>
      <c r="AF13" s="15" t="n">
        <v>22</v>
      </c>
      <c r="AG13" s="15" t="n">
        <v>42</v>
      </c>
      <c r="AH13" s="15" t="n">
        <v>0.5238095238095238</v>
      </c>
      <c r="AI13" s="15" t="n">
        <v>530.2073780439945</v>
      </c>
      <c r="AJ13" s="15" t="n">
        <v>11</v>
      </c>
      <c r="AK13" s="15" t="n">
        <v>11</v>
      </c>
      <c r="AL13" s="15" t="n">
        <v>1.967570751795865</v>
      </c>
      <c r="AM13" s="15" t="n">
        <v>21</v>
      </c>
      <c r="AN13" s="15" t="n">
        <v>1</v>
      </c>
      <c r="AO13" s="15" t="n">
        <v>21</v>
      </c>
      <c r="AP13" s="15" t="n">
        <v>1</v>
      </c>
      <c r="AQ13" s="15" t="n">
        <v>21.93831530387453</v>
      </c>
      <c r="AR13" s="15" t="n">
        <v>12.54388650245929</v>
      </c>
      <c r="AS13" s="15" t="n">
        <v>0.3456169781411887</v>
      </c>
      <c r="AT13" s="17" t="n">
        <v>2.581055251711995</v>
      </c>
      <c r="AU13" s="18" t="n">
        <v>9.127615381033271</v>
      </c>
      <c r="AV13" s="15" t="n">
        <v>13.91018068584472</v>
      </c>
      <c r="AW13" s="15" t="b">
        <v>1</v>
      </c>
      <c r="AX13" s="15" t="n">
        <v>12.63894102997199</v>
      </c>
      <c r="AY13" s="15" t="n">
        <v>11.09640180127012</v>
      </c>
      <c r="AZ13" s="15" t="n">
        <v>0.4134018329805077</v>
      </c>
      <c r="BA13" s="15" t="n">
        <v>1</v>
      </c>
      <c r="BB13" s="15" t="n">
        <v>0.5</v>
      </c>
      <c r="BC13" s="15" t="n">
        <v>0.25</v>
      </c>
      <c r="BD13" s="15" t="inlineStr">
        <is>
          <t>his_note_adaptive</t>
        </is>
      </c>
      <c r="BE13" s="15" t="n">
        <v>-90</v>
      </c>
      <c r="BF13" s="15" t="n">
        <v>20000</v>
      </c>
      <c r="BG13" s="15" t="n">
        <v>22</v>
      </c>
      <c r="BH13" s="15" t="n">
        <v>0.5238095238095238</v>
      </c>
      <c r="BI13" s="15" t="n">
        <v>42</v>
      </c>
      <c r="BJ13" s="15" t="n">
        <v>22</v>
      </c>
      <c r="BK13" s="15" t="n">
        <v>42</v>
      </c>
      <c r="BL13" s="15" t="n">
        <v>38</v>
      </c>
      <c r="BM13" s="15" t="n">
        <v>0.9047619047619048</v>
      </c>
      <c r="BN13" s="15" t="n">
        <v>0.3569327757144094</v>
      </c>
      <c r="BO13" s="15" t="n">
        <v>0.175</v>
      </c>
      <c r="BP13" s="19" t="n">
        <v>0.8777045053115221</v>
      </c>
      <c r="BQ13" s="19" t="n">
        <v>0.1222875017401381</v>
      </c>
      <c r="BR13" s="19" t="n">
        <v>7.992948339601755e-06</v>
      </c>
      <c r="BS13" s="15" t="n">
        <v>0.02438191645550459</v>
      </c>
      <c r="BT13" s="19" t="n">
        <v>0.9999908934322395</v>
      </c>
      <c r="BU13" s="19" t="n">
        <v>0</v>
      </c>
      <c r="BV13" s="19" t="n">
        <v>9.106567760455094e-06</v>
      </c>
      <c r="BW13" t="inlineStr">
        <is>
          <t>A#4</t>
        </is>
      </c>
      <c r="BX13" t="n">
        <v>70</v>
      </c>
      <c r="BY13" t="inlineStr">
        <is>
          <t>A#</t>
        </is>
      </c>
      <c r="BZ13" t="n">
        <v>4</v>
      </c>
      <c r="CA13" t="inlineStr">
        <is>
          <t>High</t>
        </is>
      </c>
      <c r="CB13" t="inlineStr">
        <is>
          <t>ff</t>
        </is>
      </c>
      <c r="CC13" s="15" t="n">
        <v>466.1637615180898</v>
      </c>
      <c r="CD13" s="15" t="n">
        <v>465.9880257075461</v>
      </c>
      <c r="CE13" t="inlineStr">
        <is>
          <t>prior_constrained_harmonic_fit</t>
        </is>
      </c>
      <c r="CF13" t="n">
        <v>465.9880257075461</v>
      </c>
      <c r="CG13" s="15" t="n">
        <v>1</v>
      </c>
      <c r="CH13" t="inlineStr">
        <is>
          <t>free_fit_acoustically_verified</t>
        </is>
      </c>
      <c r="CI13" s="15" t="inlineStr">
        <is>
          <t>free_f0_fit</t>
        </is>
      </c>
      <c r="CJ13" s="15" t="n">
        <v>466.1637615180898</v>
      </c>
      <c r="CK13" s="15" t="n">
        <v>465.9880257075461</v>
      </c>
      <c r="CL13" s="15" t="n">
        <v>-0.65276884436099</v>
      </c>
      <c r="CM13" s="15" t="n">
        <v>20000</v>
      </c>
      <c r="CN13" s="15" t="n">
        <v>-0.65276884436099</v>
      </c>
      <c r="CO13" s="15" t="n">
        <v>2.332212169745419</v>
      </c>
      <c r="CP13" s="15" t="n">
        <v>39811.5975841018</v>
      </c>
      <c r="CQ13" t="n">
        <v>2.86114049725835</v>
      </c>
      <c r="CR13" t="n">
        <v>0.06812239279186547</v>
      </c>
      <c r="CS13" t="n">
        <v>236.9737948382602</v>
      </c>
      <c r="CT13" t="n">
        <v>236.9759528758327</v>
      </c>
      <c r="CU13" t="n">
        <v>678.015321200738</v>
      </c>
      <c r="CV13" t="n">
        <v>5.630448943242471</v>
      </c>
      <c r="CW13" s="15" t="n">
        <v>39811.9600831399</v>
      </c>
      <c r="CX13" s="15" t="n">
        <v>156.7209779067909</v>
      </c>
      <c r="CY13" s="15" t="n">
        <v>5.630448943242471</v>
      </c>
      <c r="CZ13" s="15" t="n">
        <v>2.58109829429722</v>
      </c>
      <c r="DA13" s="15" t="n">
        <v>2.581070524926026</v>
      </c>
      <c r="DB13" s="15" t="n">
        <v>1.736860015134059</v>
      </c>
      <c r="DC13" s="15" t="n">
        <v>0</v>
      </c>
      <c r="DD13" s="15" t="n">
        <v>6.483282387361277e-05</v>
      </c>
      <c r="DE13" s="15" t="n">
        <v>0</v>
      </c>
      <c r="DF13" s="15" t="n">
        <v>20</v>
      </c>
      <c r="DG13" s="15" t="inlineStr">
        <is>
          <t>Density_Metrics</t>
        </is>
      </c>
      <c r="DH13" s="15" t="n">
        <v>2.332212169745419</v>
      </c>
      <c r="DI13" t="n">
        <v>0.9287853527418882</v>
      </c>
      <c r="DJ13" s="15" t="n">
        <v>0.5540110217459221</v>
      </c>
      <c r="DK13" s="15" t="n">
        <v>5.221836360086718</v>
      </c>
      <c r="DL13" s="15" t="n">
        <v>2.884514195351118</v>
      </c>
      <c r="DM13" s="15" t="n">
        <v>1.036114712881562</v>
      </c>
      <c r="DN13" s="15" t="n">
        <v>6.817061578309946</v>
      </c>
      <c r="DO13" s="15" t="n">
        <v>0.7944839867527687</v>
      </c>
      <c r="DP13" s="15" t="n">
        <v>7.5625</v>
      </c>
      <c r="DQ13" s="15" t="n">
        <v>49</v>
      </c>
      <c r="DR13" s="15" t="b">
        <v>1</v>
      </c>
      <c r="DS13" s="15" t="n">
        <v>2.86114049725835</v>
      </c>
      <c r="DT13" s="15" t="n">
        <v>20.29062252619722</v>
      </c>
      <c r="DU13" t="n">
        <v>42</v>
      </c>
      <c r="DV13" s="15" t="n">
        <v>0.02438191645550459</v>
      </c>
      <c r="DW13" s="15" t="n">
        <v>1.41355042748807</v>
      </c>
      <c r="DX13" s="15" t="n">
        <v>2.591004675317075</v>
      </c>
      <c r="DY13" s="15" t="n">
        <v>0.1113335596075839</v>
      </c>
      <c r="DZ13" s="15" t="b">
        <v>1</v>
      </c>
      <c r="EA13" s="15" t="n">
        <v>0.1118796410940487</v>
      </c>
      <c r="EB13" s="15" t="n">
        <v>20000</v>
      </c>
      <c r="EC13" s="15" t="n">
        <v>9319.760514150921</v>
      </c>
      <c r="ED13" s="15" t="n">
        <v>20</v>
      </c>
      <c r="EE13" s="15" t="n">
        <v>0</v>
      </c>
      <c r="EF13" s="15" t="n">
        <v>0.02309617874936895</v>
      </c>
      <c r="EG13" s="15" t="b">
        <v>0</v>
      </c>
      <c r="EH13" s="15" t="b">
        <v>1</v>
      </c>
      <c r="EI13" s="15" t="b">
        <v>0</v>
      </c>
      <c r="EJ13" s="15" t="inlineStr">
        <is>
          <t>wf=log|dst=-90.0|ceil=20000.0|fft=adaptive_tier</t>
        </is>
      </c>
      <c r="EK13" s="15" t="inlineStr">
        <is>
          <t>wf=log|dst=runtime_configured|ceil=runtime_configured|fft=fixed</t>
        </is>
      </c>
      <c r="EL13" s="15" t="n">
        <v>0.6870821656069712</v>
      </c>
      <c r="EM13" s="15" t="n">
        <v>0.9958428233129828</v>
      </c>
      <c r="EN13" s="15" t="n">
        <v>0.4651162790697674</v>
      </c>
      <c r="EO13" s="15" t="n">
        <v>0.3808109872085517</v>
      </c>
      <c r="EP13" s="15" t="inlineStr">
        <is>
          <t>warn:power_outlier_detected</t>
        </is>
      </c>
      <c r="EQ13" s="15" t="n">
        <v>412.6439465296787</v>
      </c>
      <c r="ER13" s="15" t="inlineStr">
        <is>
          <t>winsorize_p95_for_robust_diagnostics</t>
        </is>
      </c>
      <c r="ES13" s="15" t="n">
        <v>0.1599697708500458</v>
      </c>
      <c r="ET13" s="15" t="n">
        <v>0.0288370629925327</v>
      </c>
      <c r="EU13" s="15" t="n">
        <v>0.03422001963582932</v>
      </c>
      <c r="EV13" t="inlineStr">
        <is>
          <t>computed</t>
        </is>
      </c>
      <c r="EW13" s="15" t="inlineStr">
        <is>
          <t>computed</t>
        </is>
      </c>
      <c r="EX13" s="15" t="inlineStr">
        <is>
          <t>computed</t>
        </is>
      </c>
      <c r="EY13" s="15" t="inlineStr">
        <is>
          <t>available_from_curve</t>
        </is>
      </c>
      <c r="EZ13" s="15" t="n">
        <v>20000</v>
      </c>
      <c r="FA13" s="15" t="n">
        <v>20000</v>
      </c>
      <c r="FB13" s="15" t="n">
        <v>0.1222875017401381</v>
      </c>
      <c r="FC13" s="15" t="n">
        <v>0.3746505532012498</v>
      </c>
      <c r="FD13" s="15" t="n">
        <v>2.581070524926026</v>
      </c>
      <c r="FE13" s="15" t="n">
        <v>1.736860015134059</v>
      </c>
      <c r="FF13" s="15" t="n">
        <v>0.9039058200266343</v>
      </c>
      <c r="FG13" s="15" t="n">
        <v>1.951893943800794</v>
      </c>
      <c r="FH13" s="15" t="n">
        <v>0.3335808486629355</v>
      </c>
      <c r="FI13" s="15" t="n">
        <v>0.04673737728168972</v>
      </c>
      <c r="FJ13" s="15" t="n">
        <v>9952.990020784975</v>
      </c>
      <c r="FK13" s="15" t="n">
        <v>39.18024447669773</v>
      </c>
      <c r="FL13" s="15" t="n">
        <v>1.407612235810618</v>
      </c>
      <c r="FM13" s="15" t="n">
        <v>0.00461667430507054</v>
      </c>
      <c r="FN13" t="n">
        <v>0.9999908934322395</v>
      </c>
      <c r="FO13" t="n">
        <v>0</v>
      </c>
      <c r="FP13" t="n">
        <v>9.106567760455094e-06</v>
      </c>
      <c r="FQ13" t="inlineStr">
        <is>
          <t>excellent</t>
        </is>
      </c>
      <c r="FR13" s="19" t="n">
        <v>0.9047619047619048</v>
      </c>
      <c r="FS13" s="15" t="n">
        <v>1.593038230589169</v>
      </c>
      <c r="FT13" s="15" t="n">
        <v>15.30275385191586</v>
      </c>
      <c r="FU13" t="inlineStr">
        <is>
          <t>passed</t>
        </is>
      </c>
      <c r="FV13" t="n">
        <v>190.0638547808138</v>
      </c>
      <c r="FW13" t="n">
        <v>26.77909884545185</v>
      </c>
      <c r="FX13" t="n">
        <v>3.507521162069875</v>
      </c>
      <c r="FY13" t="n">
        <v>0.5721692923410159</v>
      </c>
      <c r="FZ13" t="n">
        <v>0.9525189534065417</v>
      </c>
      <c r="GA13" t="n">
        <v>0.5051705870820281</v>
      </c>
      <c r="GB13" t="n">
        <v>0.4586038721977239</v>
      </c>
      <c r="GC13" t="n">
        <v>0.465930287357977</v>
      </c>
      <c r="GD13" t="n">
        <v>0.4651847039839738</v>
      </c>
      <c r="GE13" t="n">
        <v>0.9989397259587827</v>
      </c>
      <c r="GF13" t="n">
        <v>0.7119958696091091</v>
      </c>
      <c r="GG13" t="n">
        <v>0</v>
      </c>
      <c r="GH13" t="n">
        <v>0.5778117003485471</v>
      </c>
      <c r="GI13" t="n">
        <v>0.3112244897959184</v>
      </c>
      <c r="GJ13" t="n">
        <v>0.9523809523809526</v>
      </c>
      <c r="GK13" t="n">
        <v>0.09090909090909094</v>
      </c>
      <c r="GL13" t="n">
        <v>0.01349180431676207</v>
      </c>
      <c r="GM13" t="n">
        <v>0.01349180431676207</v>
      </c>
      <c r="GN13" t="n">
        <v>0.6302454421381662</v>
      </c>
      <c r="GO13" t="n">
        <v>0.3282197478385607</v>
      </c>
      <c r="GP13" t="n">
        <v>678.015321200738</v>
      </c>
      <c r="GQ13" t="inlineStr">
        <is>
          <t>compiled workbook density_weighted_sum = density_component_ratio_weighted_sum (per-note component ratios); research density_weighted_sum maps body-ceiling richness</t>
        </is>
      </c>
      <c r="GR13" s="15" t="inlineStr">
        <is>
          <t>individual_exact</t>
        </is>
      </c>
      <c r="GS13" s="15" t="inlineStr">
        <is>
          <t>density_weight</t>
        </is>
      </c>
      <c r="GT13" s="15" t="n">
        <v>0.9384110368201866</v>
      </c>
      <c r="GU13" s="15" t="n">
        <v>0.06158417653253088</v>
      </c>
      <c r="GV13" s="15" t="n">
        <v>4.786647282500183e-06</v>
      </c>
      <c r="GW13" s="15" t="inlineStr">
        <is>
          <t>log</t>
        </is>
      </c>
      <c r="GX13" s="15" t="n">
        <v>0.5</v>
      </c>
      <c r="GY13" s="15" t="inlineStr">
        <is>
          <t>EWSD-R v18.1</t>
        </is>
      </c>
      <c r="GZ13" s="15" t="n">
        <v>4.357723100371174</v>
      </c>
      <c r="HA13" s="15" t="n">
        <v>18.02967637218127</v>
      </c>
      <c r="HB13" s="15" t="n">
        <v>0.3881957888126768</v>
      </c>
      <c r="HC13" s="15" t="n">
        <v>7.510559940287722</v>
      </c>
      <c r="HD13" s="15" t="n">
        <v>24.89730032996506</v>
      </c>
      <c r="HE13" s="15" t="n">
        <v>0.3238231294006026</v>
      </c>
      <c r="HF13" s="15" t="inlineStr">
        <is>
          <t>partials+ratios</t>
        </is>
      </c>
      <c r="HG13" s="15" t="inlineStr">
        <is>
          <t>merged_individual_exact</t>
        </is>
      </c>
      <c r="HH13" s="15" t="inlineStr">
        <is>
          <t>passed</t>
        </is>
      </c>
      <c r="HI13" s="15" t="inlineStr">
        <is>
          <t>passed</t>
        </is>
      </c>
    </row>
    <row r="14">
      <c r="A14" t="inlineStr">
        <is>
          <t>incomplete_inference</t>
        </is>
      </c>
      <c r="B14" t="inlineStr">
        <is>
          <t>missing_instrument_technique</t>
        </is>
      </c>
      <c r="C14" t="inlineStr">
        <is>
          <t>prior_constrained_harmonic_fit</t>
        </is>
      </c>
      <c r="D14" t="inlineStr">
        <is>
          <t>IOWA_flt_ff.B4_SustainStable/B4/component_amplitude_mass_pie.png</t>
        </is>
      </c>
      <c r="E14" t="inlineStr">
        <is>
          <t>IOWA_flt_ff.B4_SustainStable/B4/component_energy_ratio_pie.png</t>
        </is>
      </c>
      <c r="F14" s="15" t="n">
        <v>493.6230154221545</v>
      </c>
      <c r="G14" s="15" t="inlineStr">
        <is>
          <t>prior_constrained_harmonic_fit</t>
        </is>
      </c>
      <c r="H14" s="15" t="inlineStr">
        <is>
          <t>fit_accepted_acoustically_verified</t>
        </is>
      </c>
      <c r="I14" s="16" t="n">
        <v>651.4037697979435</v>
      </c>
      <c r="J14" t="inlineStr">
        <is>
          <t>richness_weighted_body_density_body_ceiling</t>
        </is>
      </c>
      <c r="K14" t="inlineStr">
        <is>
          <t>research_body_ceiling_richness_metric</t>
        </is>
      </c>
      <c r="L14" s="15" t="n">
        <v>40521.31135785283</v>
      </c>
      <c r="M14" s="15" t="n">
        <v>40521.31135785283</v>
      </c>
      <c r="N14" s="15" t="n">
        <v>198.1146448894879</v>
      </c>
      <c r="O14" s="15" t="n">
        <v>3.129512376098094</v>
      </c>
      <c r="P14" s="15" t="n">
        <v>-2.883032271220817</v>
      </c>
      <c r="Q14" s="15" t="n">
        <v>19</v>
      </c>
      <c r="R14" s="15" t="n">
        <v>38</v>
      </c>
      <c r="S14" s="15" t="n">
        <v>10130.37016609919</v>
      </c>
      <c r="T14" s="15" t="n">
        <v>41</v>
      </c>
      <c r="U14" s="15" t="n">
        <v>0.2805181624122491</v>
      </c>
      <c r="V14" s="15" t="n">
        <v>24.67520367289897</v>
      </c>
      <c r="W14" s="15" t="n">
        <v>0.9316550380237723</v>
      </c>
      <c r="X14" s="15" t="n">
        <v>0.436449552576783</v>
      </c>
      <c r="Y14" s="15" t="n">
        <v>19</v>
      </c>
      <c r="Z14" s="15" t="n">
        <v>40</v>
      </c>
      <c r="AA14" s="15" t="n">
        <v>0.475</v>
      </c>
      <c r="AB14" s="15" t="n">
        <v>40</v>
      </c>
      <c r="AC14" s="15" t="n">
        <v>19</v>
      </c>
      <c r="AD14" s="15" t="n">
        <v>0.475</v>
      </c>
      <c r="AE14" s="15" t="n">
        <v>517.8918800958293</v>
      </c>
      <c r="AF14" s="15" t="n">
        <v>19</v>
      </c>
      <c r="AG14" s="15" t="n">
        <v>40</v>
      </c>
      <c r="AH14" s="15" t="n">
        <v>0.475</v>
      </c>
      <c r="AI14" s="15" t="n">
        <v>517.8918800958293</v>
      </c>
      <c r="AJ14" s="15" t="n">
        <v>11</v>
      </c>
      <c r="AK14" s="15" t="n">
        <v>8</v>
      </c>
      <c r="AL14" s="15" t="n">
        <v>3.350263606436636</v>
      </c>
      <c r="AM14" s="15" t="n">
        <v>20</v>
      </c>
      <c r="AN14" s="15" t="n">
        <v>0</v>
      </c>
      <c r="AO14" s="15" t="n">
        <v>20</v>
      </c>
      <c r="AP14" s="15" t="n">
        <v>0</v>
      </c>
      <c r="AQ14" s="15" t="n">
        <v>19.10660060168259</v>
      </c>
      <c r="AR14" s="15" t="n">
        <v>10.86720610776281</v>
      </c>
      <c r="AS14" s="15" t="n">
        <v>0.2571950166373271</v>
      </c>
      <c r="AT14" s="17" t="n">
        <v>2.571165052009216</v>
      </c>
      <c r="AU14" s="18" t="n">
        <v>8.540340556535805</v>
      </c>
      <c r="AV14" s="15" t="n">
        <v>12.89693199501643</v>
      </c>
      <c r="AW14" s="15" t="b">
        <v>1</v>
      </c>
      <c r="AX14" s="15" t="n">
        <v>10.89515041028248</v>
      </c>
      <c r="AY14" s="15" t="n">
        <v>10.6330102152123</v>
      </c>
      <c r="AZ14" s="15" t="n">
        <v>0</v>
      </c>
      <c r="BA14" s="15" t="n">
        <v>1</v>
      </c>
      <c r="BB14" s="15" t="n">
        <v>0.5</v>
      </c>
      <c r="BC14" s="15" t="n">
        <v>0.25</v>
      </c>
      <c r="BD14" s="15" t="inlineStr">
        <is>
          <t>his_note_adaptive</t>
        </is>
      </c>
      <c r="BE14" s="15" t="n">
        <v>-90</v>
      </c>
      <c r="BF14" s="15" t="n">
        <v>20000</v>
      </c>
      <c r="BG14" s="15" t="n">
        <v>19</v>
      </c>
      <c r="BH14" s="15" t="n">
        <v>0.475</v>
      </c>
      <c r="BI14" s="15" t="n">
        <v>40</v>
      </c>
      <c r="BJ14" s="15" t="n">
        <v>19</v>
      </c>
      <c r="BK14" s="15" t="n">
        <v>40</v>
      </c>
      <c r="BL14" s="15" t="n">
        <v>36</v>
      </c>
      <c r="BM14" s="15" t="n">
        <v>0.9</v>
      </c>
      <c r="BN14" s="15" t="n">
        <v>0.3203219285491029</v>
      </c>
      <c r="BO14" s="15" t="n">
        <v>0.1666666666666667</v>
      </c>
      <c r="BP14" s="19" t="n">
        <v>0.8207335082662873</v>
      </c>
      <c r="BQ14" s="19" t="n">
        <v>0.1792664917337126</v>
      </c>
      <c r="BR14" s="19" t="n">
        <v>0</v>
      </c>
      <c r="BS14" s="15" t="n">
        <v>0.03640371487378287</v>
      </c>
      <c r="BT14" s="19" t="n">
        <v>1</v>
      </c>
      <c r="BU14" s="19" t="n">
        <v>0</v>
      </c>
      <c r="BV14" s="19" t="n">
        <v>0</v>
      </c>
      <c r="BW14" t="inlineStr">
        <is>
          <t>B4</t>
        </is>
      </c>
      <c r="BX14" t="n">
        <v>71</v>
      </c>
      <c r="BY14" t="inlineStr">
        <is>
          <t>B</t>
        </is>
      </c>
      <c r="BZ14" t="n">
        <v>4</v>
      </c>
      <c r="CA14" t="inlineStr">
        <is>
          <t>High</t>
        </is>
      </c>
      <c r="CB14" t="inlineStr">
        <is>
          <t>ff</t>
        </is>
      </c>
      <c r="CC14" s="15" t="n">
        <v>493.8833012561242</v>
      </c>
      <c r="CD14" s="15" t="n">
        <v>493.6230154221545</v>
      </c>
      <c r="CE14" t="inlineStr">
        <is>
          <t>prior_constrained_harmonic_fit</t>
        </is>
      </c>
      <c r="CF14" t="n">
        <v>493.6230154221545</v>
      </c>
      <c r="CG14" s="15" t="n">
        <v>1</v>
      </c>
      <c r="CH14" t="inlineStr">
        <is>
          <t>free_fit_acoustically_verified</t>
        </is>
      </c>
      <c r="CI14" s="15" t="inlineStr">
        <is>
          <t>free_f0_fit</t>
        </is>
      </c>
      <c r="CJ14" s="15" t="n">
        <v>493.8833012561242</v>
      </c>
      <c r="CK14" s="15" t="n">
        <v>493.6230154221545</v>
      </c>
      <c r="CL14" s="15" t="n">
        <v>-0.9126335722268147</v>
      </c>
      <c r="CM14" s="15" t="n">
        <v>20000</v>
      </c>
      <c r="CN14" s="15" t="n">
        <v>-0.9126335722268147</v>
      </c>
      <c r="CO14" s="15" t="n">
        <v>2.322685861931125</v>
      </c>
      <c r="CP14" s="15" t="n">
        <v>40521.31135785283</v>
      </c>
      <c r="CQ14" t="n">
        <v>2.572093539797861</v>
      </c>
      <c r="CR14" t="n">
        <v>0.06430233849494653</v>
      </c>
      <c r="CS14" t="n">
        <v>253.2581959865802</v>
      </c>
      <c r="CT14" t="n">
        <v>253.2581959865802</v>
      </c>
      <c r="CU14" t="n">
        <v>651.4037697979435</v>
      </c>
      <c r="CV14" t="n">
        <v>3.129512376098094</v>
      </c>
      <c r="CW14" s="15" t="n">
        <v>40521.31135785283</v>
      </c>
      <c r="CX14" s="15" t="n">
        <v>198.1146448894879</v>
      </c>
      <c r="CY14" s="15" t="n">
        <v>3.129512376098094</v>
      </c>
      <c r="CZ14" s="15" t="n">
        <v>2.571165052009216</v>
      </c>
      <c r="DA14" s="15" t="n">
        <v>2.571165052009216</v>
      </c>
      <c r="DB14" s="15" t="n">
        <v>1.763252336922819</v>
      </c>
      <c r="DC14" s="15" t="n">
        <v>0</v>
      </c>
      <c r="DD14" s="15" t="n">
        <v>6.345216790499889e-05</v>
      </c>
      <c r="DE14" s="15" t="n">
        <v>0</v>
      </c>
      <c r="DF14" s="15" t="n">
        <v>19</v>
      </c>
      <c r="DG14" s="15" t="inlineStr">
        <is>
          <t>Density_Metrics</t>
        </is>
      </c>
      <c r="DH14" s="15" t="n">
        <v>2.322685861931125</v>
      </c>
      <c r="DI14" t="n">
        <v>0.9249915747664509</v>
      </c>
      <c r="DJ14" s="15" t="n">
        <v>0.5528099228671938</v>
      </c>
      <c r="DK14" s="15" t="n">
        <v>5.10092429315335</v>
      </c>
      <c r="DL14" s="15" t="n">
        <v>2.597691367025536</v>
      </c>
      <c r="DM14" s="15" t="n">
        <v>1.036203394472953</v>
      </c>
      <c r="DN14" s="15" t="n">
        <v>11.83923911874533</v>
      </c>
      <c r="DO14" s="15" t="n">
        <v>0.9571894702036864</v>
      </c>
      <c r="DP14" s="15" t="n">
        <v>7.75</v>
      </c>
      <c r="DQ14" s="15" t="n">
        <v>47</v>
      </c>
      <c r="DR14" s="15" t="b">
        <v>1</v>
      </c>
      <c r="DS14" s="15" t="n">
        <v>2.572093539797861</v>
      </c>
      <c r="DT14" s="15" t="n">
        <v>17.45798210307132</v>
      </c>
      <c r="DU14" t="n">
        <v>40</v>
      </c>
      <c r="DV14" s="15" t="n">
        <v>0.03640371487378287</v>
      </c>
      <c r="DW14" s="15" t="n">
        <v>1.731371086479377</v>
      </c>
      <c r="DX14" s="15" t="n">
        <v>2.596851104371174</v>
      </c>
      <c r="DY14" s="15" t="n">
        <v>0.1098387150415055</v>
      </c>
      <c r="DZ14" s="15" t="b">
        <v>1</v>
      </c>
      <c r="EA14" s="15" t="n">
        <v>0.2403036412372822</v>
      </c>
      <c r="EB14" s="15" t="n">
        <v>20000</v>
      </c>
      <c r="EC14" s="15" t="n">
        <v>11353.32935470955</v>
      </c>
      <c r="ED14" s="15" t="n">
        <v>23</v>
      </c>
      <c r="EE14" s="15" t="n">
        <v>0</v>
      </c>
      <c r="EF14" s="15" t="n">
        <v>0.02179988984263414</v>
      </c>
      <c r="EG14" s="15" t="b">
        <v>0</v>
      </c>
      <c r="EH14" s="15" t="b">
        <v>1</v>
      </c>
      <c r="EI14" s="15" t="b">
        <v>0</v>
      </c>
      <c r="EJ14" s="15" t="inlineStr">
        <is>
          <t>wf=log|dst=-90.0|ceil=20000.0|fft=adaptive_tier</t>
        </is>
      </c>
      <c r="EK14" s="15" t="inlineStr">
        <is>
          <t>wf=log|dst=runtime_configured|ceil=runtime_configured|fft=fixed</t>
        </is>
      </c>
      <c r="EL14" s="15" t="n">
        <v>0.6848348857931101</v>
      </c>
      <c r="EM14" s="15" t="n">
        <v>0.9971757092921453</v>
      </c>
      <c r="EN14" s="15" t="n">
        <v>0.4634146341463415</v>
      </c>
      <c r="EO14" s="15" t="n">
        <v>0.3695534733021262</v>
      </c>
      <c r="EP14" s="15" t="inlineStr">
        <is>
          <t>warn:power_outlier_detected</t>
        </is>
      </c>
      <c r="EQ14" s="15" t="n">
        <v>498.1224033059183</v>
      </c>
      <c r="ER14" s="15" t="inlineStr">
        <is>
          <t>winsorize_p95_for_robust_diagnostics</t>
        </is>
      </c>
      <c r="ES14" s="15" t="n">
        <v>0.2016371053404945</v>
      </c>
      <c r="ET14" s="15" t="n">
        <v>0.03049690743330289</v>
      </c>
      <c r="EU14" s="15" t="n">
        <v>0.03622479892347273</v>
      </c>
      <c r="EV14" t="inlineStr">
        <is>
          <t>computed</t>
        </is>
      </c>
      <c r="EW14" s="15" t="inlineStr">
        <is>
          <t>computed</t>
        </is>
      </c>
      <c r="EX14" s="15" t="inlineStr">
        <is>
          <t>computed</t>
        </is>
      </c>
      <c r="EY14" s="15" t="inlineStr">
        <is>
          <t>available_from_curve</t>
        </is>
      </c>
      <c r="EZ14" s="15" t="n">
        <v>20000</v>
      </c>
      <c r="FA14" s="15" t="n">
        <v>20000</v>
      </c>
      <c r="FB14" s="15" t="n">
        <v>0.1792664917337126</v>
      </c>
      <c r="FC14" s="15" t="n">
        <v>0.3575327260880512</v>
      </c>
      <c r="FD14" s="15" t="n">
        <v>2.571165052009216</v>
      </c>
      <c r="FE14" s="15" t="n">
        <v>1.763252336922819</v>
      </c>
      <c r="FF14" s="15" t="n">
        <v>0.7665069042213143</v>
      </c>
      <c r="FG14" s="15" t="n">
        <v>1.944403085875725</v>
      </c>
      <c r="FH14" s="15" t="n">
        <v>0.3386497506030844</v>
      </c>
      <c r="FI14" s="15" t="n">
        <v>0.03963302545231535</v>
      </c>
      <c r="FJ14" s="15" t="n">
        <v>10130.32783946321</v>
      </c>
      <c r="FK14" s="15" t="n">
        <v>49.52866122237199</v>
      </c>
      <c r="FL14" s="15" t="n">
        <v>0.7823780940245234</v>
      </c>
      <c r="FM14" s="15" t="n">
        <v>0.004696711240325937</v>
      </c>
      <c r="FN14" t="n">
        <v>1</v>
      </c>
      <c r="FO14" t="n">
        <v>0</v>
      </c>
      <c r="FP14" t="n">
        <v>0</v>
      </c>
      <c r="FQ14" t="inlineStr">
        <is>
          <t>excellent</t>
        </is>
      </c>
      <c r="FR14" s="19" t="n">
        <v>0.9</v>
      </c>
      <c r="FS14" s="15" t="n">
        <v>2.745381887602246</v>
      </c>
      <c r="FT14" s="15" t="n">
        <v>16.98530937440757</v>
      </c>
      <c r="FU14" t="inlineStr">
        <is>
          <t>passed</t>
        </is>
      </c>
      <c r="FV14" t="n">
        <v>185.7666296199141</v>
      </c>
      <c r="FW14" t="n">
        <v>28.48827290528621</v>
      </c>
      <c r="FX14" t="n">
        <v>2.420632466016414</v>
      </c>
      <c r="FY14" t="n">
        <v>0.5493777069239099</v>
      </c>
      <c r="FZ14" t="n">
        <v>0.9123311931997986</v>
      </c>
      <c r="GA14" t="n">
        <v>0.4345357776849904</v>
      </c>
      <c r="GB14" t="n">
        <v>0.3882650653500008</v>
      </c>
      <c r="GC14" t="n">
        <v>0.3934049269637961</v>
      </c>
      <c r="GD14" t="n">
        <v>0.3860463963818427</v>
      </c>
      <c r="GE14" t="n">
        <v>1</v>
      </c>
      <c r="GF14" t="n">
        <v>0.5931113093788127</v>
      </c>
      <c r="GG14" t="n">
        <v>0.09110755567592807</v>
      </c>
      <c r="GH14" t="n">
        <v>0.4965918972572324</v>
      </c>
      <c r="GI14" t="n">
        <v>0.2406249999999999</v>
      </c>
      <c r="GJ14" t="n">
        <v>0.9333333333333336</v>
      </c>
      <c r="GK14" t="n">
        <v>0.07272727272727289</v>
      </c>
      <c r="GL14" t="n">
        <v>0.4223777597265968</v>
      </c>
      <c r="GM14" t="n">
        <v>0.4223777597265968</v>
      </c>
      <c r="GN14" t="n">
        <v>0.5998552026901062</v>
      </c>
      <c r="GO14" t="n">
        <v>0.2456164402353292</v>
      </c>
      <c r="GP14" t="n">
        <v>651.4037697979435</v>
      </c>
      <c r="GQ14" t="inlineStr">
        <is>
          <t>compiled workbook density_weighted_sum = density_component_ratio_weighted_sum (per-note component ratios); research density_weighted_sum maps body-ceiling richness</t>
        </is>
      </c>
      <c r="GR14" s="15" t="inlineStr">
        <is>
          <t>individual_exact</t>
        </is>
      </c>
      <c r="GS14" s="15" t="inlineStr">
        <is>
          <t>density_weight</t>
        </is>
      </c>
      <c r="GT14" s="15" t="n">
        <v>0.8933993983174079</v>
      </c>
      <c r="GU14" s="15" t="n">
        <v>0.1066006016825922</v>
      </c>
      <c r="GV14" s="15" t="n">
        <v>0</v>
      </c>
      <c r="GW14" s="15" t="inlineStr">
        <is>
          <t>log</t>
        </is>
      </c>
      <c r="GX14" s="15" t="n">
        <v>0.5</v>
      </c>
      <c r="GY14" s="15" t="inlineStr">
        <is>
          <t>EWSD-R v18.1</t>
        </is>
      </c>
      <c r="GZ14" s="15" t="n">
        <v>3.478446704106713</v>
      </c>
      <c r="HA14" s="15" t="n">
        <v>16.42066983863984</v>
      </c>
      <c r="HB14" s="15" t="n">
        <v>0.4003677151025832</v>
      </c>
      <c r="HC14" s="15" t="n">
        <v>6.402222588318297</v>
      </c>
      <c r="HD14" s="15" t="n">
        <v>22.88873954619412</v>
      </c>
      <c r="HE14" s="15" t="n">
        <v>0.3339223004756031</v>
      </c>
      <c r="HF14" s="15" t="inlineStr">
        <is>
          <t>partials+ratios</t>
        </is>
      </c>
      <c r="HG14" s="15" t="inlineStr">
        <is>
          <t>merged_individual_exact</t>
        </is>
      </c>
      <c r="HH14" s="15" t="inlineStr">
        <is>
          <t>passed</t>
        </is>
      </c>
      <c r="HI14" s="15" t="inlineStr">
        <is>
          <t>passed</t>
        </is>
      </c>
    </row>
    <row r="15">
      <c r="A15" t="inlineStr">
        <is>
          <t>incomplete_inference</t>
        </is>
      </c>
      <c r="B15" t="inlineStr">
        <is>
          <t>missing_instrument_technique</t>
        </is>
      </c>
      <c r="C15" t="inlineStr">
        <is>
          <t>prior_constrained_harmonic_fit</t>
        </is>
      </c>
      <c r="D15" t="inlineStr">
        <is>
          <t>IOWA_flt_ff.C5_SustainStable/C5/component_amplitude_mass_pie.png</t>
        </is>
      </c>
      <c r="E15" t="inlineStr">
        <is>
          <t>IOWA_flt_ff.C5_SustainStable/C5/component_energy_ratio_pie.png</t>
        </is>
      </c>
      <c r="F15" s="15" t="n">
        <v>522.8194509578135</v>
      </c>
      <c r="G15" s="15" t="inlineStr">
        <is>
          <t>prior_constrained_harmonic_fit</t>
        </is>
      </c>
      <c r="H15" s="15" t="inlineStr">
        <is>
          <t>fit_accepted_acoustically_verified</t>
        </is>
      </c>
      <c r="I15" s="16" t="n">
        <v>136.3120990315769</v>
      </c>
      <c r="J15" t="inlineStr">
        <is>
          <t>richness_weighted_body_density_body_ceiling</t>
        </is>
      </c>
      <c r="K15" t="inlineStr">
        <is>
          <t>research_body_ceiling_richness_metric</t>
        </is>
      </c>
      <c r="L15" s="15" t="n">
        <v>40070.839105006</v>
      </c>
      <c r="M15" s="15" t="n">
        <v>40070.839105006</v>
      </c>
      <c r="N15" s="15" t="n">
        <v>361.2987571404264</v>
      </c>
      <c r="O15" s="15" t="n">
        <v>6.806495220079358</v>
      </c>
      <c r="P15" s="15" t="n">
        <v>-2.674651946715926</v>
      </c>
      <c r="Q15" s="15" t="n">
        <v>17</v>
      </c>
      <c r="R15" s="15" t="n">
        <v>32</v>
      </c>
      <c r="S15" s="15" t="n">
        <v>2504.437578509604</v>
      </c>
      <c r="T15" s="15" t="n">
        <v>39</v>
      </c>
      <c r="U15" s="15" t="n">
        <v>-0.231154641327954</v>
      </c>
      <c r="V15" s="15" t="n">
        <v>20.60382474850518</v>
      </c>
      <c r="W15" s="15" t="n">
        <v>0.8715378853244606</v>
      </c>
      <c r="X15" s="15" t="n">
        <v>0.2585990544694994</v>
      </c>
      <c r="Y15" s="15" t="n">
        <v>21</v>
      </c>
      <c r="Z15" s="15" t="n">
        <v>38</v>
      </c>
      <c r="AA15" s="15" t="n">
        <v>0.5526315789473685</v>
      </c>
      <c r="AB15" s="15" t="n">
        <v>38</v>
      </c>
      <c r="AC15" s="15" t="n">
        <v>21</v>
      </c>
      <c r="AD15" s="15" t="n">
        <v>0.5526315789473685</v>
      </c>
      <c r="AE15" s="15" t="n">
        <v>257.4379270474245</v>
      </c>
      <c r="AF15" s="15" t="n">
        <v>21</v>
      </c>
      <c r="AG15" s="15" t="n">
        <v>38</v>
      </c>
      <c r="AH15" s="15" t="n">
        <v>0.5526315789473685</v>
      </c>
      <c r="AI15" s="15" t="n">
        <v>257.4379270474245</v>
      </c>
      <c r="AJ15" s="15" t="n">
        <v>10</v>
      </c>
      <c r="AK15" s="15" t="n">
        <v>11</v>
      </c>
      <c r="AL15" s="15" t="n">
        <v>3.3398685467703</v>
      </c>
      <c r="AM15" s="15" t="n">
        <v>23</v>
      </c>
      <c r="AN15" s="15" t="n">
        <v>0</v>
      </c>
      <c r="AO15" s="15" t="n">
        <v>23</v>
      </c>
      <c r="AP15" s="15" t="n">
        <v>0</v>
      </c>
      <c r="AQ15" s="15" t="n">
        <v>21.33874825712945</v>
      </c>
      <c r="AR15" s="15" t="n">
        <v>12.07031883022884</v>
      </c>
      <c r="AS15" s="15" t="n">
        <v>0.3206427596700445</v>
      </c>
      <c r="AT15" s="17" t="n">
        <v>2.567801365429105</v>
      </c>
      <c r="AU15" s="18" t="n">
        <v>6.851934625648604</v>
      </c>
      <c r="AV15" s="15" t="n">
        <v>10.09109192163227</v>
      </c>
      <c r="AW15" s="15" t="b">
        <v>1</v>
      </c>
      <c r="AX15" s="15" t="n">
        <v>11.7704597638978</v>
      </c>
      <c r="AY15" s="15" t="n">
        <v>13.54085450406293</v>
      </c>
      <c r="AZ15" s="15" t="n">
        <v>0</v>
      </c>
      <c r="BA15" s="15" t="n">
        <v>1</v>
      </c>
      <c r="BB15" s="15" t="n">
        <v>0.5</v>
      </c>
      <c r="BC15" s="15" t="n">
        <v>0.25</v>
      </c>
      <c r="BD15" s="15" t="inlineStr">
        <is>
          <t>his_note_adaptive</t>
        </is>
      </c>
      <c r="BE15" s="15" t="n">
        <v>-90</v>
      </c>
      <c r="BF15" s="15" t="n">
        <v>20000</v>
      </c>
      <c r="BG15" s="15" t="n">
        <v>21</v>
      </c>
      <c r="BH15" s="15" t="n">
        <v>0.5526315789473685</v>
      </c>
      <c r="BI15" s="15" t="n">
        <v>38</v>
      </c>
      <c r="BJ15" s="15" t="n">
        <v>21</v>
      </c>
      <c r="BK15" s="15" t="n">
        <v>38</v>
      </c>
      <c r="BL15" s="15" t="n">
        <v>33</v>
      </c>
      <c r="BM15" s="15" t="n">
        <v>0.868421052631579</v>
      </c>
      <c r="BN15" s="15" t="n">
        <v>0.1652282558970855</v>
      </c>
      <c r="BO15" s="15" t="n">
        <v>0.1916666666666667</v>
      </c>
      <c r="BP15" s="19" t="n">
        <v>0.7598825562977928</v>
      </c>
      <c r="BQ15" s="19" t="n">
        <v>0.2401174437022072</v>
      </c>
      <c r="BR15" s="19" t="n">
        <v>0</v>
      </c>
      <c r="BS15" s="15" t="n">
        <v>0.06056529349370556</v>
      </c>
      <c r="BT15" s="19" t="n">
        <v>1</v>
      </c>
      <c r="BU15" s="19" t="n">
        <v>0</v>
      </c>
      <c r="BV15" s="19" t="n">
        <v>0</v>
      </c>
      <c r="BW15" t="inlineStr">
        <is>
          <t>C5</t>
        </is>
      </c>
      <c r="BX15" t="n">
        <v>72</v>
      </c>
      <c r="BY15" t="inlineStr">
        <is>
          <t>C</t>
        </is>
      </c>
      <c r="BZ15" t="n">
        <v>5</v>
      </c>
      <c r="CA15" t="inlineStr">
        <is>
          <t>Very high</t>
        </is>
      </c>
      <c r="CB15" t="inlineStr">
        <is>
          <t>ff</t>
        </is>
      </c>
      <c r="CC15" s="15" t="n">
        <v>523.2511306011972</v>
      </c>
      <c r="CD15" s="15" t="n">
        <v>522.8194509578135</v>
      </c>
      <c r="CE15" t="inlineStr">
        <is>
          <t>prior_constrained_harmonic_fit</t>
        </is>
      </c>
      <c r="CF15" t="n">
        <v>522.8194509578135</v>
      </c>
      <c r="CG15" s="15" t="n">
        <v>1</v>
      </c>
      <c r="CH15" t="inlineStr">
        <is>
          <t>free_fit_acoustically_verified</t>
        </is>
      </c>
      <c r="CI15" s="15" t="inlineStr">
        <is>
          <t>free_f0_fit</t>
        </is>
      </c>
      <c r="CJ15" s="15" t="n">
        <v>523.2511306011972</v>
      </c>
      <c r="CK15" s="15" t="n">
        <v>522.8194509578135</v>
      </c>
      <c r="CL15" s="15" t="n">
        <v>-1.428849166609181</v>
      </c>
      <c r="CM15" s="15" t="n">
        <v>20000</v>
      </c>
      <c r="CN15" s="15" t="n">
        <v>-1.428849166609181</v>
      </c>
      <c r="CO15" s="15" t="n">
        <v>2.335278593200961</v>
      </c>
      <c r="CP15" s="15" t="n">
        <v>40070.839105006</v>
      </c>
      <c r="CQ15" t="n">
        <v>2.068281025860648</v>
      </c>
      <c r="CR15" t="n">
        <v>0.05442844804896441</v>
      </c>
      <c r="CS15" t="n">
        <v>65.90598537007565</v>
      </c>
      <c r="CT15" t="n">
        <v>65.90598537007565</v>
      </c>
      <c r="CU15" t="n">
        <v>136.3120990315769</v>
      </c>
      <c r="CV15" t="n">
        <v>6.806495220079358</v>
      </c>
      <c r="CW15" s="15" t="n">
        <v>40070.839105006</v>
      </c>
      <c r="CX15" s="15" t="n">
        <v>361.2987571404264</v>
      </c>
      <c r="CY15" s="15" t="n">
        <v>6.806495220079358</v>
      </c>
      <c r="CZ15" s="15" t="n">
        <v>2.567801365429105</v>
      </c>
      <c r="DA15" s="15" t="n">
        <v>2.567801365429105</v>
      </c>
      <c r="DB15" s="15" t="n">
        <v>1.834021710241963</v>
      </c>
      <c r="DC15" s="15" t="n">
        <v>0</v>
      </c>
      <c r="DD15" s="15" t="n">
        <v>6.408154714954079e-05</v>
      </c>
      <c r="DE15" s="15" t="n">
        <v>0</v>
      </c>
      <c r="DF15" s="15" t="n">
        <v>17</v>
      </c>
      <c r="DG15" s="15" t="inlineStr">
        <is>
          <t>Density_Metrics</t>
        </is>
      </c>
      <c r="DH15" s="15" t="n">
        <v>2.335278593200961</v>
      </c>
      <c r="DI15" t="n">
        <v>0.930006532027271</v>
      </c>
      <c r="DJ15" s="15" t="n">
        <v>0.5524006673690508</v>
      </c>
      <c r="DK15" s="15" t="n">
        <v>5.198201164675568</v>
      </c>
      <c r="DL15" s="15" t="n">
        <v>2.106398394074783</v>
      </c>
      <c r="DM15" s="15" t="n">
        <v>1.07659383227405</v>
      </c>
      <c r="DN15" s="15" t="n">
        <v>6.4750718948248</v>
      </c>
      <c r="DO15" s="15" t="n">
        <v>0.7007183095206879</v>
      </c>
      <c r="DP15" s="15" t="n">
        <v>13.9375</v>
      </c>
      <c r="DQ15" s="15" t="n">
        <v>39</v>
      </c>
      <c r="DR15" s="15" t="b">
        <v>0</v>
      </c>
      <c r="DS15" s="15" t="n">
        <v>2.068281025860648</v>
      </c>
      <c r="DT15" s="15" t="n">
        <v>9.826764069840976</v>
      </c>
      <c r="DU15" t="n">
        <v>38</v>
      </c>
      <c r="DV15" s="15" t="n">
        <v>0.06056529349370556</v>
      </c>
      <c r="DW15" s="15" t="n">
        <v>1.248642156083882</v>
      </c>
      <c r="DX15" s="15" t="n">
        <v>2.280363340843166</v>
      </c>
      <c r="DY15" s="15" t="n">
        <v>0.12388460408185</v>
      </c>
      <c r="DZ15" s="15" t="b">
        <v>1</v>
      </c>
      <c r="EA15" s="15" t="n">
        <v>0.1062891964752799</v>
      </c>
      <c r="EB15" s="15" t="n">
        <v>20000</v>
      </c>
      <c r="EC15" s="15" t="n">
        <v>10979.20847011408</v>
      </c>
      <c r="ED15" s="15" t="n">
        <v>21</v>
      </c>
      <c r="EE15" s="15" t="n">
        <v>0</v>
      </c>
      <c r="EF15" s="15" t="n">
        <v>0.04115271208350588</v>
      </c>
      <c r="EG15" s="15" t="b">
        <v>0</v>
      </c>
      <c r="EH15" s="15" t="b">
        <v>1</v>
      </c>
      <c r="EI15" s="15" t="b">
        <v>0</v>
      </c>
      <c r="EJ15" s="15" t="inlineStr">
        <is>
          <t>wf=log|dst=-90.0|ceil=20000.0|fft=adaptive_tier</t>
        </is>
      </c>
      <c r="EK15" s="15" t="inlineStr">
        <is>
          <t>wf=log|dst=runtime_configured|ceil=runtime_configured|fft=fixed</t>
        </is>
      </c>
      <c r="EL15" s="15" t="n">
        <v>0.6777567049211308</v>
      </c>
      <c r="EM15" s="15" t="n">
        <v>0.9899805065557787</v>
      </c>
      <c r="EN15" s="15" t="n">
        <v>0.4358974358974359</v>
      </c>
      <c r="EO15" s="15" t="n">
        <v>0.398506872034639</v>
      </c>
      <c r="EP15" s="15" t="inlineStr">
        <is>
          <t>warn:power_outlier_detected</t>
        </is>
      </c>
      <c r="EQ15" s="15" t="n">
        <v>313.1223622462146</v>
      </c>
      <c r="ER15" s="15" t="inlineStr">
        <is>
          <t>winsorize_p95_for_robust_diagnostics</t>
        </is>
      </c>
      <c r="ES15" s="15" t="n">
        <v>0.1121015544997925</v>
      </c>
      <c r="ET15" s="15" t="n">
        <v>0.01953975187685867</v>
      </c>
      <c r="EU15" s="15" t="n">
        <v>0.02440705102094325</v>
      </c>
      <c r="EV15" t="inlineStr">
        <is>
          <t>computed</t>
        </is>
      </c>
      <c r="EW15" s="15" t="inlineStr">
        <is>
          <t>computed</t>
        </is>
      </c>
      <c r="EX15" s="15" t="inlineStr">
        <is>
          <t>computed</t>
        </is>
      </c>
      <c r="EY15" s="15" t="inlineStr">
        <is>
          <t>available_from_curve</t>
        </is>
      </c>
      <c r="EZ15" s="15" t="n">
        <v>20000</v>
      </c>
      <c r="FA15" s="15" t="n">
        <v>20000</v>
      </c>
      <c r="FB15" s="15" t="n">
        <v>0.2401174437022072</v>
      </c>
      <c r="FC15" s="15" t="n">
        <v>0.3423178847164109</v>
      </c>
      <c r="FD15" s="15" t="n">
        <v>2.567801365429105</v>
      </c>
      <c r="FE15" s="15" t="n">
        <v>1.834021710241963</v>
      </c>
      <c r="FF15" s="15" t="n">
        <v>0.7963780890045006</v>
      </c>
      <c r="FG15" s="15" t="n">
        <v>1.941859350863002</v>
      </c>
      <c r="FH15" s="15" t="n">
        <v>0.3522416966467741</v>
      </c>
      <c r="FI15" s="15" t="n">
        <v>0.04117754569118461</v>
      </c>
      <c r="FJ15" s="15" t="n">
        <v>2504.427444062875</v>
      </c>
      <c r="FK15" s="15" t="n">
        <v>22.58117232127665</v>
      </c>
      <c r="FL15" s="15" t="n">
        <v>0.4254059512549599</v>
      </c>
      <c r="FM15" s="15" t="n">
        <v>0.004670761460162871</v>
      </c>
      <c r="FN15" t="n">
        <v>1</v>
      </c>
      <c r="FO15" t="n">
        <v>0</v>
      </c>
      <c r="FP15" t="n">
        <v>0</v>
      </c>
      <c r="FQ15" t="inlineStr">
        <is>
          <t>excellent</t>
        </is>
      </c>
      <c r="FR15" s="19" t="n">
        <v>0.868421052631579</v>
      </c>
      <c r="FS15" s="15" t="n">
        <v>1.177370779773601</v>
      </c>
      <c r="FT15" s="15" t="n">
        <v>16.26615472690664</v>
      </c>
      <c r="FU15" t="inlineStr">
        <is>
          <t>passed</t>
        </is>
      </c>
      <c r="FV15" t="n">
        <v>92.16476725794689</v>
      </c>
      <c r="FW15" t="n">
        <v>16.80932012217232</v>
      </c>
      <c r="FX15" t="n">
        <v>1.314292984792508</v>
      </c>
      <c r="FY15" t="n">
        <v>0.5795056763288546</v>
      </c>
      <c r="FZ15" t="n">
        <v>0.1344591993454444</v>
      </c>
      <c r="GA15" t="n">
        <v>0.4913633008014262</v>
      </c>
      <c r="GB15" t="n">
        <v>0.2677831576449422</v>
      </c>
      <c r="GC15" t="n">
        <v>0.2669923036813339</v>
      </c>
      <c r="GD15" t="n">
        <v>0.2885236252141283</v>
      </c>
      <c r="GE15" t="n">
        <v>0.9324517562609598</v>
      </c>
      <c r="GF15" t="n">
        <v>0.1399726841258614</v>
      </c>
      <c r="GG15" t="n">
        <v>0.2742167954703666</v>
      </c>
      <c r="GH15" t="n">
        <v>0.2534272101623494</v>
      </c>
      <c r="GI15" t="n">
        <v>0.3529135338345865</v>
      </c>
      <c r="GJ15" t="n">
        <v>0.8070175438596494</v>
      </c>
      <c r="GK15" t="n">
        <v>0.1272727272727274</v>
      </c>
      <c r="GL15" t="n">
        <v>0.8590492352308431</v>
      </c>
      <c r="GM15" t="n">
        <v>0.8590492352308431</v>
      </c>
      <c r="GN15" t="n">
        <v>0.57284344066034</v>
      </c>
      <c r="GO15" t="n">
        <v>0.3107299134450364</v>
      </c>
      <c r="GP15" t="n">
        <v>136.3120990315769</v>
      </c>
      <c r="GQ15" t="inlineStr">
        <is>
          <t>compiled workbook density_weighted_sum = density_component_ratio_weighted_sum (per-note component ratios); research density_weighted_sum maps body-ceiling richness</t>
        </is>
      </c>
      <c r="GR15" s="15" t="inlineStr">
        <is>
          <t>individual_exact</t>
        </is>
      </c>
      <c r="GS15" s="15" t="inlineStr">
        <is>
          <t>density_weight</t>
        </is>
      </c>
      <c r="GT15" s="15" t="n">
        <v>0.8306258714352783</v>
      </c>
      <c r="GU15" s="15" t="n">
        <v>0.1693741285647217</v>
      </c>
      <c r="GV15" s="15" t="n">
        <v>0</v>
      </c>
      <c r="GW15" s="15" t="inlineStr">
        <is>
          <t>log</t>
        </is>
      </c>
      <c r="GX15" s="15" t="n">
        <v>0.5</v>
      </c>
      <c r="GY15" s="15" t="inlineStr">
        <is>
          <t>EWSD-R v18.1</t>
        </is>
      </c>
      <c r="GZ15" s="15" t="n">
        <v>2.618165830760468</v>
      </c>
      <c r="HA15" s="15" t="n">
        <v>14.33374909154133</v>
      </c>
      <c r="HB15" s="15" t="n">
        <v>0.4411152612139205</v>
      </c>
      <c r="HC15" s="15" t="n">
        <v>4.843714934629853</v>
      </c>
      <c r="HD15" s="15" t="n">
        <v>19.65286356913586</v>
      </c>
      <c r="HE15" s="15" t="n">
        <v>0.3741967931375457</v>
      </c>
      <c r="HF15" s="15" t="inlineStr">
        <is>
          <t>partials+ratios</t>
        </is>
      </c>
      <c r="HG15" s="15" t="inlineStr">
        <is>
          <t>merged_individual_exact</t>
        </is>
      </c>
      <c r="HH15" s="15" t="inlineStr">
        <is>
          <t>passed</t>
        </is>
      </c>
      <c r="HI15" s="15" t="inlineStr">
        <is>
          <t>passed</t>
        </is>
      </c>
    </row>
    <row r="16">
      <c r="A16" t="inlineStr">
        <is>
          <t>incomplete_inference</t>
        </is>
      </c>
      <c r="B16" t="inlineStr">
        <is>
          <t>missing_instrument_technique</t>
        </is>
      </c>
      <c r="C16" t="inlineStr">
        <is>
          <t>prior_constrained_harmonic_fit</t>
        </is>
      </c>
      <c r="D16" t="inlineStr">
        <is>
          <t>IOWA_flt_ff.C#5_SustainStable/C#5/component_amplitude_mass_pie.png</t>
        </is>
      </c>
      <c r="E16" t="inlineStr">
        <is>
          <t>IOWA_flt_ff.C#5_SustainStable/C#5/component_energy_ratio_pie.png</t>
        </is>
      </c>
      <c r="F16" s="15" t="n">
        <v>554.8388189059065</v>
      </c>
      <c r="G16" s="15" t="inlineStr">
        <is>
          <t>prior_constrained_harmonic_fit</t>
        </is>
      </c>
      <c r="H16" s="15" t="inlineStr">
        <is>
          <t>fit_accepted_acoustically_verified</t>
        </is>
      </c>
      <c r="I16" s="16" t="n">
        <v>178.4887053102515</v>
      </c>
      <c r="J16" t="inlineStr">
        <is>
          <t>richness_weighted_body_density_body_ceiling</t>
        </is>
      </c>
      <c r="K16" t="inlineStr">
        <is>
          <t>research_body_ceiling_richness_metric</t>
        </is>
      </c>
      <c r="L16" s="15" t="n">
        <v>39858.12808163388</v>
      </c>
      <c r="M16" s="15" t="n">
        <v>39858.12808163388</v>
      </c>
      <c r="N16" s="15" t="n">
        <v>280.5387977499089</v>
      </c>
      <c r="O16" s="15" t="n">
        <v>10.30077393880013</v>
      </c>
      <c r="P16" s="15" t="n">
        <v>-2.950822756427875</v>
      </c>
      <c r="Q16" s="15" t="n">
        <v>16</v>
      </c>
      <c r="R16" s="15" t="n">
        <v>28</v>
      </c>
      <c r="S16" s="15" t="n">
        <v>2491.136193637863</v>
      </c>
      <c r="T16" s="15" t="n">
        <v>37</v>
      </c>
      <c r="U16" s="15" t="n">
        <v>-0.05081533467954824</v>
      </c>
      <c r="V16" s="15" t="n">
        <v>22.08006710383551</v>
      </c>
      <c r="W16" s="15" t="n">
        <v>0.9160587112519607</v>
      </c>
      <c r="X16" s="15" t="n">
        <v>0.2827512578830751</v>
      </c>
      <c r="Y16" s="15" t="n">
        <v>21</v>
      </c>
      <c r="Z16" s="15" t="n">
        <v>36</v>
      </c>
      <c r="AA16" s="15" t="n">
        <v>0.5833333333333334</v>
      </c>
      <c r="AB16" s="15" t="n">
        <v>36</v>
      </c>
      <c r="AC16" s="15" t="n">
        <v>21</v>
      </c>
      <c r="AD16" s="15" t="n">
        <v>0.5833333333333334</v>
      </c>
      <c r="AE16" s="15" t="n">
        <v>253.9294690790666</v>
      </c>
      <c r="AF16" s="15" t="n">
        <v>21</v>
      </c>
      <c r="AG16" s="15" t="n">
        <v>36</v>
      </c>
      <c r="AH16" s="15" t="n">
        <v>0.5833333333333334</v>
      </c>
      <c r="AI16" s="15" t="n">
        <v>253.9294690790666</v>
      </c>
      <c r="AJ16" s="15" t="n">
        <v>10</v>
      </c>
      <c r="AK16" s="15" t="n">
        <v>11</v>
      </c>
      <c r="AL16" s="15" t="n">
        <v>1.401870490195497</v>
      </c>
      <c r="AM16" s="15" t="n">
        <v>26</v>
      </c>
      <c r="AN16" s="15" t="n">
        <v>0</v>
      </c>
      <c r="AO16" s="15" t="n">
        <v>26</v>
      </c>
      <c r="AP16" s="15" t="n">
        <v>0</v>
      </c>
      <c r="AQ16" s="15" t="n">
        <v>21.87420317331052</v>
      </c>
      <c r="AR16" s="15" t="n">
        <v>12.31292622032359</v>
      </c>
      <c r="AS16" s="15" t="n">
        <v>0.3334369817384629</v>
      </c>
      <c r="AT16" s="17" t="n">
        <v>2.561304976825749</v>
      </c>
      <c r="AU16" s="18" t="n">
        <v>5.725881134398824</v>
      </c>
      <c r="AV16" s="15" t="n">
        <v>8.733395219730012</v>
      </c>
      <c r="AW16" s="15" t="b">
        <v>1</v>
      </c>
      <c r="AX16" s="15" t="n">
        <v>11.81732578418503</v>
      </c>
      <c r="AY16" s="15" t="n">
        <v>14.65190961589184</v>
      </c>
      <c r="AZ16" s="15" t="n">
        <v>0</v>
      </c>
      <c r="BA16" s="15" t="n">
        <v>1</v>
      </c>
      <c r="BB16" s="15" t="n">
        <v>0.5</v>
      </c>
      <c r="BC16" s="15" t="n">
        <v>0.25</v>
      </c>
      <c r="BD16" s="15" t="inlineStr">
        <is>
          <t>his_note_adaptive</t>
        </is>
      </c>
      <c r="BE16" s="15" t="n">
        <v>-90</v>
      </c>
      <c r="BF16" s="15" t="n">
        <v>20000</v>
      </c>
      <c r="BG16" s="15" t="n">
        <v>21</v>
      </c>
      <c r="BH16" s="15" t="n">
        <v>0.5833333333333334</v>
      </c>
      <c r="BI16" s="15" t="n">
        <v>36</v>
      </c>
      <c r="BJ16" s="15" t="n">
        <v>21</v>
      </c>
      <c r="BK16" s="15" t="n">
        <v>36</v>
      </c>
      <c r="BL16" s="15" t="n">
        <v>32</v>
      </c>
      <c r="BM16" s="15" t="n">
        <v>0.8888888888888888</v>
      </c>
      <c r="BN16" s="15" t="n">
        <v>0.2335891740573977</v>
      </c>
      <c r="BO16" s="15" t="n">
        <v>0.2166666666666667</v>
      </c>
      <c r="BP16" s="19" t="n">
        <v>0.7614757097545953</v>
      </c>
      <c r="BQ16" s="19" t="n">
        <v>0.2385242902454047</v>
      </c>
      <c r="BR16" s="19" t="n">
        <v>0</v>
      </c>
      <c r="BS16" s="15" t="n">
        <v>0.06786856392721917</v>
      </c>
      <c r="BT16" s="19" t="n">
        <v>1</v>
      </c>
      <c r="BU16" s="19" t="n">
        <v>0</v>
      </c>
      <c r="BV16" s="19" t="n">
        <v>0</v>
      </c>
      <c r="BW16" t="inlineStr">
        <is>
          <t>C#5</t>
        </is>
      </c>
      <c r="BX16" t="n">
        <v>73</v>
      </c>
      <c r="BY16" t="inlineStr">
        <is>
          <t>C#</t>
        </is>
      </c>
      <c r="BZ16" t="n">
        <v>5</v>
      </c>
      <c r="CA16" t="inlineStr">
        <is>
          <t>Very high</t>
        </is>
      </c>
      <c r="CB16" t="inlineStr">
        <is>
          <t>ff</t>
        </is>
      </c>
      <c r="CC16" s="15" t="n">
        <v>554.365261953744</v>
      </c>
      <c r="CD16" s="15" t="n">
        <v>554.8388189059065</v>
      </c>
      <c r="CE16" t="inlineStr">
        <is>
          <t>prior_constrained_harmonic_fit</t>
        </is>
      </c>
      <c r="CF16" t="n">
        <v>554.8388189059065</v>
      </c>
      <c r="CG16" s="15" t="n">
        <v>1</v>
      </c>
      <c r="CH16" t="inlineStr">
        <is>
          <t>free_fit_acoustically_verified</t>
        </is>
      </c>
      <c r="CI16" s="15" t="inlineStr">
        <is>
          <t>free_f0_fit</t>
        </is>
      </c>
      <c r="CJ16" s="15" t="n">
        <v>554.365261953744</v>
      </c>
      <c r="CK16" s="15" t="n">
        <v>554.8388189059065</v>
      </c>
      <c r="CL16" s="15" t="n">
        <v>1.478245498216774</v>
      </c>
      <c r="CM16" s="15" t="n">
        <v>20000</v>
      </c>
      <c r="CN16" s="15" t="n">
        <v>1.478245498216774</v>
      </c>
      <c r="CO16" s="15" t="n">
        <v>2.321073045940981</v>
      </c>
      <c r="CP16" s="15" t="n">
        <v>39858.12808163388</v>
      </c>
      <c r="CQ16" t="n">
        <v>2.579385917174525</v>
      </c>
      <c r="CR16" t="n">
        <v>0.07164960881040347</v>
      </c>
      <c r="CS16" t="n">
        <v>69.19813903061437</v>
      </c>
      <c r="CT16" t="n">
        <v>69.19813903061437</v>
      </c>
      <c r="CU16" t="n">
        <v>178.4887053102515</v>
      </c>
      <c r="CV16" t="n">
        <v>10.30077393880013</v>
      </c>
      <c r="CW16" s="15" t="n">
        <v>39858.12808163388</v>
      </c>
      <c r="CX16" s="15" t="n">
        <v>280.5387977499089</v>
      </c>
      <c r="CY16" s="15" t="n">
        <v>10.30077393880013</v>
      </c>
      <c r="CZ16" s="15" t="n">
        <v>2.561304976825749</v>
      </c>
      <c r="DA16" s="15" t="n">
        <v>2.561304976825749</v>
      </c>
      <c r="DB16" s="15" t="n">
        <v>1.763665475661307</v>
      </c>
      <c r="DC16" s="15" t="n">
        <v>0</v>
      </c>
      <c r="DD16" s="15" t="n">
        <v>6.42605435854868e-05</v>
      </c>
      <c r="DE16" s="15" t="n">
        <v>0</v>
      </c>
      <c r="DF16" s="15" t="n">
        <v>16</v>
      </c>
      <c r="DG16" s="15" t="inlineStr">
        <is>
          <t>Density_Metrics</t>
        </is>
      </c>
      <c r="DH16" s="15" t="n">
        <v>2.321073045940981</v>
      </c>
      <c r="DI16" t="n">
        <v>0.9243492833455649</v>
      </c>
      <c r="DJ16" s="15" t="n">
        <v>0.5516091666203696</v>
      </c>
      <c r="DK16" s="15" t="n">
        <v>5.202960752690255</v>
      </c>
      <c r="DL16" s="15" t="n">
        <v>2.617110924780019</v>
      </c>
      <c r="DM16" s="15" t="n">
        <v>1.047292572356671</v>
      </c>
      <c r="DN16" s="15" t="n">
        <v>8.036806153797485</v>
      </c>
      <c r="DO16" s="15" t="n">
        <v>0.71099535964955</v>
      </c>
      <c r="DP16" s="15" t="n">
        <v>6.625</v>
      </c>
      <c r="DQ16" s="15" t="n">
        <v>37</v>
      </c>
      <c r="DR16" s="15" t="b">
        <v>1</v>
      </c>
      <c r="DS16" s="15" t="n">
        <v>2.579385917174525</v>
      </c>
      <c r="DT16" s="15" t="n">
        <v>10.1790452837907</v>
      </c>
      <c r="DU16" t="n">
        <v>36</v>
      </c>
      <c r="DV16" s="15" t="n">
        <v>0.06786856392721917</v>
      </c>
      <c r="DW16" s="15" t="n">
        <v>1.151954878357485</v>
      </c>
      <c r="DX16" s="15" t="n">
        <v>2.277164145971458</v>
      </c>
      <c r="DY16" s="15" t="n">
        <v>0.1308078159383793</v>
      </c>
      <c r="DZ16" s="15" t="b">
        <v>1</v>
      </c>
      <c r="EA16" s="15" t="n">
        <v>0.2409892924489462</v>
      </c>
      <c r="EB16" s="15" t="n">
        <v>20000</v>
      </c>
      <c r="EC16" s="15" t="n">
        <v>10541.93755921222</v>
      </c>
      <c r="ED16" s="15" t="n">
        <v>19</v>
      </c>
      <c r="EE16" s="15" t="n">
        <v>0</v>
      </c>
      <c r="EF16" s="15" t="n">
        <v>0.03884298783280674</v>
      </c>
      <c r="EG16" s="15" t="b">
        <v>0</v>
      </c>
      <c r="EH16" s="15" t="b">
        <v>1</v>
      </c>
      <c r="EI16" s="15" t="b">
        <v>0</v>
      </c>
      <c r="EJ16" s="15" t="inlineStr">
        <is>
          <t>wf=log|dst=-90.0|ceil=20000.0|fft=adaptive_tier</t>
        </is>
      </c>
      <c r="EK16" s="15" t="inlineStr">
        <is>
          <t>wf=log|dst=runtime_configured|ceil=runtime_configured|fft=fixed</t>
        </is>
      </c>
      <c r="EL16" s="15" t="n">
        <v>0.6771893888984806</v>
      </c>
      <c r="EM16" s="15" t="n">
        <v>0.9796525585359903</v>
      </c>
      <c r="EN16" s="15" t="n">
        <v>0.4324324324324325</v>
      </c>
      <c r="EO16" s="15" t="n">
        <v>0.424971931029668</v>
      </c>
      <c r="EP16" s="15" t="inlineStr">
        <is>
          <t>warn:power_outlier_detected</t>
        </is>
      </c>
      <c r="EQ16" s="15" t="n">
        <v>215.4740604401189</v>
      </c>
      <c r="ER16" s="15" t="inlineStr">
        <is>
          <t>winsorize_p95_for_robust_diagnostics</t>
        </is>
      </c>
      <c r="ES16" s="15" t="n">
        <v>0.1440016505316051</v>
      </c>
      <c r="ET16" s="15" t="n">
        <v>0.02037650528645624</v>
      </c>
      <c r="EU16" s="15" t="n">
        <v>0.02436184850987583</v>
      </c>
      <c r="EV16" t="inlineStr">
        <is>
          <t>computed</t>
        </is>
      </c>
      <c r="EW16" s="15" t="inlineStr">
        <is>
          <t>computed</t>
        </is>
      </c>
      <c r="EX16" s="15" t="inlineStr">
        <is>
          <t>computed</t>
        </is>
      </c>
      <c r="EY16" s="15" t="inlineStr">
        <is>
          <t>available_from_curve</t>
        </is>
      </c>
      <c r="EZ16" s="15" t="n">
        <v>20000</v>
      </c>
      <c r="FA16" s="15" t="n">
        <v>20000</v>
      </c>
      <c r="FB16" s="15" t="n">
        <v>0.2385242902454047</v>
      </c>
      <c r="FC16" s="15" t="n">
        <v>0.3795540533537543</v>
      </c>
      <c r="FD16" s="15" t="n">
        <v>2.561304976825749</v>
      </c>
      <c r="FE16" s="15" t="n">
        <v>1.763665475661307</v>
      </c>
      <c r="FF16" s="15" t="n">
        <v>0.8779903002031988</v>
      </c>
      <c r="FG16" s="15" t="n">
        <v>1.936946559271679</v>
      </c>
      <c r="FH16" s="15" t="n">
        <v>0.338729097913633</v>
      </c>
      <c r="FI16" s="15" t="n">
        <v>0.04539738875566903</v>
      </c>
      <c r="FJ16" s="15" t="n">
        <v>2491.133005102117</v>
      </c>
      <c r="FK16" s="15" t="n">
        <v>17.53367485936931</v>
      </c>
      <c r="FL16" s="15" t="n">
        <v>0.6437983711750083</v>
      </c>
      <c r="FM16" s="15" t="n">
        <v>0.004551859535947144</v>
      </c>
      <c r="FN16" t="n">
        <v>1</v>
      </c>
      <c r="FO16" t="n">
        <v>0</v>
      </c>
      <c r="FP16" t="n">
        <v>0</v>
      </c>
      <c r="FQ16" t="inlineStr">
        <is>
          <t>excellent</t>
        </is>
      </c>
      <c r="FR16" s="19" t="n">
        <v>0.8888888888888888</v>
      </c>
      <c r="FS16" s="15" t="n">
        <v>2.421343021175132</v>
      </c>
      <c r="FT16" s="15" t="n">
        <v>14.2747714786741</v>
      </c>
      <c r="FU16" t="inlineStr">
        <is>
          <t>passed</t>
        </is>
      </c>
      <c r="FV16" t="n">
        <v>90.79266994669952</v>
      </c>
      <c r="FW16" t="n">
        <v>14.25793109797835</v>
      </c>
      <c r="FX16" t="n">
        <v>1.637688407913049</v>
      </c>
      <c r="FY16" t="n">
        <v>0.5455190626182652</v>
      </c>
      <c r="FZ16" t="n">
        <v>0.1981527177655542</v>
      </c>
      <c r="GA16" t="n">
        <v>0.4941437726000854</v>
      </c>
      <c r="GB16" t="n">
        <v>0.3930274077686114</v>
      </c>
      <c r="GC16" t="n">
        <v>0.3952346722135631</v>
      </c>
      <c r="GD16" t="n">
        <v>0.3238844324689832</v>
      </c>
      <c r="GE16" t="n">
        <v>0.9824758087348986</v>
      </c>
      <c r="GF16" t="n">
        <v>0.2015091789241806</v>
      </c>
      <c r="GG16" t="n">
        <v>0.3295648469421026</v>
      </c>
      <c r="GH16" t="n">
        <v>0.339130711993049</v>
      </c>
      <c r="GI16" t="n">
        <v>0.3973214285714286</v>
      </c>
      <c r="GJ16" t="n">
        <v>0.8888888888888888</v>
      </c>
      <c r="GK16" t="n">
        <v>0.1818181818181819</v>
      </c>
      <c r="GL16" t="n">
        <v>0.8476166339619782</v>
      </c>
      <c r="GM16" t="n">
        <v>0.8476166339619782</v>
      </c>
      <c r="GN16" t="n">
        <v>0.6389509012354434</v>
      </c>
      <c r="GO16" t="n">
        <v>0.3263495474126569</v>
      </c>
      <c r="GP16" t="n">
        <v>178.4887053102515</v>
      </c>
      <c r="GQ16" t="inlineStr">
        <is>
          <t>compiled workbook density_weighted_sum = density_component_ratio_weighted_sum (per-note component ratios); research density_weighted_sum maps body-ceiling richness</t>
        </is>
      </c>
      <c r="GR16" s="15" t="inlineStr">
        <is>
          <t>individual_exact</t>
        </is>
      </c>
      <c r="GS16" s="15" t="inlineStr">
        <is>
          <t>density_weight</t>
        </is>
      </c>
      <c r="GT16" s="15" t="n">
        <v>0.825159365337897</v>
      </c>
      <c r="GU16" s="15" t="n">
        <v>0.1748406346621031</v>
      </c>
      <c r="GV16" s="15" t="n">
        <v>0</v>
      </c>
      <c r="GW16" s="15" t="inlineStr">
        <is>
          <t>log</t>
        </is>
      </c>
      <c r="GX16" s="15" t="n">
        <v>0.5</v>
      </c>
      <c r="GY16" s="15" t="inlineStr">
        <is>
          <t>EWSD-R v18.1</t>
        </is>
      </c>
      <c r="GZ16" s="15" t="n">
        <v>1.806242709834189</v>
      </c>
      <c r="HA16" s="15" t="n">
        <v>13.44878920109263</v>
      </c>
      <c r="HB16" s="15" t="n">
        <v>0.5186654608436195</v>
      </c>
      <c r="HC16" s="15" t="n">
        <v>3.569344591544663</v>
      </c>
      <c r="HD16" s="15" t="n">
        <v>18.39293551630219</v>
      </c>
      <c r="HE16" s="15" t="n">
        <v>0.4382657381567003</v>
      </c>
      <c r="HF16" s="15" t="inlineStr">
        <is>
          <t>partials+ratios</t>
        </is>
      </c>
      <c r="HG16" s="15" t="inlineStr">
        <is>
          <t>merged_individual_exact</t>
        </is>
      </c>
      <c r="HH16" s="15" t="inlineStr">
        <is>
          <t>passed</t>
        </is>
      </c>
      <c r="HI16" s="15" t="inlineStr">
        <is>
          <t>passed</t>
        </is>
      </c>
    </row>
    <row r="17">
      <c r="A17" t="inlineStr">
        <is>
          <t>incomplete_inference</t>
        </is>
      </c>
      <c r="B17" t="inlineStr">
        <is>
          <t>missing_instrument_technique</t>
        </is>
      </c>
      <c r="C17" t="inlineStr">
        <is>
          <t>prior_constrained_harmonic_fit</t>
        </is>
      </c>
      <c r="D17" t="inlineStr">
        <is>
          <t>IOWA_flt_ff.D5_SustainStable/D5/component_amplitude_mass_pie.png</t>
        </is>
      </c>
      <c r="E17" t="inlineStr">
        <is>
          <t>IOWA_flt_ff.D5_SustainStable/D5/component_energy_ratio_pie.png</t>
        </is>
      </c>
      <c r="F17" s="15" t="n">
        <v>587.7859424242033</v>
      </c>
      <c r="G17" s="15" t="inlineStr">
        <is>
          <t>prior_constrained_harmonic_fit</t>
        </is>
      </c>
      <c r="H17" s="15" t="inlineStr">
        <is>
          <t>fit_accepted_acoustically_verified</t>
        </is>
      </c>
      <c r="I17" s="16" t="n">
        <v>113.9267552485286</v>
      </c>
      <c r="J17" t="inlineStr">
        <is>
          <t>richness_weighted_body_density_body_ceiling</t>
        </is>
      </c>
      <c r="K17" t="inlineStr">
        <is>
          <t>research_body_ceiling_richness_metric</t>
        </is>
      </c>
      <c r="L17" s="15" t="n">
        <v>39065.86956997595</v>
      </c>
      <c r="M17" s="15" t="n">
        <v>39065.86956997595</v>
      </c>
      <c r="N17" s="15" t="n">
        <v>282.7246063653691</v>
      </c>
      <c r="O17" s="15" t="n">
        <v>6.002588809097271</v>
      </c>
      <c r="P17" s="15" t="n">
        <v>-2.071596098372905</v>
      </c>
      <c r="Q17" s="15" t="n">
        <v>19</v>
      </c>
      <c r="R17" s="15" t="n">
        <v>27</v>
      </c>
      <c r="S17" s="15" t="n">
        <v>2441.620407920422</v>
      </c>
      <c r="T17" s="15" t="n">
        <v>35</v>
      </c>
      <c r="U17" s="15" t="n">
        <v>-0.09796967641999425</v>
      </c>
      <c r="V17" s="15" t="n">
        <v>20.05284944169062</v>
      </c>
      <c r="W17" s="15" t="n">
        <v>0.8906068352680641</v>
      </c>
      <c r="X17" s="15" t="n">
        <v>0.3016334650471685</v>
      </c>
      <c r="Y17" s="15" t="n">
        <v>19</v>
      </c>
      <c r="Z17" s="15" t="n">
        <v>34</v>
      </c>
      <c r="AA17" s="15" t="n">
        <v>0.5588235294117647</v>
      </c>
      <c r="AB17" s="15" t="n">
        <v>34</v>
      </c>
      <c r="AC17" s="15" t="n">
        <v>19</v>
      </c>
      <c r="AD17" s="15" t="n">
        <v>0.5588235294117647</v>
      </c>
      <c r="AE17" s="15" t="n">
        <v>232.2229190122699</v>
      </c>
      <c r="AF17" s="15" t="n">
        <v>19</v>
      </c>
      <c r="AG17" s="15" t="n">
        <v>34</v>
      </c>
      <c r="AH17" s="15" t="n">
        <v>0.5588235294117647</v>
      </c>
      <c r="AI17" s="15" t="n">
        <v>232.2229190122699</v>
      </c>
      <c r="AJ17" s="15" t="n">
        <v>9</v>
      </c>
      <c r="AK17" s="15" t="n">
        <v>10</v>
      </c>
      <c r="AL17" s="15" t="n">
        <v>0.290072141880888</v>
      </c>
      <c r="AM17" s="15" t="n">
        <v>30</v>
      </c>
      <c r="AN17" s="15" t="n">
        <v>0</v>
      </c>
      <c r="AO17" s="15" t="n">
        <v>30</v>
      </c>
      <c r="AP17" s="15" t="n">
        <v>0</v>
      </c>
      <c r="AQ17" s="15" t="n">
        <v>21.01483657717458</v>
      </c>
      <c r="AR17" s="15" t="n">
        <v>11.39626513335122</v>
      </c>
      <c r="AS17" s="15" t="n">
        <v>0.2850956451302828</v>
      </c>
      <c r="AT17" s="17" t="n">
        <v>2.524037500195474</v>
      </c>
      <c r="AU17" s="18" t="n">
        <v>5.28580924557145</v>
      </c>
      <c r="AV17" s="15" t="n">
        <v>8.360408041976882</v>
      </c>
      <c r="AW17" s="15" t="b">
        <v>1</v>
      </c>
      <c r="AX17" s="15" t="n">
        <v>10.50116696452195</v>
      </c>
      <c r="AY17" s="15" t="n">
        <v>15.38795528704152</v>
      </c>
      <c r="AZ17" s="15" t="n">
        <v>0</v>
      </c>
      <c r="BA17" s="15" t="n">
        <v>1</v>
      </c>
      <c r="BB17" s="15" t="n">
        <v>0.5</v>
      </c>
      <c r="BC17" s="15" t="n">
        <v>0.25</v>
      </c>
      <c r="BD17" s="15" t="inlineStr">
        <is>
          <t>his_note_adaptive</t>
        </is>
      </c>
      <c r="BE17" s="15" t="n">
        <v>-90</v>
      </c>
      <c r="BF17" s="15" t="n">
        <v>20000</v>
      </c>
      <c r="BG17" s="15" t="n">
        <v>19</v>
      </c>
      <c r="BH17" s="15" t="n">
        <v>0.5588235294117647</v>
      </c>
      <c r="BI17" s="15" t="n">
        <v>34</v>
      </c>
      <c r="BJ17" s="15" t="n">
        <v>19</v>
      </c>
      <c r="BK17" s="15" t="n">
        <v>34</v>
      </c>
      <c r="BL17" s="15" t="n">
        <v>29</v>
      </c>
      <c r="BM17" s="15" t="n">
        <v>0.8529411764705882</v>
      </c>
      <c r="BN17" s="15" t="n">
        <v>0.1882996344281693</v>
      </c>
      <c r="BO17" s="15" t="n">
        <v>0.25</v>
      </c>
      <c r="BP17" s="19" t="n">
        <v>0.7742673374627901</v>
      </c>
      <c r="BQ17" s="19" t="n">
        <v>0.2257326625372099</v>
      </c>
      <c r="BR17" s="19" t="n">
        <v>0</v>
      </c>
      <c r="BS17" s="15" t="n">
        <v>0.07288589212510151</v>
      </c>
      <c r="BT17" s="19" t="n">
        <v>1</v>
      </c>
      <c r="BU17" s="19" t="n">
        <v>0</v>
      </c>
      <c r="BV17" s="19" t="n">
        <v>0</v>
      </c>
      <c r="BW17" t="inlineStr">
        <is>
          <t>D5</t>
        </is>
      </c>
      <c r="BX17" t="n">
        <v>74</v>
      </c>
      <c r="BY17" t="inlineStr">
        <is>
          <t>D</t>
        </is>
      </c>
      <c r="BZ17" t="n">
        <v>5</v>
      </c>
      <c r="CA17" t="inlineStr">
        <is>
          <t>Very high</t>
        </is>
      </c>
      <c r="CB17" t="inlineStr">
        <is>
          <t>ff</t>
        </is>
      </c>
      <c r="CC17" s="15" t="n">
        <v>587.3295358348153</v>
      </c>
      <c r="CD17" s="15" t="n">
        <v>587.7859424242033</v>
      </c>
      <c r="CE17" t="inlineStr">
        <is>
          <t>prior_constrained_harmonic_fit</t>
        </is>
      </c>
      <c r="CF17" t="n">
        <v>587.7859424242033</v>
      </c>
      <c r="CG17" s="15" t="n">
        <v>1</v>
      </c>
      <c r="CH17" t="inlineStr">
        <is>
          <t>free_fit_acoustically_verified</t>
        </is>
      </c>
      <c r="CI17" s="15" t="inlineStr">
        <is>
          <t>free_f0_fit</t>
        </is>
      </c>
      <c r="CJ17" s="15" t="n">
        <v>587.3295358348153</v>
      </c>
      <c r="CK17" s="15" t="n">
        <v>587.7859424242033</v>
      </c>
      <c r="CL17" s="15" t="n">
        <v>1.34479833193704</v>
      </c>
      <c r="CM17" s="15" t="n">
        <v>20000</v>
      </c>
      <c r="CN17" s="15" t="n">
        <v>1.34479833193704</v>
      </c>
      <c r="CO17" s="15" t="n">
        <v>2.291740231968536</v>
      </c>
      <c r="CP17" s="15" t="n">
        <v>39065.86956997595</v>
      </c>
      <c r="CQ17" t="n">
        <v>1.586452715309102</v>
      </c>
      <c r="CR17" t="n">
        <v>0.04666037397967947</v>
      </c>
      <c r="CS17" t="n">
        <v>71.81226023892637</v>
      </c>
      <c r="CT17" t="n">
        <v>71.81226023892637</v>
      </c>
      <c r="CU17" t="n">
        <v>113.9267552485286</v>
      </c>
      <c r="CV17" t="n">
        <v>6.002588809097271</v>
      </c>
      <c r="CW17" s="15" t="n">
        <v>39065.86956997595</v>
      </c>
      <c r="CX17" s="15" t="n">
        <v>282.7246063653691</v>
      </c>
      <c r="CY17" s="15" t="n">
        <v>6.002588809097271</v>
      </c>
      <c r="CZ17" s="15" t="n">
        <v>2.524037500195474</v>
      </c>
      <c r="DA17" s="15" t="n">
        <v>2.524037500195474</v>
      </c>
      <c r="DB17" s="15" t="n">
        <v>1.786096000025696</v>
      </c>
      <c r="DC17" s="15" t="n">
        <v>0</v>
      </c>
      <c r="DD17" s="15" t="n">
        <v>6.46097867007502e-05</v>
      </c>
      <c r="DE17" s="15" t="n">
        <v>0</v>
      </c>
      <c r="DF17" s="15" t="n">
        <v>19</v>
      </c>
      <c r="DG17" s="15" t="inlineStr">
        <is>
          <t>Density_Metrics</t>
        </is>
      </c>
      <c r="DH17" s="15" t="n">
        <v>2.291740231968536</v>
      </c>
      <c r="DI17" t="n">
        <v>0.9126677183808799</v>
      </c>
      <c r="DJ17" s="15" t="n">
        <v>0.5470405212046278</v>
      </c>
      <c r="DK17" s="15" t="n">
        <v>5.082567982397927</v>
      </c>
      <c r="DL17" s="15" t="n">
        <v>1.609968647529099</v>
      </c>
      <c r="DM17" s="15" t="n">
        <v>1.052101849618739</v>
      </c>
      <c r="DN17" s="15" t="n">
        <v>6.690823322456089</v>
      </c>
      <c r="DO17" s="15" t="n">
        <v>1.016804360559827</v>
      </c>
      <c r="DP17" s="15" t="n">
        <v>5.1875</v>
      </c>
      <c r="DQ17" s="15" t="n">
        <v>43</v>
      </c>
      <c r="DR17" s="15" t="b">
        <v>1</v>
      </c>
      <c r="DS17" s="15" t="n">
        <v>1.586452715309102</v>
      </c>
      <c r="DT17" s="15" t="n">
        <v>10.25553781160373</v>
      </c>
      <c r="DU17" t="n">
        <v>34</v>
      </c>
      <c r="DV17" s="15" t="n">
        <v>0.07288589212510151</v>
      </c>
      <c r="DW17" s="15" t="n">
        <v>1.155571571194956</v>
      </c>
      <c r="DX17" s="15" t="n">
        <v>2.253705951004052</v>
      </c>
      <c r="DY17" s="15" t="n">
        <v>0.144731395999582</v>
      </c>
      <c r="DZ17" s="15" t="b">
        <v>1</v>
      </c>
      <c r="EA17" s="15" t="n">
        <v>0.4789562043540921</v>
      </c>
      <c r="EB17" s="15" t="n">
        <v>20000</v>
      </c>
      <c r="EC17" s="15" t="n">
        <v>15282.43450302929</v>
      </c>
      <c r="ED17" s="15" t="n">
        <v>26</v>
      </c>
      <c r="EE17" s="15" t="n">
        <v>0</v>
      </c>
      <c r="EF17" s="15" t="n">
        <v>0.03666289844319382</v>
      </c>
      <c r="EG17" s="15" t="b">
        <v>0</v>
      </c>
      <c r="EH17" s="15" t="b">
        <v>1</v>
      </c>
      <c r="EI17" s="15" t="b">
        <v>0</v>
      </c>
      <c r="EJ17" s="15" t="inlineStr">
        <is>
          <t>wf=log|dst=-90.0|ceil=20000.0|fft=adaptive_tier</t>
        </is>
      </c>
      <c r="EK17" s="15" t="inlineStr">
        <is>
          <t>wf=log|dst=runtime_configured|ceil=runtime_configured|fft=fixed</t>
        </is>
      </c>
      <c r="EL17" s="15" t="n">
        <v>0.7079251619579877</v>
      </c>
      <c r="EM17" s="15" t="n">
        <v>0.9789401825508156</v>
      </c>
      <c r="EN17" s="15" t="n">
        <v>0.5428571428571428</v>
      </c>
      <c r="EO17" s="15" t="n">
        <v>0.3870103990506035</v>
      </c>
      <c r="EP17" s="15" t="inlineStr">
        <is>
          <t>warn:power_outlier_detected</t>
        </is>
      </c>
      <c r="EQ17" s="15" t="n">
        <v>373.6276452788081</v>
      </c>
      <c r="ER17" s="15" t="inlineStr">
        <is>
          <t>winsorize_p95_for_robust_diagnostics</t>
        </is>
      </c>
      <c r="ES17" s="15" t="n">
        <v>0.1525885184132762</v>
      </c>
      <c r="ET17" s="15" t="n">
        <v>0.01978622362496208</v>
      </c>
      <c r="EU17" s="15" t="n">
        <v>0.02419681542400918</v>
      </c>
      <c r="EV17" t="inlineStr">
        <is>
          <t>computed</t>
        </is>
      </c>
      <c r="EW17" s="15" t="inlineStr">
        <is>
          <t>computed</t>
        </is>
      </c>
      <c r="EX17" s="15" t="inlineStr">
        <is>
          <t>computed</t>
        </is>
      </c>
      <c r="EY17" s="15" t="inlineStr">
        <is>
          <t>available_from_curve</t>
        </is>
      </c>
      <c r="EZ17" s="15" t="n">
        <v>20000</v>
      </c>
      <c r="FA17" s="15" t="n">
        <v>20000</v>
      </c>
      <c r="FB17" s="15" t="n">
        <v>0.2257326625372099</v>
      </c>
      <c r="FC17" s="15" t="n">
        <v>0.240141364343897</v>
      </c>
      <c r="FD17" s="15" t="n">
        <v>2.524037500195474</v>
      </c>
      <c r="FE17" s="15" t="n">
        <v>1.786096000025696</v>
      </c>
      <c r="FF17" s="15" t="n">
        <v>0.7724344821767569</v>
      </c>
      <c r="FG17" s="15" t="n">
        <v>1.908763616871275</v>
      </c>
      <c r="FH17" s="15" t="n">
        <v>0.343037098148672</v>
      </c>
      <c r="FI17" s="15" t="n">
        <v>0.0399395169485887</v>
      </c>
      <c r="FJ17" s="15" t="n">
        <v>2441.616848123497</v>
      </c>
      <c r="FK17" s="15" t="n">
        <v>17.67028789783557</v>
      </c>
      <c r="FL17" s="15" t="n">
        <v>0.3751618005685795</v>
      </c>
      <c r="FM17" s="15" t="n">
        <v>0.00453482370880749</v>
      </c>
      <c r="FN17" t="n">
        <v>1</v>
      </c>
      <c r="FO17" t="n">
        <v>0</v>
      </c>
      <c r="FP17" t="n">
        <v>0</v>
      </c>
      <c r="FQ17" t="inlineStr">
        <is>
          <t>excellent</t>
        </is>
      </c>
      <c r="FR17" s="19" t="n">
        <v>0.8529411764705882</v>
      </c>
      <c r="FS17" s="15" t="n">
        <v>1.143596453260621</v>
      </c>
      <c r="FT17" s="15" t="n">
        <v>12.84444406675685</v>
      </c>
      <c r="FU17" t="inlineStr">
        <is>
          <t>passed</t>
        </is>
      </c>
      <c r="FV17" t="n">
        <v>83.30597453545674</v>
      </c>
      <c r="FW17" t="n">
        <v>15.02692718711919</v>
      </c>
      <c r="FX17" t="n">
        <v>1.230384369020082</v>
      </c>
      <c r="FY17" t="n">
        <v>0.4753406316658291</v>
      </c>
      <c r="FZ17" t="n">
        <v>0.100653698325155</v>
      </c>
      <c r="GA17" t="n">
        <v>0.4238123276247361</v>
      </c>
      <c r="GB17" t="n">
        <v>0.1460415366603527</v>
      </c>
      <c r="GC17" t="n">
        <v>0.1460957816148562</v>
      </c>
      <c r="GD17" t="n">
        <v>0.2753259740587428</v>
      </c>
      <c r="GE17" t="n">
        <v>0.9538778222138943</v>
      </c>
      <c r="GF17" t="n">
        <v>0.2496184475916058</v>
      </c>
      <c r="GG17" t="n">
        <v>0.3675888174187624</v>
      </c>
      <c r="GH17" t="n">
        <v>0.3167213310944257</v>
      </c>
      <c r="GI17" t="n">
        <v>0.3618697478991597</v>
      </c>
      <c r="GJ17" t="n">
        <v>0.7450980392156863</v>
      </c>
      <c r="GK17" t="n">
        <v>0.2545454545454546</v>
      </c>
      <c r="GL17" t="n">
        <v>0.7558228531788872</v>
      </c>
      <c r="GM17" t="n">
        <v>0.7558228531788872</v>
      </c>
      <c r="GN17" t="n">
        <v>0.3914437279774101</v>
      </c>
      <c r="GO17" t="n">
        <v>0.3012811592626746</v>
      </c>
      <c r="GP17" t="n">
        <v>113.9267552485286</v>
      </c>
      <c r="GQ17" t="inlineStr">
        <is>
          <t>compiled workbook density_weighted_sum = density_component_ratio_weighted_sum (per-note component ratios); research density_weighted_sum maps body-ceiling richness</t>
        </is>
      </c>
      <c r="GR17" s="15" t="inlineStr">
        <is>
          <t>individual_exact</t>
        </is>
      </c>
      <c r="GS17" s="15" t="inlineStr">
        <is>
          <t>density_weight</t>
        </is>
      </c>
      <c r="GT17" s="15" t="n">
        <v>0.8168330384386747</v>
      </c>
      <c r="GU17" s="15" t="n">
        <v>0.1831669615613252</v>
      </c>
      <c r="GV17" s="15" t="n">
        <v>0</v>
      </c>
      <c r="GW17" s="15" t="inlineStr">
        <is>
          <t>log</t>
        </is>
      </c>
      <c r="GX17" s="15" t="n">
        <v>0.5</v>
      </c>
      <c r="GY17" s="15" t="inlineStr">
        <is>
          <t>EWSD-R v18.1</t>
        </is>
      </c>
      <c r="GZ17" s="15" t="n">
        <v>1.650921592725388</v>
      </c>
      <c r="HA17" s="15" t="n">
        <v>12.45066133036364</v>
      </c>
      <c r="HB17" s="15" t="n">
        <v>0.5461012663875886</v>
      </c>
      <c r="HC17" s="15" t="n">
        <v>3.342277432079243</v>
      </c>
      <c r="HD17" s="15" t="n">
        <v>17.81001156407789</v>
      </c>
      <c r="HE17" s="15" t="n">
        <v>0.4589307825858379</v>
      </c>
      <c r="HF17" s="15" t="inlineStr">
        <is>
          <t>partials+ratios</t>
        </is>
      </c>
      <c r="HG17" s="15" t="inlineStr">
        <is>
          <t>merged_individual_exact</t>
        </is>
      </c>
      <c r="HH17" s="15" t="inlineStr">
        <is>
          <t>passed</t>
        </is>
      </c>
      <c r="HI17" s="15" t="inlineStr">
        <is>
          <t>passed</t>
        </is>
      </c>
    </row>
    <row r="18">
      <c r="A18" t="inlineStr">
        <is>
          <t>incomplete_inference</t>
        </is>
      </c>
      <c r="B18" t="inlineStr">
        <is>
          <t>missing_instrument_technique</t>
        </is>
      </c>
      <c r="C18" t="inlineStr">
        <is>
          <t>prior_constrained_harmonic_fit</t>
        </is>
      </c>
      <c r="D18" t="inlineStr">
        <is>
          <t>IOWA_flt_ff.D#5_SustainStable/D#5/component_amplitude_mass_pie.png</t>
        </is>
      </c>
      <c r="E18" t="inlineStr">
        <is>
          <t>IOWA_flt_ff.D#5_SustainStable/D#5/component_energy_ratio_pie.png</t>
        </is>
      </c>
      <c r="F18" s="15" t="n">
        <v>621.0148968930504</v>
      </c>
      <c r="G18" s="15" t="inlineStr">
        <is>
          <t>prior_constrained_harmonic_fit</t>
        </is>
      </c>
      <c r="H18" s="15" t="inlineStr">
        <is>
          <t>fit_accepted_acoustically_verified</t>
        </is>
      </c>
      <c r="I18" s="16" t="n">
        <v>83.26930936618284</v>
      </c>
      <c r="J18" t="inlineStr">
        <is>
          <t>richness_weighted_body_density_body_ceiling</t>
        </is>
      </c>
      <c r="K18" t="inlineStr">
        <is>
          <t>research_body_ceiling_richness_metric</t>
        </is>
      </c>
      <c r="L18" s="15" t="n">
        <v>39846.14065083968</v>
      </c>
      <c r="M18" s="15" t="n">
        <v>39862.81306452776</v>
      </c>
      <c r="N18" s="15" t="n">
        <v>327.8653195791691</v>
      </c>
      <c r="O18" s="15" t="n">
        <v>13.27984638315471</v>
      </c>
      <c r="P18" s="15" t="n">
        <v>-4.328447464582352</v>
      </c>
      <c r="Q18" s="15" t="n">
        <v>12</v>
      </c>
      <c r="R18" s="15" t="n">
        <v>28</v>
      </c>
      <c r="S18" s="15" t="n">
        <v>2491.452498465223</v>
      </c>
      <c r="T18" s="15" t="n">
        <v>33</v>
      </c>
      <c r="U18" s="15" t="n">
        <v>-0.4786250051603576</v>
      </c>
      <c r="V18" s="15" t="n">
        <v>13.35147658714792</v>
      </c>
      <c r="W18" s="15" t="n">
        <v>0.8678102758710314</v>
      </c>
      <c r="X18" s="15" t="n">
        <v>0.2036617566849606</v>
      </c>
      <c r="Y18" s="15" t="n">
        <v>17</v>
      </c>
      <c r="Z18" s="15" t="n">
        <v>32</v>
      </c>
      <c r="AA18" s="15" t="n">
        <v>0.53125</v>
      </c>
      <c r="AB18" s="15" t="n">
        <v>32</v>
      </c>
      <c r="AC18" s="15" t="n">
        <v>17</v>
      </c>
      <c r="AD18" s="15" t="n">
        <v>0.53125</v>
      </c>
      <c r="AE18" s="15" t="n">
        <v>190.5940659034869</v>
      </c>
      <c r="AF18" s="15" t="n">
        <v>17</v>
      </c>
      <c r="AG18" s="15" t="n">
        <v>32</v>
      </c>
      <c r="AH18" s="15" t="n">
        <v>0.53125</v>
      </c>
      <c r="AI18" s="15" t="n">
        <v>190.5940659034869</v>
      </c>
      <c r="AJ18" s="15" t="n">
        <v>9</v>
      </c>
      <c r="AK18" s="15" t="n">
        <v>8</v>
      </c>
      <c r="AL18" s="15" t="n">
        <v>0.03070988937482736</v>
      </c>
      <c r="AM18" s="15" t="n">
        <v>36</v>
      </c>
      <c r="AN18" s="15" t="n">
        <v>0</v>
      </c>
      <c r="AO18" s="15" t="n">
        <v>36</v>
      </c>
      <c r="AP18" s="15" t="n">
        <v>0</v>
      </c>
      <c r="AQ18" s="15" t="n">
        <v>21.74400083946027</v>
      </c>
      <c r="AR18" s="15" t="n">
        <v>11.35418791019197</v>
      </c>
      <c r="AS18" s="15" t="n">
        <v>0.2828766470325266</v>
      </c>
      <c r="AT18" s="17" t="n">
        <v>2.435468052848962</v>
      </c>
      <c r="AU18" s="18" t="n">
        <v>6.203161839494687</v>
      </c>
      <c r="AV18" s="15" t="n">
        <v>8.278403370173091</v>
      </c>
      <c r="AW18" s="15" t="b">
        <v>1</v>
      </c>
      <c r="AX18" s="15" t="n">
        <v>9.32931776534736</v>
      </c>
      <c r="AY18" s="15" t="n">
        <v>17.43904077214699</v>
      </c>
      <c r="AZ18" s="15" t="n">
        <v>0</v>
      </c>
      <c r="BA18" s="15" t="n">
        <v>1</v>
      </c>
      <c r="BB18" s="15" t="n">
        <v>0.5</v>
      </c>
      <c r="BC18" s="15" t="n">
        <v>0.25</v>
      </c>
      <c r="BD18" s="15" t="inlineStr">
        <is>
          <t>his_note_adaptive</t>
        </is>
      </c>
      <c r="BE18" s="15" t="n">
        <v>-90</v>
      </c>
      <c r="BF18" s="15" t="n">
        <v>20000</v>
      </c>
      <c r="BG18" s="15" t="n">
        <v>17</v>
      </c>
      <c r="BH18" s="15" t="n">
        <v>0.53125</v>
      </c>
      <c r="BI18" s="15" t="n">
        <v>32</v>
      </c>
      <c r="BJ18" s="15" t="n">
        <v>17</v>
      </c>
      <c r="BK18" s="15" t="n">
        <v>32</v>
      </c>
      <c r="BL18" s="15" t="n">
        <v>27</v>
      </c>
      <c r="BM18" s="15" t="n">
        <v>0.84375</v>
      </c>
      <c r="BN18" s="15" t="n">
        <v>0.1297199901020991</v>
      </c>
      <c r="BO18" s="15" t="n">
        <v>0.3</v>
      </c>
      <c r="BP18" s="19" t="n">
        <v>0.7519790660181753</v>
      </c>
      <c r="BQ18" s="19" t="n">
        <v>0.2480209339818246</v>
      </c>
      <c r="BR18" s="19" t="n">
        <v>0</v>
      </c>
      <c r="BS18" s="15" t="n">
        <v>0.09890554862070854</v>
      </c>
      <c r="BT18" s="19" t="n">
        <v>0.999578286689649</v>
      </c>
      <c r="BU18" s="19" t="n">
        <v>0.0004217133103510661</v>
      </c>
      <c r="BV18" s="19" t="n">
        <v>0</v>
      </c>
      <c r="BW18" t="inlineStr">
        <is>
          <t>D#5</t>
        </is>
      </c>
      <c r="BX18" t="n">
        <v>75</v>
      </c>
      <c r="BY18" t="inlineStr">
        <is>
          <t>D#</t>
        </is>
      </c>
      <c r="BZ18" t="n">
        <v>5</v>
      </c>
      <c r="CA18" t="inlineStr">
        <is>
          <t>Very high</t>
        </is>
      </c>
      <c r="CB18" t="inlineStr">
        <is>
          <t>ff</t>
        </is>
      </c>
      <c r="CC18" s="15" t="n">
        <v>622.2539674441617</v>
      </c>
      <c r="CD18" s="15" t="n">
        <v>621.0148968930504</v>
      </c>
      <c r="CE18" t="inlineStr">
        <is>
          <t>prior_constrained_harmonic_fit</t>
        </is>
      </c>
      <c r="CF18" t="n">
        <v>621.0148968930504</v>
      </c>
      <c r="CG18" s="15" t="n">
        <v>1</v>
      </c>
      <c r="CH18" t="inlineStr">
        <is>
          <t>free_fit_acoustically_verified</t>
        </is>
      </c>
      <c r="CI18" s="15" t="inlineStr">
        <is>
          <t>free_f0_fit</t>
        </is>
      </c>
      <c r="CJ18" s="15" t="n">
        <v>622.2539674441617</v>
      </c>
      <c r="CK18" s="15" t="n">
        <v>621.0148968930504</v>
      </c>
      <c r="CL18" s="15" t="n">
        <v>-3.450777058819416</v>
      </c>
      <c r="CM18" s="15" t="n">
        <v>20000</v>
      </c>
      <c r="CN18" s="15" t="n">
        <v>-3.450777058819416</v>
      </c>
      <c r="CO18" s="15" t="n">
        <v>2.22925220576748</v>
      </c>
      <c r="CP18" s="15" t="n">
        <v>39846.14065083968</v>
      </c>
      <c r="CQ18" t="n">
        <v>1.069966286189483</v>
      </c>
      <c r="CR18" t="n">
        <v>0.03343644644342135</v>
      </c>
      <c r="CS18" t="n">
        <v>77.8242365586428</v>
      </c>
      <c r="CT18" t="n">
        <v>77.85705676665579</v>
      </c>
      <c r="CU18" t="n">
        <v>83.26930936618284</v>
      </c>
      <c r="CV18" t="n">
        <v>13.27984638315471</v>
      </c>
      <c r="CW18" s="15" t="n">
        <v>39862.81306452776</v>
      </c>
      <c r="CX18" s="15" t="n">
        <v>327.8653195791691</v>
      </c>
      <c r="CY18" s="15" t="n">
        <v>13.27984638315471</v>
      </c>
      <c r="CZ18" s="15" t="n">
        <v>2.435468052848961</v>
      </c>
      <c r="DA18" s="15" t="n">
        <v>2.435750802061381</v>
      </c>
      <c r="DB18" s="15" t="n">
        <v>1.76527347663958</v>
      </c>
      <c r="DC18" s="15" t="n">
        <v>0</v>
      </c>
      <c r="DD18" s="15" t="n">
        <v>6.112180535099423e-05</v>
      </c>
      <c r="DE18" s="15" t="n">
        <v>0</v>
      </c>
      <c r="DF18" s="15" t="n">
        <v>12</v>
      </c>
      <c r="DG18" s="15" t="inlineStr">
        <is>
          <t>Density_Metrics</t>
        </is>
      </c>
      <c r="DH18" s="15" t="n">
        <v>2.22925220576748</v>
      </c>
      <c r="DI18" t="n">
        <v>0.8877823480830191</v>
      </c>
      <c r="DJ18" s="15" t="n">
        <v>0.5359859142985779</v>
      </c>
      <c r="DK18" s="15" t="n">
        <v>5.133528444909586</v>
      </c>
      <c r="DL18" s="15" t="n">
        <v>1.088346439504291</v>
      </c>
      <c r="DM18" s="15" t="n">
        <v>1.03187683834626</v>
      </c>
      <c r="DN18" s="15" t="n">
        <v>9.048986323342318</v>
      </c>
      <c r="DO18" s="15" t="n">
        <v>2.050946477946578</v>
      </c>
      <c r="DP18" s="15" t="n">
        <v>14.6875</v>
      </c>
      <c r="DQ18" s="15" t="n">
        <v>29</v>
      </c>
      <c r="DR18" s="15" t="b">
        <v>0</v>
      </c>
      <c r="DS18" s="15" t="n">
        <v>1.069966286189483</v>
      </c>
      <c r="DT18" s="15" t="n">
        <v>6.517176213918741</v>
      </c>
      <c r="DU18" t="n">
        <v>32</v>
      </c>
      <c r="DV18" s="15" t="n">
        <v>0.09890554862070854</v>
      </c>
      <c r="DW18" s="15" t="n">
        <v>1.100071819385541</v>
      </c>
      <c r="DX18" s="15" t="n">
        <v>2.217484995624307</v>
      </c>
      <c r="DY18" s="15" t="n">
        <v>0.1873070027711757</v>
      </c>
      <c r="DZ18" s="15" t="b">
        <v>1</v>
      </c>
      <c r="EA18" s="15" t="n">
        <v>0.142389080397246</v>
      </c>
      <c r="EB18" s="15" t="n">
        <v>20000</v>
      </c>
      <c r="EC18" s="15" t="n">
        <v>7452.178762716605</v>
      </c>
      <c r="ED18" s="15" t="n">
        <v>12</v>
      </c>
      <c r="EE18" s="15" t="n">
        <v>0</v>
      </c>
      <c r="EF18" s="15" t="n">
        <v>0.03460516806898831</v>
      </c>
      <c r="EG18" s="15" t="b">
        <v>0</v>
      </c>
      <c r="EH18" s="15" t="b">
        <v>1</v>
      </c>
      <c r="EI18" s="15" t="b">
        <v>0</v>
      </c>
      <c r="EJ18" s="15" t="inlineStr">
        <is>
          <t>wf=log|dst=-90.0|ceil=20000.0|fft=adaptive_tier</t>
        </is>
      </c>
      <c r="EK18" s="15" t="inlineStr">
        <is>
          <t>wf=log|dst=runtime_configured|ceil=runtime_configured|fft=fixed</t>
        </is>
      </c>
      <c r="EL18" s="15" t="n">
        <v>0.6473934167316684</v>
      </c>
      <c r="EM18" s="15" t="n">
        <v>0.9895790419370388</v>
      </c>
      <c r="EN18" s="15" t="n">
        <v>0.3636363636363636</v>
      </c>
      <c r="EO18" s="15" t="n">
        <v>0.374050602936368</v>
      </c>
      <c r="EP18" s="15" t="inlineStr">
        <is>
          <t>warn:power_outlier_detected</t>
        </is>
      </c>
      <c r="EQ18" s="15" t="n">
        <v>461.449381605858</v>
      </c>
      <c r="ER18" s="15" t="inlineStr">
        <is>
          <t>winsorize_p95_for_robust_diagnostics</t>
        </is>
      </c>
      <c r="ES18" s="15" t="n">
        <v>0.1991765722634359</v>
      </c>
      <c r="ET18" s="15" t="n">
        <v>0.03102585643587647</v>
      </c>
      <c r="EU18" s="15" t="n">
        <v>0.03639117510672048</v>
      </c>
      <c r="EV18" t="inlineStr">
        <is>
          <t>computed</t>
        </is>
      </c>
      <c r="EW18" s="15" t="inlineStr">
        <is>
          <t>computed</t>
        </is>
      </c>
      <c r="EX18" s="15" t="inlineStr">
        <is>
          <t>computed</t>
        </is>
      </c>
      <c r="EY18" s="15" t="inlineStr">
        <is>
          <t>available_from_curve</t>
        </is>
      </c>
      <c r="EZ18" s="15" t="n">
        <v>20000</v>
      </c>
      <c r="FA18" s="15" t="n">
        <v>20000</v>
      </c>
      <c r="FB18" s="15" t="n">
        <v>0.2480209339818246</v>
      </c>
      <c r="FC18" s="15" t="n">
        <v>0.08508056694340901</v>
      </c>
      <c r="FD18" s="15" t="n">
        <v>2.435750802061381</v>
      </c>
      <c r="FE18" s="15" t="n">
        <v>1.76527347663958</v>
      </c>
      <c r="FF18" s="15" t="n">
        <v>0.9325041662086254</v>
      </c>
      <c r="FG18" s="15" t="n">
        <v>1.841998191540231</v>
      </c>
      <c r="FH18" s="15" t="n">
        <v>0.3390379301317215</v>
      </c>
      <c r="FI18" s="15" t="n">
        <v>0.04821608409552649</v>
      </c>
      <c r="FJ18" s="15" t="n">
        <v>2491.425816532985</v>
      </c>
      <c r="FK18" s="15" t="n">
        <v>20.49158247369807</v>
      </c>
      <c r="FL18" s="15" t="n">
        <v>0.8299903989471693</v>
      </c>
      <c r="FM18" s="15" t="n">
        <v>0.004382971679098969</v>
      </c>
      <c r="FN18" t="n">
        <v>0.999578286689649</v>
      </c>
      <c r="FO18" t="n">
        <v>0.0004217133103510661</v>
      </c>
      <c r="FP18" t="n">
        <v>0</v>
      </c>
      <c r="FQ18" t="inlineStr">
        <is>
          <t>good</t>
        </is>
      </c>
      <c r="FR18" s="19" t="n">
        <v>0.84375</v>
      </c>
      <c r="FS18" s="15" t="n">
        <v>2.048135633343352</v>
      </c>
      <c r="FT18" s="15" t="n">
        <v>17.52701189841819</v>
      </c>
      <c r="FU18" t="inlineStr">
        <is>
          <t>passed</t>
        </is>
      </c>
      <c r="FV18" t="n">
        <v>67.93530864999724</v>
      </c>
      <c r="FW18" t="n">
        <v>14.31174713707961</v>
      </c>
      <c r="FX18" t="n">
        <v>1.890149809765627</v>
      </c>
      <c r="FY18" t="n">
        <v>0.3258387244766893</v>
      </c>
      <c r="FZ18" t="n">
        <v>0.05435598102854016</v>
      </c>
      <c r="GA18" t="n">
        <v>0.4535825784159955</v>
      </c>
      <c r="GB18" t="n">
        <v>0.01812185902544891</v>
      </c>
      <c r="GC18" t="n">
        <v>0.01650312047873504</v>
      </c>
      <c r="GD18" t="n">
        <v>0.114806291774341</v>
      </c>
      <c r="GE18" t="n">
        <v>0.9282633763956727</v>
      </c>
      <c r="GF18" t="n">
        <v>0</v>
      </c>
      <c r="GG18" t="n">
        <v>0.5647795554732064</v>
      </c>
      <c r="GH18" t="n">
        <v>0.1358206984488266</v>
      </c>
      <c r="GI18" t="n">
        <v>0.3219866071428571</v>
      </c>
      <c r="GJ18" t="n">
        <v>0.7083333333333335</v>
      </c>
      <c r="GK18" t="n">
        <v>0.3636363636363636</v>
      </c>
      <c r="GL18" t="n">
        <v>0.9157653366292384</v>
      </c>
      <c r="GM18" t="n">
        <v>0.9157653366292384</v>
      </c>
      <c r="GN18" t="n">
        <v>0.1161555894277133</v>
      </c>
      <c r="GO18" t="n">
        <v>0.3225514446499154</v>
      </c>
      <c r="GP18" t="n">
        <v>83.26930936618284</v>
      </c>
      <c r="GQ18" t="inlineStr">
        <is>
          <t>compiled workbook density_weighted_sum = density_component_ratio_weighted_sum (per-note component ratios); research density_weighted_sum maps body-ceiling richness</t>
        </is>
      </c>
      <c r="GR18" s="15" t="inlineStr">
        <is>
          <t>individual_exact</t>
        </is>
      </c>
      <c r="GS18" s="15" t="inlineStr">
        <is>
          <t>density_weight</t>
        </is>
      </c>
      <c r="GT18" s="15" t="n">
        <v>0.7503157452915649</v>
      </c>
      <c r="GU18" s="15" t="n">
        <v>0.2496842547084351</v>
      </c>
      <c r="GV18" s="15" t="n">
        <v>0</v>
      </c>
      <c r="GW18" s="15" t="inlineStr">
        <is>
          <t>log</t>
        </is>
      </c>
      <c r="GX18" s="15" t="n">
        <v>0.5</v>
      </c>
      <c r="GY18" s="15" t="inlineStr">
        <is>
          <t>EWSD-R v18.1</t>
        </is>
      </c>
      <c r="GZ18" s="15" t="n">
        <v>2.809170043997789</v>
      </c>
      <c r="HA18" s="15" t="n">
        <v>12.2169455807574</v>
      </c>
      <c r="HB18" s="15" t="n">
        <v>0.3824094745700495</v>
      </c>
      <c r="HC18" s="15" t="n">
        <v>4.754083094194848</v>
      </c>
      <c r="HD18" s="15" t="n">
        <v>15.45901835057559</v>
      </c>
      <c r="HE18" s="15" t="n">
        <v>0.3426340663247578</v>
      </c>
      <c r="HF18" s="15" t="inlineStr">
        <is>
          <t>partials+ratios</t>
        </is>
      </c>
      <c r="HG18" s="15" t="inlineStr">
        <is>
          <t>merged_individual_exact</t>
        </is>
      </c>
      <c r="HH18" s="15" t="inlineStr">
        <is>
          <t>passed</t>
        </is>
      </c>
      <c r="HI18" s="15" t="inlineStr">
        <is>
          <t>passed</t>
        </is>
      </c>
    </row>
    <row r="19">
      <c r="A19" t="inlineStr">
        <is>
          <t>incomplete_inference</t>
        </is>
      </c>
      <c r="B19" t="inlineStr">
        <is>
          <t>missing_instrument_technique</t>
        </is>
      </c>
      <c r="C19" t="inlineStr">
        <is>
          <t>prior_constrained_harmonic_fit</t>
        </is>
      </c>
      <c r="D19" t="inlineStr">
        <is>
          <t>IOWA_flt_ff.E5_SustainStable/E5/component_amplitude_mass_pie.png</t>
        </is>
      </c>
      <c r="E19" t="inlineStr">
        <is>
          <t>IOWA_flt_ff.E5_SustainStable/E5/component_energy_ratio_pie.png</t>
        </is>
      </c>
      <c r="F19" s="15" t="n">
        <v>658.8862061485206</v>
      </c>
      <c r="G19" s="15" t="inlineStr">
        <is>
          <t>prior_constrained_harmonic_fit</t>
        </is>
      </c>
      <c r="H19" s="15" t="inlineStr">
        <is>
          <t>fit_accepted_acoustically_verified</t>
        </is>
      </c>
      <c r="I19" s="16" t="n">
        <v>99.39303226051229</v>
      </c>
      <c r="J19" t="inlineStr">
        <is>
          <t>richness_weighted_body_density_body_ceiling</t>
        </is>
      </c>
      <c r="K19" t="inlineStr">
        <is>
          <t>research_body_ceiling_richness_metric</t>
        </is>
      </c>
      <c r="L19" s="15" t="n">
        <v>38571.83573767659</v>
      </c>
      <c r="M19" s="15" t="n">
        <v>38917.53560353548</v>
      </c>
      <c r="N19" s="15" t="n">
        <v>720.3493484339346</v>
      </c>
      <c r="O19" s="15" t="n">
        <v>19.25968171883566</v>
      </c>
      <c r="P19" s="15" t="n">
        <v>-3.202842975685438</v>
      </c>
      <c r="Q19" s="15" t="n">
        <v>13</v>
      </c>
      <c r="R19" s="15" t="n">
        <v>29</v>
      </c>
      <c r="S19" s="15" t="n">
        <v>2432.41372046651</v>
      </c>
      <c r="T19" s="15" t="n">
        <v>31</v>
      </c>
      <c r="U19" s="15" t="n">
        <v>-0.1095757574347539</v>
      </c>
      <c r="V19" s="15" t="n">
        <v>17.84294545004114</v>
      </c>
      <c r="W19" s="15" t="n">
        <v>0.7959055078611171</v>
      </c>
      <c r="X19" s="15" t="n">
        <v>0.336108780729644</v>
      </c>
      <c r="Y19" s="15" t="n">
        <v>19</v>
      </c>
      <c r="Z19" s="15" t="n">
        <v>30</v>
      </c>
      <c r="AA19" s="15" t="n">
        <v>0.6333333333333333</v>
      </c>
      <c r="AB19" s="15" t="n">
        <v>30</v>
      </c>
      <c r="AC19" s="15" t="n">
        <v>19</v>
      </c>
      <c r="AD19" s="15" t="n">
        <v>0.6333333333333333</v>
      </c>
      <c r="AE19" s="15" t="n">
        <v>217.061167978</v>
      </c>
      <c r="AF19" s="15" t="n">
        <v>19</v>
      </c>
      <c r="AG19" s="15" t="n">
        <v>30</v>
      </c>
      <c r="AH19" s="15" t="n">
        <v>0.6333333333333333</v>
      </c>
      <c r="AI19" s="15" t="n">
        <v>217.061167978</v>
      </c>
      <c r="AJ19" s="15" t="n">
        <v>9</v>
      </c>
      <c r="AK19" s="15" t="n">
        <v>10</v>
      </c>
      <c r="AL19" s="15" t="n">
        <v>0.0984176881881642</v>
      </c>
      <c r="AM19" s="15" t="n">
        <v>40</v>
      </c>
      <c r="AN19" s="15" t="n">
        <v>0</v>
      </c>
      <c r="AO19" s="15" t="n">
        <v>40</v>
      </c>
      <c r="AP19" s="15" t="n">
        <v>0</v>
      </c>
      <c r="AQ19" s="15" t="n">
        <v>24.04275823427854</v>
      </c>
      <c r="AR19" s="15" t="n">
        <v>13.03768170140724</v>
      </c>
      <c r="AS19" s="15" t="n">
        <v>0.3716579220266638</v>
      </c>
      <c r="AT19" s="17" t="n">
        <v>2.487576397184346</v>
      </c>
      <c r="AU19" s="18" t="n">
        <v>8.402448457206845</v>
      </c>
      <c r="AV19" s="15" t="n">
        <v>10.69832057662752</v>
      </c>
      <c r="AW19" s="15" t="b">
        <v>1</v>
      </c>
      <c r="AX19" s="15" t="n">
        <v>10.65496976144168</v>
      </c>
      <c r="AY19" s="15" t="n">
        <v>20.57750588445997</v>
      </c>
      <c r="AZ19" s="15" t="n">
        <v>0</v>
      </c>
      <c r="BA19" s="15" t="n">
        <v>1</v>
      </c>
      <c r="BB19" s="15" t="n">
        <v>0.5</v>
      </c>
      <c r="BC19" s="15" t="n">
        <v>0.25</v>
      </c>
      <c r="BD19" s="15" t="inlineStr">
        <is>
          <t>his_note_adaptive</t>
        </is>
      </c>
      <c r="BE19" s="15" t="n">
        <v>-90</v>
      </c>
      <c r="BF19" s="15" t="n">
        <v>20000</v>
      </c>
      <c r="BG19" s="15" t="n">
        <v>19</v>
      </c>
      <c r="BH19" s="15" t="n">
        <v>0.6333333333333333</v>
      </c>
      <c r="BI19" s="15" t="n">
        <v>30</v>
      </c>
      <c r="BJ19" s="15" t="n">
        <v>19</v>
      </c>
      <c r="BK19" s="15" t="n">
        <v>30</v>
      </c>
      <c r="BL19" s="15" t="n">
        <v>26</v>
      </c>
      <c r="BM19" s="15" t="n">
        <v>0.8666666666666667</v>
      </c>
      <c r="BN19" s="15" t="n">
        <v>0.1895352033527633</v>
      </c>
      <c r="BO19" s="15" t="n">
        <v>0.3333333333333333</v>
      </c>
      <c r="BP19" s="19" t="n">
        <v>0.7495559743730617</v>
      </c>
      <c r="BQ19" s="19" t="n">
        <v>0.2504440256269383</v>
      </c>
      <c r="BR19" s="19" t="n">
        <v>0</v>
      </c>
      <c r="BS19" s="15" t="n">
        <v>0.1103664103218498</v>
      </c>
      <c r="BT19" s="19" t="n">
        <v>0.9909495986549869</v>
      </c>
      <c r="BU19" s="19" t="n">
        <v>0.009050401345013129</v>
      </c>
      <c r="BV19" s="19" t="n">
        <v>0</v>
      </c>
      <c r="BW19" t="inlineStr">
        <is>
          <t>E5</t>
        </is>
      </c>
      <c r="BX19" t="n">
        <v>76</v>
      </c>
      <c r="BY19" t="inlineStr">
        <is>
          <t>E</t>
        </is>
      </c>
      <c r="BZ19" t="n">
        <v>5</v>
      </c>
      <c r="CA19" t="inlineStr">
        <is>
          <t>Very high</t>
        </is>
      </c>
      <c r="CB19" t="inlineStr">
        <is>
          <t>ff</t>
        </is>
      </c>
      <c r="CC19" s="15" t="n">
        <v>659.2551138257397</v>
      </c>
      <c r="CD19" s="15" t="n">
        <v>658.8862061485206</v>
      </c>
      <c r="CE19" t="inlineStr">
        <is>
          <t>prior_constrained_harmonic_fit</t>
        </is>
      </c>
      <c r="CF19" t="n">
        <v>658.8862061485206</v>
      </c>
      <c r="CG19" s="15" t="n">
        <v>1</v>
      </c>
      <c r="CH19" t="inlineStr">
        <is>
          <t>free_fit_acoustically_verified</t>
        </is>
      </c>
      <c r="CI19" s="15" t="inlineStr">
        <is>
          <t>free_f0_fit</t>
        </is>
      </c>
      <c r="CJ19" s="15" t="n">
        <v>659.2551138257397</v>
      </c>
      <c r="CK19" s="15" t="n">
        <v>658.8862061485206</v>
      </c>
      <c r="CL19" s="15" t="n">
        <v>-0.9690395692189484</v>
      </c>
      <c r="CM19" s="15" t="n">
        <v>20000</v>
      </c>
      <c r="CN19" s="15" t="n">
        <v>-0.9690395692189484</v>
      </c>
      <c r="CO19" s="15" t="n">
        <v>2.317415370536799</v>
      </c>
      <c r="CP19" s="15" t="n">
        <v>38571.83573767659</v>
      </c>
      <c r="CQ19" t="n">
        <v>1.236983489860308</v>
      </c>
      <c r="CR19" t="n">
        <v>0.04123278299534359</v>
      </c>
      <c r="CS19" t="n">
        <v>80.35113894021069</v>
      </c>
      <c r="CT19" t="n">
        <v>81.07819917403221</v>
      </c>
      <c r="CU19" t="n">
        <v>99.39303226051229</v>
      </c>
      <c r="CV19" t="n">
        <v>19.25968171883566</v>
      </c>
      <c r="CW19" s="15" t="n">
        <v>38917.53560353548</v>
      </c>
      <c r="CX19" s="15" t="n">
        <v>720.3493484339346</v>
      </c>
      <c r="CY19" s="15" t="n">
        <v>19.25968171883566</v>
      </c>
      <c r="CZ19" s="15" t="n">
        <v>2.487576397184345</v>
      </c>
      <c r="DA19" s="15" t="n">
        <v>2.492149843992359</v>
      </c>
      <c r="DB19" s="15" t="n">
        <v>1.986819015704459</v>
      </c>
      <c r="DC19" s="15" t="n">
        <v>0</v>
      </c>
      <c r="DD19" s="15" t="n">
        <v>6.449204062005545e-05</v>
      </c>
      <c r="DE19" s="15" t="n">
        <v>0</v>
      </c>
      <c r="DF19" s="15" t="n">
        <v>13</v>
      </c>
      <c r="DG19" s="15" t="inlineStr">
        <is>
          <t>Density_Metrics</t>
        </is>
      </c>
      <c r="DH19" s="15" t="n">
        <v>2.317415370536799</v>
      </c>
      <c r="DI19" t="n">
        <v>0.9228926425713854</v>
      </c>
      <c r="DJ19" s="15" t="n">
        <v>0.5425237298335367</v>
      </c>
      <c r="DK19" s="15" t="n">
        <v>5.468764280960728</v>
      </c>
      <c r="DL19" s="15" t="n">
        <v>1.284402077358564</v>
      </c>
      <c r="DM19" s="15" t="n">
        <v>1.083558105000593</v>
      </c>
      <c r="DN19" s="15" t="n">
        <v>7.507886995151051</v>
      </c>
      <c r="DO19" s="15" t="n">
        <v>1.582513106856327</v>
      </c>
      <c r="DP19" s="15" t="n">
        <v>6.9375</v>
      </c>
      <c r="DQ19" s="15" t="n">
        <v>31</v>
      </c>
      <c r="DR19" s="15" t="b">
        <v>1</v>
      </c>
      <c r="DS19" s="15" t="n">
        <v>1.236983489860308</v>
      </c>
      <c r="DT19" s="15" t="n">
        <v>10.08326342188932</v>
      </c>
      <c r="DU19" t="n">
        <v>30</v>
      </c>
      <c r="DV19" s="15" t="n">
        <v>0.1103664103218498</v>
      </c>
      <c r="DW19" s="15" t="n">
        <v>1.298557982520674</v>
      </c>
      <c r="DX19" s="15" t="n">
        <v>2.241484738681239</v>
      </c>
      <c r="DY19" s="15" t="n">
        <v>0.1420647815940116</v>
      </c>
      <c r="DZ19" s="15" t="b">
        <v>1</v>
      </c>
      <c r="EA19" s="15" t="n">
        <v>0.2202983426037547</v>
      </c>
      <c r="EB19" s="15" t="n">
        <v>20000</v>
      </c>
      <c r="EC19" s="15" t="n">
        <v>10542.17929837633</v>
      </c>
      <c r="ED19" s="15" t="n">
        <v>16</v>
      </c>
      <c r="EE19" s="15" t="n">
        <v>0</v>
      </c>
      <c r="EF19" s="15" t="n">
        <v>0.03266292922635083</v>
      </c>
      <c r="EG19" s="15" t="b">
        <v>0</v>
      </c>
      <c r="EH19" s="15" t="b">
        <v>1</v>
      </c>
      <c r="EI19" s="15" t="b">
        <v>0</v>
      </c>
      <c r="EJ19" s="15" t="inlineStr">
        <is>
          <t>wf=log|dst=-90.0|ceil=20000.0|fft=adaptive_tier</t>
        </is>
      </c>
      <c r="EK19" s="15" t="inlineStr">
        <is>
          <t>wf=log|dst=runtime_configured|ceil=runtime_configured|fft=fixed</t>
        </is>
      </c>
      <c r="EL19" s="15" t="n">
        <v>0.6710428592158648</v>
      </c>
      <c r="EM19" s="15" t="n">
        <v>0.995827365418435</v>
      </c>
      <c r="EN19" s="15" t="n">
        <v>0.4193548387096774</v>
      </c>
      <c r="EO19" s="15" t="n">
        <v>0.3807317561459099</v>
      </c>
      <c r="EP19" s="15" t="inlineStr">
        <is>
          <t>warn:power_outlier_detected</t>
        </is>
      </c>
      <c r="EQ19" s="15" t="n">
        <v>413.1760921769733</v>
      </c>
      <c r="ER19" s="15" t="inlineStr">
        <is>
          <t>winsorize_p95_for_robust_diagnostics</t>
        </is>
      </c>
      <c r="ES19" s="15" t="n">
        <v>0.1246860782601015</v>
      </c>
      <c r="ET19" s="15" t="n">
        <v>0.04038147196642988</v>
      </c>
      <c r="EU19" s="15" t="n">
        <v>0.0480528213786909</v>
      </c>
      <c r="EV19" t="inlineStr">
        <is>
          <t>computed</t>
        </is>
      </c>
      <c r="EW19" s="15" t="inlineStr">
        <is>
          <t>computed</t>
        </is>
      </c>
      <c r="EX19" s="15" t="inlineStr">
        <is>
          <t>computed</t>
        </is>
      </c>
      <c r="EY19" s="15" t="inlineStr">
        <is>
          <t>available_from_curve</t>
        </is>
      </c>
      <c r="EZ19" s="15" t="n">
        <v>20000</v>
      </c>
      <c r="FA19" s="15" t="n">
        <v>20000</v>
      </c>
      <c r="FB19" s="15" t="n">
        <v>0.2504440256269383</v>
      </c>
      <c r="FC19" s="15" t="n">
        <v>0.1803683179482619</v>
      </c>
      <c r="FD19" s="15" t="n">
        <v>2.492149843992359</v>
      </c>
      <c r="FE19" s="15" t="n">
        <v>1.986819015704459</v>
      </c>
      <c r="FF19" s="15" t="n">
        <v>0.989795421263911</v>
      </c>
      <c r="FG19" s="15" t="n">
        <v>1.884649078960054</v>
      </c>
      <c r="FH19" s="15" t="n">
        <v>0.3815879043926268</v>
      </c>
      <c r="FI19" s="15" t="n">
        <v>0.05117838718411762</v>
      </c>
      <c r="FJ19" s="15" t="n">
        <v>2432.345975220967</v>
      </c>
      <c r="FK19" s="15" t="n">
        <v>45.02183427712091</v>
      </c>
      <c r="FL19" s="15" t="n">
        <v>1.203730107427229</v>
      </c>
      <c r="FM19" s="15" t="n">
        <v>0.004566227029857831</v>
      </c>
      <c r="FN19" t="n">
        <v>0.9909495986549869</v>
      </c>
      <c r="FO19" t="n">
        <v>0.009050401345013129</v>
      </c>
      <c r="FP19" t="n">
        <v>0</v>
      </c>
      <c r="FQ19" t="inlineStr">
        <is>
          <t>excellent</t>
        </is>
      </c>
      <c r="FR19" s="19" t="n">
        <v>0.8666666666666667</v>
      </c>
      <c r="FS19" s="15" t="n">
        <v>4.815316951383836</v>
      </c>
      <c r="FT19" s="15" t="n">
        <v>15.90103550584931</v>
      </c>
      <c r="FU19" t="inlineStr">
        <is>
          <t>passed</t>
        </is>
      </c>
      <c r="FV19" t="n">
        <v>77.39077336529705</v>
      </c>
      <c r="FW19" t="n">
        <v>24.00264022993675</v>
      </c>
      <c r="FX19" t="n">
        <v>2.19194248011869</v>
      </c>
      <c r="FY19" t="n">
        <v>0.5367681149239888</v>
      </c>
      <c r="FZ19" t="n">
        <v>0.07870541859080273</v>
      </c>
      <c r="GA19" t="n">
        <v>0.6494217529756201</v>
      </c>
      <c r="GB19" t="n">
        <v>0.06620143387290496</v>
      </c>
      <c r="GC19" t="n">
        <v>0.05840974698218367</v>
      </c>
      <c r="GD19" t="n">
        <v>0.2223915837004835</v>
      </c>
      <c r="GE19" t="n">
        <v>0.847470448296993</v>
      </c>
      <c r="GF19" t="n">
        <v>0.3374568136337119</v>
      </c>
      <c r="GG19" t="n">
        <v>0.6516360356104255</v>
      </c>
      <c r="GH19" t="n">
        <v>0.3112057183088284</v>
      </c>
      <c r="GI19" t="n">
        <v>0.4696428571428571</v>
      </c>
      <c r="GJ19" t="n">
        <v>0.8000000000000003</v>
      </c>
      <c r="GK19" t="n">
        <v>0.4363636363636363</v>
      </c>
      <c r="GL19" t="n">
        <v>0.9331536431343139</v>
      </c>
      <c r="GM19" t="n">
        <v>0.9331536431343139</v>
      </c>
      <c r="GN19" t="n">
        <v>0.2853252831250991</v>
      </c>
      <c r="GO19" t="n">
        <v>0.3896079754658175</v>
      </c>
      <c r="GP19" t="n">
        <v>99.39303226051229</v>
      </c>
      <c r="GQ19" t="inlineStr">
        <is>
          <t>compiled workbook density_weighted_sum = density_component_ratio_weighted_sum (per-note component ratios); research density_weighted_sum maps body-ceiling richness</t>
        </is>
      </c>
      <c r="GR19" s="15" t="inlineStr">
        <is>
          <t>individual_exact</t>
        </is>
      </c>
      <c r="GS19" s="15" t="inlineStr">
        <is>
          <t>density_weight</t>
        </is>
      </c>
      <c r="GT19" s="15" t="n">
        <v>0.7598686555105458</v>
      </c>
      <c r="GU19" s="15" t="n">
        <v>0.2401313444894542</v>
      </c>
      <c r="GV19" s="15" t="n">
        <v>0</v>
      </c>
      <c r="GW19" s="15" t="inlineStr">
        <is>
          <t>log</t>
        </is>
      </c>
      <c r="GX19" s="15" t="n">
        <v>0.5</v>
      </c>
      <c r="GY19" s="15" t="inlineStr">
        <is>
          <t>EWSD-R v18.1</t>
        </is>
      </c>
      <c r="GZ19" s="15" t="n">
        <v>3.682854363825998</v>
      </c>
      <c r="HA19" s="15" t="n">
        <v>14.60012159248673</v>
      </c>
      <c r="HB19" s="15" t="n">
        <v>0.3274374294376862</v>
      </c>
      <c r="HC19" s="15" t="n">
        <v>5.833602477703527</v>
      </c>
      <c r="HD19" s="15" t="n">
        <v>18.37494151536867</v>
      </c>
      <c r="HE19" s="15" t="n">
        <v>0.2885076299170266</v>
      </c>
      <c r="HF19" s="15" t="inlineStr">
        <is>
          <t>partials+ratios</t>
        </is>
      </c>
      <c r="HG19" s="15" t="inlineStr">
        <is>
          <t>merged_individual_exact</t>
        </is>
      </c>
      <c r="HH19" s="15" t="inlineStr">
        <is>
          <t>passed</t>
        </is>
      </c>
      <c r="HI19" s="15" t="inlineStr">
        <is>
          <t>passed</t>
        </is>
      </c>
    </row>
    <row r="20">
      <c r="A20" t="inlineStr">
        <is>
          <t>incomplete_inference</t>
        </is>
      </c>
      <c r="B20" t="inlineStr">
        <is>
          <t>missing_instrument_technique</t>
        </is>
      </c>
      <c r="C20" t="inlineStr">
        <is>
          <t>prior_constrained_harmonic_fit</t>
        </is>
      </c>
      <c r="D20" t="inlineStr">
        <is>
          <t>IOWA_flt_ff.F5_SustainStable/F5/component_amplitude_mass_pie.png</t>
        </is>
      </c>
      <c r="E20" t="inlineStr">
        <is>
          <t>IOWA_flt_ff.F5_SustainStable/F5/component_energy_ratio_pie.png</t>
        </is>
      </c>
      <c r="F20" s="15" t="n">
        <v>702.5515072212726</v>
      </c>
      <c r="G20" s="15" t="inlineStr">
        <is>
          <t>prior_constrained_harmonic_fit</t>
        </is>
      </c>
      <c r="H20" s="15" t="inlineStr">
        <is>
          <t>fit_accepted_acoustically_verified</t>
        </is>
      </c>
      <c r="I20" s="16" t="n">
        <v>130.9493105385812</v>
      </c>
      <c r="J20" t="inlineStr">
        <is>
          <t>richness_weighted_body_density_body_ceiling</t>
        </is>
      </c>
      <c r="K20" t="inlineStr">
        <is>
          <t>research_body_ceiling_richness_metric</t>
        </is>
      </c>
      <c r="L20" s="15" t="n">
        <v>39874.6827915224</v>
      </c>
      <c r="M20" s="15" t="n">
        <v>39958.21502436359</v>
      </c>
      <c r="N20" s="15" t="n">
        <v>554.0502152097313</v>
      </c>
      <c r="O20" s="15" t="n">
        <v>26.56042840115014</v>
      </c>
      <c r="P20" s="15" t="n">
        <v>-4.210830190703605</v>
      </c>
      <c r="Q20" s="15" t="n">
        <v>11</v>
      </c>
      <c r="R20" s="15" t="n">
        <v>23</v>
      </c>
      <c r="S20" s="15" t="n">
        <v>2497.540707279547</v>
      </c>
      <c r="T20" s="15" t="n">
        <v>29</v>
      </c>
      <c r="U20" s="15" t="n">
        <v>-0.2440995613237511</v>
      </c>
      <c r="V20" s="15" t="n">
        <v>18.03499995361064</v>
      </c>
      <c r="W20" s="15" t="n">
        <v>0.6318721690508659</v>
      </c>
      <c r="X20" s="15" t="n">
        <v>0.3031038800375789</v>
      </c>
      <c r="Y20" s="15" t="n">
        <v>22</v>
      </c>
      <c r="Z20" s="15" t="n">
        <v>28</v>
      </c>
      <c r="AA20" s="15" t="n">
        <v>0.7857142857142857</v>
      </c>
      <c r="AB20" s="15" t="n">
        <v>28</v>
      </c>
      <c r="AC20" s="15" t="n">
        <v>22</v>
      </c>
      <c r="AD20" s="15" t="n">
        <v>0.7857142857142857</v>
      </c>
      <c r="AE20" s="15" t="n">
        <v>238.6603530734991</v>
      </c>
      <c r="AF20" s="15" t="n">
        <v>22</v>
      </c>
      <c r="AG20" s="15" t="n">
        <v>28</v>
      </c>
      <c r="AH20" s="15" t="n">
        <v>0.7857142857142857</v>
      </c>
      <c r="AI20" s="15" t="n">
        <v>238.6603530734991</v>
      </c>
      <c r="AJ20" s="15" t="n">
        <v>11</v>
      </c>
      <c r="AK20" s="15" t="n">
        <v>11</v>
      </c>
      <c r="AL20" s="15" t="n">
        <v>11.83823373867798</v>
      </c>
      <c r="AM20" s="15" t="n">
        <v>62</v>
      </c>
      <c r="AN20" s="15" t="n">
        <v>0</v>
      </c>
      <c r="AO20" s="15" t="n">
        <v>62</v>
      </c>
      <c r="AP20" s="15" t="n">
        <v>0</v>
      </c>
      <c r="AQ20" s="15" t="n">
        <v>32.24818092952624</v>
      </c>
      <c r="AR20" s="15" t="n">
        <v>16.80000587975834</v>
      </c>
      <c r="AS20" s="15" t="n">
        <v>0.5700690710539238</v>
      </c>
      <c r="AT20" s="17" t="n">
        <v>2.52927736567559</v>
      </c>
      <c r="AU20" s="18" t="n">
        <v>8.156698524075098</v>
      </c>
      <c r="AV20" s="15" t="n">
        <v>10.21344682437645</v>
      </c>
      <c r="AW20" s="15" t="b">
        <v>1</v>
      </c>
      <c r="AX20" s="15" t="n">
        <v>12.03524890126091</v>
      </c>
      <c r="AY20" s="15" t="n">
        <v>30.63272297500447</v>
      </c>
      <c r="AZ20" s="15" t="n">
        <v>0</v>
      </c>
      <c r="BA20" s="15" t="n">
        <v>1</v>
      </c>
      <c r="BB20" s="15" t="n">
        <v>0.5</v>
      </c>
      <c r="BC20" s="15" t="n">
        <v>0.25</v>
      </c>
      <c r="BD20" s="15" t="inlineStr">
        <is>
          <t>his_note_adaptive</t>
        </is>
      </c>
      <c r="BE20" s="15" t="n">
        <v>-90</v>
      </c>
      <c r="BF20" s="15" t="n">
        <v>20000</v>
      </c>
      <c r="BG20" s="15" t="n">
        <v>22</v>
      </c>
      <c r="BH20" s="15" t="n">
        <v>0.7857142857142857</v>
      </c>
      <c r="BI20" s="15" t="n">
        <v>28</v>
      </c>
      <c r="BJ20" s="15" t="n">
        <v>22</v>
      </c>
      <c r="BK20" s="15" t="n">
        <v>28</v>
      </c>
      <c r="BL20" s="15" t="n">
        <v>24</v>
      </c>
      <c r="BM20" s="15" t="n">
        <v>0.8571428571428571</v>
      </c>
      <c r="BN20" s="15" t="n">
        <v>0.1861287801801118</v>
      </c>
      <c r="BO20" s="15" t="n">
        <v>0.5166666666666667</v>
      </c>
      <c r="BP20" s="19" t="n">
        <v>0.7673277810294374</v>
      </c>
      <c r="BQ20" s="19" t="n">
        <v>0.2326722189705626</v>
      </c>
      <c r="BR20" s="19" t="n">
        <v>0</v>
      </c>
      <c r="BS20" s="15" t="n">
        <v>0.1563336336219724</v>
      </c>
      <c r="BT20" s="19" t="n">
        <v>0.9978801166514818</v>
      </c>
      <c r="BU20" s="19" t="n">
        <v>0.002119883348518291</v>
      </c>
      <c r="BV20" s="19" t="n">
        <v>0</v>
      </c>
      <c r="BW20" t="inlineStr">
        <is>
          <t>F5</t>
        </is>
      </c>
      <c r="BX20" t="n">
        <v>77</v>
      </c>
      <c r="BY20" t="inlineStr">
        <is>
          <t>F</t>
        </is>
      </c>
      <c r="BZ20" t="n">
        <v>5</v>
      </c>
      <c r="CA20" t="inlineStr">
        <is>
          <t>Very high</t>
        </is>
      </c>
      <c r="CB20" t="inlineStr">
        <is>
          <t>ff</t>
        </is>
      </c>
      <c r="CC20" s="15" t="n">
        <v>698.4564628660079</v>
      </c>
      <c r="CD20" s="15" t="n">
        <v>702.5515072212726</v>
      </c>
      <c r="CE20" t="inlineStr">
        <is>
          <t>prior_constrained_harmonic_fit</t>
        </is>
      </c>
      <c r="CF20" t="n">
        <v>702.5515072212726</v>
      </c>
      <c r="CG20" s="15" t="n">
        <v>1</v>
      </c>
      <c r="CH20" t="inlineStr">
        <is>
          <t>free_fit_acoustically_verified</t>
        </is>
      </c>
      <c r="CI20" s="15" t="inlineStr">
        <is>
          <t>free_f0_fit</t>
        </is>
      </c>
      <c r="CJ20" s="15" t="n">
        <v>698.4564628660079</v>
      </c>
      <c r="CK20" s="15" t="n">
        <v>702.5515072212726</v>
      </c>
      <c r="CL20" s="15" t="n">
        <v>10.12057113365505</v>
      </c>
      <c r="CM20" s="15" t="n">
        <v>20000</v>
      </c>
      <c r="CN20" s="15" t="n">
        <v>10.12057113365505</v>
      </c>
      <c r="CO20" s="15" t="n">
        <v>2.308060267458341</v>
      </c>
      <c r="CP20" s="15" t="n">
        <v>39874.6827915224</v>
      </c>
      <c r="CQ20" t="n">
        <v>1.471278362640504</v>
      </c>
      <c r="CR20" t="n">
        <v>0.05254565580858942</v>
      </c>
      <c r="CS20" t="n">
        <v>89.00376289335649</v>
      </c>
      <c r="CT20" t="n">
        <v>89.19244425081159</v>
      </c>
      <c r="CU20" t="n">
        <v>130.9493105385812</v>
      </c>
      <c r="CV20" t="n">
        <v>26.56042840115014</v>
      </c>
      <c r="CW20" s="15" t="n">
        <v>39958.21502436359</v>
      </c>
      <c r="CX20" s="15" t="n">
        <v>554.0502152097313</v>
      </c>
      <c r="CY20" s="15" t="n">
        <v>26.56042840115014</v>
      </c>
      <c r="CZ20" s="15" t="n">
        <v>2.529277365675591</v>
      </c>
      <c r="DA20" s="15" t="n">
        <v>2.530895599118011</v>
      </c>
      <c r="DB20" s="15" t="n">
        <v>1.767535934279702</v>
      </c>
      <c r="DC20" s="15" t="n">
        <v>0</v>
      </c>
      <c r="DD20" s="15" t="n">
        <v>6.343065796659655e-05</v>
      </c>
      <c r="DE20" s="15" t="n">
        <v>0</v>
      </c>
      <c r="DF20" s="15" t="n">
        <v>11</v>
      </c>
      <c r="DG20" s="15" t="inlineStr">
        <is>
          <t>Density_Metrics</t>
        </is>
      </c>
      <c r="DH20" s="15" t="n">
        <v>2.308060267458341</v>
      </c>
      <c r="DI20" t="n">
        <v>0.919167045550077</v>
      </c>
      <c r="DJ20" s="15" t="n">
        <v>0.5476857908759358</v>
      </c>
      <c r="DK20" s="15" t="n">
        <v>5.35513360507062</v>
      </c>
      <c r="DL20" s="15" t="n">
        <v>1.514272822669709</v>
      </c>
      <c r="DM20" s="15" t="n">
        <v>1.065012832102681</v>
      </c>
      <c r="DN20" s="15" t="n">
        <v>8.928267598940874</v>
      </c>
      <c r="DO20" s="15" t="n">
        <v>1.204305349002531</v>
      </c>
      <c r="DP20" s="15" t="n">
        <v>2.875</v>
      </c>
      <c r="DQ20" s="15" t="n">
        <v>22</v>
      </c>
      <c r="DR20" s="15" t="b">
        <v>1</v>
      </c>
      <c r="DS20" s="15" t="n">
        <v>1.471278362640504</v>
      </c>
      <c r="DT20" s="15" t="n">
        <v>8.486908641052208</v>
      </c>
      <c r="DU20" t="n">
        <v>28</v>
      </c>
      <c r="DV20" s="15" t="n">
        <v>0.1563336336219724</v>
      </c>
      <c r="DW20" s="15" t="n">
        <v>1.230103329561787</v>
      </c>
      <c r="DX20" s="15" t="n">
        <v>2.251857150547099</v>
      </c>
      <c r="DY20" s="15" t="n">
        <v>0.1342257634235306</v>
      </c>
      <c r="DZ20" s="15" t="b">
        <v>1</v>
      </c>
      <c r="EA20" s="15" t="n">
        <v>0.458437713353346</v>
      </c>
      <c r="EB20" s="15" t="n">
        <v>20000</v>
      </c>
      <c r="EC20" s="15" t="n">
        <v>8430.618086655271</v>
      </c>
      <c r="ED20" s="15" t="n">
        <v>12</v>
      </c>
      <c r="EE20" s="15" t="n">
        <v>0</v>
      </c>
      <c r="EF20" s="15" t="n">
        <v>0.03082969987369268</v>
      </c>
      <c r="EG20" s="15" t="b">
        <v>0</v>
      </c>
      <c r="EH20" s="15" t="b">
        <v>1</v>
      </c>
      <c r="EI20" s="15" t="b">
        <v>0</v>
      </c>
      <c r="EJ20" s="15" t="inlineStr">
        <is>
          <t>wf=log|dst=-90.0|ceil=20000.0|fft=adaptive_tier</t>
        </is>
      </c>
      <c r="EK20" s="15" t="inlineStr">
        <is>
          <t>wf=log|dst=runtime_configured|ceil=runtime_configured|fft=fixed</t>
        </is>
      </c>
      <c r="EL20" s="15" t="n">
        <v>0.6527394961864265</v>
      </c>
      <c r="EM20" s="15" t="n">
        <v>0.9826997502358261</v>
      </c>
      <c r="EN20" s="15" t="n">
        <v>0.3793103448275862</v>
      </c>
      <c r="EO20" s="15" t="n">
        <v>0.3888299394532475</v>
      </c>
      <c r="EP20" s="15" t="inlineStr">
        <is>
          <t>warn:power_outlier_detected</t>
        </is>
      </c>
      <c r="EQ20" s="15" t="n">
        <v>363.0941320763456</v>
      </c>
      <c r="ER20" s="15" t="inlineStr">
        <is>
          <t>winsorize_p95_for_robust_diagnostics</t>
        </is>
      </c>
      <c r="ES20" s="15" t="n">
        <v>0.1436648708692282</v>
      </c>
      <c r="ET20" s="15" t="n">
        <v>0.07861978849648643</v>
      </c>
      <c r="EU20" s="15" t="n">
        <v>0.08682927692572831</v>
      </c>
      <c r="EV20" t="inlineStr">
        <is>
          <t>computed</t>
        </is>
      </c>
      <c r="EW20" s="15" t="inlineStr">
        <is>
          <t>computed</t>
        </is>
      </c>
      <c r="EX20" s="15" t="inlineStr">
        <is>
          <t>computed</t>
        </is>
      </c>
      <c r="EY20" s="15" t="inlineStr">
        <is>
          <t>available_from_curve</t>
        </is>
      </c>
      <c r="EZ20" s="15" t="n">
        <v>20000</v>
      </c>
      <c r="FA20" s="15" t="n">
        <v>20000</v>
      </c>
      <c r="FB20" s="15" t="n">
        <v>0.2326722189705626</v>
      </c>
      <c r="FC20" s="15" t="n">
        <v>0.3397713093070012</v>
      </c>
      <c r="FD20" s="15" t="n">
        <v>2.530895599118011</v>
      </c>
      <c r="FE20" s="15" t="n">
        <v>1.767535934279702</v>
      </c>
      <c r="FF20" s="15" t="n">
        <v>1.056702071672907</v>
      </c>
      <c r="FG20" s="15" t="n">
        <v>1.913949946196108</v>
      </c>
      <c r="FH20" s="15" t="n">
        <v>0.3394724571132166</v>
      </c>
      <c r="FI20" s="15" t="n">
        <v>0.05463786414901558</v>
      </c>
      <c r="FJ20" s="15" t="n">
        <v>2497.388439022724</v>
      </c>
      <c r="FK20" s="15" t="n">
        <v>34.6281384506082</v>
      </c>
      <c r="FL20" s="15" t="n">
        <v>1.660026775071884</v>
      </c>
      <c r="FM20" s="15" t="n">
        <v>0.004573268422880424</v>
      </c>
      <c r="FN20" t="n">
        <v>0.9978801166514818</v>
      </c>
      <c r="FO20" t="n">
        <v>0.002119883348518291</v>
      </c>
      <c r="FP20" t="n">
        <v>0</v>
      </c>
      <c r="FQ20" t="inlineStr">
        <is>
          <t>excellent</t>
        </is>
      </c>
      <c r="FR20" s="19" t="n">
        <v>0.8571428571428571</v>
      </c>
      <c r="FS20" s="15" t="n">
        <v>6.838980546916173</v>
      </c>
      <c r="FT20" s="15" t="n">
        <v>17.11052892746543</v>
      </c>
      <c r="FU20" t="inlineStr">
        <is>
          <t>passed</t>
        </is>
      </c>
      <c r="FV20" t="n">
        <v>84.6359098083223</v>
      </c>
      <c r="FW20" t="n">
        <v>14.38780451527726</v>
      </c>
      <c r="FX20" t="n">
        <v>2.598669595941697</v>
      </c>
      <c r="FY20" t="n">
        <v>0.5143861349318469</v>
      </c>
      <c r="FZ20" t="n">
        <v>0.1263605186359326</v>
      </c>
      <c r="GA20" t="n">
        <v>0.583040610574197</v>
      </c>
      <c r="GB20" t="n">
        <v>0.1225736342614633</v>
      </c>
      <c r="GC20" t="n">
        <v>0.1171971503722202</v>
      </c>
      <c r="GD20" t="n">
        <v>0.2269919138960145</v>
      </c>
      <c r="GE20" t="n">
        <v>0.6631609217513307</v>
      </c>
      <c r="GF20" t="n">
        <v>0.253364862892079</v>
      </c>
      <c r="GG20" t="n">
        <v>1</v>
      </c>
      <c r="GH20" t="n">
        <v>0.2472753345941405</v>
      </c>
      <c r="GI20" t="n">
        <v>0.6900510204081632</v>
      </c>
      <c r="GJ20" t="n">
        <v>0.7619047619047619</v>
      </c>
      <c r="GK20" t="n">
        <v>0.8363636363636364</v>
      </c>
      <c r="GL20" t="n">
        <v>0.8056216853921621</v>
      </c>
      <c r="GM20" t="n">
        <v>0.8056216853921621</v>
      </c>
      <c r="GN20" t="n">
        <v>0.5683223623743682</v>
      </c>
      <c r="GO20" t="n">
        <v>0.6289665006680293</v>
      </c>
      <c r="GP20" t="n">
        <v>130.9493105385812</v>
      </c>
      <c r="GQ20" t="inlineStr">
        <is>
          <t>compiled workbook density_weighted_sum = density_component_ratio_weighted_sum (per-note component ratios); research density_weighted_sum maps body-ceiling richness</t>
        </is>
      </c>
      <c r="GR20" s="15" t="inlineStr">
        <is>
          <t>individual_exact</t>
        </is>
      </c>
      <c r="GS20" s="15" t="inlineStr">
        <is>
          <t>density_weight</t>
        </is>
      </c>
      <c r="GT20" s="15" t="n">
        <v>0.743795476761844</v>
      </c>
      <c r="GU20" s="15" t="n">
        <v>0.256204523238156</v>
      </c>
      <c r="GV20" s="15" t="n">
        <v>0</v>
      </c>
      <c r="GW20" s="15" t="inlineStr">
        <is>
          <t>log</t>
        </is>
      </c>
      <c r="GX20" s="15" t="n">
        <v>0.5</v>
      </c>
      <c r="GY20" s="15" t="inlineStr">
        <is>
          <t>EWSD-R v18.1</t>
        </is>
      </c>
      <c r="GZ20" s="15" t="n">
        <v>4.080965466345339</v>
      </c>
      <c r="HA20" s="15" t="n">
        <v>15.71110197887999</v>
      </c>
      <c r="HB20" s="15" t="n">
        <v>0.3869097395050368</v>
      </c>
      <c r="HC20" s="15" t="n">
        <v>6.118717004280687</v>
      </c>
      <c r="HD20" s="15" t="n">
        <v>18.64736076868422</v>
      </c>
      <c r="HE20" s="15" t="n">
        <v>0.3391792509667364</v>
      </c>
      <c r="HF20" s="15" t="inlineStr">
        <is>
          <t>partials+ratios</t>
        </is>
      </c>
      <c r="HG20" s="15" t="inlineStr">
        <is>
          <t>merged_individual_exact</t>
        </is>
      </c>
      <c r="HH20" s="15" t="inlineStr">
        <is>
          <t>passed</t>
        </is>
      </c>
      <c r="HI20" s="15" t="inlineStr">
        <is>
          <t>passed</t>
        </is>
      </c>
    </row>
    <row r="21">
      <c r="A21" t="inlineStr">
        <is>
          <t>incomplete_inference</t>
        </is>
      </c>
      <c r="B21" t="inlineStr">
        <is>
          <t>missing_instrument_technique</t>
        </is>
      </c>
      <c r="C21" t="inlineStr">
        <is>
          <t>prior_constrained_harmonic_fit</t>
        </is>
      </c>
      <c r="D21" t="inlineStr">
        <is>
          <t>IOWA_flt_ff.F#5_SustainStable/F#5/component_amplitude_mass_pie.png</t>
        </is>
      </c>
      <c r="E21" t="inlineStr">
        <is>
          <t>IOWA_flt_ff.F#5_SustainStable/F#5/component_energy_ratio_pie.png</t>
        </is>
      </c>
      <c r="F21" s="15" t="n">
        <v>739.9867507417462</v>
      </c>
      <c r="G21" s="15" t="inlineStr">
        <is>
          <t>prior_constrained_harmonic_fit</t>
        </is>
      </c>
      <c r="H21" s="15" t="inlineStr">
        <is>
          <t>fit_accepted_acoustically_verified</t>
        </is>
      </c>
      <c r="I21" s="16" t="n">
        <v>123.8616803212509</v>
      </c>
      <c r="J21" t="inlineStr">
        <is>
          <t>richness_weighted_body_density_body_ceiling</t>
        </is>
      </c>
      <c r="K21" t="inlineStr">
        <is>
          <t>research_body_ceiling_richness_metric</t>
        </is>
      </c>
      <c r="L21" s="15" t="n">
        <v>40998.92932701309</v>
      </c>
      <c r="M21" s="15" t="n">
        <v>41116.93669742782</v>
      </c>
      <c r="N21" s="15" t="n">
        <v>525.5833181154607</v>
      </c>
      <c r="O21" s="15" t="n">
        <v>6.914573103014051</v>
      </c>
      <c r="P21" s="15" t="n">
        <v>-4.890546734704325</v>
      </c>
      <c r="Q21" s="15" t="n">
        <v>10</v>
      </c>
      <c r="R21" s="15" t="n">
        <v>24</v>
      </c>
      <c r="S21" s="15" t="n">
        <v>2569.861194192841</v>
      </c>
      <c r="T21" s="15" t="n">
        <v>28</v>
      </c>
      <c r="U21" s="15" t="n">
        <v>-0.5083809381927</v>
      </c>
      <c r="V21" s="15" t="n">
        <v>14.86651655019241</v>
      </c>
      <c r="W21" s="15" t="n">
        <v>0.7094944133992859</v>
      </c>
      <c r="X21" s="15" t="n">
        <v>0.2765410503613198</v>
      </c>
      <c r="Y21" s="15" t="n">
        <v>17</v>
      </c>
      <c r="Z21" s="15" t="n">
        <v>27</v>
      </c>
      <c r="AA21" s="15" t="n">
        <v>0.6296296296296297</v>
      </c>
      <c r="AB21" s="15" t="n">
        <v>27</v>
      </c>
      <c r="AC21" s="15" t="n">
        <v>17</v>
      </c>
      <c r="AD21" s="15" t="n">
        <v>0.6296296296296297</v>
      </c>
      <c r="AE21" s="15" t="n">
        <v>229.6014287254557</v>
      </c>
      <c r="AF21" s="15" t="n">
        <v>17</v>
      </c>
      <c r="AG21" s="15" t="n">
        <v>27</v>
      </c>
      <c r="AH21" s="15" t="n">
        <v>0.6296296296296297</v>
      </c>
      <c r="AI21" s="15" t="n">
        <v>229.6014287254557</v>
      </c>
      <c r="AJ21" s="15" t="n">
        <v>9</v>
      </c>
      <c r="AK21" s="15" t="n">
        <v>8</v>
      </c>
      <c r="AL21" s="15" t="n">
        <v>14.66915628285179</v>
      </c>
      <c r="AM21" s="15" t="n">
        <v>36</v>
      </c>
      <c r="AN21" s="15" t="n">
        <v>0</v>
      </c>
      <c r="AO21" s="15" t="n">
        <v>36</v>
      </c>
      <c r="AP21" s="15" t="n">
        <v>0</v>
      </c>
      <c r="AQ21" s="15" t="n">
        <v>20.72534749865315</v>
      </c>
      <c r="AR21" s="15" t="n">
        <v>11.2554148476291</v>
      </c>
      <c r="AS21" s="15" t="n">
        <v>0.2776677187459085</v>
      </c>
      <c r="AT21" s="17" t="n">
        <v>2.513841082766519</v>
      </c>
      <c r="AU21" s="18" t="n">
        <v>8.299257571243414</v>
      </c>
      <c r="AV21" s="15" t="n">
        <v>10.39721518244377</v>
      </c>
      <c r="AW21" s="15" t="b">
        <v>1</v>
      </c>
      <c r="AX21" s="15" t="n">
        <v>9.649340396051452</v>
      </c>
      <c r="AY21" s="15" t="n">
        <v>17.8406338501541</v>
      </c>
      <c r="AZ21" s="15" t="n">
        <v>0</v>
      </c>
      <c r="BA21" s="15" t="n">
        <v>1</v>
      </c>
      <c r="BB21" s="15" t="n">
        <v>0.5</v>
      </c>
      <c r="BC21" s="15" t="n">
        <v>0.25</v>
      </c>
      <c r="BD21" s="15" t="inlineStr">
        <is>
          <t>his_note_adaptive</t>
        </is>
      </c>
      <c r="BE21" s="15" t="n">
        <v>-90</v>
      </c>
      <c r="BF21" s="15" t="n">
        <v>20000</v>
      </c>
      <c r="BG21" s="15" t="n">
        <v>17</v>
      </c>
      <c r="BH21" s="15" t="n">
        <v>0.6296296296296297</v>
      </c>
      <c r="BI21" s="15" t="n">
        <v>27</v>
      </c>
      <c r="BJ21" s="15" t="n">
        <v>17</v>
      </c>
      <c r="BK21" s="15" t="n">
        <v>27</v>
      </c>
      <c r="BL21" s="15" t="n">
        <v>23</v>
      </c>
      <c r="BM21" s="15" t="n">
        <v>0.8518518518518519</v>
      </c>
      <c r="BN21" s="15" t="n">
        <v>0.1624086595042947</v>
      </c>
      <c r="BO21" s="15" t="n">
        <v>0.3</v>
      </c>
      <c r="BP21" s="19" t="n">
        <v>0.768530348529194</v>
      </c>
      <c r="BQ21" s="19" t="n">
        <v>0.231469651470806</v>
      </c>
      <c r="BR21" s="19" t="n">
        <v>0</v>
      </c>
      <c r="BS21" s="15" t="n">
        <v>0.09009275519324414</v>
      </c>
      <c r="BT21" s="19" t="n">
        <v>0.997092795371665</v>
      </c>
      <c r="BU21" s="19" t="n">
        <v>0.002907204628335088</v>
      </c>
      <c r="BV21" s="19" t="n">
        <v>0</v>
      </c>
      <c r="BW21" t="inlineStr">
        <is>
          <t>F#5</t>
        </is>
      </c>
      <c r="BX21" t="n">
        <v>78</v>
      </c>
      <c r="BY21" t="inlineStr">
        <is>
          <t>F#</t>
        </is>
      </c>
      <c r="BZ21" t="n">
        <v>5</v>
      </c>
      <c r="CA21" t="inlineStr">
        <is>
          <t>Very high</t>
        </is>
      </c>
      <c r="CB21" t="inlineStr">
        <is>
          <t>ff</t>
        </is>
      </c>
      <c r="CC21" s="15" t="n">
        <v>739.9888454232688</v>
      </c>
      <c r="CD21" s="15" t="n">
        <v>739.9867507417462</v>
      </c>
      <c r="CE21" t="inlineStr">
        <is>
          <t>prior_constrained_harmonic_fit</t>
        </is>
      </c>
      <c r="CF21" t="n">
        <v>739.9867507417462</v>
      </c>
      <c r="CG21" s="15" t="n">
        <v>1</v>
      </c>
      <c r="CH21" t="inlineStr">
        <is>
          <t>free_fit_acoustically_verified</t>
        </is>
      </c>
      <c r="CI21" s="15" t="inlineStr">
        <is>
          <t>free_f0_fit</t>
        </is>
      </c>
      <c r="CJ21" s="15" t="n">
        <v>739.9888454232688</v>
      </c>
      <c r="CK21" s="15" t="n">
        <v>739.9867507417462</v>
      </c>
      <c r="CL21" s="15" t="n">
        <v>-0.004900599690144936</v>
      </c>
      <c r="CM21" s="15" t="n">
        <v>20000</v>
      </c>
      <c r="CN21" s="15" t="n">
        <v>-0.004900599690144936</v>
      </c>
      <c r="CO21" s="15" t="n">
        <v>2.29982881375696</v>
      </c>
      <c r="CP21" s="15" t="n">
        <v>40998.92932701309</v>
      </c>
      <c r="CQ21" t="n">
        <v>1.305150755345643</v>
      </c>
      <c r="CR21" t="n">
        <v>0.04833891686465344</v>
      </c>
      <c r="CS21" t="n">
        <v>94.9022017678323</v>
      </c>
      <c r="CT21" t="n">
        <v>95.17809420700884</v>
      </c>
      <c r="CU21" t="n">
        <v>123.8616803212509</v>
      </c>
      <c r="CV21" t="n">
        <v>6.914573103014051</v>
      </c>
      <c r="CW21" s="15" t="n">
        <v>41116.93669742782</v>
      </c>
      <c r="CX21" s="15" t="n">
        <v>525.5833181154607</v>
      </c>
      <c r="CY21" s="15" t="n">
        <v>6.914573103014051</v>
      </c>
      <c r="CZ21" s="15" t="n">
        <v>2.513841082766519</v>
      </c>
      <c r="DA21" s="15" t="n">
        <v>2.515761404523716</v>
      </c>
      <c r="DB21" s="15" t="n">
        <v>1.855222501110834</v>
      </c>
      <c r="DC21" s="15" t="n">
        <v>0</v>
      </c>
      <c r="DD21" s="15" t="n">
        <v>6.13147983137749e-05</v>
      </c>
      <c r="DE21" s="15" t="n">
        <v>0</v>
      </c>
      <c r="DF21" s="15" t="n">
        <v>10</v>
      </c>
      <c r="DG21" s="15" t="inlineStr">
        <is>
          <t>Density_Metrics</t>
        </is>
      </c>
      <c r="DH21" s="15" t="n">
        <v>2.29982881375696</v>
      </c>
      <c r="DI21" t="n">
        <v>0.9158889331515596</v>
      </c>
      <c r="DJ21" s="15" t="n">
        <v>0.5457821161694532</v>
      </c>
      <c r="DK21" s="15" t="n">
        <v>5.164128399023117</v>
      </c>
      <c r="DL21" s="15" t="n">
        <v>1.339140592859221</v>
      </c>
      <c r="DM21" s="15" t="n">
        <v>1.067320139241169</v>
      </c>
      <c r="DN21" s="15" t="n">
        <v>6.404060744727078</v>
      </c>
      <c r="DO21" s="15" t="n">
        <v>1.248911509310251</v>
      </c>
      <c r="DP21" s="15" t="n">
        <v>17.3125</v>
      </c>
      <c r="DQ21" s="15" t="n">
        <v>25</v>
      </c>
      <c r="DR21" s="15" t="b">
        <v>0</v>
      </c>
      <c r="DS21" s="15" t="n">
        <v>1.305150755345643</v>
      </c>
      <c r="DT21" s="15" t="n">
        <v>7.466608359755635</v>
      </c>
      <c r="DU21" t="n">
        <v>27</v>
      </c>
      <c r="DV21" s="15" t="n">
        <v>0.09009275519324414</v>
      </c>
      <c r="DW21" s="15" t="n">
        <v>1.273779671660908</v>
      </c>
      <c r="DX21" s="15" t="n">
        <v>2.248082739230399</v>
      </c>
      <c r="DY21" s="15" t="n">
        <v>0.1375819699198607</v>
      </c>
      <c r="DZ21" s="15" t="b">
        <v>1</v>
      </c>
      <c r="EA21" s="15" t="n">
        <v>0.319455768680472</v>
      </c>
      <c r="EB21" s="15" t="n">
        <v>20000</v>
      </c>
      <c r="EC21" s="15" t="n">
        <v>8879.841008900954</v>
      </c>
      <c r="ED21" s="15" t="n">
        <v>12</v>
      </c>
      <c r="EE21" s="15" t="n">
        <v>0</v>
      </c>
      <c r="EF21" s="15" t="n">
        <v>0.02909936177846458</v>
      </c>
      <c r="EG21" s="15" t="b">
        <v>0</v>
      </c>
      <c r="EH21" s="15" t="b">
        <v>1</v>
      </c>
      <c r="EI21" s="15" t="b">
        <v>0</v>
      </c>
      <c r="EJ21" s="15" t="inlineStr">
        <is>
          <t>wf=log|dst=-90.0|ceil=20000.0|fft=adaptive_tier</t>
        </is>
      </c>
      <c r="EK21" s="15" t="inlineStr">
        <is>
          <t>wf=log|dst=runtime_configured|ceil=runtime_configured|fft=fixed</t>
        </is>
      </c>
      <c r="EL21" s="15" t="n">
        <v>0.6503760080537629</v>
      </c>
      <c r="EM21" s="15" t="n">
        <v>0.9985846054556338</v>
      </c>
      <c r="EN21" s="15" t="n">
        <v>0.3571428571428572</v>
      </c>
      <c r="EO21" s="15" t="n">
        <v>0.3800646779936386</v>
      </c>
      <c r="EP21" s="15" t="inlineStr">
        <is>
          <t>warn:power_outlier_detected</t>
        </is>
      </c>
      <c r="EQ21" s="15" t="n">
        <v>417.6919883947485</v>
      </c>
      <c r="ER21" s="15" t="inlineStr">
        <is>
          <t>winsorize_p95_for_robust_diagnostics</t>
        </is>
      </c>
      <c r="ES21" s="15" t="n">
        <v>0.1793883488425454</v>
      </c>
      <c r="ET21" s="15" t="n">
        <v>0.04636869353236248</v>
      </c>
      <c r="EU21" s="15" t="n">
        <v>0.04836545412073663</v>
      </c>
      <c r="EV21" t="inlineStr">
        <is>
          <t>computed</t>
        </is>
      </c>
      <c r="EW21" s="15" t="inlineStr">
        <is>
          <t>computed</t>
        </is>
      </c>
      <c r="EX21" s="15" t="inlineStr">
        <is>
          <t>computed</t>
        </is>
      </c>
      <c r="EY21" s="15" t="inlineStr">
        <is>
          <t>available_from_curve</t>
        </is>
      </c>
      <c r="EZ21" s="15" t="n">
        <v>20000</v>
      </c>
      <c r="FA21" s="15" t="n">
        <v>20000</v>
      </c>
      <c r="FB21" s="15" t="n">
        <v>0.231469651470806</v>
      </c>
      <c r="FC21" s="15" t="n">
        <v>0.2350009995648577</v>
      </c>
      <c r="FD21" s="15" t="n">
        <v>2.515761404523716</v>
      </c>
      <c r="FE21" s="15" t="n">
        <v>1.855222501110834</v>
      </c>
      <c r="FF21" s="15" t="n">
        <v>0.7931444933885672</v>
      </c>
      <c r="FG21" s="15" t="n">
        <v>1.902504949832147</v>
      </c>
      <c r="FH21" s="15" t="n">
        <v>0.3563135146106515</v>
      </c>
      <c r="FI21" s="15" t="n">
        <v>0.04101034931416178</v>
      </c>
      <c r="FJ21" s="15" t="n">
        <v>2569.808543589239</v>
      </c>
      <c r="FK21" s="15" t="n">
        <v>32.84895738221629</v>
      </c>
      <c r="FL21" s="15" t="n">
        <v>0.4321608189383782</v>
      </c>
      <c r="FM21" s="15" t="n">
        <v>0.004792073281870027</v>
      </c>
      <c r="FN21" t="n">
        <v>0.997092795371665</v>
      </c>
      <c r="FO21" t="n">
        <v>0.002907204628335088</v>
      </c>
      <c r="FP21" t="n">
        <v>0</v>
      </c>
      <c r="FQ21" t="inlineStr">
        <is>
          <t>excellent</t>
        </is>
      </c>
      <c r="FR21" s="19" t="n">
        <v>0.8518518518518519</v>
      </c>
      <c r="FS21" s="15" t="n">
        <v>1.910379484826551</v>
      </c>
      <c r="FT21" s="15" t="n">
        <v>16.79899599787108</v>
      </c>
      <c r="FU21" t="inlineStr">
        <is>
          <t>passed</t>
        </is>
      </c>
      <c r="FV21" t="n">
        <v>81.72877288253551</v>
      </c>
      <c r="FW21" t="n">
        <v>17.66276010877717</v>
      </c>
      <c r="FX21" t="n">
        <v>1.302689092230682</v>
      </c>
      <c r="FY21" t="n">
        <v>0.494692473568051</v>
      </c>
      <c r="FZ21" t="n">
        <v>0.1156570470759008</v>
      </c>
      <c r="GA21" t="n">
        <v>0.4714585603687186</v>
      </c>
      <c r="GB21" t="n">
        <v>0.07962519756496809</v>
      </c>
      <c r="GC21" t="n">
        <v>0.07551373430606174</v>
      </c>
      <c r="GD21" t="n">
        <v>0.1510964279590808</v>
      </c>
      <c r="GE21" t="n">
        <v>0.7503780643702367</v>
      </c>
      <c r="GF21" t="n">
        <v>0.1856864236949757</v>
      </c>
      <c r="GG21" t="n">
        <v>0.4979915392449194</v>
      </c>
      <c r="GH21" t="n">
        <v>0.1216796456273058</v>
      </c>
      <c r="GI21" t="n">
        <v>0.4642857142857143</v>
      </c>
      <c r="GJ21" t="n">
        <v>0.7407407407407409</v>
      </c>
      <c r="GK21" t="n">
        <v>0.3636363636363636</v>
      </c>
      <c r="GL21" t="n">
        <v>0.7969919613282876</v>
      </c>
      <c r="GM21" t="n">
        <v>0.7969919613282876</v>
      </c>
      <c r="GN21" t="n">
        <v>0.3823177498113537</v>
      </c>
      <c r="GO21" t="n">
        <v>0.2928365389828238</v>
      </c>
      <c r="GP21" t="n">
        <v>123.8616803212509</v>
      </c>
      <c r="GQ21" t="inlineStr">
        <is>
          <t>compiled workbook density_weighted_sum = density_component_ratio_weighted_sum (per-note component ratios); research density_weighted_sum maps body-ceiling richness</t>
        </is>
      </c>
      <c r="GR21" s="15" t="inlineStr">
        <is>
          <t>individual_exact</t>
        </is>
      </c>
      <c r="GS21" s="15" t="inlineStr">
        <is>
          <t>density_weight</t>
        </is>
      </c>
      <c r="GT21" s="15" t="n">
        <v>0.8039290790182552</v>
      </c>
      <c r="GU21" s="15" t="n">
        <v>0.1960709209817449</v>
      </c>
      <c r="GV21" s="15" t="n">
        <v>0</v>
      </c>
      <c r="GW21" s="15" t="inlineStr">
        <is>
          <t>log</t>
        </is>
      </c>
      <c r="GX21" s="15" t="n">
        <v>0.5</v>
      </c>
      <c r="GY21" s="15" t="inlineStr">
        <is>
          <t>EWSD-R v18.1</t>
        </is>
      </c>
      <c r="GZ21" s="15" t="n">
        <v>3.896701830296847</v>
      </c>
      <c r="HA21" s="15" t="n">
        <v>16.20285638534834</v>
      </c>
      <c r="HB21" s="15" t="n">
        <v>0.3934342374379475</v>
      </c>
      <c r="HC21" s="15" t="n">
        <v>5.759844167648901</v>
      </c>
      <c r="HD21" s="15" t="n">
        <v>18.64484581047524</v>
      </c>
      <c r="HE21" s="15" t="n">
        <v>0.3300332292013221</v>
      </c>
      <c r="HF21" s="15" t="inlineStr">
        <is>
          <t>partials+ratios</t>
        </is>
      </c>
      <c r="HG21" s="15" t="inlineStr">
        <is>
          <t>merged_individual_exact</t>
        </is>
      </c>
      <c r="HH21" s="15" t="inlineStr">
        <is>
          <t>passed</t>
        </is>
      </c>
      <c r="HI21" s="15" t="inlineStr">
        <is>
          <t>passed</t>
        </is>
      </c>
    </row>
    <row r="22">
      <c r="A22" t="inlineStr">
        <is>
          <t>incomplete_inference</t>
        </is>
      </c>
      <c r="B22" t="inlineStr">
        <is>
          <t>missing_instrument_technique</t>
        </is>
      </c>
      <c r="C22" t="inlineStr">
        <is>
          <t>prior_constrained_harmonic_fit</t>
        </is>
      </c>
      <c r="D22" t="inlineStr">
        <is>
          <t>IOWA_flt_ff.G5_SustainStable/G5/component_amplitude_mass_pie.png</t>
        </is>
      </c>
      <c r="E22" t="inlineStr">
        <is>
          <t>IOWA_flt_ff.G5_SustainStable/G5/component_energy_ratio_pie.png</t>
        </is>
      </c>
      <c r="F22" s="15" t="n">
        <v>784.4321875977005</v>
      </c>
      <c r="G22" s="15" t="inlineStr">
        <is>
          <t>prior_constrained_harmonic_fit</t>
        </is>
      </c>
      <c r="H22" s="15" t="inlineStr">
        <is>
          <t>fit_accepted_acoustically_verified</t>
        </is>
      </c>
      <c r="I22" s="16" t="n">
        <v>135.6629343722935</v>
      </c>
      <c r="J22" t="inlineStr">
        <is>
          <t>richness_weighted_body_density_body_ceiling</t>
        </is>
      </c>
      <c r="K22" t="inlineStr">
        <is>
          <t>research_body_ceiling_richness_metric</t>
        </is>
      </c>
      <c r="L22" s="15" t="n">
        <v>40853.50953392674</v>
      </c>
      <c r="M22" s="15" t="n">
        <v>40876.55893669624</v>
      </c>
      <c r="N22" s="15" t="n">
        <v>300.4147014700222</v>
      </c>
      <c r="O22" s="15" t="n">
        <v>3.832554281216018</v>
      </c>
      <c r="P22" s="15" t="n">
        <v>-3.792565016808445</v>
      </c>
      <c r="Q22" s="15" t="n">
        <v>14</v>
      </c>
      <c r="R22" s="15" t="n">
        <v>19</v>
      </c>
      <c r="S22" s="15" t="n">
        <v>2554.786500737089</v>
      </c>
      <c r="T22" s="15" t="n">
        <v>26</v>
      </c>
      <c r="U22" s="15" t="n">
        <v>-0.4417628107883841</v>
      </c>
      <c r="V22" s="15" t="n">
        <v>13.95278281760007</v>
      </c>
      <c r="W22" s="15" t="n">
        <v>0.8417154324589757</v>
      </c>
      <c r="X22" s="15" t="n">
        <v>0.2758873275784519</v>
      </c>
      <c r="Y22" s="15" t="n">
        <v>15</v>
      </c>
      <c r="Z22" s="15" t="n">
        <v>25</v>
      </c>
      <c r="AA22" s="15" t="n">
        <v>0.6</v>
      </c>
      <c r="AB22" s="15" t="n">
        <v>25</v>
      </c>
      <c r="AC22" s="15" t="n">
        <v>15</v>
      </c>
      <c r="AD22" s="15" t="n">
        <v>0.6</v>
      </c>
      <c r="AE22" s="15" t="n">
        <v>210.7017702626405</v>
      </c>
      <c r="AF22" s="15" t="n">
        <v>15</v>
      </c>
      <c r="AG22" s="15" t="n">
        <v>25</v>
      </c>
      <c r="AH22" s="15" t="n">
        <v>0.6</v>
      </c>
      <c r="AI22" s="15" t="n">
        <v>210.7017702626405</v>
      </c>
      <c r="AJ22" s="15" t="n">
        <v>7</v>
      </c>
      <c r="AK22" s="15" t="n">
        <v>8</v>
      </c>
      <c r="AL22" s="15" t="n">
        <v>7.526499098289834</v>
      </c>
      <c r="AM22" s="15" t="n">
        <v>27</v>
      </c>
      <c r="AN22" s="15" t="n">
        <v>0</v>
      </c>
      <c r="AO22" s="15" t="n">
        <v>27</v>
      </c>
      <c r="AP22" s="15" t="n">
        <v>0</v>
      </c>
      <c r="AQ22" s="15" t="n">
        <v>16.90561090860362</v>
      </c>
      <c r="AR22" s="15" t="n">
        <v>9.074072560338442</v>
      </c>
      <c r="AS22" s="15" t="n">
        <v>0.1626317438733834</v>
      </c>
      <c r="AT22" s="17" t="n">
        <v>2.481332142366459</v>
      </c>
      <c r="AU22" s="18" t="n">
        <v>4.634676584609736</v>
      </c>
      <c r="AV22" s="15" t="n">
        <v>7.104509477332726</v>
      </c>
      <c r="AW22" s="15" t="b">
        <v>1</v>
      </c>
      <c r="AX22" s="15" t="n">
        <v>8.263437749400532</v>
      </c>
      <c r="AY22" s="15" t="n">
        <v>13.36816174491073</v>
      </c>
      <c r="AZ22" s="15" t="n">
        <v>0</v>
      </c>
      <c r="BA22" s="15" t="n">
        <v>1</v>
      </c>
      <c r="BB22" s="15" t="n">
        <v>0.5</v>
      </c>
      <c r="BC22" s="15" t="n">
        <v>0.25</v>
      </c>
      <c r="BD22" s="15" t="inlineStr">
        <is>
          <t>his_note_adaptive</t>
        </is>
      </c>
      <c r="BE22" s="15" t="n">
        <v>-90</v>
      </c>
      <c r="BF22" s="15" t="n">
        <v>20000</v>
      </c>
      <c r="BG22" s="15" t="n">
        <v>15</v>
      </c>
      <c r="BH22" s="15" t="n">
        <v>0.6</v>
      </c>
      <c r="BI22" s="15" t="n">
        <v>25</v>
      </c>
      <c r="BJ22" s="15" t="n">
        <v>15</v>
      </c>
      <c r="BK22" s="15" t="n">
        <v>25</v>
      </c>
      <c r="BL22" s="15" t="n">
        <v>22</v>
      </c>
      <c r="BM22" s="15" t="n">
        <v>0.88</v>
      </c>
      <c r="BN22" s="15" t="n">
        <v>0.1797959762298789</v>
      </c>
      <c r="BO22" s="15" t="n">
        <v>0.225</v>
      </c>
      <c r="BP22" s="19" t="n">
        <v>0.7723069762300983</v>
      </c>
      <c r="BQ22" s="19" t="n">
        <v>0.2276930237699017</v>
      </c>
      <c r="BR22" s="19" t="n">
        <v>0</v>
      </c>
      <c r="BS22" s="15" t="n">
        <v>0.06629724971742522</v>
      </c>
      <c r="BT22" s="19" t="n">
        <v>0.9994319469431131</v>
      </c>
      <c r="BU22" s="19" t="n">
        <v>0.0005680530568868949</v>
      </c>
      <c r="BV22" s="19" t="n">
        <v>0</v>
      </c>
      <c r="BW22" t="inlineStr">
        <is>
          <t>G5</t>
        </is>
      </c>
      <c r="BX22" t="n">
        <v>79</v>
      </c>
      <c r="BY22" t="inlineStr">
        <is>
          <t>G</t>
        </is>
      </c>
      <c r="BZ22" t="n">
        <v>5</v>
      </c>
      <c r="CA22" t="inlineStr">
        <is>
          <t>Very high</t>
        </is>
      </c>
      <c r="CB22" t="inlineStr">
        <is>
          <t>ff</t>
        </is>
      </c>
      <c r="CC22" s="15" t="n">
        <v>783.9908719634984</v>
      </c>
      <c r="CD22" s="15" t="n">
        <v>784.4321875977005</v>
      </c>
      <c r="CE22" t="inlineStr">
        <is>
          <t>prior_constrained_harmonic_fit</t>
        </is>
      </c>
      <c r="CF22" t="n">
        <v>784.4321875977005</v>
      </c>
      <c r="CG22" s="15" t="n">
        <v>1</v>
      </c>
      <c r="CH22" t="inlineStr">
        <is>
          <t>free_fit_acoustically_verified</t>
        </is>
      </c>
      <c r="CI22" s="15" t="inlineStr">
        <is>
          <t>free_f0_fit</t>
        </is>
      </c>
      <c r="CJ22" s="15" t="n">
        <v>783.9908719634984</v>
      </c>
      <c r="CK22" s="15" t="n">
        <v>784.4321875977005</v>
      </c>
      <c r="CL22" s="15" t="n">
        <v>0.9742533021578548</v>
      </c>
      <c r="CM22" s="15" t="n">
        <v>20000</v>
      </c>
      <c r="CN22" s="15" t="n">
        <v>0.9742533021578548</v>
      </c>
      <c r="CO22" s="15" t="n">
        <v>2.244364166551945</v>
      </c>
      <c r="CP22" s="15" t="n">
        <v>40853.50953392674</v>
      </c>
      <c r="CQ22" t="n">
        <v>1.328291826398926</v>
      </c>
      <c r="CR22" t="n">
        <v>0.05313167305595703</v>
      </c>
      <c r="CS22" t="n">
        <v>102.1333803883168</v>
      </c>
      <c r="CT22" t="n">
        <v>102.1913973417406</v>
      </c>
      <c r="CU22" t="n">
        <v>135.6629343722935</v>
      </c>
      <c r="CV22" t="n">
        <v>3.832554281216018</v>
      </c>
      <c r="CW22" s="15" t="n">
        <v>40876.55893669624</v>
      </c>
      <c r="CX22" s="15" t="n">
        <v>300.4147014700222</v>
      </c>
      <c r="CY22" s="15" t="n">
        <v>3.832554281216018</v>
      </c>
      <c r="CZ22" s="15" t="n">
        <v>2.481332142366459</v>
      </c>
      <c r="DA22" s="15" t="n">
        <v>2.481760004313137</v>
      </c>
      <c r="DB22" s="15" t="n">
        <v>1.728552286318176</v>
      </c>
      <c r="DC22" s="15" t="n">
        <v>0</v>
      </c>
      <c r="DD22" s="15" t="n">
        <v>6.073730679871801e-05</v>
      </c>
      <c r="DE22" s="15" t="n">
        <v>0</v>
      </c>
      <c r="DF22" s="15" t="n">
        <v>14</v>
      </c>
      <c r="DG22" s="15" t="inlineStr">
        <is>
          <t>Density_Metrics</t>
        </is>
      </c>
      <c r="DH22" s="15" t="n">
        <v>2.244364166551945</v>
      </c>
      <c r="DI22" t="n">
        <v>0.8938005688992468</v>
      </c>
      <c r="DJ22" s="15" t="n">
        <v>0.5417454598587348</v>
      </c>
      <c r="DK22" s="15" t="n">
        <v>4.898568086635076</v>
      </c>
      <c r="DL22" s="15" t="n">
        <v>1.348120647114394</v>
      </c>
      <c r="DM22" s="15" t="n">
        <v>1.022433225346298</v>
      </c>
      <c r="DN22" s="15" t="n">
        <v>7.992967543349909</v>
      </c>
      <c r="DO22" s="15" t="n">
        <v>1.240944532869457</v>
      </c>
      <c r="DP22" s="15" t="n">
        <v>15.25</v>
      </c>
      <c r="DQ22" s="15" t="n">
        <v>30</v>
      </c>
      <c r="DR22" s="15" t="b">
        <v>0</v>
      </c>
      <c r="DS22" s="15" t="n">
        <v>1.33630865240793</v>
      </c>
      <c r="DT22" s="15" t="n">
        <v>6.897183189461296</v>
      </c>
      <c r="DU22" t="n">
        <v>25</v>
      </c>
      <c r="DV22" s="15" t="n">
        <v>0.06629724971742522</v>
      </c>
      <c r="DW22" s="15" t="n">
        <v>1.089260384954802</v>
      </c>
      <c r="DX22" s="15" t="n">
        <v>2.249376714685444</v>
      </c>
      <c r="DY22" s="15" t="n">
        <v>0.1664704219562322</v>
      </c>
      <c r="DZ22" s="15" t="b">
        <v>1</v>
      </c>
      <c r="EA22" s="15" t="n">
        <v>0.186126763354665</v>
      </c>
      <c r="EB22" s="15" t="n">
        <v>20000</v>
      </c>
      <c r="EC22" s="15" t="n">
        <v>12550.91500156321</v>
      </c>
      <c r="ED22" s="15" t="n">
        <v>16</v>
      </c>
      <c r="EE22" s="15" t="n">
        <v>0</v>
      </c>
      <c r="EF22" s="15" t="n">
        <v>0.0274661400981242</v>
      </c>
      <c r="EG22" s="15" t="b">
        <v>0</v>
      </c>
      <c r="EH22" s="15" t="b">
        <v>1</v>
      </c>
      <c r="EI22" s="15" t="b">
        <v>0</v>
      </c>
      <c r="EJ22" s="15" t="inlineStr">
        <is>
          <t>wf=log|dst=-90.0|ceil=20000.0|fft=adaptive_tier</t>
        </is>
      </c>
      <c r="EK22" s="15" t="inlineStr">
        <is>
          <t>wf=log|dst=runtime_configured|ceil=runtime_configured|fft=fixed</t>
        </is>
      </c>
      <c r="EL22" s="15" t="n">
        <v>0.7090757889950079</v>
      </c>
      <c r="EM22" s="15" t="n">
        <v>0.9878459569030833</v>
      </c>
      <c r="EN22" s="15" t="n">
        <v>0.5384615384615384</v>
      </c>
      <c r="EO22" s="15" t="n">
        <v>0.3804178496354099</v>
      </c>
      <c r="EP22" s="15" t="inlineStr">
        <is>
          <t>warn:power_outlier_detected</t>
        </is>
      </c>
      <c r="EQ22" s="15" t="n">
        <v>415.2931915871399</v>
      </c>
      <c r="ER22" s="15" t="inlineStr">
        <is>
          <t>winsorize_p95_for_robust_diagnostics</t>
        </is>
      </c>
      <c r="ES22" s="15" t="n">
        <v>0.1379104009821982</v>
      </c>
      <c r="ET22" s="15" t="n">
        <v>0.02029055953314832</v>
      </c>
      <c r="EU22" s="15" t="n">
        <v>0.02417928533974885</v>
      </c>
      <c r="EV22" t="inlineStr">
        <is>
          <t>computed</t>
        </is>
      </c>
      <c r="EW22" s="15" t="inlineStr">
        <is>
          <t>computed</t>
        </is>
      </c>
      <c r="EX22" s="15" t="inlineStr">
        <is>
          <t>computed</t>
        </is>
      </c>
      <c r="EY22" s="15" t="inlineStr">
        <is>
          <t>available_from_curve</t>
        </is>
      </c>
      <c r="EZ22" s="15" t="n">
        <v>20000</v>
      </c>
      <c r="FA22" s="15" t="n">
        <v>20000</v>
      </c>
      <c r="FB22" s="15" t="n">
        <v>0.2276930237699017</v>
      </c>
      <c r="FC22" s="15" t="n">
        <v>0.2332817843270725</v>
      </c>
      <c r="FD22" s="15" t="n">
        <v>2.481760004313137</v>
      </c>
      <c r="FE22" s="15" t="n">
        <v>1.728552286318176</v>
      </c>
      <c r="FF22" s="15" t="n">
        <v>0.6882557960037631</v>
      </c>
      <c r="FG22" s="15" t="n">
        <v>1.876791926297589</v>
      </c>
      <c r="FH22" s="15" t="n">
        <v>0.3319852685904391</v>
      </c>
      <c r="FI22" s="15" t="n">
        <v>0.03558697166391707</v>
      </c>
      <c r="FJ22" s="15" t="n">
        <v>2554.784933543515</v>
      </c>
      <c r="FK22" s="15" t="n">
        <v>18.77591884187639</v>
      </c>
      <c r="FL22" s="15" t="n">
        <v>0.2395346425760011</v>
      </c>
      <c r="FM22" s="15" t="n">
        <v>0.004762379152825239</v>
      </c>
      <c r="FN22" t="n">
        <v>0.9994319469431131</v>
      </c>
      <c r="FO22" t="n">
        <v>0.0005680530568868949</v>
      </c>
      <c r="FP22" t="n">
        <v>0</v>
      </c>
      <c r="FQ22" t="inlineStr">
        <is>
          <t>excellent</t>
        </is>
      </c>
      <c r="FR22" s="19" t="n">
        <v>0.88</v>
      </c>
      <c r="FS22" s="15" t="n">
        <v>2.073220150861447</v>
      </c>
      <c r="FT22" s="15" t="n">
        <v>8.525759115133434</v>
      </c>
      <c r="FU22" t="inlineStr">
        <is>
          <t>passed</t>
        </is>
      </c>
      <c r="FV22" t="n">
        <v>75.5553771813626</v>
      </c>
      <c r="FW22" t="n">
        <v>13.13111474918077</v>
      </c>
      <c r="FX22" t="n">
        <v>0.969539312742089</v>
      </c>
      <c r="FY22" t="n">
        <v>0.3619939224561518</v>
      </c>
      <c r="FZ22" t="n">
        <v>0.1334788553862706</v>
      </c>
      <c r="GA22" t="n">
        <v>0.3163226626482377</v>
      </c>
      <c r="GB22" t="n">
        <v>0.08182741523858955</v>
      </c>
      <c r="GC22" t="n">
        <v>0.08333162567368164</v>
      </c>
      <c r="GD22" t="n">
        <v>0.1292095322987629</v>
      </c>
      <c r="GE22" t="n">
        <v>0.8989429451379594</v>
      </c>
      <c r="GF22" t="n">
        <v>0.1840208278924461</v>
      </c>
      <c r="GG22" t="n">
        <v>0.3176565956246029</v>
      </c>
      <c r="GH22" t="n">
        <v>0.1533388934644109</v>
      </c>
      <c r="GI22" t="n">
        <v>0.4214285714285714</v>
      </c>
      <c r="GJ22" t="n">
        <v>0.8533333333333335</v>
      </c>
      <c r="GK22" t="n">
        <v>0.2000000000000001</v>
      </c>
      <c r="GL22" t="n">
        <v>0.7698905678868514</v>
      </c>
      <c r="GM22" t="n">
        <v>0.7698905678868514</v>
      </c>
      <c r="GN22" t="n">
        <v>0.3792655304850607</v>
      </c>
      <c r="GO22" t="n">
        <v>0.1814118688820739</v>
      </c>
      <c r="GP22" t="n">
        <v>135.6629343722935</v>
      </c>
      <c r="GQ22" t="inlineStr">
        <is>
          <t>compiled workbook density_weighted_sum = density_component_ratio_weighted_sum (per-note component ratios); research density_weighted_sum maps body-ceiling richness</t>
        </is>
      </c>
      <c r="GR22" s="15" t="inlineStr">
        <is>
          <t>individual_exact</t>
        </is>
      </c>
      <c r="GS22" s="15" t="inlineStr">
        <is>
          <t>density_weight</t>
        </is>
      </c>
      <c r="GT22" s="15" t="n">
        <v>0.8411990909496979</v>
      </c>
      <c r="GU22" s="15" t="n">
        <v>0.158800909050302</v>
      </c>
      <c r="GV22" s="15" t="n">
        <v>0</v>
      </c>
      <c r="GW22" s="15" t="inlineStr">
        <is>
          <t>log</t>
        </is>
      </c>
      <c r="GX22" s="15" t="n">
        <v>0.5</v>
      </c>
      <c r="GY22" s="15" t="inlineStr">
        <is>
          <t>EWSD-R v18.1</t>
        </is>
      </c>
      <c r="GZ22" s="15" t="n">
        <v>1.696796411959358</v>
      </c>
      <c r="HA22" s="15" t="n">
        <v>10.17590628838258</v>
      </c>
      <c r="HB22" s="15" t="n">
        <v>0.4762949568668903</v>
      </c>
      <c r="HC22" s="15" t="n">
        <v>3.134294144271308</v>
      </c>
      <c r="HD22" s="15" t="n">
        <v>14.51672877034797</v>
      </c>
      <c r="HE22" s="15" t="n">
        <v>0.4088003961509682</v>
      </c>
      <c r="HF22" s="15" t="inlineStr">
        <is>
          <t>partials+ratios</t>
        </is>
      </c>
      <c r="HG22" s="15" t="inlineStr">
        <is>
          <t>merged_individual_exact</t>
        </is>
      </c>
      <c r="HH22" s="15" t="inlineStr">
        <is>
          <t>passed</t>
        </is>
      </c>
      <c r="HI22" s="15" t="inlineStr">
        <is>
          <t>passed</t>
        </is>
      </c>
    </row>
    <row r="23">
      <c r="A23" t="inlineStr">
        <is>
          <t>incomplete_inference</t>
        </is>
      </c>
      <c r="B23" t="inlineStr">
        <is>
          <t>missing_instrument_technique</t>
        </is>
      </c>
      <c r="C23" t="inlineStr">
        <is>
          <t>prior_constrained_harmonic_fit</t>
        </is>
      </c>
      <c r="D23" t="inlineStr">
        <is>
          <t>IOWA_flt_ff.G#5_SustainStable/G#5/component_amplitude_mass_pie.png</t>
        </is>
      </c>
      <c r="E23" t="inlineStr">
        <is>
          <t>IOWA_flt_ff.G#5_SustainStable/G#5/component_energy_ratio_pie.png</t>
        </is>
      </c>
      <c r="F23" s="15" t="n">
        <v>831.4971896904758</v>
      </c>
      <c r="G23" s="15" t="inlineStr">
        <is>
          <t>prior_constrained_harmonic_fit</t>
        </is>
      </c>
      <c r="H23" s="15" t="inlineStr">
        <is>
          <t>fit_accepted_acoustically_verified</t>
        </is>
      </c>
      <c r="I23" s="16" t="n">
        <v>126.9265706849393</v>
      </c>
      <c r="J23" t="inlineStr">
        <is>
          <t>richness_weighted_body_density_body_ceiling</t>
        </is>
      </c>
      <c r="K23" t="inlineStr">
        <is>
          <t>research_body_ceiling_richness_metric</t>
        </is>
      </c>
      <c r="L23" s="15" t="n">
        <v>40719.44235095483</v>
      </c>
      <c r="M23" s="15" t="n">
        <v>40719.44235095483</v>
      </c>
      <c r="N23" s="15" t="n">
        <v>482.9075027797967</v>
      </c>
      <c r="O23" s="15" t="n">
        <v>12.2533443889732</v>
      </c>
      <c r="P23" s="15" t="n">
        <v>-5.592875574951854</v>
      </c>
      <c r="Q23" s="15" t="n">
        <v>10</v>
      </c>
      <c r="R23" s="15" t="n">
        <v>19</v>
      </c>
      <c r="S23" s="15" t="n">
        <v>2544.98655620234</v>
      </c>
      <c r="T23" s="15" t="n">
        <v>25</v>
      </c>
      <c r="U23" s="15" t="n">
        <v>-0.5908356778091012</v>
      </c>
      <c r="V23" s="15" t="n">
        <v>13.04305189475327</v>
      </c>
      <c r="W23" s="15" t="n">
        <v>0.770488681137485</v>
      </c>
      <c r="X23" s="15" t="n">
        <v>0.257057610153952</v>
      </c>
      <c r="Y23" s="15" t="n">
        <v>13</v>
      </c>
      <c r="Z23" s="15" t="n">
        <v>24</v>
      </c>
      <c r="AA23" s="15" t="n">
        <v>0.5416666666666666</v>
      </c>
      <c r="AB23" s="15" t="n">
        <v>24</v>
      </c>
      <c r="AC23" s="15" t="n">
        <v>13</v>
      </c>
      <c r="AD23" s="15" t="n">
        <v>0.5416666666666666</v>
      </c>
      <c r="AE23" s="15" t="n">
        <v>207.4718275891053</v>
      </c>
      <c r="AF23" s="15" t="n">
        <v>13</v>
      </c>
      <c r="AG23" s="15" t="n">
        <v>24</v>
      </c>
      <c r="AH23" s="15" t="n">
        <v>0.5416666666666666</v>
      </c>
      <c r="AI23" s="15" t="n">
        <v>207.4718275891053</v>
      </c>
      <c r="AJ23" s="15" t="n">
        <v>7</v>
      </c>
      <c r="AK23" s="15" t="n">
        <v>6</v>
      </c>
      <c r="AL23" s="15" t="n">
        <v>21.40061463055846</v>
      </c>
      <c r="AM23" s="15" t="n">
        <v>28</v>
      </c>
      <c r="AN23" s="15" t="n">
        <v>0</v>
      </c>
      <c r="AO23" s="15" t="n">
        <v>28</v>
      </c>
      <c r="AP23" s="15" t="n">
        <v>0</v>
      </c>
      <c r="AQ23" s="15" t="n">
        <v>15.7113822448659</v>
      </c>
      <c r="AR23" s="15" t="n">
        <v>8.771271846950725</v>
      </c>
      <c r="AS23" s="15" t="n">
        <v>0.1466631471705172</v>
      </c>
      <c r="AT23" s="17" t="n">
        <v>2.47416239944235</v>
      </c>
      <c r="AU23" s="18" t="n">
        <v>6.671717898320296</v>
      </c>
      <c r="AV23" s="15" t="n">
        <v>8.753865807862461</v>
      </c>
      <c r="AW23" s="15" t="b">
        <v>1</v>
      </c>
      <c r="AX23" s="15" t="n">
        <v>7.635490633051865</v>
      </c>
      <c r="AY23" s="15" t="n">
        <v>13.91889764463888</v>
      </c>
      <c r="AZ23" s="15" t="n">
        <v>0</v>
      </c>
      <c r="BA23" s="15" t="n">
        <v>1</v>
      </c>
      <c r="BB23" s="15" t="n">
        <v>0.5</v>
      </c>
      <c r="BC23" s="15" t="n">
        <v>0.25</v>
      </c>
      <c r="BD23" s="15" t="inlineStr">
        <is>
          <t>his_note_adaptive</t>
        </is>
      </c>
      <c r="BE23" s="15" t="n">
        <v>-90</v>
      </c>
      <c r="BF23" s="15" t="n">
        <v>20000</v>
      </c>
      <c r="BG23" s="15" t="n">
        <v>13</v>
      </c>
      <c r="BH23" s="15" t="n">
        <v>0.5416666666666666</v>
      </c>
      <c r="BI23" s="15" t="n">
        <v>24</v>
      </c>
      <c r="BJ23" s="15" t="n">
        <v>13</v>
      </c>
      <c r="BK23" s="15" t="n">
        <v>24</v>
      </c>
      <c r="BL23" s="15" t="n">
        <v>20</v>
      </c>
      <c r="BM23" s="15" t="n">
        <v>0.8333333333333334</v>
      </c>
      <c r="BN23" s="15" t="n">
        <v>0.1622208197606257</v>
      </c>
      <c r="BO23" s="15" t="n">
        <v>0.2333333333333333</v>
      </c>
      <c r="BP23" s="19" t="n">
        <v>0.767542239416355</v>
      </c>
      <c r="BQ23" s="19" t="n">
        <v>0.232457760583645</v>
      </c>
      <c r="BR23" s="19" t="n">
        <v>0</v>
      </c>
      <c r="BS23" s="15" t="n">
        <v>0.07066730839129902</v>
      </c>
      <c r="BT23" s="19" t="n">
        <v>1</v>
      </c>
      <c r="BU23" s="19" t="n">
        <v>0</v>
      </c>
      <c r="BV23" s="19" t="n">
        <v>0</v>
      </c>
      <c r="BW23" t="inlineStr">
        <is>
          <t>G#5</t>
        </is>
      </c>
      <c r="BX23" t="n">
        <v>80</v>
      </c>
      <c r="BY23" t="inlineStr">
        <is>
          <t>G#</t>
        </is>
      </c>
      <c r="BZ23" t="n">
        <v>5</v>
      </c>
      <c r="CA23" t="inlineStr">
        <is>
          <t>Very high</t>
        </is>
      </c>
      <c r="CB23" t="inlineStr">
        <is>
          <t>ff</t>
        </is>
      </c>
      <c r="CC23" s="15" t="n">
        <v>830.6093951598904</v>
      </c>
      <c r="CD23" s="15" t="n">
        <v>831.4971896904758</v>
      </c>
      <c r="CE23" t="inlineStr">
        <is>
          <t>prior_constrained_harmonic_fit</t>
        </is>
      </c>
      <c r="CF23" t="n">
        <v>831.4971896904758</v>
      </c>
      <c r="CG23" s="15" t="n">
        <v>1</v>
      </c>
      <c r="CH23" t="inlineStr">
        <is>
          <t>free_fit_acoustically_verified</t>
        </is>
      </c>
      <c r="CI23" s="15" t="inlineStr">
        <is>
          <t>free_f0_fit</t>
        </is>
      </c>
      <c r="CJ23" s="15" t="n">
        <v>830.6093951598904</v>
      </c>
      <c r="CK23" s="15" t="n">
        <v>831.4971896904758</v>
      </c>
      <c r="CL23" s="15" t="n">
        <v>1.849436468277821</v>
      </c>
      <c r="CM23" s="15" t="n">
        <v>20000</v>
      </c>
      <c r="CN23" s="15" t="n">
        <v>1.849436468277821</v>
      </c>
      <c r="CO23" s="15" t="n">
        <v>2.270999369690954</v>
      </c>
      <c r="CP23" s="15" t="n">
        <v>40719.44235095483</v>
      </c>
      <c r="CQ23" t="n">
        <v>1.196966371074917</v>
      </c>
      <c r="CR23" t="n">
        <v>0.04987359879478819</v>
      </c>
      <c r="CS23" t="n">
        <v>106.0402144556115</v>
      </c>
      <c r="CT23" t="n">
        <v>106.0402144556115</v>
      </c>
      <c r="CU23" t="n">
        <v>126.9265706849393</v>
      </c>
      <c r="CV23" t="n">
        <v>12.2533443889732</v>
      </c>
      <c r="CW23" s="15" t="n">
        <v>40719.44235095483</v>
      </c>
      <c r="CX23" s="15" t="n">
        <v>482.9075027797967</v>
      </c>
      <c r="CY23" s="15" t="n">
        <v>12.2533443889732</v>
      </c>
      <c r="CZ23" s="15" t="n">
        <v>2.47416239944235</v>
      </c>
      <c r="DA23" s="15" t="n">
        <v>2.47416239944235</v>
      </c>
      <c r="DB23" s="15" t="n">
        <v>1.841842934886967</v>
      </c>
      <c r="DC23" s="15" t="n">
        <v>0</v>
      </c>
      <c r="DD23" s="15" t="n">
        <v>6.076120537501255e-05</v>
      </c>
      <c r="DE23" s="15" t="n">
        <v>0</v>
      </c>
      <c r="DF23" s="15" t="n">
        <v>10</v>
      </c>
      <c r="DG23" s="15" t="inlineStr">
        <is>
          <t>Density_Metrics</t>
        </is>
      </c>
      <c r="DH23" s="15" t="n">
        <v>2.270999369690954</v>
      </c>
      <c r="DI23" t="n">
        <v>0.9044078313360585</v>
      </c>
      <c r="DJ23" s="15" t="n">
        <v>0.5408501156462585</v>
      </c>
      <c r="DK23" s="15" t="n">
        <v>5.209695638960172</v>
      </c>
      <c r="DL23" s="15" t="n">
        <v>1.226231128796758</v>
      </c>
      <c r="DM23" s="15" t="n">
        <v>1.039340533035908</v>
      </c>
      <c r="DN23" s="15" t="n">
        <v>11.03217220391939</v>
      </c>
      <c r="DO23" s="15" t="n">
        <v>1.840883582717051</v>
      </c>
      <c r="DP23" s="15" t="n">
        <v>16.0625</v>
      </c>
      <c r="DQ23" s="15" t="n">
        <v>25</v>
      </c>
      <c r="DR23" s="15" t="b">
        <v>0</v>
      </c>
      <c r="DS23" s="15" t="n">
        <v>1.196966371074917</v>
      </c>
      <c r="DT23" s="15" t="n">
        <v>6.169382643694846</v>
      </c>
      <c r="DU23" t="n">
        <v>24</v>
      </c>
      <c r="DV23" s="15" t="n">
        <v>0.07066730839129902</v>
      </c>
      <c r="DW23" s="15" t="n">
        <v>1.177551749476773</v>
      </c>
      <c r="DX23" s="15" t="n">
        <v>2.23326983236319</v>
      </c>
      <c r="DY23" s="15" t="n">
        <v>0.1590417649964778</v>
      </c>
      <c r="DZ23" s="15" t="b">
        <v>1</v>
      </c>
      <c r="EA23" s="15" t="n">
        <v>0.1527763383158794</v>
      </c>
      <c r="EB23" s="15" t="n">
        <v>20000</v>
      </c>
      <c r="EC23" s="15" t="n">
        <v>8314.971896904757</v>
      </c>
      <c r="ED23" s="15" t="n">
        <v>10</v>
      </c>
      <c r="EE23" s="15" t="n">
        <v>0</v>
      </c>
      <c r="EF23" s="15" t="n">
        <v>0.02592458410713607</v>
      </c>
      <c r="EG23" s="15" t="b">
        <v>0</v>
      </c>
      <c r="EH23" s="15" t="b">
        <v>1</v>
      </c>
      <c r="EI23" s="15" t="b">
        <v>0</v>
      </c>
      <c r="EJ23" s="15" t="inlineStr">
        <is>
          <t>wf=log|dst=-90.0|ceil=20000.0|fft=adaptive_tier</t>
        </is>
      </c>
      <c r="EK23" s="15" t="inlineStr">
        <is>
          <t>wf=log|dst=runtime_configured|ceil=runtime_configured|fft=fixed</t>
        </is>
      </c>
      <c r="EL23" s="15" t="n">
        <v>0.6614953065727375</v>
      </c>
      <c r="EM23" s="15" t="n">
        <v>0.9913496374226899</v>
      </c>
      <c r="EN23" s="15" t="n">
        <v>0.4</v>
      </c>
      <c r="EO23" s="15" t="n">
        <v>0.3769398486626354</v>
      </c>
      <c r="EP23" s="15" t="inlineStr">
        <is>
          <t>warn:power_outlier_detected</t>
        </is>
      </c>
      <c r="EQ23" s="15" t="n">
        <v>439.7210106044238</v>
      </c>
      <c r="ER23" s="15" t="inlineStr">
        <is>
          <t>winsorize_p95_for_robust_diagnostics</t>
        </is>
      </c>
      <c r="ES23" s="15" t="n">
        <v>0.136168238861054</v>
      </c>
      <c r="ET23" s="15" t="n">
        <v>0.03386380216047486</v>
      </c>
      <c r="EU23" s="15" t="n">
        <v>0.03501191425346312</v>
      </c>
      <c r="EV23" t="inlineStr">
        <is>
          <t>computed</t>
        </is>
      </c>
      <c r="EW23" s="15" t="inlineStr">
        <is>
          <t>computed</t>
        </is>
      </c>
      <c r="EX23" s="15" t="inlineStr">
        <is>
          <t>computed</t>
        </is>
      </c>
      <c r="EY23" s="15" t="inlineStr">
        <is>
          <t>available_from_curve</t>
        </is>
      </c>
      <c r="EZ23" s="15" t="n">
        <v>20000</v>
      </c>
      <c r="FA23" s="15" t="n">
        <v>20000</v>
      </c>
      <c r="FB23" s="15" t="n">
        <v>0.232457760583645</v>
      </c>
      <c r="FC23" s="15" t="n">
        <v>0.1748455217790458</v>
      </c>
      <c r="FD23" s="15" t="n">
        <v>2.47416239944235</v>
      </c>
      <c r="FE23" s="15" t="n">
        <v>1.841842934886967</v>
      </c>
      <c r="FF23" s="15" t="n">
        <v>0.8936903046308552</v>
      </c>
      <c r="FG23" s="15" t="n">
        <v>1.871046357243405</v>
      </c>
      <c r="FH23" s="15" t="n">
        <v>0.3537438388642989</v>
      </c>
      <c r="FI23" s="15" t="n">
        <v>0.0462091735832498</v>
      </c>
      <c r="FJ23" s="15" t="n">
        <v>2544.965146934677</v>
      </c>
      <c r="FK23" s="15" t="n">
        <v>30.18171892373729</v>
      </c>
      <c r="FL23" s="15" t="n">
        <v>0.765834024310825</v>
      </c>
      <c r="FM23" s="15" t="n">
        <v>0.004735176359163643</v>
      </c>
      <c r="FN23" t="n">
        <v>1</v>
      </c>
      <c r="FO23" t="n">
        <v>0</v>
      </c>
      <c r="FP23" t="n">
        <v>0</v>
      </c>
      <c r="FQ23" t="inlineStr">
        <is>
          <t>good</t>
        </is>
      </c>
      <c r="FR23" s="19" t="n">
        <v>0.8333333333333334</v>
      </c>
      <c r="FS23" s="15" t="n">
        <v>1.936951201448567</v>
      </c>
      <c r="FT23" s="15" t="n">
        <v>17.02208127206818</v>
      </c>
      <c r="FU23" t="inlineStr">
        <is>
          <t>passed</t>
        </is>
      </c>
      <c r="FV23" t="n">
        <v>74.24076049421139</v>
      </c>
      <c r="FW23" t="n">
        <v>17.1193250867238</v>
      </c>
      <c r="FX23" t="n">
        <v>1.707177945697097</v>
      </c>
      <c r="FY23" t="n">
        <v>0.4257183495142227</v>
      </c>
      <c r="FZ23" t="n">
        <v>0.120285528787904</v>
      </c>
      <c r="GA23" t="n">
        <v>0.4980781806376922</v>
      </c>
      <c r="GB23" t="n">
        <v>0.0519359197263353</v>
      </c>
      <c r="GC23" t="n">
        <v>0.0483689702608305</v>
      </c>
      <c r="GD23" t="n">
        <v>0.1074185169546945</v>
      </c>
      <c r="GE23" t="n">
        <v>0.818911843481025</v>
      </c>
      <c r="GF23" t="n">
        <v>0.1360452958672704</v>
      </c>
      <c r="GG23" t="n">
        <v>0.3507752148265085</v>
      </c>
      <c r="GH23" t="n">
        <v>0.08249428965030052</v>
      </c>
      <c r="GI23" t="n">
        <v>0.3370535714285713</v>
      </c>
      <c r="GJ23" t="n">
        <v>0.666666666666667</v>
      </c>
      <c r="GK23" t="n">
        <v>0.2181818181818182</v>
      </c>
      <c r="GL23" t="n">
        <v>0.8040827142303288</v>
      </c>
      <c r="GM23" t="n">
        <v>0.8040827142303288</v>
      </c>
      <c r="GN23" t="n">
        <v>0.2755203530428286</v>
      </c>
      <c r="GO23" t="n">
        <v>0.1465752952742301</v>
      </c>
      <c r="GP23" t="n">
        <v>126.9265706849393</v>
      </c>
      <c r="GQ23" t="inlineStr">
        <is>
          <t>compiled workbook density_weighted_sum = density_component_ratio_weighted_sum (per-note component ratios); research density_weighted_sum maps body-ceiling richness</t>
        </is>
      </c>
      <c r="GR23" s="15" t="inlineStr">
        <is>
          <t>individual_exact</t>
        </is>
      </c>
      <c r="GS23" s="15" t="inlineStr">
        <is>
          <t>density_weight</t>
        </is>
      </c>
      <c r="GT23" s="15" t="n">
        <v>0.8192411836756071</v>
      </c>
      <c r="GU23" s="15" t="n">
        <v>0.1807588163243929</v>
      </c>
      <c r="GV23" s="15" t="n">
        <v>0</v>
      </c>
      <c r="GW23" s="15" t="inlineStr">
        <is>
          <t>log</t>
        </is>
      </c>
      <c r="GX23" s="15" t="n">
        <v>0.5</v>
      </c>
      <c r="GY23" s="15" t="inlineStr">
        <is>
          <t>EWSD-R v18.1</t>
        </is>
      </c>
      <c r="GZ23" s="15" t="n">
        <v>2.956564971642584</v>
      </c>
      <c r="HA23" s="15" t="n">
        <v>13.54431070734511</v>
      </c>
      <c r="HB23" s="15" t="n">
        <v>0.4245597896635008</v>
      </c>
      <c r="HC23" s="15" t="n">
        <v>4.679992669113409</v>
      </c>
      <c r="HD23" s="15" t="n">
        <v>16.57292804968252</v>
      </c>
      <c r="HE23" s="15" t="n">
        <v>0.3629200405160984</v>
      </c>
      <c r="HF23" s="15" t="inlineStr">
        <is>
          <t>partials+ratios</t>
        </is>
      </c>
      <c r="HG23" s="15" t="inlineStr">
        <is>
          <t>merged_individual_exact</t>
        </is>
      </c>
      <c r="HH23" s="15" t="inlineStr">
        <is>
          <t>passed</t>
        </is>
      </c>
      <c r="HI23" s="15" t="inlineStr">
        <is>
          <t>passed</t>
        </is>
      </c>
    </row>
    <row r="24">
      <c r="A24" t="inlineStr">
        <is>
          <t>incomplete_inference</t>
        </is>
      </c>
      <c r="B24" t="inlineStr">
        <is>
          <t>missing_instrument_technique</t>
        </is>
      </c>
      <c r="C24" t="inlineStr">
        <is>
          <t>prior_constrained_harmonic_fit</t>
        </is>
      </c>
      <c r="D24" t="inlineStr">
        <is>
          <t>IOWA_flt_ff.A5_SustainStable/A5/component_amplitude_mass_pie.png</t>
        </is>
      </c>
      <c r="E24" t="inlineStr">
        <is>
          <t>IOWA_flt_ff.A5_SustainStable/A5/component_energy_ratio_pie.png</t>
        </is>
      </c>
      <c r="F24" s="15" t="n">
        <v>878.7667450653453</v>
      </c>
      <c r="G24" s="15" t="inlineStr">
        <is>
          <t>prior_constrained_harmonic_fit</t>
        </is>
      </c>
      <c r="H24" s="15" t="inlineStr">
        <is>
          <t>fit_accepted_acoustically_verified</t>
        </is>
      </c>
      <c r="I24" s="16" t="n">
        <v>154.3218494894026</v>
      </c>
      <c r="J24" t="inlineStr">
        <is>
          <t>richness_weighted_body_density_body_ceiling</t>
        </is>
      </c>
      <c r="K24" t="inlineStr">
        <is>
          <t>research_body_ceiling_richness_metric</t>
        </is>
      </c>
      <c r="L24" s="15" t="n">
        <v>38624.60939668171</v>
      </c>
      <c r="M24" s="15" t="n">
        <v>38624.60939668171</v>
      </c>
      <c r="N24" s="15" t="n">
        <v>643.2259630530388</v>
      </c>
      <c r="O24" s="15" t="n">
        <v>11.39529860946063</v>
      </c>
      <c r="P24" s="15" t="n">
        <v>-4.111938565837433</v>
      </c>
      <c r="Q24" s="15" t="n">
        <v>13</v>
      </c>
      <c r="R24" s="15" t="n">
        <v>16</v>
      </c>
      <c r="S24" s="15" t="n">
        <v>2414.039541152041</v>
      </c>
      <c r="T24" s="15" t="n">
        <v>23</v>
      </c>
      <c r="U24" s="15" t="n">
        <v>-0.184753956659642</v>
      </c>
      <c r="V24" s="15" t="n">
        <v>14.33509552269555</v>
      </c>
      <c r="W24" s="15" t="n">
        <v>0.8549050143263389</v>
      </c>
      <c r="X24" s="15" t="n">
        <v>0.3663460202733473</v>
      </c>
      <c r="Y24" s="15" t="n">
        <v>14</v>
      </c>
      <c r="Z24" s="15" t="n">
        <v>22</v>
      </c>
      <c r="AA24" s="15" t="n">
        <v>0.6363636363636364</v>
      </c>
      <c r="AB24" s="15" t="n">
        <v>22</v>
      </c>
      <c r="AC24" s="15" t="n">
        <v>14</v>
      </c>
      <c r="AD24" s="15" t="n">
        <v>0.6363636363636364</v>
      </c>
      <c r="AE24" s="15" t="n">
        <v>207.1946328003569</v>
      </c>
      <c r="AF24" s="15" t="n">
        <v>14</v>
      </c>
      <c r="AG24" s="15" t="n">
        <v>22</v>
      </c>
      <c r="AH24" s="15" t="n">
        <v>0.6363636363636364</v>
      </c>
      <c r="AI24" s="15" t="n">
        <v>207.1946328003569</v>
      </c>
      <c r="AJ24" s="15" t="n">
        <v>8</v>
      </c>
      <c r="AK24" s="15" t="n">
        <v>6</v>
      </c>
      <c r="AL24" s="15" t="n">
        <v>5.404956416476065</v>
      </c>
      <c r="AM24" s="15" t="n">
        <v>31</v>
      </c>
      <c r="AN24" s="15" t="n">
        <v>0</v>
      </c>
      <c r="AO24" s="15" t="n">
        <v>31</v>
      </c>
      <c r="AP24" s="15" t="n">
        <v>0</v>
      </c>
      <c r="AQ24" s="15" t="n">
        <v>16.93590080244519</v>
      </c>
      <c r="AR24" s="15" t="n">
        <v>9.37044628090422</v>
      </c>
      <c r="AS24" s="15" t="n">
        <v>0.1782614045967482</v>
      </c>
      <c r="AT24" s="17" t="n">
        <v>2.474505843518043</v>
      </c>
      <c r="AU24" s="18" t="n">
        <v>6.038820900077942</v>
      </c>
      <c r="AV24" s="15" t="n">
        <v>8.404579795206104</v>
      </c>
      <c r="AW24" s="15" t="b">
        <v>1</v>
      </c>
      <c r="AX24" s="15" t="n">
        <v>8.216118827232066</v>
      </c>
      <c r="AY24" s="15" t="n">
        <v>14.90012078536464</v>
      </c>
      <c r="AZ24" s="15" t="n">
        <v>0</v>
      </c>
      <c r="BA24" s="15" t="n">
        <v>1</v>
      </c>
      <c r="BB24" s="15" t="n">
        <v>0.5</v>
      </c>
      <c r="BC24" s="15" t="n">
        <v>0.25</v>
      </c>
      <c r="BD24" s="15" t="inlineStr">
        <is>
          <t>his_note_adaptive</t>
        </is>
      </c>
      <c r="BE24" s="15" t="n">
        <v>-90</v>
      </c>
      <c r="BF24" s="15" t="n">
        <v>20000</v>
      </c>
      <c r="BG24" s="15" t="n">
        <v>14</v>
      </c>
      <c r="BH24" s="15" t="n">
        <v>0.6363636363636364</v>
      </c>
      <c r="BI24" s="15" t="n">
        <v>22</v>
      </c>
      <c r="BJ24" s="15" t="n">
        <v>14</v>
      </c>
      <c r="BK24" s="15" t="n">
        <v>22</v>
      </c>
      <c r="BL24" s="15" t="n">
        <v>19</v>
      </c>
      <c r="BM24" s="15" t="n">
        <v>0.8636363636363636</v>
      </c>
      <c r="BN24" s="15" t="n">
        <v>0.266348680534497</v>
      </c>
      <c r="BO24" s="15" t="n">
        <v>0.2583333333333334</v>
      </c>
      <c r="BP24" s="19" t="n">
        <v>0.7657143988520544</v>
      </c>
      <c r="BQ24" s="19" t="n">
        <v>0.2342856011479456</v>
      </c>
      <c r="BR24" s="19" t="n">
        <v>0</v>
      </c>
      <c r="BS24" s="15" t="n">
        <v>0.07904223870843856</v>
      </c>
      <c r="BT24" s="19" t="n">
        <v>1</v>
      </c>
      <c r="BU24" s="19" t="n">
        <v>0</v>
      </c>
      <c r="BV24" s="19" t="n">
        <v>0</v>
      </c>
      <c r="BW24" t="inlineStr">
        <is>
          <t>A5</t>
        </is>
      </c>
      <c r="BX24" t="n">
        <v>81</v>
      </c>
      <c r="BY24" t="inlineStr">
        <is>
          <t>A</t>
        </is>
      </c>
      <c r="BZ24" t="n">
        <v>5</v>
      </c>
      <c r="CA24" t="inlineStr">
        <is>
          <t>Very high</t>
        </is>
      </c>
      <c r="CB24" t="inlineStr">
        <is>
          <t>ff</t>
        </is>
      </c>
      <c r="CC24" s="15" t="n">
        <v>879.9999999999999</v>
      </c>
      <c r="CD24" s="15" t="n">
        <v>878.7667450653453</v>
      </c>
      <c r="CE24" t="inlineStr">
        <is>
          <t>prior_constrained_harmonic_fit</t>
        </is>
      </c>
      <c r="CF24" t="n">
        <v>878.7667450653453</v>
      </c>
      <c r="CG24" s="15" t="n">
        <v>1</v>
      </c>
      <c r="CH24" t="inlineStr">
        <is>
          <t>free_fit_acoustically_verified</t>
        </is>
      </c>
      <c r="CI24" s="15" t="inlineStr">
        <is>
          <t>free_f0_fit</t>
        </is>
      </c>
      <c r="CJ24" s="15" t="n">
        <v>879.9999999999999</v>
      </c>
      <c r="CK24" s="15" t="n">
        <v>878.7667450653453</v>
      </c>
      <c r="CL24" s="15" t="n">
        <v>-2.427898173501915</v>
      </c>
      <c r="CM24" s="15" t="n">
        <v>20000</v>
      </c>
      <c r="CN24" s="15" t="n">
        <v>-2.427898173501915</v>
      </c>
      <c r="CO24" s="15" t="n">
        <v>2.293032923591514</v>
      </c>
      <c r="CP24" s="15" t="n">
        <v>38624.60939668171</v>
      </c>
      <c r="CQ24" t="n">
        <v>1.406390688961544</v>
      </c>
      <c r="CR24" t="n">
        <v>0.063926849498252</v>
      </c>
      <c r="CS24" t="n">
        <v>109.7290039678458</v>
      </c>
      <c r="CT24" t="n">
        <v>109.7290039678458</v>
      </c>
      <c r="CU24" t="n">
        <v>154.3218494894026</v>
      </c>
      <c r="CV24" t="n">
        <v>11.39529860946063</v>
      </c>
      <c r="CW24" s="15" t="n">
        <v>38624.60939668171</v>
      </c>
      <c r="CX24" s="15" t="n">
        <v>643.2259630530388</v>
      </c>
      <c r="CY24" s="15" t="n">
        <v>11.39529860946063</v>
      </c>
      <c r="CZ24" s="15" t="n">
        <v>2.474505843518043</v>
      </c>
      <c r="DA24" s="15" t="n">
        <v>2.474505843518043</v>
      </c>
      <c r="DB24" s="15" t="n">
        <v>1.958118252021644</v>
      </c>
      <c r="DC24" s="15" t="n">
        <v>0</v>
      </c>
      <c r="DD24" s="15" t="n">
        <v>6.406552408347801e-05</v>
      </c>
      <c r="DE24" s="15" t="n">
        <v>0</v>
      </c>
      <c r="DF24" s="15" t="n">
        <v>13</v>
      </c>
      <c r="DG24" s="15" t="inlineStr">
        <is>
          <t>Density_Metrics</t>
        </is>
      </c>
      <c r="DH24" s="15" t="n">
        <v>2.293032923591514</v>
      </c>
      <c r="DI24" t="n">
        <v>0.9131825227630067</v>
      </c>
      <c r="DJ24" s="15" t="n">
        <v>0.5408930464243075</v>
      </c>
      <c r="DK24" s="15" t="n">
        <v>5.315523101604473</v>
      </c>
      <c r="DL24" s="15" t="n">
        <v>1.454416937029631</v>
      </c>
      <c r="DM24" s="15" t="n">
        <v>1.047247424954165</v>
      </c>
      <c r="DN24" s="15" t="n">
        <v>13.83086320786437</v>
      </c>
      <c r="DO24" s="15" t="n">
        <v>1.813798020303328</v>
      </c>
      <c r="DP24" s="15" t="n">
        <v>13.75</v>
      </c>
      <c r="DQ24" s="15" t="n">
        <v>31</v>
      </c>
      <c r="DR24" s="15" t="b">
        <v>0</v>
      </c>
      <c r="DS24" s="15" t="n">
        <v>1.406390688961544</v>
      </c>
      <c r="DT24" s="15" t="n">
        <v>8.05961244601364</v>
      </c>
      <c r="DU24" t="n">
        <v>22</v>
      </c>
      <c r="DV24" s="15" t="n">
        <v>0.07904223870843856</v>
      </c>
      <c r="DW24" s="15" t="n">
        <v>1.231470400655014</v>
      </c>
      <c r="DX24" s="15" t="n">
        <v>2.240908754084932</v>
      </c>
      <c r="DY24" s="15" t="n">
        <v>0.1467279349546755</v>
      </c>
      <c r="DZ24" s="15" t="b">
        <v>1</v>
      </c>
      <c r="EA24" s="15" t="n">
        <v>0.2030646878785327</v>
      </c>
      <c r="EB24" s="15" t="n">
        <v>20000</v>
      </c>
      <c r="EC24" s="15" t="n">
        <v>11423.96768584949</v>
      </c>
      <c r="ED24" s="15" t="n">
        <v>13</v>
      </c>
      <c r="EE24" s="15" t="n">
        <v>0</v>
      </c>
      <c r="EF24" s="15" t="n">
        <v>0.02446954900568182</v>
      </c>
      <c r="EG24" s="15" t="b">
        <v>0</v>
      </c>
      <c r="EH24" s="15" t="b">
        <v>1</v>
      </c>
      <c r="EI24" s="15" t="b">
        <v>0</v>
      </c>
      <c r="EJ24" s="15" t="inlineStr">
        <is>
          <t>wf=log|dst=-90.0|ceil=20000.0|fft=adaptive_tier</t>
        </is>
      </c>
      <c r="EK24" s="15" t="inlineStr">
        <is>
          <t>wf=log|dst=runtime_configured|ceil=runtime_configured|fft=fixed</t>
        </is>
      </c>
      <c r="EL24" s="15" t="n">
        <v>0.7220445765114647</v>
      </c>
      <c r="EM24" s="15" t="n">
        <v>0.994274320310065</v>
      </c>
      <c r="EN24" s="15" t="n">
        <v>0.5652173913043478</v>
      </c>
      <c r="EO24" s="15" t="n">
        <v>0.3839752270770683</v>
      </c>
      <c r="EP24" s="15" t="inlineStr">
        <is>
          <t>warn:power_outlier_detected</t>
        </is>
      </c>
      <c r="EQ24" s="15" t="n">
        <v>392.100561575882</v>
      </c>
      <c r="ER24" s="15" t="inlineStr">
        <is>
          <t>winsorize_p95_for_robust_diagnostics</t>
        </is>
      </c>
      <c r="ES24" s="15" t="n">
        <v>0.1382902006367255</v>
      </c>
      <c r="ET24" s="15" t="n">
        <v>0.02664773670163676</v>
      </c>
      <c r="EU24" s="15" t="n">
        <v>0.03186816407271736</v>
      </c>
      <c r="EV24" t="inlineStr">
        <is>
          <t>computed</t>
        </is>
      </c>
      <c r="EW24" s="15" t="inlineStr">
        <is>
          <t>computed</t>
        </is>
      </c>
      <c r="EX24" s="15" t="inlineStr">
        <is>
          <t>computed</t>
        </is>
      </c>
      <c r="EY24" s="15" t="inlineStr">
        <is>
          <t>available_from_curve</t>
        </is>
      </c>
      <c r="EZ24" s="15" t="n">
        <v>20000</v>
      </c>
      <c r="FA24" s="15" t="n">
        <v>20000</v>
      </c>
      <c r="FB24" s="15" t="n">
        <v>0.2342856011479456</v>
      </c>
      <c r="FC24" s="15" t="n">
        <v>0.2125063419067472</v>
      </c>
      <c r="FD24" s="15" t="n">
        <v>2.474505843518043</v>
      </c>
      <c r="FE24" s="15" t="n">
        <v>1.958118252021644</v>
      </c>
      <c r="FF24" s="15" t="n">
        <v>0.8828990060647862</v>
      </c>
      <c r="FG24" s="15" t="n">
        <v>1.871306081417892</v>
      </c>
      <c r="FH24" s="15" t="n">
        <v>0.3760756437480354</v>
      </c>
      <c r="FI24" s="15" t="n">
        <v>0.04565119842558696</v>
      </c>
      <c r="FJ24" s="15" t="n">
        <v>2414.038087292607</v>
      </c>
      <c r="FK24" s="15" t="n">
        <v>40.20162269081492</v>
      </c>
      <c r="FL24" s="15" t="n">
        <v>0.7122061630912895</v>
      </c>
      <c r="FM24" s="15" t="n">
        <v>0.004489889703876548</v>
      </c>
      <c r="FN24" t="n">
        <v>1</v>
      </c>
      <c r="FO24" t="n">
        <v>0</v>
      </c>
      <c r="FP24" t="n">
        <v>0</v>
      </c>
      <c r="FQ24" t="inlineStr">
        <is>
          <t>excellent</t>
        </is>
      </c>
      <c r="FR24" s="19" t="n">
        <v>0.8636363636363636</v>
      </c>
      <c r="FS24" s="15" t="n">
        <v>1.121669007504129</v>
      </c>
      <c r="FT24" s="15" t="n">
        <v>8.925128900018393</v>
      </c>
      <c r="FU24" t="inlineStr">
        <is>
          <t>passed</t>
        </is>
      </c>
      <c r="FV24" t="n">
        <v>74.29969177222067</v>
      </c>
      <c r="FW24" t="n">
        <v>22.45169375143993</v>
      </c>
      <c r="FX24" t="n">
        <v>1.65914544102618</v>
      </c>
      <c r="FY24" t="n">
        <v>0.4784333819860403</v>
      </c>
      <c r="FZ24" t="n">
        <v>0.1616568445269417</v>
      </c>
      <c r="GA24" t="n">
        <v>0.5599008162309755</v>
      </c>
      <c r="GB24" t="n">
        <v>0.1078949156834646</v>
      </c>
      <c r="GC24" t="n">
        <v>0.1009160521034385</v>
      </c>
      <c r="GD24" t="n">
        <v>0.1383671654117476</v>
      </c>
      <c r="GE24" t="n">
        <v>0.9137628933688554</v>
      </c>
      <c r="GF24" t="n">
        <v>0.4144971441590317</v>
      </c>
      <c r="GG24" t="n">
        <v>0.414244872493592</v>
      </c>
      <c r="GH24" t="n">
        <v>0.2754784270452527</v>
      </c>
      <c r="GI24" t="n">
        <v>0.474025974025974</v>
      </c>
      <c r="GJ24" t="n">
        <v>0.7878787878787881</v>
      </c>
      <c r="GK24" t="n">
        <v>0.2727272727272729</v>
      </c>
      <c r="GL24" t="n">
        <v>0.8171994496367518</v>
      </c>
      <c r="GM24" t="n">
        <v>0.8171994496367518</v>
      </c>
      <c r="GN24" t="n">
        <v>0.3423817212481828</v>
      </c>
      <c r="GO24" t="n">
        <v>0.1822954485083433</v>
      </c>
      <c r="GP24" t="n">
        <v>154.3218494894026</v>
      </c>
      <c r="GQ24" t="inlineStr">
        <is>
          <t>compiled workbook density_weighted_sum = density_component_ratio_weighted_sum (per-note component ratios); research density_weighted_sum maps body-ceiling richness</t>
        </is>
      </c>
      <c r="GR24" s="15" t="inlineStr">
        <is>
          <t>individual_exact</t>
        </is>
      </c>
      <c r="GS24" s="15" t="inlineStr">
        <is>
          <t>density_weight</t>
        </is>
      </c>
      <c r="GT24" s="15" t="n">
        <v>0.8272999527973419</v>
      </c>
      <c r="GU24" s="15" t="n">
        <v>0.1727000472026581</v>
      </c>
      <c r="GV24" s="15" t="n">
        <v>0</v>
      </c>
      <c r="GW24" s="15" t="inlineStr">
        <is>
          <t>log</t>
        </is>
      </c>
      <c r="GX24" s="15" t="n">
        <v>0.5</v>
      </c>
      <c r="GY24" s="15" t="inlineStr">
        <is>
          <t>EWSD-R v18.1</t>
        </is>
      </c>
      <c r="GZ24" s="15" t="n">
        <v>2.460832361109653</v>
      </c>
      <c r="HA24" s="15" t="n">
        <v>12.28699569825321</v>
      </c>
      <c r="HB24" s="15" t="n">
        <v>0.4437817933725309</v>
      </c>
      <c r="HC24" s="15" t="n">
        <v>4.304635072975626</v>
      </c>
      <c r="HD24" s="15" t="n">
        <v>15.13908166143227</v>
      </c>
      <c r="HE24" s="15" t="n">
        <v>0.3516704458572628</v>
      </c>
      <c r="HF24" s="15" t="inlineStr">
        <is>
          <t>partials+ratios</t>
        </is>
      </c>
      <c r="HG24" s="15" t="inlineStr">
        <is>
          <t>merged_individual_exact</t>
        </is>
      </c>
      <c r="HH24" s="15" t="inlineStr">
        <is>
          <t>passed</t>
        </is>
      </c>
      <c r="HI24" s="15" t="inlineStr">
        <is>
          <t>passed</t>
        </is>
      </c>
    </row>
    <row r="25">
      <c r="A25" t="inlineStr">
        <is>
          <t>incomplete_inference</t>
        </is>
      </c>
      <c r="B25" t="inlineStr">
        <is>
          <t>missing_instrument_technique</t>
        </is>
      </c>
      <c r="C25" t="inlineStr">
        <is>
          <t>prior_constrained_harmonic_fit</t>
        </is>
      </c>
      <c r="D25" t="inlineStr">
        <is>
          <t>IOWA_flt_ff.A#5_SustainStable/A#5/component_amplitude_mass_pie.png</t>
        </is>
      </c>
      <c r="E25" t="inlineStr">
        <is>
          <t>IOWA_flt_ff.A#5_SustainStable/A#5/component_energy_ratio_pie.png</t>
        </is>
      </c>
      <c r="F25" s="15" t="n">
        <v>933.3958643516489</v>
      </c>
      <c r="G25" s="15" t="inlineStr">
        <is>
          <t>prior_constrained_harmonic_fit</t>
        </is>
      </c>
      <c r="H25" s="15" t="inlineStr">
        <is>
          <t>fit_accepted_acoustically_verified</t>
        </is>
      </c>
      <c r="I25" s="16" t="n">
        <v>175.5624187615022</v>
      </c>
      <c r="J25" t="inlineStr">
        <is>
          <t>richness_weighted_body_density_body_ceiling</t>
        </is>
      </c>
      <c r="K25" t="inlineStr">
        <is>
          <t>research_body_ceiling_richness_metric</t>
        </is>
      </c>
      <c r="L25" s="15" t="n">
        <v>40197.04290890957</v>
      </c>
      <c r="M25" s="15" t="n">
        <v>40197.04290890957</v>
      </c>
      <c r="N25" s="15" t="n">
        <v>588.6163313210287</v>
      </c>
      <c r="O25" s="15" t="n">
        <v>6.537151456810085</v>
      </c>
      <c r="P25" s="15" t="n">
        <v>-3.733456243654231</v>
      </c>
      <c r="Q25" s="15" t="n">
        <v>12</v>
      </c>
      <c r="R25" s="15" t="n">
        <v>18</v>
      </c>
      <c r="S25" s="15" t="n">
        <v>2512.323129328929</v>
      </c>
      <c r="T25" s="15" t="n">
        <v>22</v>
      </c>
      <c r="U25" s="15" t="n">
        <v>-0.04856805179999314</v>
      </c>
      <c r="V25" s="15" t="n">
        <v>14.8882521581376</v>
      </c>
      <c r="W25" s="15" t="n">
        <v>0.8827089089417567</v>
      </c>
      <c r="X25" s="15" t="n">
        <v>0.3740941508524613</v>
      </c>
      <c r="Y25" s="15" t="n">
        <v>16</v>
      </c>
      <c r="Z25" s="15" t="n">
        <v>21</v>
      </c>
      <c r="AA25" s="15" t="n">
        <v>0.7619047619047619</v>
      </c>
      <c r="AB25" s="15" t="n">
        <v>21</v>
      </c>
      <c r="AC25" s="15" t="n">
        <v>16</v>
      </c>
      <c r="AD25" s="15" t="n">
        <v>0.7619047619047619</v>
      </c>
      <c r="AE25" s="15" t="n">
        <v>206.1660290045045</v>
      </c>
      <c r="AF25" s="15" t="n">
        <v>16</v>
      </c>
      <c r="AG25" s="15" t="n">
        <v>21</v>
      </c>
      <c r="AH25" s="15" t="n">
        <v>0.7619047619047619</v>
      </c>
      <c r="AI25" s="15" t="n">
        <v>206.1660290045045</v>
      </c>
      <c r="AJ25" s="15" t="n">
        <v>8</v>
      </c>
      <c r="AK25" s="15" t="n">
        <v>8</v>
      </c>
      <c r="AL25" s="15" t="n">
        <v>4.167339805151692</v>
      </c>
      <c r="AM25" s="15" t="n">
        <v>41</v>
      </c>
      <c r="AN25" s="15" t="n">
        <v>0</v>
      </c>
      <c r="AO25" s="15" t="n">
        <v>41</v>
      </c>
      <c r="AP25" s="15" t="n">
        <v>0</v>
      </c>
      <c r="AQ25" s="15" t="n">
        <v>20.51131889125816</v>
      </c>
      <c r="AR25" s="15" t="n">
        <v>10.72187262047108</v>
      </c>
      <c r="AS25" s="15" t="n">
        <v>0.2495306626798411</v>
      </c>
      <c r="AT25" s="17" t="n">
        <v>2.471253769989818</v>
      </c>
      <c r="AU25" s="18" t="n">
        <v>5.675656024551761</v>
      </c>
      <c r="AV25" s="15" t="n">
        <v>7.895133429669692</v>
      </c>
      <c r="AW25" s="15" t="b">
        <v>1</v>
      </c>
      <c r="AX25" s="15" t="n">
        <v>8.864498051797074</v>
      </c>
      <c r="AY25" s="15" t="n">
        <v>19.15735593573623</v>
      </c>
      <c r="AZ25" s="15" t="n">
        <v>0</v>
      </c>
      <c r="BA25" s="15" t="n">
        <v>1</v>
      </c>
      <c r="BB25" s="15" t="n">
        <v>0.5</v>
      </c>
      <c r="BC25" s="15" t="n">
        <v>0.25</v>
      </c>
      <c r="BD25" s="15" t="inlineStr">
        <is>
          <t>his_note_adaptive</t>
        </is>
      </c>
      <c r="BE25" s="15" t="n">
        <v>-90</v>
      </c>
      <c r="BF25" s="15" t="n">
        <v>20000</v>
      </c>
      <c r="BG25" s="15" t="n">
        <v>16</v>
      </c>
      <c r="BH25" s="15" t="n">
        <v>0.7619047619047619</v>
      </c>
      <c r="BI25" s="15" t="n">
        <v>21</v>
      </c>
      <c r="BJ25" s="15" t="n">
        <v>16</v>
      </c>
      <c r="BK25" s="15" t="n">
        <v>21</v>
      </c>
      <c r="BL25" s="15" t="n">
        <v>18</v>
      </c>
      <c r="BM25" s="15" t="n">
        <v>0.8571428571428571</v>
      </c>
      <c r="BN25" s="15" t="n">
        <v>0.2953586786371242</v>
      </c>
      <c r="BO25" s="15" t="n">
        <v>0.3416666666666667</v>
      </c>
      <c r="BP25" s="19" t="n">
        <v>0.7729190109747073</v>
      </c>
      <c r="BQ25" s="19" t="n">
        <v>0.2270809890252928</v>
      </c>
      <c r="BR25" s="19" t="n">
        <v>0</v>
      </c>
      <c r="BS25" s="15" t="n">
        <v>0.1003805100948417</v>
      </c>
      <c r="BT25" s="19" t="n">
        <v>1</v>
      </c>
      <c r="BU25" s="19" t="n">
        <v>0</v>
      </c>
      <c r="BV25" s="19" t="n">
        <v>0</v>
      </c>
      <c r="BW25" t="inlineStr">
        <is>
          <t>A#5</t>
        </is>
      </c>
      <c r="BX25" t="n">
        <v>82</v>
      </c>
      <c r="BY25" t="inlineStr">
        <is>
          <t>A#</t>
        </is>
      </c>
      <c r="BZ25" t="n">
        <v>5</v>
      </c>
      <c r="CA25" t="inlineStr">
        <is>
          <t>Very high</t>
        </is>
      </c>
      <c r="CB25" t="inlineStr">
        <is>
          <t>ff</t>
        </is>
      </c>
      <c r="CC25" s="15" t="n">
        <v>932.3275230361796</v>
      </c>
      <c r="CD25" s="15" t="n">
        <v>933.3958643516489</v>
      </c>
      <c r="CE25" t="inlineStr">
        <is>
          <t>prior_constrained_harmonic_fit</t>
        </is>
      </c>
      <c r="CF25" t="n">
        <v>933.3958643516489</v>
      </c>
      <c r="CG25" s="15" t="n">
        <v>1</v>
      </c>
      <c r="CH25" t="inlineStr">
        <is>
          <t>free_fit_acoustically_verified</t>
        </is>
      </c>
      <c r="CI25" s="15" t="inlineStr">
        <is>
          <t>free_f0_fit</t>
        </is>
      </c>
      <c r="CJ25" s="15" t="n">
        <v>932.3275230361796</v>
      </c>
      <c r="CK25" s="15" t="n">
        <v>933.3958643516489</v>
      </c>
      <c r="CL25" s="15" t="n">
        <v>1.982661605698065</v>
      </c>
      <c r="CM25" s="15" t="n">
        <v>20000</v>
      </c>
      <c r="CN25" s="15" t="n">
        <v>1.982661605698065</v>
      </c>
      <c r="CO25" s="15" t="n">
        <v>2.277365937652137</v>
      </c>
      <c r="CP25" s="15" t="n">
        <v>40197.04290890957</v>
      </c>
      <c r="CQ25" t="n">
        <v>1.467495328886245</v>
      </c>
      <c r="CR25" t="n">
        <v>0.06988072994696404</v>
      </c>
      <c r="CS25" t="n">
        <v>119.6340562765166</v>
      </c>
      <c r="CT25" t="n">
        <v>119.6340562765166</v>
      </c>
      <c r="CU25" t="n">
        <v>175.5624187615022</v>
      </c>
      <c r="CV25" t="n">
        <v>6.537151456810085</v>
      </c>
      <c r="CW25" s="15" t="n">
        <v>40197.04290890957</v>
      </c>
      <c r="CX25" s="15" t="n">
        <v>588.6163313210287</v>
      </c>
      <c r="CY25" s="15" t="n">
        <v>6.537151456810085</v>
      </c>
      <c r="CZ25" s="15" t="n">
        <v>2.471253769989818</v>
      </c>
      <c r="DA25" s="15" t="n">
        <v>2.471253769989818</v>
      </c>
      <c r="DB25" s="15" t="n">
        <v>1.913345370754651</v>
      </c>
      <c r="DC25" s="15" t="n">
        <v>0</v>
      </c>
      <c r="DD25" s="15" t="n">
        <v>6.147849670409639e-05</v>
      </c>
      <c r="DE25" s="15" t="n">
        <v>0</v>
      </c>
      <c r="DF25" s="15" t="n">
        <v>12</v>
      </c>
      <c r="DG25" s="15" t="inlineStr">
        <is>
          <t>Density_Metrics</t>
        </is>
      </c>
      <c r="DH25" s="15" t="n">
        <v>2.277365937652137</v>
      </c>
      <c r="DI25" t="n">
        <v>0.9069432674967525</v>
      </c>
      <c r="DJ25" s="15" t="n">
        <v>0.5404863644284287</v>
      </c>
      <c r="DK25" s="15" t="n">
        <v>5.178367538668147</v>
      </c>
      <c r="DL25" s="15" t="n">
        <v>1.51121927164941</v>
      </c>
      <c r="DM25" s="15" t="n">
        <v>1.039486124012516</v>
      </c>
      <c r="DN25" s="15" t="n">
        <v>12.71372797625681</v>
      </c>
      <c r="DO25" s="15" t="n">
        <v>2.102640633274939</v>
      </c>
      <c r="DP25" s="15" t="n">
        <v>18</v>
      </c>
      <c r="DQ25" s="15" t="n">
        <v>29</v>
      </c>
      <c r="DR25" s="15" t="b">
        <v>0</v>
      </c>
      <c r="DS25" s="15" t="n">
        <v>1.467495328886245</v>
      </c>
      <c r="DT25" s="15" t="n">
        <v>7.855977167901687</v>
      </c>
      <c r="DU25" t="n">
        <v>21</v>
      </c>
      <c r="DV25" s="15" t="n">
        <v>0.1003805100948417</v>
      </c>
      <c r="DW25" s="15" t="n">
        <v>1.199466471897316</v>
      </c>
      <c r="DX25" s="15" t="n">
        <v>2.261828555783479</v>
      </c>
      <c r="DY25" s="15" t="n">
        <v>0.1578878419615725</v>
      </c>
      <c r="DZ25" s="15" t="b">
        <v>1</v>
      </c>
      <c r="EA25" s="15" t="n">
        <v>0.1226974601339185</v>
      </c>
      <c r="EB25" s="15" t="n">
        <v>20000</v>
      </c>
      <c r="EC25" s="15" t="n">
        <v>12134.14623657144</v>
      </c>
      <c r="ED25" s="15" t="n">
        <v>13</v>
      </c>
      <c r="EE25" s="15" t="n">
        <v>0</v>
      </c>
      <c r="EF25" s="15" t="n">
        <v>0.02309617874936895</v>
      </c>
      <c r="EG25" s="15" t="b">
        <v>0</v>
      </c>
      <c r="EH25" s="15" t="b">
        <v>1</v>
      </c>
      <c r="EI25" s="15" t="b">
        <v>0</v>
      </c>
      <c r="EJ25" s="15" t="inlineStr">
        <is>
          <t>wf=log|dst=-90.0|ceil=20000.0|fft=adaptive_tier</t>
        </is>
      </c>
      <c r="EK25" s="15" t="inlineStr">
        <is>
          <t>wf=log|dst=runtime_configured|ceil=runtime_configured|fft=fixed</t>
        </is>
      </c>
      <c r="EL25" s="15" t="n">
        <v>0.7136263074445506</v>
      </c>
      <c r="EM25" s="15" t="n">
        <v>0.9898951653783666</v>
      </c>
      <c r="EN25" s="15" t="n">
        <v>0.5454545454545454</v>
      </c>
      <c r="EO25" s="15" t="n">
        <v>0.3863219605759729</v>
      </c>
      <c r="EP25" s="15" t="inlineStr">
        <is>
          <t>warn:power_outlier_detected</t>
        </is>
      </c>
      <c r="EQ25" s="15" t="n">
        <v>377.716700991492</v>
      </c>
      <c r="ER25" s="15" t="inlineStr">
        <is>
          <t>winsorize_p95_for_robust_diagnostics</t>
        </is>
      </c>
      <c r="ES25" s="15" t="n">
        <v>0.1324130255489701</v>
      </c>
      <c r="ET25" s="15" t="n">
        <v>0.03325839608188043</v>
      </c>
      <c r="EU25" s="15" t="n">
        <v>0.0380890493533176</v>
      </c>
      <c r="EV25" t="inlineStr">
        <is>
          <t>computed</t>
        </is>
      </c>
      <c r="EW25" s="15" t="inlineStr">
        <is>
          <t>computed</t>
        </is>
      </c>
      <c r="EX25" s="15" t="inlineStr">
        <is>
          <t>computed</t>
        </is>
      </c>
      <c r="EY25" s="15" t="inlineStr">
        <is>
          <t>available_from_curve</t>
        </is>
      </c>
      <c r="EZ25" s="15" t="n">
        <v>20000</v>
      </c>
      <c r="FA25" s="15" t="n">
        <v>20000</v>
      </c>
      <c r="FB25" s="15" t="n">
        <v>0.2270809890252928</v>
      </c>
      <c r="FC25" s="15" t="n">
        <v>0.2237309060045259</v>
      </c>
      <c r="FD25" s="15" t="n">
        <v>2.471253769989818</v>
      </c>
      <c r="FE25" s="15" t="n">
        <v>1.913345370754651</v>
      </c>
      <c r="FF25" s="15" t="n">
        <v>0.7937683979236768</v>
      </c>
      <c r="FG25" s="15" t="n">
        <v>1.868846752018236</v>
      </c>
      <c r="FH25" s="15" t="n">
        <v>0.3674765766960051</v>
      </c>
      <c r="FI25" s="15" t="n">
        <v>0.04104260893789594</v>
      </c>
      <c r="FJ25" s="15" t="n">
        <v>2512.315181806848</v>
      </c>
      <c r="FK25" s="15" t="n">
        <v>36.7885207075643</v>
      </c>
      <c r="FL25" s="15" t="n">
        <v>0.4085719660506303</v>
      </c>
      <c r="FM25" s="15" t="n">
        <v>0.004677838430012782</v>
      </c>
      <c r="FN25" t="n">
        <v>1</v>
      </c>
      <c r="FO25" t="n">
        <v>0</v>
      </c>
      <c r="FP25" t="n">
        <v>0</v>
      </c>
      <c r="FQ25" t="inlineStr">
        <is>
          <t>excellent</t>
        </is>
      </c>
      <c r="FR25" s="19" t="n">
        <v>0.8571428571428571</v>
      </c>
      <c r="FS25" s="15" t="n">
        <v>1.081510750974868</v>
      </c>
      <c r="FT25" s="15" t="n">
        <v>6.10711958187875</v>
      </c>
      <c r="FU25" t="inlineStr">
        <is>
          <t>passed</t>
        </is>
      </c>
      <c r="FV25" t="n">
        <v>73.74353545441113</v>
      </c>
      <c r="FW25" t="n">
        <v>20.22789818724758</v>
      </c>
      <c r="FX25" t="n">
        <v>1.304921277937204</v>
      </c>
      <c r="FY25" t="n">
        <v>0.4409502925009261</v>
      </c>
      <c r="FZ25" t="n">
        <v>0.1937335503018712</v>
      </c>
      <c r="GA25" t="n">
        <v>0.4797768278527969</v>
      </c>
      <c r="GB25" t="n">
        <v>0.1218247986939795</v>
      </c>
      <c r="GC25" t="n">
        <v>0.1162479416733239</v>
      </c>
      <c r="GD25" t="n">
        <v>0.1516170664845518</v>
      </c>
      <c r="GE25" t="n">
        <v>0.945003631927625</v>
      </c>
      <c r="GF25" t="n">
        <v>0.4342383159649277</v>
      </c>
      <c r="GG25" t="n">
        <v>0.5759575947273101</v>
      </c>
      <c r="GH25" t="n">
        <v>0.3401986988671338</v>
      </c>
      <c r="GI25" t="n">
        <v>0.6556122448979591</v>
      </c>
      <c r="GJ25" t="n">
        <v>0.7619047619047619</v>
      </c>
      <c r="GK25" t="n">
        <v>0.4545454545454546</v>
      </c>
      <c r="GL25" t="n">
        <v>0.7654985558255346</v>
      </c>
      <c r="GM25" t="n">
        <v>0.7654985558255346</v>
      </c>
      <c r="GN25" t="n">
        <v>0.3623093200243487</v>
      </c>
      <c r="GO25" t="n">
        <v>0.2865931589986557</v>
      </c>
      <c r="GP25" t="n">
        <v>175.5624187615022</v>
      </c>
      <c r="GQ25" t="inlineStr">
        <is>
          <t>compiled workbook density_weighted_sum = density_component_ratio_weighted_sum (per-note component ratios); research density_weighted_sum maps body-ceiling richness</t>
        </is>
      </c>
      <c r="GR25" s="15" t="inlineStr">
        <is>
          <t>individual_exact</t>
        </is>
      </c>
      <c r="GS25" s="15" t="inlineStr">
        <is>
          <t>density_weight</t>
        </is>
      </c>
      <c r="GT25" s="15" t="n">
        <v>0.819547244349674</v>
      </c>
      <c r="GU25" s="15" t="n">
        <v>0.1804527556503262</v>
      </c>
      <c r="GV25" s="15" t="n">
        <v>0</v>
      </c>
      <c r="GW25" s="15" t="inlineStr">
        <is>
          <t>log</t>
        </is>
      </c>
      <c r="GX25" s="15" t="n">
        <v>0.5</v>
      </c>
      <c r="GY25" s="15" t="inlineStr">
        <is>
          <t>EWSD-R v18.1</t>
        </is>
      </c>
      <c r="GZ25" s="15" t="n">
        <v>2.214030492704149</v>
      </c>
      <c r="HA25" s="15" t="n">
        <v>12.00881513645795</v>
      </c>
      <c r="HB25" s="15" t="n">
        <v>0.4757420129205037</v>
      </c>
      <c r="HC25" s="15" t="n">
        <v>3.926781648877405</v>
      </c>
      <c r="HD25" s="15" t="n">
        <v>15.62454018493663</v>
      </c>
      <c r="HE25" s="15" t="n">
        <v>0.3788252116138686</v>
      </c>
      <c r="HF25" s="15" t="inlineStr">
        <is>
          <t>partials+ratios</t>
        </is>
      </c>
      <c r="HG25" s="15" t="inlineStr">
        <is>
          <t>merged_individual_exact</t>
        </is>
      </c>
      <c r="HH25" s="15" t="inlineStr">
        <is>
          <t>passed</t>
        </is>
      </c>
      <c r="HI25" s="15" t="inlineStr">
        <is>
          <t>passed</t>
        </is>
      </c>
    </row>
    <row r="26">
      <c r="A26" t="inlineStr">
        <is>
          <t>incomplete_inference</t>
        </is>
      </c>
      <c r="B26" t="inlineStr">
        <is>
          <t>missing_instrument_technique</t>
        </is>
      </c>
      <c r="C26" t="inlineStr">
        <is>
          <t>prior_constrained_harmonic_fit</t>
        </is>
      </c>
      <c r="D26" t="inlineStr">
        <is>
          <t>IOWA_flt_ff.B5_SustainStable/B5/component_amplitude_mass_pie.png</t>
        </is>
      </c>
      <c r="E26" t="inlineStr">
        <is>
          <t>IOWA_flt_ff.B5_SustainStable/B5/component_energy_ratio_pie.png</t>
        </is>
      </c>
      <c r="F26" s="15" t="n">
        <v>991.0466905009614</v>
      </c>
      <c r="G26" s="15" t="inlineStr">
        <is>
          <t>prior_constrained_harmonic_fit</t>
        </is>
      </c>
      <c r="H26" s="15" t="inlineStr">
        <is>
          <t>fit_accepted_acoustically_verified</t>
        </is>
      </c>
      <c r="I26" s="16" t="n">
        <v>133.476159618219</v>
      </c>
      <c r="J26" t="inlineStr">
        <is>
          <t>richness_weighted_body_density_body_ceiling</t>
        </is>
      </c>
      <c r="K26" t="inlineStr">
        <is>
          <t>research_body_ceiling_richness_metric</t>
        </is>
      </c>
      <c r="L26" s="15" t="n">
        <v>40329.61309618582</v>
      </c>
      <c r="M26" s="15" t="n">
        <v>40329.61309618582</v>
      </c>
      <c r="N26" s="15" t="n">
        <v>433.1912212876067</v>
      </c>
      <c r="O26" s="15" t="n">
        <v>3.045290821610702</v>
      </c>
      <c r="P26" s="15" t="n">
        <v>-5.449218153651975</v>
      </c>
      <c r="Q26" s="15" t="n">
        <v>10</v>
      </c>
      <c r="R26" s="15" t="n">
        <v>16</v>
      </c>
      <c r="S26" s="15" t="n">
        <v>2520.607149788923</v>
      </c>
      <c r="T26" s="15" t="n">
        <v>21</v>
      </c>
      <c r="U26" s="15" t="n">
        <v>-0.6029863805161051</v>
      </c>
      <c r="V26" s="15" t="n">
        <v>10.68607744450855</v>
      </c>
      <c r="W26" s="15" t="n">
        <v>0.8861792166385657</v>
      </c>
      <c r="X26" s="15" t="n">
        <v>0.2183892111015984</v>
      </c>
      <c r="Y26" s="15" t="n">
        <v>12</v>
      </c>
      <c r="Z26" s="15" t="n">
        <v>20</v>
      </c>
      <c r="AA26" s="15" t="n">
        <v>0.6</v>
      </c>
      <c r="AB26" s="15" t="n">
        <v>20</v>
      </c>
      <c r="AC26" s="15" t="n">
        <v>12</v>
      </c>
      <c r="AD26" s="15" t="n">
        <v>0.6</v>
      </c>
      <c r="AE26" s="15" t="n">
        <v>172.3753313074646</v>
      </c>
      <c r="AF26" s="15" t="n">
        <v>12</v>
      </c>
      <c r="AG26" s="15" t="n">
        <v>20</v>
      </c>
      <c r="AH26" s="15" t="n">
        <v>0.6</v>
      </c>
      <c r="AI26" s="15" t="n">
        <v>172.3753313074646</v>
      </c>
      <c r="AJ26" s="15" t="n">
        <v>6</v>
      </c>
      <c r="AK26" s="15" t="n">
        <v>6</v>
      </c>
      <c r="AL26" s="15" t="n">
        <v>35.68933004226868</v>
      </c>
      <c r="AM26" s="15" t="n">
        <v>27</v>
      </c>
      <c r="AN26" s="15" t="n">
        <v>0</v>
      </c>
      <c r="AO26" s="15" t="n">
        <v>27</v>
      </c>
      <c r="AP26" s="15" t="n">
        <v>0</v>
      </c>
      <c r="AQ26" s="15" t="n">
        <v>14.51004791604477</v>
      </c>
      <c r="AR26" s="15" t="n">
        <v>7.670498866182493</v>
      </c>
      <c r="AS26" s="15" t="n">
        <v>0.0886124259729338</v>
      </c>
      <c r="AT26" s="17" t="n">
        <v>2.394131981297775</v>
      </c>
      <c r="AU26" s="18" t="n">
        <v>3.964175057509507</v>
      </c>
      <c r="AV26" s="15" t="n">
        <v>5.762555978367647</v>
      </c>
      <c r="AW26" s="15" t="b">
        <v>1</v>
      </c>
      <c r="AX26" s="15" t="n">
        <v>6.632720665073929</v>
      </c>
      <c r="AY26" s="15" t="n">
        <v>12.83446403304827</v>
      </c>
      <c r="AZ26" s="15" t="n">
        <v>0</v>
      </c>
      <c r="BA26" s="15" t="n">
        <v>1</v>
      </c>
      <c r="BB26" s="15" t="n">
        <v>0.5</v>
      </c>
      <c r="BC26" s="15" t="n">
        <v>0.25</v>
      </c>
      <c r="BD26" s="15" t="inlineStr">
        <is>
          <t>his_note_adaptive</t>
        </is>
      </c>
      <c r="BE26" s="15" t="n">
        <v>-90</v>
      </c>
      <c r="BF26" s="15" t="n">
        <v>20000</v>
      </c>
      <c r="BG26" s="15" t="n">
        <v>12</v>
      </c>
      <c r="BH26" s="15" t="n">
        <v>0.6</v>
      </c>
      <c r="BI26" s="15" t="n">
        <v>20</v>
      </c>
      <c r="BJ26" s="15" t="n">
        <v>12</v>
      </c>
      <c r="BK26" s="15" t="n">
        <v>20</v>
      </c>
      <c r="BL26" s="15" t="n">
        <v>18</v>
      </c>
      <c r="BM26" s="15" t="n">
        <v>0.9</v>
      </c>
      <c r="BN26" s="15" t="n">
        <v>0.1622585671724032</v>
      </c>
      <c r="BO26" s="15" t="n">
        <v>0.225</v>
      </c>
      <c r="BP26" s="19" t="n">
        <v>0.7628249990426151</v>
      </c>
      <c r="BQ26" s="19" t="n">
        <v>0.2371750009573849</v>
      </c>
      <c r="BR26" s="19" t="n">
        <v>0</v>
      </c>
      <c r="BS26" s="15" t="n">
        <v>0.06995624852670883</v>
      </c>
      <c r="BT26" s="19" t="n">
        <v>1</v>
      </c>
      <c r="BU26" s="19" t="n">
        <v>0</v>
      </c>
      <c r="BV26" s="19" t="n">
        <v>0</v>
      </c>
      <c r="BW26" t="inlineStr">
        <is>
          <t>B5</t>
        </is>
      </c>
      <c r="BX26" t="n">
        <v>83</v>
      </c>
      <c r="BY26" t="inlineStr">
        <is>
          <t>B</t>
        </is>
      </c>
      <c r="BZ26" t="n">
        <v>5</v>
      </c>
      <c r="CA26" t="inlineStr">
        <is>
          <t>Very high</t>
        </is>
      </c>
      <c r="CB26" t="inlineStr">
        <is>
          <t>ff</t>
        </is>
      </c>
      <c r="CC26" s="15" t="n">
        <v>987.7666025122484</v>
      </c>
      <c r="CD26" s="15" t="n">
        <v>991.0466905009614</v>
      </c>
      <c r="CE26" t="inlineStr">
        <is>
          <t>prior_constrained_harmonic_fit</t>
        </is>
      </c>
      <c r="CF26" t="n">
        <v>991.0466905009614</v>
      </c>
      <c r="CG26" s="15" t="n">
        <v>1</v>
      </c>
      <c r="CH26" t="inlineStr">
        <is>
          <t>free_fit_acoustically_verified</t>
        </is>
      </c>
      <c r="CI26" s="15" t="inlineStr">
        <is>
          <t>free_f0_fit</t>
        </is>
      </c>
      <c r="CJ26" s="15" t="n">
        <v>987.7666025122484</v>
      </c>
      <c r="CK26" s="15" t="n">
        <v>991.0466905009614</v>
      </c>
      <c r="CL26" s="15" t="n">
        <v>5.739404754342305</v>
      </c>
      <c r="CM26" s="15" t="n">
        <v>20000</v>
      </c>
      <c r="CN26" s="15" t="n">
        <v>5.739404754342305</v>
      </c>
      <c r="CO26" s="15" t="n">
        <v>2.177633630734796</v>
      </c>
      <c r="CP26" s="15" t="n">
        <v>40329.61309618582</v>
      </c>
      <c r="CQ26" t="n">
        <v>1.059082093744897</v>
      </c>
      <c r="CR26" t="n">
        <v>0.05295410468724483</v>
      </c>
      <c r="CS26" t="n">
        <v>126.0300409255807</v>
      </c>
      <c r="CT26" t="n">
        <v>126.0300409255807</v>
      </c>
      <c r="CU26" t="n">
        <v>133.476159618219</v>
      </c>
      <c r="CV26" t="n">
        <v>3.045290821610702</v>
      </c>
      <c r="CW26" s="15" t="n">
        <v>40329.61309618582</v>
      </c>
      <c r="CX26" s="15" t="n">
        <v>433.1912212876067</v>
      </c>
      <c r="CY26" s="15" t="n">
        <v>3.045290821610702</v>
      </c>
      <c r="CZ26" s="15" t="n">
        <v>2.394131981297775</v>
      </c>
      <c r="DA26" s="15" t="n">
        <v>2.394131981297775</v>
      </c>
      <c r="DB26" s="15" t="n">
        <v>1.738554691604675</v>
      </c>
      <c r="DC26" s="15" t="n">
        <v>0</v>
      </c>
      <c r="DD26" s="15" t="n">
        <v>5.936411974961893e-05</v>
      </c>
      <c r="DE26" s="15" t="n">
        <v>0</v>
      </c>
      <c r="DF26" s="15" t="n">
        <v>10</v>
      </c>
      <c r="DG26" s="15" t="inlineStr">
        <is>
          <t>Density_Metrics</t>
        </is>
      </c>
      <c r="DH26" s="15" t="n">
        <v>2.177633630734796</v>
      </c>
      <c r="DI26" t="n">
        <v>0.8672256521521345</v>
      </c>
      <c r="DJ26" s="15" t="n">
        <v>0.5307287259117983</v>
      </c>
      <c r="DK26" s="15" t="n">
        <v>4.774830196366969</v>
      </c>
      <c r="DL26" s="15" t="n">
        <v>1.082095232284227</v>
      </c>
      <c r="DM26" s="15" t="n">
        <v>1.019839553292459</v>
      </c>
      <c r="DN26" s="15" t="n">
        <v>9.461237780743492</v>
      </c>
      <c r="DO26" s="15" t="n">
        <v>2.110982305519715</v>
      </c>
      <c r="DP26" s="15" t="n">
        <v>7</v>
      </c>
      <c r="DQ26" s="15" t="n">
        <v>22</v>
      </c>
      <c r="DR26" s="15" t="b">
        <v>1</v>
      </c>
      <c r="DS26" s="15" t="n">
        <v>1.059082093744897</v>
      </c>
      <c r="DT26" s="15" t="n">
        <v>4.367784222031968</v>
      </c>
      <c r="DU26" t="n">
        <v>20</v>
      </c>
      <c r="DV26" s="15" t="n">
        <v>0.06995624852670883</v>
      </c>
      <c r="DW26" s="15" t="n">
        <v>1.066273356477905</v>
      </c>
      <c r="DX26" s="15" t="n">
        <v>2.208529415491656</v>
      </c>
      <c r="DY26" s="15" t="n">
        <v>0.2072253067044256</v>
      </c>
      <c r="DZ26" s="15" t="b">
        <v>1</v>
      </c>
      <c r="EA26" s="15" t="n">
        <v>0.588146607309069</v>
      </c>
      <c r="EB26" s="15" t="n">
        <v>20000</v>
      </c>
      <c r="EC26" s="15" t="n">
        <v>9910.466905009614</v>
      </c>
      <c r="ED26" s="15" t="n">
        <v>10</v>
      </c>
      <c r="EE26" s="15" t="n">
        <v>0</v>
      </c>
      <c r="EF26" s="15" t="n">
        <v>0.02179988984263414</v>
      </c>
      <c r="EG26" s="15" t="b">
        <v>0</v>
      </c>
      <c r="EH26" s="15" t="b">
        <v>1</v>
      </c>
      <c r="EI26" s="15" t="b">
        <v>0</v>
      </c>
      <c r="EJ26" s="15" t="inlineStr">
        <is>
          <t>wf=log|dst=-90.0|ceil=20000.0|fft=adaptive_tier</t>
        </is>
      </c>
      <c r="EK26" s="15" t="inlineStr">
        <is>
          <t>wf=log|dst=runtime_configured|ceil=runtime_configured|fft=fixed</t>
        </is>
      </c>
      <c r="EL26" s="15" t="n">
        <v>0.6881261088726915</v>
      </c>
      <c r="EM26" s="15" t="n">
        <v>0.9928245527805619</v>
      </c>
      <c r="EN26" s="15" t="n">
        <v>0.4761904761904762</v>
      </c>
      <c r="EO26" s="15" t="n">
        <v>0.3734419672738599</v>
      </c>
      <c r="EP26" s="15" t="inlineStr">
        <is>
          <t>warn:power_outlier_detected</t>
        </is>
      </c>
      <c r="EQ26" s="15" t="n">
        <v>466.2031178000341</v>
      </c>
      <c r="ER26" s="15" t="inlineStr">
        <is>
          <t>winsorize_p95_for_robust_diagnostics</t>
        </is>
      </c>
      <c r="ES26" s="15" t="n">
        <v>0.1715467141692705</v>
      </c>
      <c r="ET26" s="15" t="n">
        <v>0.02528923132943948</v>
      </c>
      <c r="EU26" s="15" t="n">
        <v>0.03077738771852746</v>
      </c>
      <c r="EV26" t="inlineStr">
        <is>
          <t>computed</t>
        </is>
      </c>
      <c r="EW26" s="15" t="inlineStr">
        <is>
          <t>computed</t>
        </is>
      </c>
      <c r="EX26" s="15" t="inlineStr">
        <is>
          <t>computed</t>
        </is>
      </c>
      <c r="EY26" s="15" t="inlineStr">
        <is>
          <t>available_from_curve</t>
        </is>
      </c>
      <c r="EZ26" s="15" t="n">
        <v>20000</v>
      </c>
      <c r="FA26" s="15" t="n">
        <v>20000</v>
      </c>
      <c r="FB26" s="15" t="n">
        <v>0.2371750009573849</v>
      </c>
      <c r="FC26" s="15" t="n">
        <v>0.0673064602921145</v>
      </c>
      <c r="FD26" s="15" t="n">
        <v>2.394131981297775</v>
      </c>
      <c r="FE26" s="15" t="n">
        <v>1.738554691604675</v>
      </c>
      <c r="FF26" s="15" t="n">
        <v>0.6421435234645196</v>
      </c>
      <c r="FG26" s="15" t="n">
        <v>1.810524613653807</v>
      </c>
      <c r="FH26" s="15" t="n">
        <v>0.3339063277518382</v>
      </c>
      <c r="FI26" s="15" t="n">
        <v>0.03320268932914992</v>
      </c>
      <c r="FJ26" s="15" t="n">
        <v>2520.600818511614</v>
      </c>
      <c r="FK26" s="15" t="n">
        <v>27.07445133047542</v>
      </c>
      <c r="FL26" s="15" t="n">
        <v>0.1903306763506689</v>
      </c>
      <c r="FM26" s="15" t="n">
        <v>0.004652420582708071</v>
      </c>
      <c r="FN26" t="n">
        <v>1</v>
      </c>
      <c r="FO26" t="n">
        <v>0</v>
      </c>
      <c r="FP26" t="n">
        <v>0</v>
      </c>
      <c r="FQ26" t="inlineStr">
        <is>
          <t>excellent</t>
        </is>
      </c>
      <c r="FR26" s="19" t="n">
        <v>0.9</v>
      </c>
      <c r="FS26" s="15" t="n">
        <v>2.309778577086571</v>
      </c>
      <c r="FT26" s="15" t="n">
        <v>17.808754744398</v>
      </c>
      <c r="FU26" t="inlineStr">
        <is>
          <t>passed</t>
        </is>
      </c>
      <c r="FV26" t="n">
        <v>61.70437640178994</v>
      </c>
      <c r="FW26" t="n">
        <v>13.44287678784297</v>
      </c>
      <c r="FX26" t="n">
        <v>0.8466891128808128</v>
      </c>
      <c r="FY26" t="n">
        <v>0.2023418582299904</v>
      </c>
      <c r="FZ26" t="n">
        <v>0.1301764707145645</v>
      </c>
      <c r="GA26" t="n">
        <v>0.2440370544707195</v>
      </c>
      <c r="GB26" t="n">
        <v>0.01658884835198169</v>
      </c>
      <c r="GC26" t="n">
        <v>0.01377214559984838</v>
      </c>
      <c r="GD26" t="n">
        <v>0.05096131063028183</v>
      </c>
      <c r="GE26" t="n">
        <v>0.9489029049242353</v>
      </c>
      <c r="GF26" t="n">
        <v>0.03752352969967564</v>
      </c>
      <c r="GG26" t="n">
        <v>0.3453864265647147</v>
      </c>
      <c r="GH26" t="n">
        <v>0.07671985372145304</v>
      </c>
      <c r="GI26" t="n">
        <v>0.4214285714285714</v>
      </c>
      <c r="GJ26" t="n">
        <v>0.9333333333333336</v>
      </c>
      <c r="GK26" t="n">
        <v>0.2000000000000001</v>
      </c>
      <c r="GL26" t="n">
        <v>0.8379340221831727</v>
      </c>
      <c r="GM26" t="n">
        <v>0.8379340221831727</v>
      </c>
      <c r="GN26" t="n">
        <v>0.08460022007293626</v>
      </c>
      <c r="GO26" t="n">
        <v>0.1115314439211544</v>
      </c>
      <c r="GP26" t="n">
        <v>133.476159618219</v>
      </c>
      <c r="GQ26" t="inlineStr">
        <is>
          <t>compiled workbook density_weighted_sum = density_component_ratio_weighted_sum (per-note component ratios); research density_weighted_sum maps body-ceiling richness</t>
        </is>
      </c>
      <c r="GR26" s="15" t="inlineStr">
        <is>
          <t>individual_exact</t>
        </is>
      </c>
      <c r="GS26" s="15" t="inlineStr">
        <is>
          <t>density_weight</t>
        </is>
      </c>
      <c r="GT26" s="15" t="n">
        <v>0.8326634722636824</v>
      </c>
      <c r="GU26" s="15" t="n">
        <v>0.1673365277363177</v>
      </c>
      <c r="GV26" s="15" t="n">
        <v>0</v>
      </c>
      <c r="GW26" s="15" t="inlineStr">
        <is>
          <t>log</t>
        </is>
      </c>
      <c r="GX26" s="15" t="n">
        <v>0.5</v>
      </c>
      <c r="GY26" s="15" t="inlineStr">
        <is>
          <t>EWSD-R v18.1</t>
        </is>
      </c>
      <c r="GZ26" s="15" t="n">
        <v>1.476675257615991</v>
      </c>
      <c r="HA26" s="15" t="n">
        <v>9.243831679845277</v>
      </c>
      <c r="HB26" s="15" t="n">
        <v>0.5196297392927297</v>
      </c>
      <c r="HC26" s="15" t="n">
        <v>2.963116030773959</v>
      </c>
      <c r="HD26" s="15" t="n">
        <v>12.28747062421377</v>
      </c>
      <c r="HE26" s="15" t="n">
        <v>0.4186896451411474</v>
      </c>
      <c r="HF26" s="15" t="inlineStr">
        <is>
          <t>partials+ratios</t>
        </is>
      </c>
      <c r="HG26" s="15" t="inlineStr">
        <is>
          <t>merged_individual_exact</t>
        </is>
      </c>
      <c r="HH26" s="15" t="inlineStr">
        <is>
          <t>passed</t>
        </is>
      </c>
      <c r="HI26" s="15" t="inlineStr">
        <is>
          <t>passed</t>
        </is>
      </c>
    </row>
    <row r="27">
      <c r="A27" t="inlineStr">
        <is>
          <t>incomplete_inference</t>
        </is>
      </c>
      <c r="B27" t="inlineStr">
        <is>
          <t>missing_instrument_technique</t>
        </is>
      </c>
      <c r="C27" t="inlineStr">
        <is>
          <t>prior_constrained_harmonic_fit</t>
        </is>
      </c>
      <c r="D27" t="inlineStr">
        <is>
          <t>IOWA_flt_ff.C6_SustainStable/C6/component_amplitude_mass_pie.png</t>
        </is>
      </c>
      <c r="E27" t="inlineStr">
        <is>
          <t>IOWA_flt_ff.C6_SustainStable/C6/component_energy_ratio_pie.png</t>
        </is>
      </c>
      <c r="F27" s="15" t="n">
        <v>1048.295072261561</v>
      </c>
      <c r="G27" s="15" t="inlineStr">
        <is>
          <t>prior_constrained_harmonic_fit</t>
        </is>
      </c>
      <c r="H27" s="15" t="inlineStr">
        <is>
          <t>fit_accepted_acoustically_verified</t>
        </is>
      </c>
      <c r="I27" s="16" t="n">
        <v>186.0780013173648</v>
      </c>
      <c r="J27" t="inlineStr">
        <is>
          <t>richness_weighted_body_density_body_ceiling</t>
        </is>
      </c>
      <c r="K27" t="inlineStr">
        <is>
          <t>research_body_ceiling_richness_metric</t>
        </is>
      </c>
      <c r="L27" s="15" t="n">
        <v>40426.94124842188</v>
      </c>
      <c r="M27" s="15" t="n">
        <v>40426.94124842188</v>
      </c>
      <c r="N27" s="15" t="n">
        <v>281.7647650778835</v>
      </c>
      <c r="O27" s="15" t="n">
        <v>2.330786731432486</v>
      </c>
      <c r="P27" s="15" t="n">
        <v>-4.089471277866146</v>
      </c>
      <c r="Q27" s="15" t="n">
        <v>14</v>
      </c>
      <c r="R27" s="15" t="n">
        <v>16</v>
      </c>
      <c r="S27" s="15" t="n">
        <v>2526.68408547104</v>
      </c>
      <c r="T27" s="15" t="n">
        <v>20</v>
      </c>
      <c r="U27" s="15" t="n">
        <v>-0.5063008807278466</v>
      </c>
      <c r="V27" s="15" t="n">
        <v>13.17687723936092</v>
      </c>
      <c r="W27" s="15" t="n">
        <v>0.6186464214489151</v>
      </c>
      <c r="X27" s="15" t="n">
        <v>0.398638005417163</v>
      </c>
      <c r="Y27" s="15" t="n">
        <v>13</v>
      </c>
      <c r="Z27" s="15" t="n">
        <v>19</v>
      </c>
      <c r="AA27" s="15" t="n">
        <v>0.6842105263157895</v>
      </c>
      <c r="AB27" s="15" t="n">
        <v>19</v>
      </c>
      <c r="AC27" s="15" t="n">
        <v>13</v>
      </c>
      <c r="AD27" s="15" t="n">
        <v>0.6842105263157895</v>
      </c>
      <c r="AE27" s="15" t="n">
        <v>206.3370951514526</v>
      </c>
      <c r="AF27" s="15" t="n">
        <v>13</v>
      </c>
      <c r="AG27" s="15" t="n">
        <v>19</v>
      </c>
      <c r="AH27" s="15" t="n">
        <v>0.6842105263157895</v>
      </c>
      <c r="AI27" s="15" t="n">
        <v>206.3370951514526</v>
      </c>
      <c r="AJ27" s="15" t="n">
        <v>6</v>
      </c>
      <c r="AK27" s="15" t="n">
        <v>7</v>
      </c>
      <c r="AL27" s="15" t="n">
        <v>5.065312357680022</v>
      </c>
      <c r="AM27" s="15" t="n">
        <v>26</v>
      </c>
      <c r="AN27" s="15" t="n">
        <v>0</v>
      </c>
      <c r="AO27" s="15" t="n">
        <v>26</v>
      </c>
      <c r="AP27" s="15" t="n">
        <v>0</v>
      </c>
      <c r="AQ27" s="15" t="n">
        <v>14.79158325243976</v>
      </c>
      <c r="AR27" s="15" t="n">
        <v>8.228814484628217</v>
      </c>
      <c r="AS27" s="15" t="n">
        <v>0.1180559396427821</v>
      </c>
      <c r="AT27" s="17" t="n">
        <v>2.473224596461617</v>
      </c>
      <c r="AU27" s="18" t="n">
        <v>4.449189999446836</v>
      </c>
      <c r="AV27" s="15" t="n">
        <v>6.901802875943037</v>
      </c>
      <c r="AW27" s="15" t="b">
        <v>1</v>
      </c>
      <c r="AX27" s="15" t="n">
        <v>7.529905088566358</v>
      </c>
      <c r="AY27" s="15" t="n">
        <v>12.60129774443717</v>
      </c>
      <c r="AZ27" s="15" t="n">
        <v>0</v>
      </c>
      <c r="BA27" s="15" t="n">
        <v>1</v>
      </c>
      <c r="BB27" s="15" t="n">
        <v>0.5</v>
      </c>
      <c r="BC27" s="15" t="n">
        <v>0.25</v>
      </c>
      <c r="BD27" s="15" t="inlineStr">
        <is>
          <t>his_note_adaptive</t>
        </is>
      </c>
      <c r="BE27" s="15" t="n">
        <v>-90</v>
      </c>
      <c r="BF27" s="15" t="n">
        <v>20000</v>
      </c>
      <c r="BG27" s="15" t="n">
        <v>13</v>
      </c>
      <c r="BH27" s="15" t="n">
        <v>0.6842105263157895</v>
      </c>
      <c r="BI27" s="15" t="n">
        <v>19</v>
      </c>
      <c r="BJ27" s="15" t="n">
        <v>13</v>
      </c>
      <c r="BK27" s="15" t="n">
        <v>19</v>
      </c>
      <c r="BL27" s="15" t="n">
        <v>16</v>
      </c>
      <c r="BM27" s="15" t="n">
        <v>0.8421052631578947</v>
      </c>
      <c r="BN27" s="15" t="n">
        <v>0.3073686627639129</v>
      </c>
      <c r="BO27" s="15" t="n">
        <v>0.2166666666666667</v>
      </c>
      <c r="BP27" s="19" t="n">
        <v>0.7689541529154041</v>
      </c>
      <c r="BQ27" s="19" t="n">
        <v>0.2310458470845959</v>
      </c>
      <c r="BR27" s="19" t="n">
        <v>0</v>
      </c>
      <c r="BS27" s="15" t="n">
        <v>0.0651013241104156</v>
      </c>
      <c r="BT27" s="19" t="n">
        <v>1</v>
      </c>
      <c r="BU27" s="19" t="n">
        <v>0</v>
      </c>
      <c r="BV27" s="19" t="n">
        <v>0</v>
      </c>
      <c r="BW27" t="inlineStr">
        <is>
          <t>C6</t>
        </is>
      </c>
      <c r="BX27" t="n">
        <v>84</v>
      </c>
      <c r="BY27" t="inlineStr">
        <is>
          <t>C</t>
        </is>
      </c>
      <c r="BZ27" t="n">
        <v>6</v>
      </c>
      <c r="CA27" t="inlineStr">
        <is>
          <t>Very high</t>
        </is>
      </c>
      <c r="CB27" t="inlineStr">
        <is>
          <t>ff</t>
        </is>
      </c>
      <c r="CC27" s="15" t="n">
        <v>1046.502261202394</v>
      </c>
      <c r="CD27" s="15" t="n">
        <v>1048.295072261561</v>
      </c>
      <c r="CE27" t="inlineStr">
        <is>
          <t>prior_constrained_harmonic_fit</t>
        </is>
      </c>
      <c r="CF27" t="n">
        <v>1048.295072261561</v>
      </c>
      <c r="CG27" s="15" t="n">
        <v>1</v>
      </c>
      <c r="CH27" t="inlineStr">
        <is>
          <t>free_fit_acoustically_verified</t>
        </is>
      </c>
      <c r="CI27" s="15" t="inlineStr">
        <is>
          <t>free_f0_fit</t>
        </is>
      </c>
      <c r="CJ27" s="15" t="n">
        <v>1046.502261202394</v>
      </c>
      <c r="CK27" s="15" t="n">
        <v>1048.295072261561</v>
      </c>
      <c r="CL27" s="15" t="n">
        <v>2.963318940108505</v>
      </c>
      <c r="CM27" s="15" t="n">
        <v>20000</v>
      </c>
      <c r="CN27" s="15" t="n">
        <v>2.963318940108505</v>
      </c>
      <c r="CO27" s="15" t="n">
        <v>2.240678173743127</v>
      </c>
      <c r="CP27" s="15" t="n">
        <v>40426.94124842188</v>
      </c>
      <c r="CQ27" t="n">
        <v>1.399257788336561</v>
      </c>
      <c r="CR27" t="n">
        <v>0.07364514675455583</v>
      </c>
      <c r="CS27" t="n">
        <v>132.9833593698088</v>
      </c>
      <c r="CT27" t="n">
        <v>132.9833593698088</v>
      </c>
      <c r="CU27" t="n">
        <v>186.0780013173648</v>
      </c>
      <c r="CV27" t="n">
        <v>2.330786731432486</v>
      </c>
      <c r="CW27" s="15" t="n">
        <v>40426.94124842188</v>
      </c>
      <c r="CX27" s="15" t="n">
        <v>281.7647650778835</v>
      </c>
      <c r="CY27" s="15" t="n">
        <v>2.330786731432486</v>
      </c>
      <c r="CZ27" s="15" t="n">
        <v>2.473224596461617</v>
      </c>
      <c r="DA27" s="15" t="n">
        <v>2.473224596461617</v>
      </c>
      <c r="DB27" s="15" t="n">
        <v>1.766719270520261</v>
      </c>
      <c r="DC27" s="15" t="n">
        <v>0</v>
      </c>
      <c r="DD27" s="15" t="n">
        <v>6.117763353066346e-05</v>
      </c>
      <c r="DE27" s="15" t="n">
        <v>0</v>
      </c>
      <c r="DF27" s="15" t="n">
        <v>14</v>
      </c>
      <c r="DG27" s="15" t="inlineStr">
        <is>
          <t>Density_Metrics</t>
        </is>
      </c>
      <c r="DH27" s="15" t="n">
        <v>2.240678173743127</v>
      </c>
      <c r="DI27" t="n">
        <v>0.8923326509389714</v>
      </c>
      <c r="DJ27" s="15" t="n">
        <v>0.5407328679206435</v>
      </c>
      <c r="DK27" s="15" t="n">
        <v>4.839978507098259</v>
      </c>
      <c r="DL27" s="15" t="n">
        <v>1.418977405992257</v>
      </c>
      <c r="DM27" s="15" t="n">
        <v>1.026484930495199</v>
      </c>
      <c r="DN27" s="15" t="n">
        <v>8.226612834730846</v>
      </c>
      <c r="DO27" s="15" t="n">
        <v>1.316035601713348</v>
      </c>
      <c r="DP27" s="15" t="n">
        <v>13.9375</v>
      </c>
      <c r="DQ27" s="15" t="n">
        <v>33</v>
      </c>
      <c r="DR27" s="15" t="b">
        <v>0</v>
      </c>
      <c r="DS27" s="15" t="n">
        <v>1.399257788336561</v>
      </c>
      <c r="DT27" s="15" t="n">
        <v>7.574122102926097</v>
      </c>
      <c r="DU27" t="n">
        <v>19</v>
      </c>
      <c r="DV27" s="15" t="n">
        <v>0.0651013241104156</v>
      </c>
      <c r="DW27" s="15" t="n">
        <v>1.061327605297411</v>
      </c>
      <c r="DX27" s="15" t="n">
        <v>2.260849095579943</v>
      </c>
      <c r="DY27" s="15" t="n">
        <v>0.1747604679035343</v>
      </c>
      <c r="DZ27" s="15" t="b">
        <v>1</v>
      </c>
      <c r="EA27" s="15" t="n">
        <v>0.2579755342895464</v>
      </c>
      <c r="EB27" s="15" t="n">
        <v>20000</v>
      </c>
      <c r="EC27" s="15" t="n">
        <v>14676.13101166185</v>
      </c>
      <c r="ED27" s="15" t="n">
        <v>14</v>
      </c>
      <c r="EE27" s="15" t="n">
        <v>0</v>
      </c>
      <c r="EF27" s="15" t="n">
        <v>0.02057635604175294</v>
      </c>
      <c r="EG27" s="15" t="b">
        <v>0</v>
      </c>
      <c r="EH27" s="15" t="b">
        <v>1</v>
      </c>
      <c r="EI27" s="15" t="b">
        <v>0</v>
      </c>
      <c r="EJ27" s="15" t="inlineStr">
        <is>
          <t>wf=log|dst=-90.0|ceil=20000.0|fft=adaptive_tier</t>
        </is>
      </c>
      <c r="EK27" s="15" t="inlineStr">
        <is>
          <t>wf=log|dst=runtime_configured|ceil=runtime_configured|fft=fixed</t>
        </is>
      </c>
      <c r="EL27" s="15" t="n">
        <v>0.7695861346137838</v>
      </c>
      <c r="EM27" s="15" t="n">
        <v>0.9949426256395361</v>
      </c>
      <c r="EN27" s="15" t="n">
        <v>0.7</v>
      </c>
      <c r="EO27" s="15" t="n">
        <v>0.3843097653799629</v>
      </c>
      <c r="EP27" s="15" t="inlineStr">
        <is>
          <t>warn:power_outlier_detected</t>
        </is>
      </c>
      <c r="EQ27" s="15" t="n">
        <v>390.0070346086937</v>
      </c>
      <c r="ER27" s="15" t="inlineStr">
        <is>
          <t>winsorize_p95_for_robust_diagnostics</t>
        </is>
      </c>
      <c r="ES27" s="15" t="n">
        <v>0.1702464087203844</v>
      </c>
      <c r="ET27" s="15" t="n">
        <v>0.0192034754480948</v>
      </c>
      <c r="EU27" s="15" t="n">
        <v>0.0256293998458787</v>
      </c>
      <c r="EV27" t="inlineStr">
        <is>
          <t>computed</t>
        </is>
      </c>
      <c r="EW27" s="15" t="inlineStr">
        <is>
          <t>computed</t>
        </is>
      </c>
      <c r="EX27" s="15" t="inlineStr">
        <is>
          <t>computed</t>
        </is>
      </c>
      <c r="EY27" s="15" t="inlineStr">
        <is>
          <t>available_from_curve</t>
        </is>
      </c>
      <c r="EZ27" s="15" t="n">
        <v>20000</v>
      </c>
      <c r="FA27" s="15" t="n">
        <v>20000</v>
      </c>
      <c r="FB27" s="15" t="n">
        <v>0.2310458470845959</v>
      </c>
      <c r="FC27" s="15" t="n">
        <v>0.1849150687852584</v>
      </c>
      <c r="FD27" s="15" t="n">
        <v>2.473224596461617</v>
      </c>
      <c r="FE27" s="15" t="n">
        <v>1.766719270520261</v>
      </c>
      <c r="FF27" s="15" t="n">
        <v>0.6000346401163815</v>
      </c>
      <c r="FG27" s="15" t="n">
        <v>1.870337158505558</v>
      </c>
      <c r="FH27" s="15" t="n">
        <v>0.3393156089000199</v>
      </c>
      <c r="FI27" s="15" t="n">
        <v>0.03102540633754952</v>
      </c>
      <c r="FJ27" s="15" t="n">
        <v>2526.683828026368</v>
      </c>
      <c r="FK27" s="15" t="n">
        <v>17.61029781736772</v>
      </c>
      <c r="FL27" s="15" t="n">
        <v>0.1456741707145304</v>
      </c>
      <c r="FM27" s="15" t="n">
        <v>0.004627109559120369</v>
      </c>
      <c r="FN27" t="n">
        <v>1</v>
      </c>
      <c r="FO27" t="n">
        <v>0</v>
      </c>
      <c r="FP27" t="n">
        <v>0</v>
      </c>
      <c r="FQ27" t="inlineStr">
        <is>
          <t>good</t>
        </is>
      </c>
      <c r="FR27" s="19" t="n">
        <v>0.8421052631578947</v>
      </c>
      <c r="FS27" s="15" t="n">
        <v>1.352780162707556</v>
      </c>
      <c r="FT27" s="15" t="n">
        <v>15.45728804930903</v>
      </c>
      <c r="FU27" t="inlineStr">
        <is>
          <t>passed</t>
        </is>
      </c>
      <c r="FV27" t="n">
        <v>74.08008083998722</v>
      </c>
      <c r="FW27" t="n">
        <v>14.36030489814309</v>
      </c>
      <c r="FX27" t="n">
        <v>0.7453473139265648</v>
      </c>
      <c r="FY27" t="n">
        <v>0.3531752256864581</v>
      </c>
      <c r="FZ27" t="n">
        <v>0.2096137860608747</v>
      </c>
      <c r="GA27" t="n">
        <v>0.2820956091522763</v>
      </c>
      <c r="GB27" t="n">
        <v>0.09920392569858758</v>
      </c>
      <c r="GC27" t="n">
        <v>0.09912632149001907</v>
      </c>
      <c r="GD27" t="n">
        <v>0.1106240693488518</v>
      </c>
      <c r="GE27" t="n">
        <v>0.6483003373335025</v>
      </c>
      <c r="GF27" t="n">
        <v>0.4967726840674471</v>
      </c>
      <c r="GG27" t="n">
        <v>0.3085932379609745</v>
      </c>
      <c r="GH27" t="n">
        <v>0.1226681611764677</v>
      </c>
      <c r="GI27" t="n">
        <v>0.543233082706767</v>
      </c>
      <c r="GJ27" t="n">
        <v>0.7017543859649122</v>
      </c>
      <c r="GK27" t="n">
        <v>0.1818181818181819</v>
      </c>
      <c r="GL27" t="n">
        <v>0.7939507059220068</v>
      </c>
      <c r="GM27" t="n">
        <v>0.7939507059220068</v>
      </c>
      <c r="GN27" t="n">
        <v>0.2933973851350821</v>
      </c>
      <c r="GO27" t="n">
        <v>0.1197440473926175</v>
      </c>
      <c r="GP27" t="n">
        <v>186.0780013173648</v>
      </c>
      <c r="GQ27" t="inlineStr">
        <is>
          <t>compiled workbook density_weighted_sum = density_component_ratio_weighted_sum (per-note component ratios); research density_weighted_sum maps body-ceiling richness</t>
        </is>
      </c>
      <c r="GR27" s="15" t="inlineStr">
        <is>
          <t>individual_exact</t>
        </is>
      </c>
      <c r="GS27" s="15" t="inlineStr">
        <is>
          <t>density_weight</t>
        </is>
      </c>
      <c r="GT27" s="15" t="n">
        <v>0.8621859036584798</v>
      </c>
      <c r="GU27" s="15" t="n">
        <v>0.1378140963415203</v>
      </c>
      <c r="GV27" s="15" t="n">
        <v>0</v>
      </c>
      <c r="GW27" s="15" t="inlineStr">
        <is>
          <t>log</t>
        </is>
      </c>
      <c r="GX27" s="15" t="n">
        <v>0.5</v>
      </c>
      <c r="GY27" s="15" t="inlineStr">
        <is>
          <t>EWSD-R v18.1</t>
        </is>
      </c>
      <c r="GZ27" s="15" t="n">
        <v>1.524304700439253</v>
      </c>
      <c r="HA27" s="15" t="n">
        <v>10.36368856161474</v>
      </c>
      <c r="HB27" s="15" t="n">
        <v>0.5243783196832648</v>
      </c>
      <c r="HC27" s="15" t="n">
        <v>3.042495030577203</v>
      </c>
      <c r="HD27" s="15" t="n">
        <v>14.77928728065101</v>
      </c>
      <c r="HE27" s="15" t="n">
        <v>0.4318826625470784</v>
      </c>
      <c r="HF27" s="15" t="inlineStr">
        <is>
          <t>partials+ratios</t>
        </is>
      </c>
      <c r="HG27" s="15" t="inlineStr">
        <is>
          <t>merged_individual_exact</t>
        </is>
      </c>
      <c r="HH27" s="15" t="inlineStr">
        <is>
          <t>passed</t>
        </is>
      </c>
      <c r="HI27" s="15" t="inlineStr">
        <is>
          <t>passed</t>
        </is>
      </c>
    </row>
    <row r="28">
      <c r="A28" t="inlineStr">
        <is>
          <t>incomplete_inference</t>
        </is>
      </c>
      <c r="B28" t="inlineStr">
        <is>
          <t>missing_instrument_technique</t>
        </is>
      </c>
      <c r="C28" t="inlineStr">
        <is>
          <t>prior_constrained_harmonic_fit</t>
        </is>
      </c>
      <c r="D28" t="inlineStr">
        <is>
          <t>IOWA_flt_ff.C#6_SustainStable/C#6/component_amplitude_mass_pie.png</t>
        </is>
      </c>
      <c r="E28" t="inlineStr">
        <is>
          <t>IOWA_flt_ff.C#6_SustainStable/C#6/component_energy_ratio_pie.png</t>
        </is>
      </c>
      <c r="F28" s="15" t="n">
        <v>1108.705557640411</v>
      </c>
      <c r="G28" s="15" t="inlineStr">
        <is>
          <t>prior_constrained_harmonic_fit</t>
        </is>
      </c>
      <c r="H28" s="15" t="inlineStr">
        <is>
          <t>fit_accepted_acoustically_verified</t>
        </is>
      </c>
      <c r="I28" s="16" t="n">
        <v>148.7128488154557</v>
      </c>
      <c r="J28" t="inlineStr">
        <is>
          <t>richness_weighted_body_density_body_ceiling</t>
        </is>
      </c>
      <c r="K28" t="inlineStr">
        <is>
          <t>research_body_ceiling_richness_metric</t>
        </is>
      </c>
      <c r="L28" s="15" t="n">
        <v>41431.42211006516</v>
      </c>
      <c r="M28" s="15" t="n">
        <v>41431.42211006516</v>
      </c>
      <c r="N28" s="15" t="n">
        <v>216.0866435445113</v>
      </c>
      <c r="O28" s="15" t="n">
        <v>2.264977197811726</v>
      </c>
      <c r="P28" s="15" t="n">
        <v>-5.274789723009762</v>
      </c>
      <c r="Q28" s="15" t="n">
        <v>10</v>
      </c>
      <c r="R28" s="15" t="n">
        <v>14</v>
      </c>
      <c r="S28" s="15" t="n">
        <v>2589.466812389063</v>
      </c>
      <c r="T28" s="15" t="n">
        <v>19</v>
      </c>
      <c r="U28" s="15" t="n">
        <v>-0.5549829686134733</v>
      </c>
      <c r="V28" s="15" t="n">
        <v>9.669753394937072</v>
      </c>
      <c r="W28" s="15" t="n">
        <v>0.8036344910405244</v>
      </c>
      <c r="X28" s="15" t="n">
        <v>0.3374315302549172</v>
      </c>
      <c r="Y28" s="15" t="n">
        <v>11</v>
      </c>
      <c r="Z28" s="15" t="n">
        <v>18</v>
      </c>
      <c r="AA28" s="15" t="n">
        <v>0.6111111111111112</v>
      </c>
      <c r="AB28" s="15" t="n">
        <v>18</v>
      </c>
      <c r="AC28" s="15" t="n">
        <v>11</v>
      </c>
      <c r="AD28" s="15" t="n">
        <v>0.6111111111111112</v>
      </c>
      <c r="AE28" s="15" t="n">
        <v>172.0932294221205</v>
      </c>
      <c r="AF28" s="15" t="n">
        <v>11</v>
      </c>
      <c r="AG28" s="15" t="n">
        <v>18</v>
      </c>
      <c r="AH28" s="15" t="n">
        <v>0.6111111111111112</v>
      </c>
      <c r="AI28" s="15" t="n">
        <v>172.0932294221205</v>
      </c>
      <c r="AJ28" s="15" t="n">
        <v>6</v>
      </c>
      <c r="AK28" s="15" t="n">
        <v>5</v>
      </c>
      <c r="AL28" s="15" t="n">
        <v>71.89584891795062</v>
      </c>
      <c r="AM28" s="15" t="n">
        <v>20</v>
      </c>
      <c r="AN28" s="15" t="n">
        <v>0</v>
      </c>
      <c r="AO28" s="15" t="n">
        <v>20</v>
      </c>
      <c r="AP28" s="15" t="n">
        <v>0</v>
      </c>
      <c r="AQ28" s="15" t="n">
        <v>12.11702127073776</v>
      </c>
      <c r="AR28" s="15" t="n">
        <v>6.690404371787309</v>
      </c>
      <c r="AS28" s="15" t="n">
        <v>0.03692584460198298</v>
      </c>
      <c r="AT28" s="17" t="n">
        <v>2.393952371418846</v>
      </c>
      <c r="AU28" s="18" t="n">
        <v>3.708429545004172</v>
      </c>
      <c r="AV28" s="15" t="n">
        <v>5.661439755417657</v>
      </c>
      <c r="AW28" s="15" t="b">
        <v>1</v>
      </c>
      <c r="AX28" s="15" t="n">
        <v>6.283498366471325</v>
      </c>
      <c r="AY28" s="15" t="n">
        <v>9.561998197924943</v>
      </c>
      <c r="AZ28" s="15" t="n">
        <v>0</v>
      </c>
      <c r="BA28" s="15" t="n">
        <v>1</v>
      </c>
      <c r="BB28" s="15" t="n">
        <v>0.5</v>
      </c>
      <c r="BC28" s="15" t="n">
        <v>0.25</v>
      </c>
      <c r="BD28" s="15" t="inlineStr">
        <is>
          <t>his_note_adaptive</t>
        </is>
      </c>
      <c r="BE28" s="15" t="n">
        <v>-90</v>
      </c>
      <c r="BF28" s="15" t="n">
        <v>20000</v>
      </c>
      <c r="BG28" s="15" t="n">
        <v>11</v>
      </c>
      <c r="BH28" s="15" t="n">
        <v>0.6111111111111112</v>
      </c>
      <c r="BI28" s="15" t="n">
        <v>18</v>
      </c>
      <c r="BJ28" s="15" t="n">
        <v>11</v>
      </c>
      <c r="BK28" s="15" t="n">
        <v>18</v>
      </c>
      <c r="BL28" s="15" t="n">
        <v>15</v>
      </c>
      <c r="BM28" s="15" t="n">
        <v>0.8333333333333334</v>
      </c>
      <c r="BN28" s="15" t="n">
        <v>0.2652584935017804</v>
      </c>
      <c r="BO28" s="15" t="n">
        <v>0.1666666666666667</v>
      </c>
      <c r="BP28" s="19" t="n">
        <v>0.7654385292963601</v>
      </c>
      <c r="BQ28" s="19" t="n">
        <v>0.2345614707036399</v>
      </c>
      <c r="BR28" s="19" t="n">
        <v>0</v>
      </c>
      <c r="BS28" s="15" t="n">
        <v>0.05107343954392254</v>
      </c>
      <c r="BT28" s="19" t="n">
        <v>1</v>
      </c>
      <c r="BU28" s="19" t="n">
        <v>0</v>
      </c>
      <c r="BV28" s="19" t="n">
        <v>0</v>
      </c>
      <c r="BW28" t="inlineStr">
        <is>
          <t>C#6</t>
        </is>
      </c>
      <c r="BX28" t="n">
        <v>85</v>
      </c>
      <c r="BY28" t="inlineStr">
        <is>
          <t>C#</t>
        </is>
      </c>
      <c r="BZ28" t="n">
        <v>6</v>
      </c>
      <c r="CA28" t="inlineStr">
        <is>
          <t>Very high</t>
        </is>
      </c>
      <c r="CB28" t="inlineStr">
        <is>
          <t>ff</t>
        </is>
      </c>
      <c r="CC28" s="15" t="n">
        <v>1108.730523907488</v>
      </c>
      <c r="CD28" s="15" t="n">
        <v>1108.705557640411</v>
      </c>
      <c r="CE28" t="inlineStr">
        <is>
          <t>prior_constrained_harmonic_fit</t>
        </is>
      </c>
      <c r="CF28" t="n">
        <v>1108.705557640411</v>
      </c>
      <c r="CG28" s="15" t="n">
        <v>1</v>
      </c>
      <c r="CH28" t="inlineStr">
        <is>
          <t>free_fit_acoustically_verified</t>
        </is>
      </c>
      <c r="CI28" s="15" t="inlineStr">
        <is>
          <t>free_f0_fit</t>
        </is>
      </c>
      <c r="CJ28" s="15" t="n">
        <v>1108.730523907488</v>
      </c>
      <c r="CK28" s="15" t="n">
        <v>1108.705557640411</v>
      </c>
      <c r="CL28" s="15" t="n">
        <v>-0.03898416915173967</v>
      </c>
      <c r="CM28" s="15" t="n">
        <v>20000</v>
      </c>
      <c r="CN28" s="15" t="n">
        <v>-0.03898416915173967</v>
      </c>
      <c r="CO28" s="15" t="n">
        <v>2.144915706266748</v>
      </c>
      <c r="CP28" s="15" t="n">
        <v>41431.42211006516</v>
      </c>
      <c r="CQ28" t="n">
        <v>1.033739569572885</v>
      </c>
      <c r="CR28" t="n">
        <v>0.05742997608738248</v>
      </c>
      <c r="CS28" t="n">
        <v>143.8591045488373</v>
      </c>
      <c r="CT28" t="n">
        <v>143.8591045488373</v>
      </c>
      <c r="CU28" t="n">
        <v>148.7128488154557</v>
      </c>
      <c r="CV28" t="n">
        <v>2.264977197811726</v>
      </c>
      <c r="CW28" s="15" t="n">
        <v>41431.42211006516</v>
      </c>
      <c r="CX28" s="15" t="n">
        <v>216.0866435445113</v>
      </c>
      <c r="CY28" s="15" t="n">
        <v>2.264977197811726</v>
      </c>
      <c r="CZ28" s="15" t="n">
        <v>2.393952371418846</v>
      </c>
      <c r="DA28" s="15" t="n">
        <v>2.393952371418846</v>
      </c>
      <c r="DB28" s="15" t="n">
        <v>1.579997923114481</v>
      </c>
      <c r="DC28" s="15" t="n">
        <v>0</v>
      </c>
      <c r="DD28" s="15" t="n">
        <v>5.778108135074781e-05</v>
      </c>
      <c r="DE28" s="15" t="n">
        <v>0</v>
      </c>
      <c r="DF28" s="15" t="n">
        <v>10</v>
      </c>
      <c r="DG28" s="15" t="inlineStr">
        <is>
          <t>Density_Metrics</t>
        </is>
      </c>
      <c r="DH28" s="15" t="n">
        <v>2.144915706266748</v>
      </c>
      <c r="DI28" t="n">
        <v>0.8541959932676451</v>
      </c>
      <c r="DJ28" s="15" t="n">
        <v>0.5307057434103211</v>
      </c>
      <c r="DK28" s="15" t="n">
        <v>4.574904639267126</v>
      </c>
      <c r="DL28" s="15" t="n">
        <v>1.044655345328051</v>
      </c>
      <c r="DM28" s="15" t="n">
        <v>1.01208255268807</v>
      </c>
      <c r="DN28" s="15" t="n">
        <v>7.015661360269854</v>
      </c>
      <c r="DO28" s="15" t="n">
        <v>1.665739115608173</v>
      </c>
      <c r="DP28" s="15" t="n">
        <v>14.8125</v>
      </c>
      <c r="DQ28" s="15" t="n">
        <v>24</v>
      </c>
      <c r="DR28" s="15" t="b">
        <v>0</v>
      </c>
      <c r="DS28" s="15" t="n">
        <v>1.033739569572885</v>
      </c>
      <c r="DT28" s="15" t="n">
        <v>6.07376754458851</v>
      </c>
      <c r="DU28" t="n">
        <v>18</v>
      </c>
      <c r="DV28" s="15" t="n">
        <v>0.05107343954392254</v>
      </c>
      <c r="DW28" s="15" t="n">
        <v>0.9299276363369677</v>
      </c>
      <c r="DX28" s="15" t="n">
        <v>2.216045567219277</v>
      </c>
      <c r="DY28" s="15" t="n">
        <v>0.2305302775257653</v>
      </c>
      <c r="DZ28" s="15" t="b">
        <v>1</v>
      </c>
      <c r="EA28" s="15" t="n">
        <v>0.1451307327803952</v>
      </c>
      <c r="EB28" s="15" t="n">
        <v>20000</v>
      </c>
      <c r="EC28" s="15" t="n">
        <v>11087.05557640411</v>
      </c>
      <c r="ED28" s="15" t="n">
        <v>10</v>
      </c>
      <c r="EE28" s="15" t="n">
        <v>0</v>
      </c>
      <c r="EF28" s="15" t="n">
        <v>0.01942149391640337</v>
      </c>
      <c r="EG28" s="15" t="b">
        <v>0</v>
      </c>
      <c r="EH28" s="15" t="b">
        <v>1</v>
      </c>
      <c r="EI28" s="15" t="b">
        <v>0</v>
      </c>
      <c r="EJ28" s="15" t="inlineStr">
        <is>
          <t>wf=log|dst=-90.0|ceil=20000.0|fft=adaptive_tier</t>
        </is>
      </c>
      <c r="EK28" s="15" t="inlineStr">
        <is>
          <t>wf=log|dst=runtime_configured|ceil=runtime_configured|fft=fixed</t>
        </is>
      </c>
      <c r="EL28" s="15" t="n">
        <v>0.7074128530366801</v>
      </c>
      <c r="EM28" s="15" t="n">
        <v>0.9971875704219395</v>
      </c>
      <c r="EN28" s="15" t="n">
        <v>0.5263157894736842</v>
      </c>
      <c r="EO28" s="15" t="n">
        <v>0.3723396001550892</v>
      </c>
      <c r="EP28" s="15" t="inlineStr">
        <is>
          <t>warn:power_outlier_detected</t>
        </is>
      </c>
      <c r="EQ28" s="15" t="n">
        <v>474.9759910792612</v>
      </c>
      <c r="ER28" s="15" t="inlineStr">
        <is>
          <t>winsorize_p95_for_robust_diagnostics</t>
        </is>
      </c>
      <c r="ES28" s="15" t="n">
        <v>0.2044326631419221</v>
      </c>
      <c r="ET28" s="15" t="n">
        <v>0.02546774495544641</v>
      </c>
      <c r="EU28" s="15" t="n">
        <v>0.0291828345300427</v>
      </c>
      <c r="EV28" t="inlineStr">
        <is>
          <t>computed</t>
        </is>
      </c>
      <c r="EW28" s="15" t="inlineStr">
        <is>
          <t>computed</t>
        </is>
      </c>
      <c r="EX28" s="15" t="inlineStr">
        <is>
          <t>computed</t>
        </is>
      </c>
      <c r="EY28" s="15" t="inlineStr">
        <is>
          <t>available_from_curve</t>
        </is>
      </c>
      <c r="EZ28" s="15" t="n">
        <v>20000</v>
      </c>
      <c r="FA28" s="15" t="n">
        <v>20000</v>
      </c>
      <c r="FB28" s="15" t="n">
        <v>0.2345614707036399</v>
      </c>
      <c r="FC28" s="15" t="n">
        <v>0.04622619782805036</v>
      </c>
      <c r="FD28" s="15" t="n">
        <v>2.393952371418846</v>
      </c>
      <c r="FE28" s="15" t="n">
        <v>1.579997923114481</v>
      </c>
      <c r="FF28" s="15" t="n">
        <v>0.6009543447337985</v>
      </c>
      <c r="FG28" s="15" t="n">
        <v>1.810388786510945</v>
      </c>
      <c r="FH28" s="15" t="n">
        <v>0.3034539591479533</v>
      </c>
      <c r="FI28" s="15" t="n">
        <v>0.03107296060785023</v>
      </c>
      <c r="FJ28" s="15" t="n">
        <v>2589.463881879072</v>
      </c>
      <c r="FK28" s="15" t="n">
        <v>13.50541522153196</v>
      </c>
      <c r="FL28" s="15" t="n">
        <v>0.1415610748632329</v>
      </c>
      <c r="FM28" s="15" t="n">
        <v>0.004799936884110672</v>
      </c>
      <c r="FN28" t="n">
        <v>1</v>
      </c>
      <c r="FO28" t="n">
        <v>0</v>
      </c>
      <c r="FP28" t="n">
        <v>0</v>
      </c>
      <c r="FQ28" t="inlineStr">
        <is>
          <t>good</t>
        </is>
      </c>
      <c r="FR28" s="19" t="n">
        <v>0.8333333333333334</v>
      </c>
      <c r="FS28" s="15" t="n">
        <v>1.875600806132395</v>
      </c>
      <c r="FT28" s="15" t="n">
        <v>12.25499013164644</v>
      </c>
      <c r="FU28" t="inlineStr">
        <is>
          <t>passed</t>
        </is>
      </c>
      <c r="FV28" t="n">
        <v>61.67875941189627</v>
      </c>
      <c r="FW28" t="n">
        <v>9.254689454525874</v>
      </c>
      <c r="FX28" t="n">
        <v>0.7474573925501445</v>
      </c>
      <c r="FY28" t="n">
        <v>0.124064588093383</v>
      </c>
      <c r="FZ28" t="n">
        <v>0.1531863434775226</v>
      </c>
      <c r="GA28" t="n">
        <v>0.1272438842148011</v>
      </c>
      <c r="GB28" t="n">
        <v>0.007407302404663618</v>
      </c>
      <c r="GC28" t="n">
        <v>0.007413401280165819</v>
      </c>
      <c r="GD28" t="n">
        <v>0.02661704310834836</v>
      </c>
      <c r="GE28" t="n">
        <v>0.8561548123464489</v>
      </c>
      <c r="GF28" t="n">
        <v>0.3408269976242831</v>
      </c>
      <c r="GG28" t="n">
        <v>0.2022824989442496</v>
      </c>
      <c r="GH28" t="n">
        <v>0.0995327422499529</v>
      </c>
      <c r="GI28" t="n">
        <v>0.4375000000000001</v>
      </c>
      <c r="GJ28" t="n">
        <v>0.666666666666667</v>
      </c>
      <c r="GK28" t="n">
        <v>0.07272727272727289</v>
      </c>
      <c r="GL28" t="n">
        <v>0.8191791124363423</v>
      </c>
      <c r="GM28" t="n">
        <v>0.8191791124363423</v>
      </c>
      <c r="GN28" t="n">
        <v>0.04717524670018228</v>
      </c>
      <c r="GO28" t="n">
        <v>0.04172500617090615</v>
      </c>
      <c r="GP28" t="n">
        <v>148.7128488154557</v>
      </c>
      <c r="GQ28" t="inlineStr">
        <is>
          <t>compiled workbook density_weighted_sum = density_component_ratio_weighted_sum (per-note component ratios); research density_weighted_sum maps body-ceiling richness</t>
        </is>
      </c>
      <c r="GR28" s="15" t="inlineStr">
        <is>
          <t>individual_exact</t>
        </is>
      </c>
      <c r="GS28" s="15" t="inlineStr">
        <is>
          <t>density_weight</t>
        </is>
      </c>
      <c r="GT28" s="15" t="n">
        <v>0.8758865254735823</v>
      </c>
      <c r="GU28" s="15" t="n">
        <v>0.1241134745264178</v>
      </c>
      <c r="GV28" s="15" t="n">
        <v>0</v>
      </c>
      <c r="GW28" s="15" t="inlineStr">
        <is>
          <t>log</t>
        </is>
      </c>
      <c r="GX28" s="15" t="n">
        <v>0.5</v>
      </c>
      <c r="GY28" s="15" t="inlineStr">
        <is>
          <t>EWSD-R v18.1</t>
        </is>
      </c>
      <c r="GZ28" s="15" t="n">
        <v>1.623650606088662</v>
      </c>
      <c r="HA28" s="15" t="n">
        <v>9.630892007058094</v>
      </c>
      <c r="HB28" s="15" t="n">
        <v>0.5350328293690247</v>
      </c>
      <c r="HC28" s="15" t="n">
        <v>2.90326000208093</v>
      </c>
      <c r="HD28" s="15" t="n">
        <v>12.47563634682689</v>
      </c>
      <c r="HE28" s="15" t="n">
        <v>0.4460898827193132</v>
      </c>
      <c r="HF28" s="15" t="inlineStr">
        <is>
          <t>partials+ratios</t>
        </is>
      </c>
      <c r="HG28" s="15" t="inlineStr">
        <is>
          <t>merged_individual_exact</t>
        </is>
      </c>
      <c r="HH28" s="15" t="inlineStr">
        <is>
          <t>passed</t>
        </is>
      </c>
      <c r="HI28" s="15" t="inlineStr">
        <is>
          <t>passed</t>
        </is>
      </c>
    </row>
    <row r="29">
      <c r="A29" t="inlineStr">
        <is>
          <t>incomplete_inference</t>
        </is>
      </c>
      <c r="B29" t="inlineStr">
        <is>
          <t>missing_instrument_technique</t>
        </is>
      </c>
      <c r="C29" t="inlineStr">
        <is>
          <t>prior_constrained_harmonic_fit</t>
        </is>
      </c>
      <c r="D29" t="inlineStr">
        <is>
          <t>IOWA_flt_ff.D6_SustainStable/D6/component_amplitude_mass_pie.png</t>
        </is>
      </c>
      <c r="E29" t="inlineStr">
        <is>
          <t>IOWA_flt_ff.D6_SustainStable/D6/component_energy_ratio_pie.png</t>
        </is>
      </c>
      <c r="F29" s="15" t="n">
        <v>1175.394439136516</v>
      </c>
      <c r="G29" s="15" t="inlineStr">
        <is>
          <t>prior_constrained_harmonic_fit</t>
        </is>
      </c>
      <c r="H29" s="15" t="inlineStr">
        <is>
          <t>fit_accepted_acoustically_verified</t>
        </is>
      </c>
      <c r="I29" s="16" t="n">
        <v>166.4514906068576</v>
      </c>
      <c r="J29" t="inlineStr">
        <is>
          <t>richness_weighted_body_density_body_ceiling</t>
        </is>
      </c>
      <c r="K29" t="inlineStr">
        <is>
          <t>research_body_ceiling_richness_metric</t>
        </is>
      </c>
      <c r="L29" s="15" t="n">
        <v>39997.45304164651</v>
      </c>
      <c r="M29" s="15" t="n">
        <v>39997.45304164651</v>
      </c>
      <c r="N29" s="15" t="n">
        <v>237.3260600270915</v>
      </c>
      <c r="O29" s="15" t="n">
        <v>1.077763819691334</v>
      </c>
      <c r="P29" s="15" t="n">
        <v>-4.181230429519503</v>
      </c>
      <c r="Q29" s="15" t="n">
        <v>11</v>
      </c>
      <c r="R29" s="15" t="n">
        <v>14</v>
      </c>
      <c r="S29" s="15" t="n">
        <v>2499.842233727869</v>
      </c>
      <c r="T29" s="15" t="n">
        <v>18</v>
      </c>
      <c r="U29" s="15" t="n">
        <v>-0.3450616490792643</v>
      </c>
      <c r="V29" s="15" t="n">
        <v>11.12894300200082</v>
      </c>
      <c r="W29" s="15" t="n">
        <v>0.7307440318674303</v>
      </c>
      <c r="X29" s="15" t="n">
        <v>0.403616428905948</v>
      </c>
      <c r="Y29" s="15" t="n">
        <v>12</v>
      </c>
      <c r="Z29" s="15" t="n">
        <v>17</v>
      </c>
      <c r="AA29" s="15" t="n">
        <v>0.7058823529411765</v>
      </c>
      <c r="AB29" s="15" t="n">
        <v>17</v>
      </c>
      <c r="AC29" s="15" t="n">
        <v>12</v>
      </c>
      <c r="AD29" s="15" t="n">
        <v>0.7058823529411765</v>
      </c>
      <c r="AE29" s="15" t="n">
        <v>180.9011530202762</v>
      </c>
      <c r="AF29" s="15" t="n">
        <v>12</v>
      </c>
      <c r="AG29" s="15" t="n">
        <v>17</v>
      </c>
      <c r="AH29" s="15" t="n">
        <v>0.7058823529411765</v>
      </c>
      <c r="AI29" s="15" t="n">
        <v>180.9011530202762</v>
      </c>
      <c r="AJ29" s="15" t="n">
        <v>6</v>
      </c>
      <c r="AK29" s="15" t="n">
        <v>6</v>
      </c>
      <c r="AL29" s="15" t="n">
        <v>15.3051987169917</v>
      </c>
      <c r="AM29" s="15" t="n">
        <v>35</v>
      </c>
      <c r="AN29" s="15" t="n">
        <v>0</v>
      </c>
      <c r="AO29" s="15" t="n">
        <v>35</v>
      </c>
      <c r="AP29" s="15" t="n">
        <v>0</v>
      </c>
      <c r="AQ29" s="15" t="n">
        <v>16.03795113197243</v>
      </c>
      <c r="AR29" s="15" t="n">
        <v>8.324418102682735</v>
      </c>
      <c r="AS29" s="15" t="n">
        <v>0.1230977230750842</v>
      </c>
      <c r="AT29" s="17" t="n">
        <v>2.415565882333189</v>
      </c>
      <c r="AU29" s="18" t="n">
        <v>3.79599942829768</v>
      </c>
      <c r="AV29" s="15" t="n">
        <v>5.759100367846218</v>
      </c>
      <c r="AW29" s="15" t="b">
        <v>1</v>
      </c>
      <c r="AX29" s="15" t="n">
        <v>6.725513539913594</v>
      </c>
      <c r="AY29" s="15" t="n">
        <v>15.83280675416475</v>
      </c>
      <c r="AZ29" s="15" t="n">
        <v>0</v>
      </c>
      <c r="BA29" s="15" t="n">
        <v>1</v>
      </c>
      <c r="BB29" s="15" t="n">
        <v>0.5</v>
      </c>
      <c r="BC29" s="15" t="n">
        <v>0.25</v>
      </c>
      <c r="BD29" s="15" t="inlineStr">
        <is>
          <t>his_note_adaptive</t>
        </is>
      </c>
      <c r="BE29" s="15" t="n">
        <v>-90</v>
      </c>
      <c r="BF29" s="15" t="n">
        <v>20000</v>
      </c>
      <c r="BG29" s="15" t="n">
        <v>12</v>
      </c>
      <c r="BH29" s="15" t="n">
        <v>0.7058823529411765</v>
      </c>
      <c r="BI29" s="15" t="n">
        <v>17</v>
      </c>
      <c r="BJ29" s="15" t="n">
        <v>12</v>
      </c>
      <c r="BK29" s="15" t="n">
        <v>17</v>
      </c>
      <c r="BL29" s="15" t="n">
        <v>15</v>
      </c>
      <c r="BM29" s="15" t="n">
        <v>0.8823529411764706</v>
      </c>
      <c r="BN29" s="15" t="n">
        <v>0.3111704145472937</v>
      </c>
      <c r="BO29" s="15" t="n">
        <v>0.2916666666666667</v>
      </c>
      <c r="BP29" s="19" t="n">
        <v>0.7651164840436815</v>
      </c>
      <c r="BQ29" s="19" t="n">
        <v>0.2348835159563185</v>
      </c>
      <c r="BR29" s="19" t="n">
        <v>0</v>
      </c>
      <c r="BS29" s="15" t="n">
        <v>0.08953890496759319</v>
      </c>
      <c r="BT29" s="19" t="n">
        <v>1</v>
      </c>
      <c r="BU29" s="19" t="n">
        <v>0</v>
      </c>
      <c r="BV29" s="19" t="n">
        <v>0</v>
      </c>
      <c r="BW29" t="inlineStr">
        <is>
          <t>D6</t>
        </is>
      </c>
      <c r="BX29" t="n">
        <v>86</v>
      </c>
      <c r="BY29" t="inlineStr">
        <is>
          <t>D</t>
        </is>
      </c>
      <c r="BZ29" t="n">
        <v>6</v>
      </c>
      <c r="CA29" t="inlineStr">
        <is>
          <t>Very high</t>
        </is>
      </c>
      <c r="CB29" t="inlineStr">
        <is>
          <t>ff</t>
        </is>
      </c>
      <c r="CC29" s="15" t="n">
        <v>1174.659071669631</v>
      </c>
      <c r="CD29" s="15" t="n">
        <v>1175.394439136516</v>
      </c>
      <c r="CE29" t="inlineStr">
        <is>
          <t>prior_constrained_harmonic_fit</t>
        </is>
      </c>
      <c r="CF29" t="n">
        <v>1175.394439136516</v>
      </c>
      <c r="CG29" s="15" t="n">
        <v>1</v>
      </c>
      <c r="CH29" t="inlineStr">
        <is>
          <t>free_fit_acoustically_verified</t>
        </is>
      </c>
      <c r="CI29" s="15" t="inlineStr">
        <is>
          <t>free_f0_fit</t>
        </is>
      </c>
      <c r="CJ29" s="15" t="n">
        <v>1174.659071669631</v>
      </c>
      <c r="CK29" s="15" t="n">
        <v>1175.394439136516</v>
      </c>
      <c r="CL29" s="15" t="n">
        <v>1.083458936527936</v>
      </c>
      <c r="CM29" s="15" t="n">
        <v>20000</v>
      </c>
      <c r="CN29" s="15" t="n">
        <v>1.083458936527936</v>
      </c>
      <c r="CO29" s="15" t="n">
        <v>2.170825311552833</v>
      </c>
      <c r="CP29" s="15" t="n">
        <v>39997.45304164651</v>
      </c>
      <c r="CQ29" t="n">
        <v>1.131942211368405</v>
      </c>
      <c r="CR29" t="n">
        <v>0.06658483596284732</v>
      </c>
      <c r="CS29" t="n">
        <v>147.0494597119357</v>
      </c>
      <c r="CT29" t="n">
        <v>147.0494597119357</v>
      </c>
      <c r="CU29" t="n">
        <v>166.4514906068576</v>
      </c>
      <c r="CV29" t="n">
        <v>1.077763819691334</v>
      </c>
      <c r="CW29" s="15" t="n">
        <v>39997.45304164651</v>
      </c>
      <c r="CX29" s="15" t="n">
        <v>237.3260600270915</v>
      </c>
      <c r="CY29" s="15" t="n">
        <v>1.077763819691334</v>
      </c>
      <c r="CZ29" s="15" t="n">
        <v>2.415565882333189</v>
      </c>
      <c r="DA29" s="15" t="n">
        <v>2.415565882333189</v>
      </c>
      <c r="DB29" s="15" t="n">
        <v>1.660071770222085</v>
      </c>
      <c r="DC29" s="15" t="n">
        <v>0</v>
      </c>
      <c r="DD29" s="15" t="n">
        <v>6.039299251924947e-05</v>
      </c>
      <c r="DE29" s="15" t="n">
        <v>0</v>
      </c>
      <c r="DF29" s="15" t="n">
        <v>11</v>
      </c>
      <c r="DG29" s="15" t="inlineStr">
        <is>
          <t>Density_Metrics</t>
        </is>
      </c>
      <c r="DH29" s="15" t="n">
        <v>2.170825311552833</v>
      </c>
      <c r="DI29" t="n">
        <v>0.8645142920044473</v>
      </c>
      <c r="DJ29" s="15" t="n">
        <v>0.5334626667921263</v>
      </c>
      <c r="DK29" s="15" t="n">
        <v>4.564144121890408</v>
      </c>
      <c r="DL29" s="15" t="n">
        <v>1.145466525321765</v>
      </c>
      <c r="DM29" s="15" t="n">
        <v>1.012875829807657</v>
      </c>
      <c r="DN29" s="15" t="n">
        <v>8.911858661205851</v>
      </c>
      <c r="DO29" s="15" t="n">
        <v>1.878977742107956</v>
      </c>
      <c r="DP29" s="15" t="n">
        <v>8.3125</v>
      </c>
      <c r="DQ29" s="15" t="n">
        <v>27</v>
      </c>
      <c r="DR29" s="15" t="b">
        <v>1</v>
      </c>
      <c r="DS29" s="15" t="n">
        <v>1.131942211368405</v>
      </c>
      <c r="DT29" s="15" t="n">
        <v>6.861479291401115</v>
      </c>
      <c r="DU29" t="n">
        <v>17</v>
      </c>
      <c r="DV29" s="15" t="n">
        <v>0.08953890496759319</v>
      </c>
      <c r="DW29" s="15" t="n">
        <v>0.9641465001042703</v>
      </c>
      <c r="DX29" s="15" t="n">
        <v>2.235461294240208</v>
      </c>
      <c r="DY29" s="15" t="n">
        <v>0.2015956823867756</v>
      </c>
      <c r="DZ29" s="15" t="b">
        <v>1</v>
      </c>
      <c r="EA29" s="15" t="n">
        <v>0.235296895949002</v>
      </c>
      <c r="EB29" s="15" t="n">
        <v>20000</v>
      </c>
      <c r="EC29" s="15" t="n">
        <v>14104.7332696382</v>
      </c>
      <c r="ED29" s="15" t="n">
        <v>12</v>
      </c>
      <c r="EE29" s="15" t="n">
        <v>0</v>
      </c>
      <c r="EF29" s="15" t="n">
        <v>0.01833144922159691</v>
      </c>
      <c r="EG29" s="15" t="b">
        <v>0</v>
      </c>
      <c r="EH29" s="15" t="b">
        <v>1</v>
      </c>
      <c r="EI29" s="15" t="b">
        <v>0</v>
      </c>
      <c r="EJ29" s="15" t="inlineStr">
        <is>
          <t>wf=log|dst=-90.0|ceil=20000.0|fft=adaptive_tier</t>
        </is>
      </c>
      <c r="EK29" s="15" t="inlineStr">
        <is>
          <t>wf=log|dst=runtime_configured|ceil=runtime_configured|fft=fixed</t>
        </is>
      </c>
      <c r="EL29" s="15" t="n">
        <v>0.7385580904931713</v>
      </c>
      <c r="EM29" s="15" t="n">
        <v>0.9986684145842574</v>
      </c>
      <c r="EN29" s="15" t="n">
        <v>0.6111111111111112</v>
      </c>
      <c r="EO29" s="15" t="n">
        <v>0.3763420752068331</v>
      </c>
      <c r="EP29" s="15" t="inlineStr">
        <is>
          <t>warn:power_outlier_detected</t>
        </is>
      </c>
      <c r="EQ29" s="15" t="n">
        <v>444.1058057423375</v>
      </c>
      <c r="ER29" s="15" t="inlineStr">
        <is>
          <t>winsorize_p95_for_robust_diagnostics</t>
        </is>
      </c>
      <c r="ES29" s="15" t="n">
        <v>0.2010326456490686</v>
      </c>
      <c r="ET29" s="15" t="n">
        <v>0.03008437085796821</v>
      </c>
      <c r="EU29" s="15" t="n">
        <v>0.03718376626666976</v>
      </c>
      <c r="EV29" t="inlineStr">
        <is>
          <t>computed</t>
        </is>
      </c>
      <c r="EW29" s="15" t="inlineStr">
        <is>
          <t>computed</t>
        </is>
      </c>
      <c r="EX29" s="15" t="inlineStr">
        <is>
          <t>computed</t>
        </is>
      </c>
      <c r="EY29" s="15" t="inlineStr">
        <is>
          <t>available_from_curve</t>
        </is>
      </c>
      <c r="EZ29" s="15" t="n">
        <v>20000</v>
      </c>
      <c r="FA29" s="15" t="n">
        <v>20000</v>
      </c>
      <c r="FB29" s="15" t="n">
        <v>0.2348835159563185</v>
      </c>
      <c r="FC29" s="15" t="n">
        <v>0.1037984224149119</v>
      </c>
      <c r="FD29" s="15" t="n">
        <v>2.415565882333189</v>
      </c>
      <c r="FE29" s="15" t="n">
        <v>1.660071770222085</v>
      </c>
      <c r="FF29" s="15" t="n">
        <v>0.4885064693351339</v>
      </c>
      <c r="FG29" s="15" t="n">
        <v>1.826733663820792</v>
      </c>
      <c r="FH29" s="15" t="n">
        <v>0.3188329198247578</v>
      </c>
      <c r="FI29" s="15" t="n">
        <v>0.02525872790728308</v>
      </c>
      <c r="FJ29" s="15" t="n">
        <v>2499.840815102907</v>
      </c>
      <c r="FK29" s="15" t="n">
        <v>14.83287875169322</v>
      </c>
      <c r="FL29" s="15" t="n">
        <v>0.06736023873070839</v>
      </c>
      <c r="FM29" s="15" t="n">
        <v>0.004634364867041195</v>
      </c>
      <c r="FN29" t="n">
        <v>1</v>
      </c>
      <c r="FO29" t="n">
        <v>0</v>
      </c>
      <c r="FP29" t="n">
        <v>0</v>
      </c>
      <c r="FQ29" t="inlineStr">
        <is>
          <t>excellent</t>
        </is>
      </c>
      <c r="FR29" s="19" t="n">
        <v>0.8823529411764706</v>
      </c>
      <c r="FS29" s="15" t="n">
        <v>1.847561416733926</v>
      </c>
      <c r="FT29" s="15" t="n">
        <v>13.10578346216606</v>
      </c>
      <c r="FU29" t="inlineStr">
        <is>
          <t>passed</t>
        </is>
      </c>
      <c r="FV29" t="n">
        <v>64.8387439769774</v>
      </c>
      <c r="FW29" t="n">
        <v>11.17909332248913</v>
      </c>
      <c r="FX29" t="n">
        <v>0.5199215541915064</v>
      </c>
      <c r="FY29" t="n">
        <v>0.186053030364298</v>
      </c>
      <c r="FZ29" t="n">
        <v>0.1799745705867212</v>
      </c>
      <c r="GA29" t="n">
        <v>0.1209577697417362</v>
      </c>
      <c r="GB29" t="n">
        <v>0.03212966554104461</v>
      </c>
      <c r="GC29" t="n">
        <v>0.03205362600508549</v>
      </c>
      <c r="GD29" t="n">
        <v>0.06156938156237068</v>
      </c>
      <c r="GE29" t="n">
        <v>0.7742543516393153</v>
      </c>
      <c r="GF29" t="n">
        <v>0.5094570228780937</v>
      </c>
      <c r="GG29" t="n">
        <v>0.4937941688920028</v>
      </c>
      <c r="GH29" t="n">
        <v>0.1992946440081685</v>
      </c>
      <c r="GI29" t="n">
        <v>0.5745798319327732</v>
      </c>
      <c r="GJ29" t="n">
        <v>0.8627450980392157</v>
      </c>
      <c r="GK29" t="n">
        <v>0.3454545454545455</v>
      </c>
      <c r="GL29" t="n">
        <v>0.8214901358651805</v>
      </c>
      <c r="GM29" t="n">
        <v>0.8214901358651805</v>
      </c>
      <c r="GN29" t="n">
        <v>0.1493864490439174</v>
      </c>
      <c r="GO29" t="n">
        <v>0.156101562244001</v>
      </c>
      <c r="GP29" t="n">
        <v>166.4514906068576</v>
      </c>
      <c r="GQ29" t="inlineStr">
        <is>
          <t>compiled workbook density_weighted_sum = density_component_ratio_weighted_sum (per-note component ratios); research density_weighted_sum maps body-ceiling richness</t>
        </is>
      </c>
      <c r="GR29" s="15" t="inlineStr">
        <is>
          <t>individual_exact</t>
        </is>
      </c>
      <c r="GS29" s="15" t="inlineStr">
        <is>
          <t>density_weight</t>
        </is>
      </c>
      <c r="GT29" s="15" t="n">
        <v>0.8244369073055468</v>
      </c>
      <c r="GU29" s="15" t="n">
        <v>0.1755630926944533</v>
      </c>
      <c r="GV29" s="15" t="n">
        <v>0</v>
      </c>
      <c r="GW29" s="15" t="inlineStr">
        <is>
          <t>log</t>
        </is>
      </c>
      <c r="GX29" s="15" t="n">
        <v>0.5</v>
      </c>
      <c r="GY29" s="15" t="inlineStr">
        <is>
          <t>EWSD-R v18.1</t>
        </is>
      </c>
      <c r="GZ29" s="15" t="n">
        <v>1.368619830123655</v>
      </c>
      <c r="HA29" s="15" t="n">
        <v>9.279941105595125</v>
      </c>
      <c r="HB29" s="15" t="n">
        <v>0.5750129145482028</v>
      </c>
      <c r="HC29" s="15" t="n">
        <v>2.713235542013664</v>
      </c>
      <c r="HD29" s="15" t="n">
        <v>12.72299613835443</v>
      </c>
      <c r="HE29" s="15" t="n">
        <v>0.4706573515424712</v>
      </c>
      <c r="HF29" s="15" t="inlineStr">
        <is>
          <t>partials+ratios</t>
        </is>
      </c>
      <c r="HG29" s="15" t="inlineStr">
        <is>
          <t>merged_individual_exact</t>
        </is>
      </c>
      <c r="HH29" s="15" t="inlineStr">
        <is>
          <t>passed</t>
        </is>
      </c>
      <c r="HI29" s="15" t="inlineStr">
        <is>
          <t>passed</t>
        </is>
      </c>
    </row>
    <row r="30">
      <c r="A30" t="inlineStr">
        <is>
          <t>incomplete_inference</t>
        </is>
      </c>
      <c r="B30" t="inlineStr">
        <is>
          <t>missing_instrument_technique</t>
        </is>
      </c>
      <c r="C30" t="inlineStr">
        <is>
          <t>prior_constrained_harmonic_fit</t>
        </is>
      </c>
      <c r="D30" t="inlineStr">
        <is>
          <t>IOWA_flt_ff.D#6_SustainStable/D#6/component_amplitude_mass_pie.png</t>
        </is>
      </c>
      <c r="E30" t="inlineStr">
        <is>
          <t>IOWA_flt_ff.D#6_SustainStable/D#6/component_energy_ratio_pie.png</t>
        </is>
      </c>
      <c r="F30" s="15" t="n">
        <v>1245.053057264586</v>
      </c>
      <c r="G30" s="15" t="inlineStr">
        <is>
          <t>prior_constrained_harmonic_fit</t>
        </is>
      </c>
      <c r="H30" s="15" t="inlineStr">
        <is>
          <t>fit_accepted_acoustically_verified</t>
        </is>
      </c>
      <c r="I30" s="16" t="n">
        <v>160.1518632881215</v>
      </c>
      <c r="J30" t="inlineStr">
        <is>
          <t>richness_weighted_body_density_body_ceiling</t>
        </is>
      </c>
      <c r="K30" t="inlineStr">
        <is>
          <t>research_body_ceiling_richness_metric</t>
        </is>
      </c>
      <c r="L30" s="15" t="n">
        <v>34203.90724839446</v>
      </c>
      <c r="M30" s="15" t="n">
        <v>34203.90724839446</v>
      </c>
      <c r="N30" s="15" t="n">
        <v>280.0799773090261</v>
      </c>
      <c r="O30" s="15" t="n">
        <v>12.33075185878628</v>
      </c>
      <c r="P30" s="15" t="n">
        <v>-3.711354861033888</v>
      </c>
      <c r="Q30" s="15" t="n">
        <v>11</v>
      </c>
      <c r="R30" s="15" t="n">
        <v>14</v>
      </c>
      <c r="S30" s="15" t="n">
        <v>2137.75160164565</v>
      </c>
      <c r="T30" s="15" t="n">
        <v>17</v>
      </c>
      <c r="U30" s="15" t="n">
        <v>-0.1958300361873611</v>
      </c>
      <c r="V30" s="15" t="n">
        <v>12.87105695107921</v>
      </c>
      <c r="W30" s="15" t="n">
        <v>0.5907408371997199</v>
      </c>
      <c r="X30" s="15" t="n">
        <v>0.4716614087371646</v>
      </c>
      <c r="Y30" s="15" t="n">
        <v>14</v>
      </c>
      <c r="Z30" s="15" t="n">
        <v>16</v>
      </c>
      <c r="AA30" s="15" t="n">
        <v>0.875</v>
      </c>
      <c r="AB30" s="15" t="n">
        <v>16</v>
      </c>
      <c r="AC30" s="15" t="n">
        <v>14</v>
      </c>
      <c r="AD30" s="15" t="n">
        <v>0.875</v>
      </c>
      <c r="AE30" s="15" t="n">
        <v>194.2838436587309</v>
      </c>
      <c r="AF30" s="15" t="n">
        <v>14</v>
      </c>
      <c r="AG30" s="15" t="n">
        <v>16</v>
      </c>
      <c r="AH30" s="15" t="n">
        <v>0.875</v>
      </c>
      <c r="AI30" s="15" t="n">
        <v>194.2838436587309</v>
      </c>
      <c r="AJ30" s="15" t="n">
        <v>7</v>
      </c>
      <c r="AK30" s="15" t="n">
        <v>7</v>
      </c>
      <c r="AL30" s="15" t="n">
        <v>12.08779081435692</v>
      </c>
      <c r="AM30" s="15" t="n">
        <v>51</v>
      </c>
      <c r="AN30" s="15" t="n">
        <v>0</v>
      </c>
      <c r="AO30" s="15" t="n">
        <v>51</v>
      </c>
      <c r="AP30" s="15" t="n">
        <v>0</v>
      </c>
      <c r="AQ30" s="15" t="n">
        <v>21.28685576690079</v>
      </c>
      <c r="AR30" s="15" t="n">
        <v>11.60388612702271</v>
      </c>
      <c r="AS30" s="15" t="n">
        <v>0.296044813241202</v>
      </c>
      <c r="AT30" s="17" t="n">
        <v>2.445246265532942</v>
      </c>
      <c r="AU30" s="18" t="n">
        <v>7.594324386580702</v>
      </c>
      <c r="AV30" s="15" t="n">
        <v>9.632766997571013</v>
      </c>
      <c r="AW30" s="15" t="b">
        <v>1</v>
      </c>
      <c r="AX30" s="15" t="n">
        <v>8.77076337243671</v>
      </c>
      <c r="AY30" s="15" t="n">
        <v>23.15632900910444</v>
      </c>
      <c r="AZ30" s="15" t="n">
        <v>0</v>
      </c>
      <c r="BA30" s="15" t="n">
        <v>1</v>
      </c>
      <c r="BB30" s="15" t="n">
        <v>0.5</v>
      </c>
      <c r="BC30" s="15" t="n">
        <v>0.25</v>
      </c>
      <c r="BD30" s="15" t="inlineStr">
        <is>
          <t>his_note_adaptive</t>
        </is>
      </c>
      <c r="BE30" s="15" t="n">
        <v>-90</v>
      </c>
      <c r="BF30" s="15" t="n">
        <v>20000</v>
      </c>
      <c r="BG30" s="15" t="n">
        <v>14</v>
      </c>
      <c r="BH30" s="15" t="n">
        <v>0.875</v>
      </c>
      <c r="BI30" s="15" t="n">
        <v>16</v>
      </c>
      <c r="BJ30" s="15" t="n">
        <v>14</v>
      </c>
      <c r="BK30" s="15" t="n">
        <v>16</v>
      </c>
      <c r="BL30" s="15" t="n">
        <v>13</v>
      </c>
      <c r="BM30" s="15" t="n">
        <v>0.8125</v>
      </c>
      <c r="BN30" s="15" t="n">
        <v>0.3493040609144789</v>
      </c>
      <c r="BO30" s="15" t="n">
        <v>0.425</v>
      </c>
      <c r="BP30" s="19" t="n">
        <v>0.7626628449006063</v>
      </c>
      <c r="BQ30" s="19" t="n">
        <v>0.2373371550993937</v>
      </c>
      <c r="BR30" s="19" t="n">
        <v>0</v>
      </c>
      <c r="BS30" s="15" t="n">
        <v>0.1322580372069757</v>
      </c>
      <c r="BT30" s="19" t="n">
        <v>1</v>
      </c>
      <c r="BU30" s="19" t="n">
        <v>0</v>
      </c>
      <c r="BV30" s="19" t="n">
        <v>0</v>
      </c>
      <c r="BW30" t="inlineStr">
        <is>
          <t>D#6</t>
        </is>
      </c>
      <c r="BX30" t="n">
        <v>87</v>
      </c>
      <c r="BY30" t="inlineStr">
        <is>
          <t>D#</t>
        </is>
      </c>
      <c r="BZ30" t="n">
        <v>6</v>
      </c>
      <c r="CA30" t="inlineStr">
        <is>
          <t>Very high</t>
        </is>
      </c>
      <c r="CB30" t="inlineStr">
        <is>
          <t>ff</t>
        </is>
      </c>
      <c r="CC30" s="15" t="n">
        <v>1244.507934888323</v>
      </c>
      <c r="CD30" s="15" t="n">
        <v>1245.053057264586</v>
      </c>
      <c r="CE30" t="inlineStr">
        <is>
          <t>prior_constrained_harmonic_fit</t>
        </is>
      </c>
      <c r="CF30" t="n">
        <v>1245.053057264586</v>
      </c>
      <c r="CG30" s="15" t="n">
        <v>1</v>
      </c>
      <c r="CH30" t="inlineStr">
        <is>
          <t>free_fit_acoustically_verified</t>
        </is>
      </c>
      <c r="CI30" s="15" t="inlineStr">
        <is>
          <t>free_f0_fit</t>
        </is>
      </c>
      <c r="CJ30" s="15" t="n">
        <v>1244.507934888323</v>
      </c>
      <c r="CK30" s="15" t="n">
        <v>1245.053057264586</v>
      </c>
      <c r="CL30" s="15" t="n">
        <v>0.7581532942966935</v>
      </c>
      <c r="CM30" s="15" t="n">
        <v>20000</v>
      </c>
      <c r="CN30" s="15" t="n">
        <v>0.7581532942966935</v>
      </c>
      <c r="CO30" s="15" t="n">
        <v>2.227250646453936</v>
      </c>
      <c r="CP30" s="15" t="n">
        <v>34203.90724839446</v>
      </c>
      <c r="CQ30" t="n">
        <v>1.198660629735031</v>
      </c>
      <c r="CR30" t="n">
        <v>0.07491628935843946</v>
      </c>
      <c r="CS30" t="n">
        <v>133.6090126890409</v>
      </c>
      <c r="CT30" t="n">
        <v>133.6090126890409</v>
      </c>
      <c r="CU30" t="n">
        <v>160.1518632881215</v>
      </c>
      <c r="CV30" t="n">
        <v>12.33075185878628</v>
      </c>
      <c r="CW30" s="15" t="n">
        <v>34203.90724839446</v>
      </c>
      <c r="CX30" s="15" t="n">
        <v>280.0799773090261</v>
      </c>
      <c r="CY30" s="15" t="n">
        <v>12.33075185878628</v>
      </c>
      <c r="CZ30" s="15" t="n">
        <v>2.445246265532942</v>
      </c>
      <c r="DA30" s="15" t="n">
        <v>2.445246265532942</v>
      </c>
      <c r="DB30" s="15" t="n">
        <v>1.723604685061958</v>
      </c>
      <c r="DC30" s="15" t="n">
        <v>0</v>
      </c>
      <c r="DD30" s="15" t="n">
        <v>7.149026126679496e-05</v>
      </c>
      <c r="DE30" s="15" t="n">
        <v>0</v>
      </c>
      <c r="DF30" s="15" t="n">
        <v>11</v>
      </c>
      <c r="DG30" s="15" t="inlineStr">
        <is>
          <t>Density_Metrics</t>
        </is>
      </c>
      <c r="DH30" s="15" t="n">
        <v>2.227250646453936</v>
      </c>
      <c r="DI30" t="n">
        <v>0.8869852426578868</v>
      </c>
      <c r="DJ30" s="15" t="n">
        <v>0.5372202706382755</v>
      </c>
      <c r="DK30" s="15" t="n">
        <v>5.078544282127952</v>
      </c>
      <c r="DL30" s="15" t="n">
        <v>1.219228074104327</v>
      </c>
      <c r="DM30" s="15" t="n">
        <v>1.031396037418543</v>
      </c>
      <c r="DN30" s="15" t="n">
        <v>11.22502706557556</v>
      </c>
      <c r="DO30" s="15" t="n">
        <v>1.851094748824757</v>
      </c>
      <c r="DP30" s="15" t="n">
        <v>12.125</v>
      </c>
      <c r="DQ30" s="15" t="n">
        <v>27</v>
      </c>
      <c r="DR30" s="15" t="b">
        <v>0</v>
      </c>
      <c r="DS30" s="15" t="n">
        <v>1.198660629735031</v>
      </c>
      <c r="DT30" s="15" t="n">
        <v>7.546582539794634</v>
      </c>
      <c r="DU30" t="n">
        <v>16</v>
      </c>
      <c r="DV30" s="15" t="n">
        <v>0.1322580372069757</v>
      </c>
      <c r="DW30" s="15" t="n">
        <v>1.123392379564242</v>
      </c>
      <c r="DX30" s="15" t="n">
        <v>2.211992331754134</v>
      </c>
      <c r="DY30" s="15" t="n">
        <v>0.1619915949324242</v>
      </c>
      <c r="DZ30" s="15" t="b">
        <v>1</v>
      </c>
      <c r="EA30" s="15" t="n">
        <v>0.3130440272748415</v>
      </c>
      <c r="EB30" s="15" t="n">
        <v>20000</v>
      </c>
      <c r="EC30" s="15" t="n">
        <v>13695.58362991045</v>
      </c>
      <c r="ED30" s="15" t="n">
        <v>11</v>
      </c>
      <c r="EE30" s="15" t="n">
        <v>0</v>
      </c>
      <c r="EF30" s="15" t="n">
        <v>0.01730258403449416</v>
      </c>
      <c r="EG30" s="15" t="b">
        <v>0</v>
      </c>
      <c r="EH30" s="15" t="b">
        <v>1</v>
      </c>
      <c r="EI30" s="15" t="b">
        <v>0</v>
      </c>
      <c r="EJ30" s="15" t="inlineStr">
        <is>
          <t>wf=log|dst=-90.0|ceil=20000.0|fft=adaptive_tier</t>
        </is>
      </c>
      <c r="EK30" s="15" t="inlineStr">
        <is>
          <t>wf=log|dst=runtime_configured|ceil=runtime_configured|fft=fixed</t>
        </is>
      </c>
      <c r="EL30" s="15" t="n">
        <v>0.7468860940463395</v>
      </c>
      <c r="EM30" s="15" t="n">
        <v>0.9864124506502182</v>
      </c>
      <c r="EN30" s="15" t="n">
        <v>0.6470588235294118</v>
      </c>
      <c r="EO30" s="15" t="n">
        <v>0.382649515092236</v>
      </c>
      <c r="EP30" s="15" t="inlineStr">
        <is>
          <t>warn:power_outlier_detected</t>
        </is>
      </c>
      <c r="EQ30" s="15" t="n">
        <v>400.5419604959038</v>
      </c>
      <c r="ER30" s="15" t="inlineStr">
        <is>
          <t>winsorize_p95_for_robust_diagnostics</t>
        </is>
      </c>
      <c r="ES30" s="15" t="n">
        <v>0.2074195561342805</v>
      </c>
      <c r="ET30" s="15" t="n">
        <v>0.06306035526920972</v>
      </c>
      <c r="EU30" s="15" t="n">
        <v>0.07293005124166994</v>
      </c>
      <c r="EV30" t="inlineStr">
        <is>
          <t>computed</t>
        </is>
      </c>
      <c r="EW30" s="15" t="inlineStr">
        <is>
          <t>computed</t>
        </is>
      </c>
      <c r="EX30" s="15" t="inlineStr">
        <is>
          <t>computed</t>
        </is>
      </c>
      <c r="EY30" s="15" t="inlineStr">
        <is>
          <t>available_from_curve</t>
        </is>
      </c>
      <c r="EZ30" s="15" t="n">
        <v>20000</v>
      </c>
      <c r="FA30" s="15" t="n">
        <v>20000</v>
      </c>
      <c r="FB30" s="15" t="n">
        <v>0.2373371550993937</v>
      </c>
      <c r="FC30" s="15" t="n">
        <v>0.1779145448618064</v>
      </c>
      <c r="FD30" s="15" t="n">
        <v>2.445246265532942</v>
      </c>
      <c r="FE30" s="15" t="n">
        <v>1.723604685061958</v>
      </c>
      <c r="FF30" s="15" t="n">
        <v>0.9096933315330517</v>
      </c>
      <c r="FG30" s="15" t="n">
        <v>1.849178986278203</v>
      </c>
      <c r="FH30" s="15" t="n">
        <v>0.3310350336771392</v>
      </c>
      <c r="FI30" s="15" t="n">
        <v>0.0470366264985933</v>
      </c>
      <c r="FJ30" s="15" t="n">
        <v>2137.744203024654</v>
      </c>
      <c r="FK30" s="15" t="n">
        <v>17.50499858181413</v>
      </c>
      <c r="FL30" s="15" t="n">
        <v>0.7706719911741426</v>
      </c>
      <c r="FM30" s="15" t="n">
        <v>0.004000723351316219</v>
      </c>
      <c r="FN30" t="n">
        <v>1</v>
      </c>
      <c r="FO30" t="n">
        <v>0</v>
      </c>
      <c r="FP30" t="n">
        <v>0</v>
      </c>
      <c r="FQ30" t="inlineStr">
        <is>
          <t>good</t>
        </is>
      </c>
      <c r="FR30" s="19" t="n">
        <v>0.8125</v>
      </c>
      <c r="FS30" s="15" t="n">
        <v>2.750189852910917</v>
      </c>
      <c r="FT30" s="15" t="n">
        <v>12.82280645994277</v>
      </c>
      <c r="FU30" t="inlineStr">
        <is>
          <t>passed</t>
        </is>
      </c>
      <c r="FV30" t="n">
        <v>69.44253698136544</v>
      </c>
      <c r="FW30" t="n">
        <v>12.97953847674317</v>
      </c>
      <c r="FX30" t="n">
        <v>1.780641886388244</v>
      </c>
      <c r="FY30" t="n">
        <v>0.3210500160965548</v>
      </c>
      <c r="FZ30" t="n">
        <v>0.1704611112530189</v>
      </c>
      <c r="GA30" t="n">
        <v>0.4214617491518937</v>
      </c>
      <c r="GB30" t="n">
        <v>0.05021853023460424</v>
      </c>
      <c r="GC30" t="n">
        <v>0.04879408014956729</v>
      </c>
      <c r="GD30" t="n">
        <v>0.1032986784809452</v>
      </c>
      <c r="GE30" t="n">
        <v>0.6169453392687564</v>
      </c>
      <c r="GF30" t="n">
        <v>0.682826279327871</v>
      </c>
      <c r="GG30" t="n">
        <v>0.8175423788943696</v>
      </c>
      <c r="GH30" t="n">
        <v>0.2702146893736226</v>
      </c>
      <c r="GI30" t="n">
        <v>0.8191964285714286</v>
      </c>
      <c r="GJ30" t="n">
        <v>0.5833333333333335</v>
      </c>
      <c r="GK30" t="n">
        <v>0.6363636363636364</v>
      </c>
      <c r="GL30" t="n">
        <v>0.839097653747832</v>
      </c>
      <c r="GM30" t="n">
        <v>0.839097653747832</v>
      </c>
      <c r="GN30" t="n">
        <v>0.2809689620128774</v>
      </c>
      <c r="GO30" t="n">
        <v>0.3092161693770561</v>
      </c>
      <c r="GP30" t="n">
        <v>160.1518632881215</v>
      </c>
      <c r="GQ30" t="inlineStr">
        <is>
          <t>compiled workbook density_weighted_sum = density_component_ratio_weighted_sum (per-note component ratios); research density_weighted_sum maps body-ceiling richness</t>
        </is>
      </c>
      <c r="GR30" s="15" t="inlineStr">
        <is>
          <t>individual_exact</t>
        </is>
      </c>
      <c r="GS30" s="15" t="inlineStr">
        <is>
          <t>density_weight</t>
        </is>
      </c>
      <c r="GT30" s="15" t="n">
        <v>0.8030579522459247</v>
      </c>
      <c r="GU30" s="15" t="n">
        <v>0.1969420477540753</v>
      </c>
      <c r="GV30" s="15" t="n">
        <v>0</v>
      </c>
      <c r="GW30" s="15" t="inlineStr">
        <is>
          <t>log</t>
        </is>
      </c>
      <c r="GX30" s="15" t="n">
        <v>0.5</v>
      </c>
      <c r="GY30" s="15" t="inlineStr">
        <is>
          <t>EWSD-R v18.1</t>
        </is>
      </c>
      <c r="GZ30" s="15" t="n">
        <v>4.585827765078011</v>
      </c>
      <c r="HA30" s="15" t="n">
        <v>14.32268924410197</v>
      </c>
      <c r="HB30" s="15" t="n">
        <v>0.3260174244436646</v>
      </c>
      <c r="HC30" s="15" t="n">
        <v>6.435782125300266</v>
      </c>
      <c r="HD30" s="15" t="n">
        <v>17.08167334106768</v>
      </c>
      <c r="HE30" s="15" t="n">
        <v>0.2938135226271338</v>
      </c>
      <c r="HF30" s="15" t="inlineStr">
        <is>
          <t>partials+ratios</t>
        </is>
      </c>
      <c r="HG30" s="15" t="inlineStr">
        <is>
          <t>merged_individual_exact</t>
        </is>
      </c>
      <c r="HH30" s="15" t="inlineStr">
        <is>
          <t>passed</t>
        </is>
      </c>
      <c r="HI30" s="15" t="inlineStr">
        <is>
          <t>passed</t>
        </is>
      </c>
    </row>
    <row r="31">
      <c r="A31" t="inlineStr">
        <is>
          <t>incomplete_inference</t>
        </is>
      </c>
      <c r="B31" t="inlineStr">
        <is>
          <t>missing_instrument_technique</t>
        </is>
      </c>
      <c r="C31" t="inlineStr">
        <is>
          <t>prior_constrained_harmonic_fit</t>
        </is>
      </c>
      <c r="D31" t="inlineStr">
        <is>
          <t>IOWA_flt_ff.E6_SustainStable/E6/component_amplitude_mass_pie.png</t>
        </is>
      </c>
      <c r="E31" t="inlineStr">
        <is>
          <t>IOWA_flt_ff.E6_SustainStable/E6/component_energy_ratio_pie.png</t>
        </is>
      </c>
      <c r="F31" s="15" t="n">
        <v>1319.384384628971</v>
      </c>
      <c r="G31" s="15" t="inlineStr">
        <is>
          <t>prior_constrained_harmonic_fit</t>
        </is>
      </c>
      <c r="H31" s="15" t="inlineStr">
        <is>
          <t>fit_accepted_acoustically_verified</t>
        </is>
      </c>
      <c r="I31" s="16" t="n">
        <v>166.4316504862004</v>
      </c>
      <c r="J31" t="inlineStr">
        <is>
          <t>richness_weighted_body_density_body_ceiling</t>
        </is>
      </c>
      <c r="K31" t="inlineStr">
        <is>
          <t>research_body_ceiling_richness_metric</t>
        </is>
      </c>
      <c r="L31" s="15" t="n">
        <v>39626.04063238491</v>
      </c>
      <c r="M31" s="15" t="n">
        <v>39626.04063238491</v>
      </c>
      <c r="N31" s="15" t="n">
        <v>125.1831880419873</v>
      </c>
      <c r="O31" s="15" t="n">
        <v>1.173233282202187</v>
      </c>
      <c r="P31" s="15" t="n">
        <v>-4.789972550876769</v>
      </c>
      <c r="Q31" s="15" t="n">
        <v>10</v>
      </c>
      <c r="R31" s="15" t="n">
        <v>13</v>
      </c>
      <c r="S31" s="15" t="n">
        <v>2476.628922135357</v>
      </c>
      <c r="T31" s="15" t="n">
        <v>16</v>
      </c>
      <c r="U31" s="15" t="n">
        <v>-0.4498056832822828</v>
      </c>
      <c r="V31" s="15" t="n">
        <v>8.908205290066473</v>
      </c>
      <c r="W31" s="15" t="n">
        <v>0.885101414526658</v>
      </c>
      <c r="X31" s="15" t="n">
        <v>0.3558617115543669</v>
      </c>
      <c r="Y31" s="15" t="n">
        <v>10</v>
      </c>
      <c r="Z31" s="15" t="n">
        <v>15</v>
      </c>
      <c r="AA31" s="15" t="n">
        <v>0.6666666666666666</v>
      </c>
      <c r="AB31" s="15" t="n">
        <v>15</v>
      </c>
      <c r="AC31" s="15" t="n">
        <v>10</v>
      </c>
      <c r="AD31" s="15" t="n">
        <v>0.6666666666666666</v>
      </c>
      <c r="AE31" s="15" t="n">
        <v>155.0957587591986</v>
      </c>
      <c r="AF31" s="15" t="n">
        <v>10</v>
      </c>
      <c r="AG31" s="15" t="n">
        <v>15</v>
      </c>
      <c r="AH31" s="15" t="n">
        <v>0.6666666666666666</v>
      </c>
      <c r="AI31" s="15" t="n">
        <v>155.0957587591986</v>
      </c>
      <c r="AJ31" s="15" t="n">
        <v>5</v>
      </c>
      <c r="AK31" s="15" t="n">
        <v>5</v>
      </c>
      <c r="AL31" s="15" t="n">
        <v>320.6850637161824</v>
      </c>
      <c r="AM31" s="15" t="n">
        <v>16</v>
      </c>
      <c r="AN31" s="15" t="n">
        <v>0</v>
      </c>
      <c r="AO31" s="15" t="n">
        <v>16</v>
      </c>
      <c r="AP31" s="15" t="n">
        <v>0</v>
      </c>
      <c r="AQ31" s="15" t="n">
        <v>10.68665102466081</v>
      </c>
      <c r="AR31" s="15" t="n">
        <v>5.990206834334469</v>
      </c>
      <c r="AS31" s="15" t="n">
        <v>0</v>
      </c>
      <c r="AT31" s="17" t="n">
        <v>2.349457068816174</v>
      </c>
      <c r="AU31" s="18" t="n">
        <v>2.798727319975407</v>
      </c>
      <c r="AV31" s="15" t="n">
        <v>4.508449951773743</v>
      </c>
      <c r="AW31" s="15" t="b">
        <v>1</v>
      </c>
      <c r="AX31" s="15" t="n">
        <v>5.723422658648422</v>
      </c>
      <c r="AY31" s="15" t="n">
        <v>8.054599627192221</v>
      </c>
      <c r="AZ31" s="15" t="n">
        <v>0</v>
      </c>
      <c r="BA31" s="15" t="n">
        <v>1</v>
      </c>
      <c r="BB31" s="15" t="n">
        <v>0.5</v>
      </c>
      <c r="BC31" s="15" t="n">
        <v>0.25</v>
      </c>
      <c r="BD31" s="15" t="inlineStr">
        <is>
          <t>his_note_adaptive</t>
        </is>
      </c>
      <c r="BE31" s="15" t="n">
        <v>-90</v>
      </c>
      <c r="BF31" s="15" t="n">
        <v>20000</v>
      </c>
      <c r="BG31" s="15" t="n">
        <v>10</v>
      </c>
      <c r="BH31" s="15" t="n">
        <v>0.6666666666666666</v>
      </c>
      <c r="BI31" s="15" t="n">
        <v>15</v>
      </c>
      <c r="BJ31" s="15" t="n">
        <v>10</v>
      </c>
      <c r="BK31" s="15" t="n">
        <v>15</v>
      </c>
      <c r="BL31" s="15" t="n">
        <v>13</v>
      </c>
      <c r="BM31" s="15" t="n">
        <v>0.8666666666666667</v>
      </c>
      <c r="BN31" s="15" t="n">
        <v>0.3029715648503812</v>
      </c>
      <c r="BO31" s="15" t="n">
        <v>0.1333333333333333</v>
      </c>
      <c r="BP31" s="19" t="n">
        <v>0.7402408148559313</v>
      </c>
      <c r="BQ31" s="19" t="n">
        <v>0.2597591851440686</v>
      </c>
      <c r="BR31" s="19" t="n">
        <v>0</v>
      </c>
      <c r="BS31" s="15" t="n">
        <v>0.04678823070023485</v>
      </c>
      <c r="BT31" s="19" t="n">
        <v>1</v>
      </c>
      <c r="BU31" s="19" t="n">
        <v>0</v>
      </c>
      <c r="BV31" s="19" t="n">
        <v>0</v>
      </c>
      <c r="BW31" t="inlineStr">
        <is>
          <t>E6</t>
        </is>
      </c>
      <c r="BX31" t="n">
        <v>88</v>
      </c>
      <c r="BY31" t="inlineStr">
        <is>
          <t>E</t>
        </is>
      </c>
      <c r="BZ31" t="n">
        <v>6</v>
      </c>
      <c r="CA31" t="inlineStr">
        <is>
          <t>Very high</t>
        </is>
      </c>
      <c r="CB31" t="inlineStr">
        <is>
          <t>ff</t>
        </is>
      </c>
      <c r="CC31" s="15" t="n">
        <v>1318.510227651479</v>
      </c>
      <c r="CD31" s="15" t="n">
        <v>1319.384384628971</v>
      </c>
      <c r="CE31" t="inlineStr">
        <is>
          <t>prior_constrained_harmonic_fit</t>
        </is>
      </c>
      <c r="CF31" t="n">
        <v>1319.384384628971</v>
      </c>
      <c r="CG31" s="15" t="n">
        <v>1</v>
      </c>
      <c r="CH31" t="inlineStr">
        <is>
          <t>free_fit_acoustically_verified</t>
        </is>
      </c>
      <c r="CI31" s="15" t="inlineStr">
        <is>
          <t>free_f0_fit</t>
        </is>
      </c>
      <c r="CJ31" s="15" t="n">
        <v>1318.510227651479</v>
      </c>
      <c r="CK31" s="15" t="n">
        <v>1319.384384628971</v>
      </c>
      <c r="CL31" s="15" t="n">
        <v>1.14740776376324</v>
      </c>
      <c r="CM31" s="15" t="n">
        <v>20000</v>
      </c>
      <c r="CN31" s="15" t="n">
        <v>1.14740776376324</v>
      </c>
      <c r="CO31" s="15" t="n">
        <v>2.093059837822244</v>
      </c>
      <c r="CP31" s="15" t="n">
        <v>39626.04063238491</v>
      </c>
      <c r="CQ31" t="n">
        <v>1.008013808072554</v>
      </c>
      <c r="CR31" t="n">
        <v>0.06720092053817028</v>
      </c>
      <c r="CS31" t="n">
        <v>165.1085026349371</v>
      </c>
      <c r="CT31" t="n">
        <v>165.1085026349371</v>
      </c>
      <c r="CU31" t="n">
        <v>166.4316504862004</v>
      </c>
      <c r="CV31" t="n">
        <v>1.173233282202187</v>
      </c>
      <c r="CW31" s="15" t="n">
        <v>39626.04063238491</v>
      </c>
      <c r="CX31" s="15" t="n">
        <v>125.1831880419873</v>
      </c>
      <c r="CY31" s="15" t="n">
        <v>1.173233282202187</v>
      </c>
      <c r="CZ31" s="15" t="n">
        <v>2.349457068816174</v>
      </c>
      <c r="DA31" s="15" t="n">
        <v>2.349457068816174</v>
      </c>
      <c r="DB31" s="15" t="n">
        <v>1.514126313776892</v>
      </c>
      <c r="DC31" s="15" t="n">
        <v>0</v>
      </c>
      <c r="DD31" s="15" t="n">
        <v>5.929073486327698e-05</v>
      </c>
      <c r="DE31" s="15" t="n">
        <v>0</v>
      </c>
      <c r="DF31" s="15" t="n">
        <v>10</v>
      </c>
      <c r="DG31" s="15" t="inlineStr">
        <is>
          <t>Density_Metrics</t>
        </is>
      </c>
      <c r="DH31" s="15" t="n">
        <v>2.093059837822244</v>
      </c>
      <c r="DI31" t="n">
        <v>0.8335447970815695</v>
      </c>
      <c r="DJ31" s="15" t="n">
        <v>0.5249744156557876</v>
      </c>
      <c r="DK31" s="15" t="n">
        <v>4.357089638754262</v>
      </c>
      <c r="DL31" s="15" t="n">
        <v>1.014450348667132</v>
      </c>
      <c r="DM31" s="15" t="n">
        <v>1.006503931010124</v>
      </c>
      <c r="DN31" s="15" t="n">
        <v>8.664659785710709</v>
      </c>
      <c r="DO31" s="15" t="n">
        <v>2.395068340014863</v>
      </c>
      <c r="DP31" s="15" t="n">
        <v>16.25</v>
      </c>
      <c r="DQ31" s="15" t="n">
        <v>25</v>
      </c>
      <c r="DR31" s="15" t="b">
        <v>0</v>
      </c>
      <c r="DS31" s="15" t="n">
        <v>1.008013808072554</v>
      </c>
      <c r="DT31" s="15" t="n">
        <v>5.337925673315504</v>
      </c>
      <c r="DU31" t="n">
        <v>15</v>
      </c>
      <c r="DV31" s="15" t="n">
        <v>0.04678823070023485</v>
      </c>
      <c r="DW31" s="15" t="n">
        <v>0.8267423669910758</v>
      </c>
      <c r="DX31" s="15" t="n">
        <v>2.192360678357275</v>
      </c>
      <c r="DY31" s="15" t="n">
        <v>0.2693981850908266</v>
      </c>
      <c r="DZ31" s="15" t="b">
        <v>1</v>
      </c>
      <c r="EA31" s="15" t="n">
        <v>0.1437202926716826</v>
      </c>
      <c r="EB31" s="15" t="n">
        <v>20000</v>
      </c>
      <c r="EC31" s="15" t="n">
        <v>13193.84384628971</v>
      </c>
      <c r="ED31" s="15" t="n">
        <v>10</v>
      </c>
      <c r="EE31" s="15" t="n">
        <v>0</v>
      </c>
      <c r="EF31" s="15" t="n">
        <v>0.01633146461317542</v>
      </c>
      <c r="EG31" s="15" t="b">
        <v>0</v>
      </c>
      <c r="EH31" s="15" t="b">
        <v>1</v>
      </c>
      <c r="EI31" s="15" t="b">
        <v>0</v>
      </c>
      <c r="EJ31" s="15" t="inlineStr">
        <is>
          <t>wf=log|dst=-90.0|ceil=20000.0|fft=adaptive_tier</t>
        </is>
      </c>
      <c r="EK31" s="15" t="inlineStr">
        <is>
          <t>wf=log|dst=runtime_configured|ceil=runtime_configured|fft=fixed</t>
        </is>
      </c>
      <c r="EL31" s="15" t="n">
        <v>0.7431459455319903</v>
      </c>
      <c r="EM31" s="15" t="n">
        <v>0.9986823643798493</v>
      </c>
      <c r="EN31" s="15" t="n">
        <v>0.625</v>
      </c>
      <c r="EO31" s="15" t="n">
        <v>0.3749444078052905</v>
      </c>
      <c r="EP31" s="15" t="inlineStr">
        <is>
          <t>warn:power_outlier_detected</t>
        </is>
      </c>
      <c r="EQ31" s="15" t="n">
        <v>454.5816451553585</v>
      </c>
      <c r="ER31" s="15" t="inlineStr">
        <is>
          <t>winsorize_p95_for_robust_diagnostics</t>
        </is>
      </c>
      <c r="ES31" s="15" t="n">
        <v>0.1783091333265888</v>
      </c>
      <c r="ET31" s="15" t="n">
        <v>0.02162072880114897</v>
      </c>
      <c r="EU31" s="15" t="n">
        <v>0.02424795837605614</v>
      </c>
      <c r="EV31" t="inlineStr">
        <is>
          <t>computed</t>
        </is>
      </c>
      <c r="EW31" s="15" t="inlineStr">
        <is>
          <t>computed</t>
        </is>
      </c>
      <c r="EX31" s="15" t="inlineStr">
        <is>
          <t>computed</t>
        </is>
      </c>
      <c r="EY31" s="15" t="inlineStr">
        <is>
          <t>available_from_curve</t>
        </is>
      </c>
      <c r="EZ31" s="15" t="n">
        <v>20000</v>
      </c>
      <c r="FA31" s="15" t="n">
        <v>20000</v>
      </c>
      <c r="FB31" s="15" t="n">
        <v>0.2597591851440686</v>
      </c>
      <c r="FC31" s="15" t="n">
        <v>0.01965392555568564</v>
      </c>
      <c r="FD31" s="15" t="n">
        <v>2.349457068816174</v>
      </c>
      <c r="FE31" s="15" t="n">
        <v>1.514126313776892</v>
      </c>
      <c r="FF31" s="15" t="n">
        <v>0.4935062561611958</v>
      </c>
      <c r="FG31" s="15" t="n">
        <v>1.776739914525849</v>
      </c>
      <c r="FH31" s="15" t="n">
        <v>0.2908026762845324</v>
      </c>
      <c r="FI31" s="15" t="n">
        <v>0.0255172470118628</v>
      </c>
      <c r="FJ31" s="15" t="n">
        <v>2476.627539524057</v>
      </c>
      <c r="FK31" s="15" t="n">
        <v>7.823949252624206</v>
      </c>
      <c r="FL31" s="15" t="n">
        <v>0.07332708013763671</v>
      </c>
      <c r="FM31" s="15" t="n">
        <v>0.004526978446348908</v>
      </c>
      <c r="FN31" t="n">
        <v>1</v>
      </c>
      <c r="FO31" t="n">
        <v>0</v>
      </c>
      <c r="FP31" t="n">
        <v>0</v>
      </c>
      <c r="FQ31" t="inlineStr">
        <is>
          <t>excellent</t>
        </is>
      </c>
      <c r="FR31" s="19" t="n">
        <v>0.8666666666666667</v>
      </c>
      <c r="FS31" s="15" t="n">
        <v>1.355600382285042</v>
      </c>
      <c r="FT31" s="15" t="n">
        <v>11.11293015952705</v>
      </c>
      <c r="FU31" t="inlineStr">
        <is>
          <t>passed</t>
        </is>
      </c>
      <c r="FV31" t="n">
        <v>55.64810401621489</v>
      </c>
      <c r="FW31" t="n">
        <v>7.917070836917818</v>
      </c>
      <c r="FX31" t="n">
        <v>0.5288364433191333</v>
      </c>
      <c r="FY31" t="n">
        <v>0</v>
      </c>
      <c r="FZ31" t="n">
        <v>0.1799446087855704</v>
      </c>
      <c r="GA31" t="n">
        <v>0</v>
      </c>
      <c r="GB31" t="n">
        <v>0</v>
      </c>
      <c r="GC31" t="n">
        <v>0.0009584981024311337</v>
      </c>
      <c r="GD31" t="n">
        <v>0.008375488356585681</v>
      </c>
      <c r="GE31" t="n">
        <v>0.9476918755176742</v>
      </c>
      <c r="GF31" t="n">
        <v>0.3877845665154174</v>
      </c>
      <c r="GG31" t="n">
        <v>0.1698069166956189</v>
      </c>
      <c r="GH31" t="n">
        <v>0.1495166411206731</v>
      </c>
      <c r="GI31" t="n">
        <v>0.5178571428571428</v>
      </c>
      <c r="GJ31" t="n">
        <v>0.8000000000000003</v>
      </c>
      <c r="GK31" t="n">
        <v>0</v>
      </c>
      <c r="GL31" t="n">
        <v>1</v>
      </c>
      <c r="GM31" t="n">
        <v>1</v>
      </c>
      <c r="GN31" t="n">
        <v>0</v>
      </c>
      <c r="GO31" t="n">
        <v>0</v>
      </c>
      <c r="GP31" t="n">
        <v>166.4316504862004</v>
      </c>
      <c r="GQ31" t="inlineStr">
        <is>
          <t>compiled workbook density_weighted_sum = density_component_ratio_weighted_sum (per-note component ratios); research density_weighted_sum maps body-ceiling richness</t>
        </is>
      </c>
      <c r="GR31" s="15" t="inlineStr">
        <is>
          <t>individual_exact</t>
        </is>
      </c>
      <c r="GS31" s="15" t="inlineStr">
        <is>
          <t>density_weight</t>
        </is>
      </c>
      <c r="GT31" s="15" t="n">
        <v>0.8855581625565317</v>
      </c>
      <c r="GU31" s="15" t="n">
        <v>0.1144418374434682</v>
      </c>
      <c r="GV31" s="15" t="n">
        <v>0</v>
      </c>
      <c r="GW31" s="15" t="inlineStr">
        <is>
          <t>log</t>
        </is>
      </c>
      <c r="GX31" s="15" t="n">
        <v>0.5</v>
      </c>
      <c r="GY31" s="15" t="inlineStr">
        <is>
          <t>EWSD-R v18.1</t>
        </is>
      </c>
      <c r="GZ31" s="15" t="n">
        <v>1.4626203933068</v>
      </c>
      <c r="HA31" s="15" t="n">
        <v>7.112576199779087</v>
      </c>
      <c r="HB31" s="15" t="n">
        <v>0.580128776414725</v>
      </c>
      <c r="HC31" s="15" t="n">
        <v>2.910682371988565</v>
      </c>
      <c r="HD31" s="15" t="n">
        <v>10.31575516081659</v>
      </c>
      <c r="HE31" s="15" t="n">
        <v>0.463699488951918</v>
      </c>
      <c r="HF31" s="15" t="inlineStr">
        <is>
          <t>partials+ratios</t>
        </is>
      </c>
      <c r="HG31" s="15" t="inlineStr">
        <is>
          <t>merged_individual_exact</t>
        </is>
      </c>
      <c r="HH31" s="15" t="inlineStr">
        <is>
          <t>passed</t>
        </is>
      </c>
      <c r="HI31" s="15" t="inlineStr">
        <is>
          <t>passed</t>
        </is>
      </c>
    </row>
    <row r="32">
      <c r="A32" t="inlineStr">
        <is>
          <t>incomplete_inference</t>
        </is>
      </c>
      <c r="B32" t="inlineStr">
        <is>
          <t>missing_instrument_technique</t>
        </is>
      </c>
      <c r="C32" t="inlineStr">
        <is>
          <t>prior_constrained_harmonic_fit</t>
        </is>
      </c>
      <c r="D32" t="inlineStr">
        <is>
          <t>IOWA_flt_ff.F6_SustainStable/F6/component_amplitude_mass_pie.png</t>
        </is>
      </c>
      <c r="E32" t="inlineStr">
        <is>
          <t>IOWA_flt_ff.F6_SustainStable/F6/component_energy_ratio_pie.png</t>
        </is>
      </c>
      <c r="F32" s="15" t="n">
        <v>1397.064680462639</v>
      </c>
      <c r="G32" s="15" t="inlineStr">
        <is>
          <t>prior_constrained_harmonic_fit</t>
        </is>
      </c>
      <c r="H32" s="15" t="inlineStr">
        <is>
          <t>fit_accepted_acoustically_verified</t>
        </is>
      </c>
      <c r="I32" s="16" t="n">
        <v>47.27583832552474</v>
      </c>
      <c r="J32" t="inlineStr">
        <is>
          <t>richness_weighted_body_density_body_ceiling</t>
        </is>
      </c>
      <c r="K32" t="inlineStr">
        <is>
          <t>research_body_ceiling_richness_metric</t>
        </is>
      </c>
      <c r="L32" s="15" t="n">
        <v>40785.11402466198</v>
      </c>
      <c r="M32" s="15" t="n">
        <v>40785.11402466198</v>
      </c>
      <c r="N32" s="15" t="n">
        <v>823.2580854849967</v>
      </c>
      <c r="O32" s="15" t="n">
        <v>0.9724081018753417</v>
      </c>
      <c r="P32" s="15" t="n">
        <v>-5.078524265574257</v>
      </c>
      <c r="Q32" s="15" t="n">
        <v>10</v>
      </c>
      <c r="R32" s="15" t="n">
        <v>12</v>
      </c>
      <c r="S32" s="15" t="n">
        <v>637.2677141687416</v>
      </c>
      <c r="T32" s="15" t="n">
        <v>15</v>
      </c>
      <c r="U32" s="15" t="n">
        <v>-0.6255277885324901</v>
      </c>
      <c r="V32" s="15" t="n">
        <v>9.421853751828923</v>
      </c>
      <c r="W32" s="15" t="n">
        <v>0.8221826241221158</v>
      </c>
      <c r="X32" s="15" t="n">
        <v>0.2652295153468909</v>
      </c>
      <c r="Y32" s="15" t="n">
        <v>11</v>
      </c>
      <c r="Z32" s="15" t="n">
        <v>14</v>
      </c>
      <c r="AA32" s="15" t="n">
        <v>0.7857142857142857</v>
      </c>
      <c r="AB32" s="15" t="n">
        <v>14</v>
      </c>
      <c r="AC32" s="15" t="n">
        <v>11</v>
      </c>
      <c r="AD32" s="15" t="n">
        <v>0.7857142857142857</v>
      </c>
      <c r="AE32" s="15" t="n">
        <v>84.37384670417521</v>
      </c>
      <c r="AF32" s="15" t="n">
        <v>11</v>
      </c>
      <c r="AG32" s="15" t="n">
        <v>14</v>
      </c>
      <c r="AH32" s="15" t="n">
        <v>0.7857142857142857</v>
      </c>
      <c r="AI32" s="15" t="n">
        <v>84.37384670417521</v>
      </c>
      <c r="AJ32" s="15" t="n">
        <v>6</v>
      </c>
      <c r="AK32" s="15" t="n">
        <v>5</v>
      </c>
      <c r="AL32" s="15" t="n">
        <v>55.21168087936117</v>
      </c>
      <c r="AM32" s="15" t="n">
        <v>28</v>
      </c>
      <c r="AN32" s="15" t="n">
        <v>0</v>
      </c>
      <c r="AO32" s="15" t="n">
        <v>28</v>
      </c>
      <c r="AP32" s="15" t="n">
        <v>0</v>
      </c>
      <c r="AQ32" s="15" t="n">
        <v>13.31903461875918</v>
      </c>
      <c r="AR32" s="15" t="n">
        <v>7.240308105925933</v>
      </c>
      <c r="AS32" s="15" t="n">
        <v>0.0659257464107216</v>
      </c>
      <c r="AT32" s="17" t="n">
        <v>2.385595499285407</v>
      </c>
      <c r="AU32" s="18" t="n">
        <v>2.281553686534194</v>
      </c>
      <c r="AV32" s="15" t="n">
        <v>3.711923447763497</v>
      </c>
      <c r="AW32" s="15" t="b">
        <v>1</v>
      </c>
      <c r="AX32" s="15" t="n">
        <v>6.203266010580546</v>
      </c>
      <c r="AY32" s="15" t="n">
        <v>13.80544472678465</v>
      </c>
      <c r="AZ32" s="15" t="n">
        <v>0</v>
      </c>
      <c r="BA32" s="15" t="n">
        <v>1</v>
      </c>
      <c r="BB32" s="15" t="n">
        <v>0.5</v>
      </c>
      <c r="BC32" s="15" t="n">
        <v>0.25</v>
      </c>
      <c r="BD32" s="15" t="inlineStr">
        <is>
          <t>his_note_adaptive</t>
        </is>
      </c>
      <c r="BE32" s="15" t="n">
        <v>-90</v>
      </c>
      <c r="BF32" s="15" t="n">
        <v>20000</v>
      </c>
      <c r="BG32" s="15" t="n">
        <v>11</v>
      </c>
      <c r="BH32" s="15" t="n">
        <v>0.7857142857142857</v>
      </c>
      <c r="BI32" s="15" t="n">
        <v>14</v>
      </c>
      <c r="BJ32" s="15" t="n">
        <v>11</v>
      </c>
      <c r="BK32" s="15" t="n">
        <v>14</v>
      </c>
      <c r="BL32" s="15" t="n">
        <v>12</v>
      </c>
      <c r="BM32" s="15" t="n">
        <v>0.8571428571428571</v>
      </c>
      <c r="BN32" s="15" t="n">
        <v>0.2236429459069084</v>
      </c>
      <c r="BO32" s="15" t="n">
        <v>0.2333333333333333</v>
      </c>
      <c r="BP32" s="19" t="n">
        <v>0.7643460870034005</v>
      </c>
      <c r="BQ32" s="19" t="n">
        <v>0.2356539129965995</v>
      </c>
      <c r="BR32" s="19" t="n">
        <v>0</v>
      </c>
      <c r="BS32" s="15" t="n">
        <v>0.07193850268549261</v>
      </c>
      <c r="BT32" s="19" t="n">
        <v>1</v>
      </c>
      <c r="BU32" s="19" t="n">
        <v>0</v>
      </c>
      <c r="BV32" s="19" t="n">
        <v>0</v>
      </c>
      <c r="BW32" t="inlineStr">
        <is>
          <t>F6</t>
        </is>
      </c>
      <c r="BX32" t="n">
        <v>89</v>
      </c>
      <c r="BY32" t="inlineStr">
        <is>
          <t>F</t>
        </is>
      </c>
      <c r="BZ32" t="n">
        <v>6</v>
      </c>
      <c r="CA32" t="inlineStr">
        <is>
          <t>Very high</t>
        </is>
      </c>
      <c r="CB32" t="inlineStr">
        <is>
          <t>ff</t>
        </is>
      </c>
      <c r="CC32" s="15" t="n">
        <v>1396.912925732016</v>
      </c>
      <c r="CD32" s="15" t="n">
        <v>1397.064680462639</v>
      </c>
      <c r="CE32" t="inlineStr">
        <is>
          <t>prior_constrained_harmonic_fit</t>
        </is>
      </c>
      <c r="CF32" t="n">
        <v>1397.064680462639</v>
      </c>
      <c r="CG32" s="15" t="n">
        <v>1</v>
      </c>
      <c r="CH32" t="inlineStr">
        <is>
          <t>free_fit_acoustically_verified</t>
        </is>
      </c>
      <c r="CI32" s="15" t="inlineStr">
        <is>
          <t>free_f0_fit</t>
        </is>
      </c>
      <c r="CJ32" s="15" t="n">
        <v>1396.912925732016</v>
      </c>
      <c r="CK32" s="15" t="n">
        <v>1397.064680462639</v>
      </c>
      <c r="CL32" s="15" t="n">
        <v>0.1880637528642516</v>
      </c>
      <c r="CM32" s="15" t="n">
        <v>20000</v>
      </c>
      <c r="CN32" s="15" t="n">
        <v>0.1880637528642516</v>
      </c>
      <c r="CO32" s="15" t="n">
        <v>2.184308700116403</v>
      </c>
      <c r="CP32" s="15" t="n">
        <v>40785.11402466198</v>
      </c>
      <c r="CQ32" t="n">
        <v>1.038593421954304</v>
      </c>
      <c r="CR32" t="n">
        <v>0.07418524442530743</v>
      </c>
      <c r="CS32" t="n">
        <v>45.51910047395311</v>
      </c>
      <c r="CT32" t="n">
        <v>45.51910047395311</v>
      </c>
      <c r="CU32" t="n">
        <v>47.27583832552474</v>
      </c>
      <c r="CV32" t="n">
        <v>0.9724081018753417</v>
      </c>
      <c r="CW32" s="15" t="n">
        <v>40785.11402466198</v>
      </c>
      <c r="CX32" s="15" t="n">
        <v>823.2580854849967</v>
      </c>
      <c r="CY32" s="15" t="n">
        <v>0.9724081018753417</v>
      </c>
      <c r="CZ32" s="15" t="n">
        <v>2.385595499285407</v>
      </c>
      <c r="DA32" s="15" t="n">
        <v>2.385595499285407</v>
      </c>
      <c r="DB32" s="15" t="n">
        <v>1.878831645628529</v>
      </c>
      <c r="DC32" s="15" t="n">
        <v>0</v>
      </c>
      <c r="DD32" s="15" t="n">
        <v>5.849181880043005e-05</v>
      </c>
      <c r="DE32" s="15" t="n">
        <v>0</v>
      </c>
      <c r="DF32" s="15" t="n">
        <v>10</v>
      </c>
      <c r="DG32" s="15" t="inlineStr">
        <is>
          <t>Density_Metrics</t>
        </is>
      </c>
      <c r="DH32" s="15" t="n">
        <v>2.184308700116403</v>
      </c>
      <c r="DI32" t="n">
        <v>0.8698839466034707</v>
      </c>
      <c r="DJ32" s="15" t="n">
        <v>0.5296350686806952</v>
      </c>
      <c r="DK32" s="15" t="n">
        <v>4.639466342424018</v>
      </c>
      <c r="DL32" s="15" t="n">
        <v>1.080878207410888</v>
      </c>
      <c r="DM32" s="15" t="n">
        <v>1.030549659861366</v>
      </c>
      <c r="DN32" s="15" t="n">
        <v>7.03185532817615</v>
      </c>
      <c r="DO32" s="15" t="n">
        <v>1.697029085080727</v>
      </c>
      <c r="DP32" s="15" t="n">
        <v>29.25</v>
      </c>
      <c r="DQ32" s="15" t="n">
        <v>22</v>
      </c>
      <c r="DR32" s="15" t="b">
        <v>0</v>
      </c>
      <c r="DS32" s="15" t="n">
        <v>1.038593421954304</v>
      </c>
      <c r="DT32" s="15" t="n">
        <v>3.713213214856472</v>
      </c>
      <c r="DU32" t="n">
        <v>14</v>
      </c>
      <c r="DV32" s="15" t="n">
        <v>0.07193850268549261</v>
      </c>
      <c r="DW32" s="15" t="n">
        <v>0.830620688003903</v>
      </c>
      <c r="DX32" s="15" t="n">
        <v>1.908502984905005</v>
      </c>
      <c r="DY32" s="15" t="n">
        <v>0.2238356151629198</v>
      </c>
      <c r="DZ32" s="15" t="b">
        <v>1</v>
      </c>
      <c r="EA32" s="15" t="n">
        <v>0.08281384719254128</v>
      </c>
      <c r="EB32" s="15" t="n">
        <v>20000</v>
      </c>
      <c r="EC32" s="15" t="n">
        <v>13970.64680462639</v>
      </c>
      <c r="ED32" s="15" t="n">
        <v>10</v>
      </c>
      <c r="EE32" s="15" t="n">
        <v>0</v>
      </c>
      <c r="EF32" s="15" t="n">
        <v>0.03082969987369268</v>
      </c>
      <c r="EG32" s="15" t="b">
        <v>0</v>
      </c>
      <c r="EH32" s="15" t="b">
        <v>1</v>
      </c>
      <c r="EI32" s="15" t="b">
        <v>0</v>
      </c>
      <c r="EJ32" s="15" t="inlineStr">
        <is>
          <t>wf=log|dst=-90.0|ceil=20000.0|fft=adaptive_tier</t>
        </is>
      </c>
      <c r="EK32" s="15" t="inlineStr">
        <is>
          <t>wf=log|dst=runtime_configured|ceil=runtime_configured|fft=fixed</t>
        </is>
      </c>
      <c r="EL32" s="15" t="n">
        <v>0.7659212700629591</v>
      </c>
      <c r="EM32" s="15" t="n">
        <v>0.9963266202307264</v>
      </c>
      <c r="EN32" s="15" t="n">
        <v>0.6666666666666666</v>
      </c>
      <c r="EO32" s="15" t="n">
        <v>0.4212047881289941</v>
      </c>
      <c r="EP32" s="15" t="inlineStr">
        <is>
          <t>warn:power_outlier_detected</t>
        </is>
      </c>
      <c r="EQ32" s="15" t="n">
        <v>226.6693685193777</v>
      </c>
      <c r="ER32" s="15" t="inlineStr">
        <is>
          <t>winsorize_p95_for_robust_diagnostics</t>
        </is>
      </c>
      <c r="ES32" s="15" t="n">
        <v>0.1223304746627301</v>
      </c>
      <c r="ET32" s="15" t="n">
        <v>0.0161754060295792</v>
      </c>
      <c r="EU32" s="15" t="n">
        <v>0.01962602323776967</v>
      </c>
      <c r="EV32" t="inlineStr">
        <is>
          <t>computed</t>
        </is>
      </c>
      <c r="EW32" s="15" t="inlineStr">
        <is>
          <t>computed</t>
        </is>
      </c>
      <c r="EX32" s="15" t="inlineStr">
        <is>
          <t>computed</t>
        </is>
      </c>
      <c r="EY32" s="15" t="inlineStr">
        <is>
          <t>available_from_curve</t>
        </is>
      </c>
      <c r="EZ32" s="15" t="n">
        <v>20000</v>
      </c>
      <c r="FA32" s="15" t="n">
        <v>20000</v>
      </c>
      <c r="FB32" s="15" t="n">
        <v>0.2356539129965995</v>
      </c>
      <c r="FC32" s="15" t="n">
        <v>0.0692707325743098</v>
      </c>
      <c r="FD32" s="15" t="n">
        <v>2.385595499285407</v>
      </c>
      <c r="FE32" s="15" t="n">
        <v>1.878831645628529</v>
      </c>
      <c r="FF32" s="15" t="n">
        <v>0.375039197510082</v>
      </c>
      <c r="FG32" s="15" t="n">
        <v>1.804069033544549</v>
      </c>
      <c r="FH32" s="15" t="n">
        <v>0.3608478803026445</v>
      </c>
      <c r="FI32" s="15" t="n">
        <v>0.01939178626920929</v>
      </c>
      <c r="FJ32" s="15" t="n">
        <v>637.2674066353435</v>
      </c>
      <c r="FK32" s="15" t="n">
        <v>12.86340758570307</v>
      </c>
      <c r="FL32" s="15" t="n">
        <v>0.01519387659180221</v>
      </c>
      <c r="FM32" s="15" t="n">
        <v>0.004769387524060254</v>
      </c>
      <c r="FN32" t="n">
        <v>1</v>
      </c>
      <c r="FO32" t="n">
        <v>0</v>
      </c>
      <c r="FP32" t="n">
        <v>0</v>
      </c>
      <c r="FQ32" t="inlineStr">
        <is>
          <t>excellent</t>
        </is>
      </c>
      <c r="FR32" s="19" t="n">
        <v>0.8571428571428571</v>
      </c>
      <c r="FS32" s="15" t="n">
        <v>1.365362134886623</v>
      </c>
      <c r="FT32" s="15" t="n">
        <v>3.210898050383571</v>
      </c>
      <c r="FU32" t="inlineStr">
        <is>
          <t>passed</t>
        </is>
      </c>
      <c r="FV32" t="n">
        <v>30.24924644288937</v>
      </c>
      <c r="FW32" t="n">
        <v>9.33174456757698</v>
      </c>
      <c r="FX32" t="n">
        <v>0.171448468135369</v>
      </c>
      <c r="FY32" t="n">
        <v>0.2183118874314126</v>
      </c>
      <c r="FZ32" t="n">
        <v>0</v>
      </c>
      <c r="GA32" t="n">
        <v>0.1649597525519803</v>
      </c>
      <c r="GB32" t="n">
        <v>0.01629039206105671</v>
      </c>
      <c r="GC32" t="n">
        <v>0.00863129126024176</v>
      </c>
      <c r="GD32" t="n">
        <v>0.02067904013285924</v>
      </c>
      <c r="GE32" t="n">
        <v>0.876995683180204</v>
      </c>
      <c r="GF32" t="n">
        <v>0.1568661871452472</v>
      </c>
      <c r="GG32" t="n">
        <v>0.3604089984671554</v>
      </c>
      <c r="GH32" t="n">
        <v>0.06600739375306</v>
      </c>
      <c r="GI32" t="n">
        <v>0.6900510204081632</v>
      </c>
      <c r="GJ32" t="n">
        <v>0.7619047619047619</v>
      </c>
      <c r="GK32" t="n">
        <v>0.2181818181818182</v>
      </c>
      <c r="GL32" t="n">
        <v>0.8270185688875236</v>
      </c>
      <c r="GM32" t="n">
        <v>0.8270185688875236</v>
      </c>
      <c r="GN32" t="n">
        <v>0.08808750292737491</v>
      </c>
      <c r="GO32" t="n">
        <v>0.07678866503913397</v>
      </c>
      <c r="GP32" t="n">
        <v>47.27583832552474</v>
      </c>
      <c r="GQ32" t="inlineStr">
        <is>
          <t>compiled workbook density_weighted_sum = density_component_ratio_weighted_sum (per-note component ratios); research density_weighted_sum maps body-ceiling richness</t>
        </is>
      </c>
      <c r="GR32" s="15" t="inlineStr">
        <is>
          <t>individual_exact</t>
        </is>
      </c>
      <c r="GS32" s="15" t="inlineStr">
        <is>
          <t>density_weight</t>
        </is>
      </c>
      <c r="GT32" s="15" t="n">
        <v>0.8635861988965187</v>
      </c>
      <c r="GU32" s="15" t="n">
        <v>0.1364138011034814</v>
      </c>
      <c r="GV32" s="15" t="n">
        <v>0</v>
      </c>
      <c r="GW32" s="15" t="inlineStr">
        <is>
          <t>log</t>
        </is>
      </c>
      <c r="GX32" s="15" t="n">
        <v>0.5</v>
      </c>
      <c r="GY32" s="15" t="inlineStr">
        <is>
          <t>EWSD-R v18.1</t>
        </is>
      </c>
      <c r="GZ32" s="15" t="n">
        <v>0.9559959992176769</v>
      </c>
      <c r="HA32" s="15" t="n">
        <v>6.728390976035197</v>
      </c>
      <c r="HB32" s="15" t="n">
        <v>0.6891412708015238</v>
      </c>
      <c r="HC32" s="15" t="n">
        <v>2.047113894767699</v>
      </c>
      <c r="HD32" s="15" t="n">
        <v>9.272946721430237</v>
      </c>
      <c r="HE32" s="15" t="n">
        <v>0.5053527874789526</v>
      </c>
      <c r="HF32" s="15" t="inlineStr">
        <is>
          <t>partials+ratios</t>
        </is>
      </c>
      <c r="HG32" s="15" t="inlineStr">
        <is>
          <t>merged_individual_exact</t>
        </is>
      </c>
      <c r="HH32" s="15" t="inlineStr">
        <is>
          <t>passed</t>
        </is>
      </c>
      <c r="HI32" s="15" t="inlineStr">
        <is>
          <t>passed</t>
        </is>
      </c>
    </row>
    <row r="33">
      <c r="A33" t="inlineStr">
        <is>
          <t>incomplete_inference</t>
        </is>
      </c>
      <c r="B33" t="inlineStr">
        <is>
          <t>missing_instrument_technique</t>
        </is>
      </c>
      <c r="C33" t="inlineStr">
        <is>
          <t>prior_constrained_harmonic_fit</t>
        </is>
      </c>
      <c r="D33" t="inlineStr">
        <is>
          <t>IOWA_flt_ff.F#6_SustainStable/F#6/component_amplitude_mass_pie.png</t>
        </is>
      </c>
      <c r="E33" t="inlineStr">
        <is>
          <t>IOWA_flt_ff.F#6_SustainStable/F#6/component_energy_ratio_pie.png</t>
        </is>
      </c>
      <c r="F33" s="15" t="n">
        <v>1478.502360863797</v>
      </c>
      <c r="G33" s="15" t="inlineStr">
        <is>
          <t>prior_constrained_harmonic_fit</t>
        </is>
      </c>
      <c r="H33" s="15" t="inlineStr">
        <is>
          <t>fit_accepted_acoustically_verified</t>
        </is>
      </c>
      <c r="I33" s="16" t="n">
        <v>47.29256415652407</v>
      </c>
      <c r="J33" t="inlineStr">
        <is>
          <t>richness_weighted_body_density_body_ceiling</t>
        </is>
      </c>
      <c r="K33" t="inlineStr">
        <is>
          <t>research_body_ceiling_richness_metric</t>
        </is>
      </c>
      <c r="L33" s="15" t="n">
        <v>38629.39461081436</v>
      </c>
      <c r="M33" s="15" t="n">
        <v>38629.39461081436</v>
      </c>
      <c r="N33" s="15" t="n">
        <v>856.8525676201743</v>
      </c>
      <c r="O33" s="15" t="n">
        <v>0.5870283388607019</v>
      </c>
      <c r="P33" s="15" t="n">
        <v>-5.252835662656583</v>
      </c>
      <c r="Q33" s="15" t="n">
        <v>8</v>
      </c>
      <c r="R33" s="15" t="n">
        <v>9</v>
      </c>
      <c r="S33" s="15" t="n">
        <v>603.5846415067047</v>
      </c>
      <c r="T33" s="15" t="n">
        <v>14</v>
      </c>
      <c r="U33" s="15" t="n">
        <v>-0.6185044799001226</v>
      </c>
      <c r="V33" s="15" t="n">
        <v>8.978913974768197</v>
      </c>
      <c r="W33" s="15" t="n">
        <v>0.8476007745404643</v>
      </c>
      <c r="X33" s="15" t="n">
        <v>0.2720241258383375</v>
      </c>
      <c r="Y33" s="15" t="n">
        <v>12</v>
      </c>
      <c r="Z33" s="15" t="n">
        <v>13</v>
      </c>
      <c r="AA33" s="15" t="n">
        <v>0.9230769230769231</v>
      </c>
      <c r="AB33" s="15" t="n">
        <v>13</v>
      </c>
      <c r="AC33" s="15" t="n">
        <v>12</v>
      </c>
      <c r="AD33" s="15" t="n">
        <v>0.9230769230769231</v>
      </c>
      <c r="AE33" s="15" t="n">
        <v>80.25426707531366</v>
      </c>
      <c r="AF33" s="15" t="n">
        <v>12</v>
      </c>
      <c r="AG33" s="15" t="n">
        <v>13</v>
      </c>
      <c r="AH33" s="15" t="n">
        <v>0.9230769230769231</v>
      </c>
      <c r="AI33" s="15" t="n">
        <v>80.25426707531366</v>
      </c>
      <c r="AJ33" s="15" t="n">
        <v>6</v>
      </c>
      <c r="AK33" s="15" t="n">
        <v>6</v>
      </c>
      <c r="AL33" s="15" t="n">
        <v>141.697153303651</v>
      </c>
      <c r="AM33" s="15" t="n">
        <v>23</v>
      </c>
      <c r="AN33" s="15" t="n">
        <v>0</v>
      </c>
      <c r="AO33" s="15" t="n">
        <v>23</v>
      </c>
      <c r="AP33" s="15" t="n">
        <v>0</v>
      </c>
      <c r="AQ33" s="15" t="n">
        <v>13.22228170832212</v>
      </c>
      <c r="AR33" s="15" t="n">
        <v>7.147273930369965</v>
      </c>
      <c r="AS33" s="15" t="n">
        <v>0.0610194659320008</v>
      </c>
      <c r="AT33" s="17" t="n">
        <v>2.362235656385119</v>
      </c>
      <c r="AU33" s="18" t="n">
        <v>2.519195213897279</v>
      </c>
      <c r="AV33" s="15" t="n">
        <v>3.847997706483045</v>
      </c>
      <c r="AW33" s="15" t="b">
        <v>1</v>
      </c>
      <c r="AX33" s="15" t="n">
        <v>6.605842289687414</v>
      </c>
      <c r="AY33" s="15" t="n">
        <v>11.47848990190096</v>
      </c>
      <c r="AZ33" s="15" t="n">
        <v>0</v>
      </c>
      <c r="BA33" s="15" t="n">
        <v>1</v>
      </c>
      <c r="BB33" s="15" t="n">
        <v>0.5</v>
      </c>
      <c r="BC33" s="15" t="n">
        <v>0.25</v>
      </c>
      <c r="BD33" s="15" t="inlineStr">
        <is>
          <t>his_note_adaptive</t>
        </is>
      </c>
      <c r="BE33" s="15" t="n">
        <v>-90</v>
      </c>
      <c r="BF33" s="15" t="n">
        <v>20000</v>
      </c>
      <c r="BG33" s="15" t="n">
        <v>12</v>
      </c>
      <c r="BH33" s="15" t="n">
        <v>0.9230769230769231</v>
      </c>
      <c r="BI33" s="15" t="n">
        <v>13</v>
      </c>
      <c r="BJ33" s="15" t="n">
        <v>12</v>
      </c>
      <c r="BK33" s="15" t="n">
        <v>13</v>
      </c>
      <c r="BL33" s="15" t="n">
        <v>11</v>
      </c>
      <c r="BM33" s="15" t="n">
        <v>0.8461538461538461</v>
      </c>
      <c r="BN33" s="15" t="n">
        <v>0.2324370951250674</v>
      </c>
      <c r="BO33" s="15" t="n">
        <v>0.1916666666666667</v>
      </c>
      <c r="BP33" s="19" t="n">
        <v>0.7504629262650089</v>
      </c>
      <c r="BQ33" s="19" t="n">
        <v>0.249537073734991</v>
      </c>
      <c r="BR33" s="19" t="n">
        <v>0</v>
      </c>
      <c r="BS33" s="15" t="n">
        <v>0.06373124835170151</v>
      </c>
      <c r="BT33" s="19" t="n">
        <v>1</v>
      </c>
      <c r="BU33" s="19" t="n">
        <v>0</v>
      </c>
      <c r="BV33" s="19" t="n">
        <v>0</v>
      </c>
      <c r="BW33" t="inlineStr">
        <is>
          <t>F#6</t>
        </is>
      </c>
      <c r="BX33" t="n">
        <v>90</v>
      </c>
      <c r="BY33" t="inlineStr">
        <is>
          <t>F#</t>
        </is>
      </c>
      <c r="BZ33" t="n">
        <v>6</v>
      </c>
      <c r="CA33" t="inlineStr">
        <is>
          <t>Very high</t>
        </is>
      </c>
      <c r="CB33" t="inlineStr">
        <is>
          <t>ff</t>
        </is>
      </c>
      <c r="CC33" s="15" t="n">
        <v>1479.977690846538</v>
      </c>
      <c r="CD33" s="15" t="n">
        <v>1478.502360863797</v>
      </c>
      <c r="CE33" t="inlineStr">
        <is>
          <t>prior_constrained_harmonic_fit</t>
        </is>
      </c>
      <c r="CF33" t="n">
        <v>1478.502360863797</v>
      </c>
      <c r="CG33" s="15" t="n">
        <v>1</v>
      </c>
      <c r="CH33" t="inlineStr">
        <is>
          <t>free_fit_acoustically_verified</t>
        </is>
      </c>
      <c r="CI33" s="15" t="inlineStr">
        <is>
          <t>free_f0_fit</t>
        </is>
      </c>
      <c r="CJ33" s="15" t="n">
        <v>1479.977690846538</v>
      </c>
      <c r="CK33" s="15" t="n">
        <v>1478.502360863797</v>
      </c>
      <c r="CL33" s="15" t="n">
        <v>-1.72665805873806</v>
      </c>
      <c r="CM33" s="15" t="n">
        <v>20000</v>
      </c>
      <c r="CN33" s="15" t="n">
        <v>-1.72665805873806</v>
      </c>
      <c r="CO33" s="15" t="n">
        <v>2.159907824098583</v>
      </c>
      <c r="CP33" s="15" t="n">
        <v>38629.39461081436</v>
      </c>
      <c r="CQ33" t="n">
        <v>1.018587367848955</v>
      </c>
      <c r="CR33" t="n">
        <v>0.07835287444991965</v>
      </c>
      <c r="CS33" t="n">
        <v>46.42956083030573</v>
      </c>
      <c r="CT33" t="n">
        <v>46.42956083030573</v>
      </c>
      <c r="CU33" t="n">
        <v>47.29256415652407</v>
      </c>
      <c r="CV33" t="n">
        <v>0.5870283388607019</v>
      </c>
      <c r="CW33" s="15" t="n">
        <v>38629.39461081436</v>
      </c>
      <c r="CX33" s="15" t="n">
        <v>856.8525676201743</v>
      </c>
      <c r="CY33" s="15" t="n">
        <v>0.5870283388607019</v>
      </c>
      <c r="CZ33" s="15" t="n">
        <v>2.362235656385119</v>
      </c>
      <c r="DA33" s="15" t="n">
        <v>2.362235656385119</v>
      </c>
      <c r="DB33" s="15" t="n">
        <v>1.859592481511121</v>
      </c>
      <c r="DC33" s="15" t="n">
        <v>0</v>
      </c>
      <c r="DD33" s="15" t="n">
        <v>6.115124713147349e-05</v>
      </c>
      <c r="DE33" s="15" t="n">
        <v>0</v>
      </c>
      <c r="DF33" s="15" t="n">
        <v>8</v>
      </c>
      <c r="DG33" s="15" t="inlineStr">
        <is>
          <t>Density_Metrics</t>
        </is>
      </c>
      <c r="DH33" s="15" t="n">
        <v>2.159907824098583</v>
      </c>
      <c r="DI33" t="n">
        <v>0.8601664875603272</v>
      </c>
      <c r="DJ33" s="15" t="n">
        <v>0.526628149520164</v>
      </c>
      <c r="DK33" s="15" t="n">
        <v>4.53806772474117</v>
      </c>
      <c r="DL33" s="15" t="n">
        <v>1.06416484542223</v>
      </c>
      <c r="DM33" s="15" t="n">
        <v>1.033759383994066</v>
      </c>
      <c r="DN33" s="15" t="n">
        <v>8.150537174880222</v>
      </c>
      <c r="DO33" s="15" t="n">
        <v>2.191269519304972</v>
      </c>
      <c r="DP33" s="15" t="n">
        <v>6.0625</v>
      </c>
      <c r="DQ33" s="15" t="n">
        <v>18</v>
      </c>
      <c r="DR33" s="15" t="b">
        <v>1</v>
      </c>
      <c r="DS33" s="15" t="n">
        <v>1.018587367848955</v>
      </c>
      <c r="DT33" s="15" t="n">
        <v>3.536313635898387</v>
      </c>
      <c r="DU33" t="n">
        <v>13</v>
      </c>
      <c r="DV33" s="15" t="n">
        <v>0.06373124835170151</v>
      </c>
      <c r="DW33" s="15" t="n">
        <v>0.8403560173398525</v>
      </c>
      <c r="DX33" s="15" t="n">
        <v>1.886023654595132</v>
      </c>
      <c r="DY33" s="15" t="n">
        <v>0.2264952883494607</v>
      </c>
      <c r="DZ33" s="15" t="b">
        <v>1</v>
      </c>
      <c r="EA33" s="15" t="n">
        <v>0.2833212969162942</v>
      </c>
      <c r="EB33" s="15" t="n">
        <v>20000</v>
      </c>
      <c r="EC33" s="15" t="n">
        <v>11828.01888691038</v>
      </c>
      <c r="ED33" s="15" t="n">
        <v>8</v>
      </c>
      <c r="EE33" s="15" t="n">
        <v>0</v>
      </c>
      <c r="EF33" s="15" t="n">
        <v>0.02909936177846458</v>
      </c>
      <c r="EG33" s="15" t="b">
        <v>0</v>
      </c>
      <c r="EH33" s="15" t="b">
        <v>1</v>
      </c>
      <c r="EI33" s="15" t="b">
        <v>0</v>
      </c>
      <c r="EJ33" s="15" t="inlineStr">
        <is>
          <t>wf=log|dst=-90.0|ceil=20000.0|fft=adaptive_tier</t>
        </is>
      </c>
      <c r="EK33" s="15" t="inlineStr">
        <is>
          <t>wf=log|dst=runtime_configured|ceil=runtime_configured|fft=fixed</t>
        </is>
      </c>
      <c r="EL33" s="15" t="n">
        <v>0.725884526595264</v>
      </c>
      <c r="EM33" s="15" t="n">
        <v>0.9804665063912</v>
      </c>
      <c r="EN33" s="15" t="n">
        <v>0.5714285714285714</v>
      </c>
      <c r="EO33" s="15" t="n">
        <v>0.4233729935961199</v>
      </c>
      <c r="EP33" s="15" t="inlineStr">
        <is>
          <t>warn:power_outlier_detected</t>
        </is>
      </c>
      <c r="EQ33" s="15" t="n">
        <v>220.1354065530114</v>
      </c>
      <c r="ER33" s="15" t="inlineStr">
        <is>
          <t>winsorize_p95_for_robust_diagnostics</t>
        </is>
      </c>
      <c r="ES33" s="15" t="n">
        <v>0.105885515897366</v>
      </c>
      <c r="ET33" s="15" t="n">
        <v>0.01935582176414381</v>
      </c>
      <c r="EU33" s="15" t="n">
        <v>0.02135209667816653</v>
      </c>
      <c r="EV33" t="inlineStr">
        <is>
          <t>computed</t>
        </is>
      </c>
      <c r="EW33" s="15" t="inlineStr">
        <is>
          <t>computed</t>
        </is>
      </c>
      <c r="EX33" s="15" t="inlineStr">
        <is>
          <t>computed</t>
        </is>
      </c>
      <c r="EY33" s="15" t="inlineStr">
        <is>
          <t>available_from_curve</t>
        </is>
      </c>
      <c r="EZ33" s="15" t="n">
        <v>20000</v>
      </c>
      <c r="FA33" s="15" t="n">
        <v>20000</v>
      </c>
      <c r="FB33" s="15" t="n">
        <v>0.249537073734991</v>
      </c>
      <c r="FC33" s="15" t="n">
        <v>0.06187380191193783</v>
      </c>
      <c r="FD33" s="15" t="n">
        <v>2.362235656385119</v>
      </c>
      <c r="FE33" s="15" t="n">
        <v>1.859592481511121</v>
      </c>
      <c r="FF33" s="15" t="n">
        <v>0.3162395868449299</v>
      </c>
      <c r="FG33" s="15" t="n">
        <v>1.786403520167491</v>
      </c>
      <c r="FH33" s="15" t="n">
        <v>0.3571528118239364</v>
      </c>
      <c r="FI33" s="15" t="n">
        <v>0.01635149210715521</v>
      </c>
      <c r="FJ33" s="15" t="n">
        <v>603.5842907939744</v>
      </c>
      <c r="FK33" s="15" t="n">
        <v>13.38832136906522</v>
      </c>
      <c r="FL33" s="15" t="n">
        <v>0.009172317794698468</v>
      </c>
      <c r="FM33" s="15" t="n">
        <v>0.004529329927092556</v>
      </c>
      <c r="FN33" t="n">
        <v>1</v>
      </c>
      <c r="FO33" t="n">
        <v>0</v>
      </c>
      <c r="FP33" t="n">
        <v>0</v>
      </c>
      <c r="FQ33" t="inlineStr">
        <is>
          <t>good</t>
        </is>
      </c>
      <c r="FR33" s="19" t="n">
        <v>0.8461538461538461</v>
      </c>
      <c r="FS33" s="15" t="n">
        <v>1.627076365887866</v>
      </c>
      <c r="FT33" s="15" t="n">
        <v>8.513592361643799</v>
      </c>
      <c r="FU33" t="inlineStr">
        <is>
          <t>passed</t>
        </is>
      </c>
      <c r="FV33" t="n">
        <v>28.65863702578329</v>
      </c>
      <c r="FW33" t="n">
        <v>8.921956341525842</v>
      </c>
      <c r="FX33" t="n">
        <v>0.1339104621088696</v>
      </c>
      <c r="FY33" t="n">
        <v>0.1599330631425409</v>
      </c>
      <c r="FZ33" t="n">
        <v>2.525871848978984e-05</v>
      </c>
      <c r="GA33" t="n">
        <v>0.1057243741914568</v>
      </c>
      <c r="GB33" t="n">
        <v>0.01219170177353948</v>
      </c>
      <c r="GC33" t="n">
        <v>0.003611531506312297</v>
      </c>
      <c r="GD33" t="n">
        <v>0.01006919140063803</v>
      </c>
      <c r="GE33" t="n">
        <v>0.9055557753130081</v>
      </c>
      <c r="GF33" t="n">
        <v>0.1741779208203823</v>
      </c>
      <c r="GG33" t="n">
        <v>0.2982100782103088</v>
      </c>
      <c r="GH33" t="n">
        <v>0.0693451139396259</v>
      </c>
      <c r="GI33" t="n">
        <v>0.8887362637362638</v>
      </c>
      <c r="GJ33" t="n">
        <v>0.7179487179487181</v>
      </c>
      <c r="GK33" t="n">
        <v>0.1272727272727274</v>
      </c>
      <c r="GL33" t="n">
        <v>0.9266452811768371</v>
      </c>
      <c r="GM33" t="n">
        <v>0.9266452811768371</v>
      </c>
      <c r="GN33" t="n">
        <v>0.07495531666777332</v>
      </c>
      <c r="GO33" t="n">
        <v>0.07396630782350277</v>
      </c>
      <c r="GP33" t="n">
        <v>47.29256415652407</v>
      </c>
      <c r="GQ33" t="inlineStr">
        <is>
          <t>compiled workbook density_weighted_sum = density_component_ratio_weighted_sum (per-note component ratios); research density_weighted_sum maps body-ceiling richness</t>
        </is>
      </c>
      <c r="GR33" s="15" t="inlineStr">
        <is>
          <t>individual_exact</t>
        </is>
      </c>
      <c r="GS33" s="15" t="inlineStr">
        <is>
          <t>density_weight</t>
        </is>
      </c>
      <c r="GT33" s="15" t="n">
        <v>0.8888834810616252</v>
      </c>
      <c r="GU33" s="15" t="n">
        <v>0.1111165189383747</v>
      </c>
      <c r="GV33" s="15" t="n">
        <v>0</v>
      </c>
      <c r="GW33" s="15" t="inlineStr">
        <is>
          <t>log</t>
        </is>
      </c>
      <c r="GX33" s="15" t="n">
        <v>0.5</v>
      </c>
      <c r="GY33" s="15" t="inlineStr">
        <is>
          <t>EWSD-R v18.1</t>
        </is>
      </c>
      <c r="GZ33" s="15" t="n">
        <v>1.365536711834346</v>
      </c>
      <c r="HA33" s="15" t="n">
        <v>6.480706794316697</v>
      </c>
      <c r="HB33" s="15" t="n">
        <v>0.5482812747413098</v>
      </c>
      <c r="HC33" s="15" t="n">
        <v>2.559943185658218</v>
      </c>
      <c r="HD33" s="15" t="n">
        <v>8.516946414619968</v>
      </c>
      <c r="HE33" s="15" t="n">
        <v>0.3928408068609954</v>
      </c>
      <c r="HF33" s="15" t="inlineStr">
        <is>
          <t>partials+ratios</t>
        </is>
      </c>
      <c r="HG33" s="15" t="inlineStr">
        <is>
          <t>merged_individual_exact</t>
        </is>
      </c>
      <c r="HH33" s="15" t="inlineStr">
        <is>
          <t>passed</t>
        </is>
      </c>
      <c r="HI33" s="15" t="inlineStr">
        <is>
          <t>passed</t>
        </is>
      </c>
    </row>
    <row r="34">
      <c r="A34" t="inlineStr">
        <is>
          <t>incomplete_inference</t>
        </is>
      </c>
      <c r="B34" t="inlineStr">
        <is>
          <t>missing_instrument_technique</t>
        </is>
      </c>
      <c r="C34" t="inlineStr">
        <is>
          <t>prior_constrained_harmonic_fit</t>
        </is>
      </c>
      <c r="D34" t="inlineStr">
        <is>
          <t>IOWA_flt_ff.G6_SustainStable/G6/component_amplitude_mass_pie.png</t>
        </is>
      </c>
      <c r="E34" t="inlineStr">
        <is>
          <t>IOWA_flt_ff.G6_SustainStable/G6/component_energy_ratio_pie.png</t>
        </is>
      </c>
      <c r="F34" s="15" t="n">
        <v>1568.842370032107</v>
      </c>
      <c r="G34" s="15" t="inlineStr">
        <is>
          <t>prior_constrained_harmonic_fit</t>
        </is>
      </c>
      <c r="H34" s="15" t="inlineStr">
        <is>
          <t>fit_accepted_acoustically_verified</t>
        </is>
      </c>
      <c r="I34" s="16" t="n">
        <v>50.77117278591101</v>
      </c>
      <c r="J34" t="inlineStr">
        <is>
          <t>richness_weighted_body_density_body_ceiling</t>
        </is>
      </c>
      <c r="K34" t="inlineStr">
        <is>
          <t>research_body_ceiling_richness_metric</t>
        </is>
      </c>
      <c r="L34" s="15" t="n">
        <v>38829.41975185856</v>
      </c>
      <c r="M34" s="15" t="n">
        <v>38829.41975185856</v>
      </c>
      <c r="N34" s="15" t="n">
        <v>354.5694631338799</v>
      </c>
      <c r="O34" s="15" t="n">
        <v>0.7606721408165397</v>
      </c>
      <c r="P34" s="15" t="n">
        <v>-4.804762944386853</v>
      </c>
      <c r="Q34" s="15" t="n">
        <v>10</v>
      </c>
      <c r="R34" s="15" t="n">
        <v>11</v>
      </c>
      <c r="S34" s="15" t="n">
        <v>606.7097684347239</v>
      </c>
      <c r="T34" s="15" t="n">
        <v>13</v>
      </c>
      <c r="U34" s="15" t="n">
        <v>-0.5758351730583283</v>
      </c>
      <c r="V34" s="15" t="n">
        <v>8.558545550415868</v>
      </c>
      <c r="W34" s="15" t="n">
        <v>0.9089545459756415</v>
      </c>
      <c r="X34" s="15" t="n">
        <v>0.2703863381760235</v>
      </c>
      <c r="Y34" s="15" t="n">
        <v>10</v>
      </c>
      <c r="Z34" s="15" t="n">
        <v>12</v>
      </c>
      <c r="AA34" s="15" t="n">
        <v>0.8333333333333334</v>
      </c>
      <c r="AB34" s="15" t="n">
        <v>12</v>
      </c>
      <c r="AC34" s="15" t="n">
        <v>10</v>
      </c>
      <c r="AD34" s="15" t="n">
        <v>0.8333333333333334</v>
      </c>
      <c r="AE34" s="15" t="n">
        <v>74.91523663951064</v>
      </c>
      <c r="AF34" s="15" t="n">
        <v>10</v>
      </c>
      <c r="AG34" s="15" t="n">
        <v>12</v>
      </c>
      <c r="AH34" s="15" t="n">
        <v>0.8333333333333334</v>
      </c>
      <c r="AI34" s="15" t="n">
        <v>74.91523663951064</v>
      </c>
      <c r="AJ34" s="15" t="n">
        <v>5</v>
      </c>
      <c r="AK34" s="15" t="n">
        <v>5</v>
      </c>
      <c r="AL34" s="15" t="n">
        <v>670.1351431578303</v>
      </c>
      <c r="AM34" s="15" t="n">
        <v>22</v>
      </c>
      <c r="AN34" s="15" t="n">
        <v>0</v>
      </c>
      <c r="AO34" s="15" t="n">
        <v>22</v>
      </c>
      <c r="AP34" s="15" t="n">
        <v>0</v>
      </c>
      <c r="AQ34" s="15" t="n">
        <v>11.27771771231049</v>
      </c>
      <c r="AR34" s="15" t="n">
        <v>6.080457510093735</v>
      </c>
      <c r="AS34" s="15" t="n">
        <v>0.004759488929986534</v>
      </c>
      <c r="AT34" s="17" t="n">
        <v>2.334520095939889</v>
      </c>
      <c r="AU34" s="18" t="n">
        <v>1.387569728300557</v>
      </c>
      <c r="AV34" s="15" t="n">
        <v>2.575337218105709</v>
      </c>
      <c r="AW34" s="15" t="b">
        <v>1</v>
      </c>
      <c r="AX34" s="15" t="n">
        <v>5.550934868811616</v>
      </c>
      <c r="AY34" s="15" t="n">
        <v>10.52407692841025</v>
      </c>
      <c r="AZ34" s="15" t="n">
        <v>0</v>
      </c>
      <c r="BA34" s="15" t="n">
        <v>1</v>
      </c>
      <c r="BB34" s="15" t="n">
        <v>0.5</v>
      </c>
      <c r="BC34" s="15" t="n">
        <v>0.25</v>
      </c>
      <c r="BD34" s="15" t="inlineStr">
        <is>
          <t>his_note_adaptive</t>
        </is>
      </c>
      <c r="BE34" s="15" t="n">
        <v>-90</v>
      </c>
      <c r="BF34" s="15" t="n">
        <v>20000</v>
      </c>
      <c r="BG34" s="15" t="n">
        <v>10</v>
      </c>
      <c r="BH34" s="15" t="n">
        <v>0.8333333333333334</v>
      </c>
      <c r="BI34" s="15" t="n">
        <v>12</v>
      </c>
      <c r="BJ34" s="15" t="n">
        <v>10</v>
      </c>
      <c r="BK34" s="15" t="n">
        <v>12</v>
      </c>
      <c r="BL34" s="15" t="n">
        <v>11</v>
      </c>
      <c r="BM34" s="15" t="n">
        <v>0.9166666666666666</v>
      </c>
      <c r="BN34" s="15" t="n">
        <v>0.2491619714252352</v>
      </c>
      <c r="BO34" s="15" t="n">
        <v>0.1833333333333333</v>
      </c>
      <c r="BP34" s="19" t="n">
        <v>0.7615572607664263</v>
      </c>
      <c r="BQ34" s="19" t="n">
        <v>0.2384427392335738</v>
      </c>
      <c r="BR34" s="19" t="n">
        <v>0</v>
      </c>
      <c r="BS34" s="15" t="n">
        <v>0.05740146466311394</v>
      </c>
      <c r="BT34" s="19" t="n">
        <v>1</v>
      </c>
      <c r="BU34" s="19" t="n">
        <v>0</v>
      </c>
      <c r="BV34" s="19" t="n">
        <v>0</v>
      </c>
      <c r="BW34" t="inlineStr">
        <is>
          <t>G6</t>
        </is>
      </c>
      <c r="BX34" t="n">
        <v>91</v>
      </c>
      <c r="BY34" t="inlineStr">
        <is>
          <t>G</t>
        </is>
      </c>
      <c r="BZ34" t="n">
        <v>6</v>
      </c>
      <c r="CA34" t="inlineStr">
        <is>
          <t>Very high</t>
        </is>
      </c>
      <c r="CB34" t="inlineStr">
        <is>
          <t>ff</t>
        </is>
      </c>
      <c r="CC34" s="15" t="n">
        <v>1567.981743926997</v>
      </c>
      <c r="CD34" s="15" t="n">
        <v>1568.842370032107</v>
      </c>
      <c r="CE34" t="inlineStr">
        <is>
          <t>prior_constrained_harmonic_fit</t>
        </is>
      </c>
      <c r="CF34" t="n">
        <v>1568.842370032107</v>
      </c>
      <c r="CG34" s="15" t="n">
        <v>1</v>
      </c>
      <c r="CH34" t="inlineStr">
        <is>
          <t>free_fit_acoustically_verified</t>
        </is>
      </c>
      <c r="CI34" s="15" t="inlineStr">
        <is>
          <t>free_f0_fit</t>
        </is>
      </c>
      <c r="CJ34" s="15" t="n">
        <v>1567.981743926997</v>
      </c>
      <c r="CK34" s="15" t="n">
        <v>1568.842370032107</v>
      </c>
      <c r="CL34" s="15" t="n">
        <v>0.9499705434152009</v>
      </c>
      <c r="CM34" s="15" t="n">
        <v>20000</v>
      </c>
      <c r="CN34" s="15" t="n">
        <v>0.9499705434152009</v>
      </c>
      <c r="CO34" s="15" t="n">
        <v>2.107052199529246</v>
      </c>
      <c r="CP34" s="15" t="n">
        <v>38829.41975185856</v>
      </c>
      <c r="CQ34" t="n">
        <v>1.004193751767648</v>
      </c>
      <c r="CR34" t="n">
        <v>0.083682812647304</v>
      </c>
      <c r="CS34" t="n">
        <v>50.55914030189916</v>
      </c>
      <c r="CT34" t="n">
        <v>50.55914030189916</v>
      </c>
      <c r="CU34" t="n">
        <v>50.77117278591101</v>
      </c>
      <c r="CV34" t="n">
        <v>0.7606721408165397</v>
      </c>
      <c r="CW34" s="15" t="n">
        <v>38829.41975185856</v>
      </c>
      <c r="CX34" s="15" t="n">
        <v>354.5694631338799</v>
      </c>
      <c r="CY34" s="15" t="n">
        <v>0.7606721408165397</v>
      </c>
      <c r="CZ34" s="15" t="n">
        <v>2.334520095939889</v>
      </c>
      <c r="DA34" s="15" t="n">
        <v>2.334520095939889</v>
      </c>
      <c r="DB34" s="15" t="n">
        <v>1.685940342929437</v>
      </c>
      <c r="DC34" s="15" t="n">
        <v>0</v>
      </c>
      <c r="DD34" s="15" t="n">
        <v>6.012245639668998e-05</v>
      </c>
      <c r="DE34" s="15" t="n">
        <v>0</v>
      </c>
      <c r="DF34" s="15" t="n">
        <v>10</v>
      </c>
      <c r="DG34" s="15" t="inlineStr">
        <is>
          <t>Density_Metrics</t>
        </is>
      </c>
      <c r="DH34" s="15" t="n">
        <v>2.107052199529246</v>
      </c>
      <c r="DI34" t="n">
        <v>0.8391171462753173</v>
      </c>
      <c r="DJ34" s="15" t="n">
        <v>0.5230333390974529</v>
      </c>
      <c r="DK34" s="15" t="n">
        <v>4.364847862789196</v>
      </c>
      <c r="DL34" s="15" t="n">
        <v>1.022630188337376</v>
      </c>
      <c r="DM34" s="15" t="n">
        <v>1.010655431472485</v>
      </c>
      <c r="DN34" s="15" t="n">
        <v>8.014823622549539</v>
      </c>
      <c r="DO34" s="15" t="n">
        <v>2.141809394476787</v>
      </c>
      <c r="DP34" s="15" t="n">
        <v>14.875</v>
      </c>
      <c r="DQ34" s="15" t="n">
        <v>22</v>
      </c>
      <c r="DR34" s="15" t="b">
        <v>0</v>
      </c>
      <c r="DS34" s="15" t="n">
        <v>1.004193751767648</v>
      </c>
      <c r="DT34" s="15" t="n">
        <v>3.244636058112282</v>
      </c>
      <c r="DU34" t="n">
        <v>12</v>
      </c>
      <c r="DV34" s="15" t="n">
        <v>0.05740146466311394</v>
      </c>
      <c r="DW34" s="15" t="n">
        <v>0.6569158039035831</v>
      </c>
      <c r="DX34" s="15" t="n">
        <v>1.884733270825813</v>
      </c>
      <c r="DY34" s="15" t="n">
        <v>0.2773398180209594</v>
      </c>
      <c r="DZ34" s="15" t="b">
        <v>1</v>
      </c>
      <c r="EA34" s="15" t="n">
        <v>0.1940970303303749</v>
      </c>
      <c r="EB34" s="15" t="n">
        <v>20000</v>
      </c>
      <c r="EC34" s="15" t="n">
        <v>20000</v>
      </c>
      <c r="ED34" s="15" t="n">
        <v/>
      </c>
      <c r="EE34" s="15" t="n">
        <v>0</v>
      </c>
      <c r="EF34" s="15" t="n">
        <v>0.0274661400981242</v>
      </c>
      <c r="EG34" s="15" t="b">
        <v>0</v>
      </c>
      <c r="EH34" s="15" t="b">
        <v>1</v>
      </c>
      <c r="EI34" s="15" t="b">
        <v>0</v>
      </c>
      <c r="EJ34" s="15" t="inlineStr">
        <is>
          <t>wf=log|dst=-90.0|ceil=20000.0|fft=adaptive_tier</t>
        </is>
      </c>
      <c r="EK34" s="15" t="inlineStr">
        <is>
          <t>wf=log|dst=runtime_configured|ceil=runtime_configured|fft=fixed</t>
        </is>
      </c>
      <c r="EL34" s="15" t="n">
        <v>0.8006886888067816</v>
      </c>
      <c r="EM34" s="15" t="n">
        <v>0.9950547059183182</v>
      </c>
      <c r="EN34" s="15" t="n">
        <v>0.7692307692307693</v>
      </c>
      <c r="EO34" s="15" t="n">
        <v>0.4184165095638455</v>
      </c>
      <c r="EP34" s="15" t="inlineStr">
        <is>
          <t>warn:power_outlier_detected</t>
        </is>
      </c>
      <c r="EQ34" s="15" t="n">
        <v>235.4500112217465</v>
      </c>
      <c r="ER34" s="15" t="inlineStr">
        <is>
          <t>winsorize_p95_for_robust_diagnostics</t>
        </is>
      </c>
      <c r="ES34" s="15" t="n">
        <v>0.115318291827703</v>
      </c>
      <c r="ET34" s="15" t="n">
        <v>0.01044964536195156</v>
      </c>
      <c r="EU34" s="15" t="n">
        <v>0.01327922180337917</v>
      </c>
      <c r="EV34" t="inlineStr">
        <is>
          <t>computed</t>
        </is>
      </c>
      <c r="EW34" s="15" t="inlineStr">
        <is>
          <t>computed</t>
        </is>
      </c>
      <c r="EX34" s="15" t="inlineStr">
        <is>
          <t>computed</t>
        </is>
      </c>
      <c r="EY34" s="15" t="inlineStr">
        <is>
          <t>available_from_curve</t>
        </is>
      </c>
      <c r="EZ34" s="15" t="n">
        <v>20000</v>
      </c>
      <c r="FA34" s="15" t="n">
        <v>20000</v>
      </c>
      <c r="FB34" s="15" t="n">
        <v>0.2384427392335738</v>
      </c>
      <c r="FC34" s="15" t="n">
        <v>0.0418863065310835</v>
      </c>
      <c r="FD34" s="15" t="n">
        <v>2.334520095939889</v>
      </c>
      <c r="FE34" s="15" t="n">
        <v>1.685940342929437</v>
      </c>
      <c r="FF34" s="15" t="n">
        <v>0.3443874239198703</v>
      </c>
      <c r="FG34" s="15" t="n">
        <v>1.765444063980745</v>
      </c>
      <c r="FH34" s="15" t="n">
        <v>0.323801230662837</v>
      </c>
      <c r="FI34" s="15" t="n">
        <v>0.01780690488566377</v>
      </c>
      <c r="FJ34" s="15" t="n">
        <v>606.70968362279</v>
      </c>
      <c r="FK34" s="15" t="n">
        <v>5.540147861466873</v>
      </c>
      <c r="FL34" s="15" t="n">
        <v>0.01188550220025843</v>
      </c>
      <c r="FM34" s="15" t="n">
        <v>0.004558263375615253</v>
      </c>
      <c r="FN34" t="n">
        <v>1</v>
      </c>
      <c r="FO34" t="n">
        <v>0</v>
      </c>
      <c r="FP34" t="n">
        <v>0</v>
      </c>
      <c r="FQ34" t="inlineStr">
        <is>
          <t>excellent</t>
        </is>
      </c>
      <c r="FR34" s="19" t="n">
        <v>0.9166666666666666</v>
      </c>
      <c r="FS34" s="15" t="n">
        <v>1.388033397869683</v>
      </c>
      <c r="FT34" s="15" t="n">
        <v>3.397086281708809</v>
      </c>
      <c r="FU34" t="inlineStr">
        <is>
          <t>passed</t>
        </is>
      </c>
      <c r="FV34" t="n">
        <v>26.87912495716094</v>
      </c>
      <c r="FW34" t="n">
        <v>5.940273035650051</v>
      </c>
      <c r="FX34" t="n">
        <v>0.1512469151342625</v>
      </c>
      <c r="FY34" t="n">
        <v>0.03347656964786268</v>
      </c>
      <c r="FZ34" t="n">
        <v>0.005278522135376839</v>
      </c>
      <c r="GA34" t="n">
        <v>0.004532224862792588</v>
      </c>
      <c r="GB34" t="n">
        <v>0.002005977578456679</v>
      </c>
      <c r="GC34" t="n">
        <v>0</v>
      </c>
      <c r="GD34" t="n">
        <v>0</v>
      </c>
      <c r="GE34" t="n">
        <v>0.9744934964313299</v>
      </c>
      <c r="GF34" t="n">
        <v>0.1700050629557417</v>
      </c>
      <c r="GG34" t="n">
        <v>0.2502396248921301</v>
      </c>
      <c r="GH34" t="n">
        <v>0.08962305048598296</v>
      </c>
      <c r="GI34" t="n">
        <v>0.7589285714285715</v>
      </c>
      <c r="GJ34" t="n">
        <v>1</v>
      </c>
      <c r="GK34" t="n">
        <v>0.1090909090909091</v>
      </c>
      <c r="GL34" t="n">
        <v>0.8470314171409911</v>
      </c>
      <c r="GM34" t="n">
        <v>0.8470314171409911</v>
      </c>
      <c r="GN34" t="n">
        <v>0.03947039404445696</v>
      </c>
      <c r="GO34" t="n">
        <v>0.0172418723454579</v>
      </c>
      <c r="GP34" t="n">
        <v>50.77117278591101</v>
      </c>
      <c r="GQ34" t="inlineStr">
        <is>
          <t>compiled workbook density_weighted_sum = density_component_ratio_weighted_sum (per-note component ratios); research density_weighted_sum maps body-ceiling richness</t>
        </is>
      </c>
      <c r="GR34" s="15" t="inlineStr">
        <is>
          <t>individual_exact</t>
        </is>
      </c>
      <c r="GS34" s="15" t="inlineStr">
        <is>
          <t>density_weight</t>
        </is>
      </c>
      <c r="GT34" s="15" t="n">
        <v>0.8935235239741262</v>
      </c>
      <c r="GU34" s="15" t="n">
        <v>0.1064764760258739</v>
      </c>
      <c r="GV34" s="15" t="n">
        <v>0</v>
      </c>
      <c r="GW34" s="15" t="inlineStr">
        <is>
          <t>log</t>
        </is>
      </c>
      <c r="GX34" s="15" t="n">
        <v>0.5</v>
      </c>
      <c r="GY34" s="15" t="inlineStr">
        <is>
          <t>EWSD-R v18.1</t>
        </is>
      </c>
      <c r="GZ34" s="15" t="n">
        <v>0.7057572195729942</v>
      </c>
      <c r="HA34" s="15" t="n">
        <v>5.262360268328774</v>
      </c>
      <c r="HB34" s="15" t="n">
        <v>0.8823856678702895</v>
      </c>
      <c r="HC34" s="15" t="n">
        <v>1.69685222353557</v>
      </c>
      <c r="HD34" s="15" t="n">
        <v>7.540881080434046</v>
      </c>
      <c r="HE34" s="15" t="n">
        <v>0.6090703568271219</v>
      </c>
      <c r="HF34" s="15" t="inlineStr">
        <is>
          <t>partials+ratios</t>
        </is>
      </c>
      <c r="HG34" s="15" t="inlineStr">
        <is>
          <t>merged_individual_exact</t>
        </is>
      </c>
      <c r="HH34" s="15" t="inlineStr">
        <is>
          <t>passed</t>
        </is>
      </c>
      <c r="HI34" s="15" t="inlineStr">
        <is>
          <t>passed</t>
        </is>
      </c>
    </row>
    <row r="35">
      <c r="A35" t="inlineStr">
        <is>
          <t>incomplete_inference</t>
        </is>
      </c>
      <c r="B35" t="inlineStr">
        <is>
          <t>missing_instrument_technique</t>
        </is>
      </c>
      <c r="C35" t="inlineStr">
        <is>
          <t>prior_constrained_harmonic_fit</t>
        </is>
      </c>
      <c r="D35" t="inlineStr">
        <is>
          <t>IOWA_flt_ff.G#6_SustainStable/G#6/component_amplitude_mass_pie.png</t>
        </is>
      </c>
      <c r="E35" t="inlineStr">
        <is>
          <t>IOWA_flt_ff.G#6_SustainStable/G#6/component_energy_ratio_pie.png</t>
        </is>
      </c>
      <c r="F35" s="15" t="n">
        <v>1661.528284337554</v>
      </c>
      <c r="G35" s="15" t="inlineStr">
        <is>
          <t>prior_constrained_harmonic_fit</t>
        </is>
      </c>
      <c r="H35" s="15" t="inlineStr">
        <is>
          <t>fit_accepted_acoustically_verified</t>
        </is>
      </c>
      <c r="I35" s="16" t="n">
        <v>55.00224164501638</v>
      </c>
      <c r="J35" t="inlineStr">
        <is>
          <t>richness_weighted_body_density_body_ceiling</t>
        </is>
      </c>
      <c r="K35" t="inlineStr">
        <is>
          <t>research_body_ceiling_richness_metric</t>
        </is>
      </c>
      <c r="L35" s="15" t="n">
        <v>40270.69418132986</v>
      </c>
      <c r="M35" s="15" t="n">
        <v>40270.69418132986</v>
      </c>
      <c r="N35" s="15" t="n">
        <v>880.0671509856204</v>
      </c>
      <c r="O35" s="15" t="n">
        <v>2.121360423470227</v>
      </c>
      <c r="P35" s="15" t="n">
        <v>-4.377338658493383</v>
      </c>
      <c r="Q35" s="15" t="n">
        <v>11</v>
      </c>
      <c r="R35" s="15" t="n">
        <v>12</v>
      </c>
      <c r="S35" s="15" t="n">
        <v>629.2299972425016</v>
      </c>
      <c r="T35" s="15" t="n">
        <v>13</v>
      </c>
      <c r="U35" s="15" t="n">
        <v>-0.4572315313787665</v>
      </c>
      <c r="V35" s="15" t="n">
        <v>9.772840030370062</v>
      </c>
      <c r="W35" s="15" t="n">
        <v>0.7725100120540948</v>
      </c>
      <c r="X35" s="15" t="n">
        <v>0.3185925908560888</v>
      </c>
      <c r="Y35" s="15" t="n">
        <v>11</v>
      </c>
      <c r="Z35" s="15" t="n">
        <v>12</v>
      </c>
      <c r="AA35" s="15" t="n">
        <v>0.9166666666666666</v>
      </c>
      <c r="AB35" s="15" t="n">
        <v>12</v>
      </c>
      <c r="AC35" s="15" t="n">
        <v>11</v>
      </c>
      <c r="AD35" s="15" t="n">
        <v>0.9166666666666666</v>
      </c>
      <c r="AE35" s="15" t="n">
        <v>87.21818929919822</v>
      </c>
      <c r="AF35" s="15" t="n">
        <v>11</v>
      </c>
      <c r="AG35" s="15" t="n">
        <v>12</v>
      </c>
      <c r="AH35" s="15" t="n">
        <v>0.9166666666666666</v>
      </c>
      <c r="AI35" s="15" t="n">
        <v>87.21818929919822</v>
      </c>
      <c r="AJ35" s="15" t="n">
        <v>6</v>
      </c>
      <c r="AK35" s="15" t="n">
        <v>5</v>
      </c>
      <c r="AL35" s="15" t="n">
        <v>53.27395122193555</v>
      </c>
      <c r="AM35" s="15" t="n">
        <v>42</v>
      </c>
      <c r="AN35" s="15" t="n">
        <v>0</v>
      </c>
      <c r="AO35" s="15" t="n">
        <v>42</v>
      </c>
      <c r="AP35" s="15" t="n">
        <v>0</v>
      </c>
      <c r="AQ35" s="15" t="n">
        <v>16.00590969684913</v>
      </c>
      <c r="AR35" s="15" t="n">
        <v>8.478291332651374</v>
      </c>
      <c r="AS35" s="15" t="n">
        <v>0.1312124316741698</v>
      </c>
      <c r="AT35" s="17" t="n">
        <v>2.400407874239882</v>
      </c>
      <c r="AU35" s="18" t="n">
        <v>2.579495670770307</v>
      </c>
      <c r="AV35" s="15" t="n">
        <v>4.139994847428106</v>
      </c>
      <c r="AW35" s="15" t="b">
        <v>1</v>
      </c>
      <c r="AX35" s="15" t="n">
        <v>6.531975752267994</v>
      </c>
      <c r="AY35" s="15" t="n">
        <v>18.58488654086293</v>
      </c>
      <c r="AZ35" s="15" t="n">
        <v>0</v>
      </c>
      <c r="BA35" s="15" t="n">
        <v>1</v>
      </c>
      <c r="BB35" s="15" t="n">
        <v>0.5</v>
      </c>
      <c r="BC35" s="15" t="n">
        <v>0.25</v>
      </c>
      <c r="BD35" s="15" t="inlineStr">
        <is>
          <t>his_note_adaptive</t>
        </is>
      </c>
      <c r="BE35" s="15" t="n">
        <v>-90</v>
      </c>
      <c r="BF35" s="15" t="n">
        <v>20000</v>
      </c>
      <c r="BG35" s="15" t="n">
        <v>11</v>
      </c>
      <c r="BH35" s="15" t="n">
        <v>0.9166666666666666</v>
      </c>
      <c r="BI35" s="15" t="n">
        <v>12</v>
      </c>
      <c r="BJ35" s="15" t="n">
        <v>11</v>
      </c>
      <c r="BK35" s="15" t="n">
        <v>12</v>
      </c>
      <c r="BL35" s="15" t="n">
        <v>9</v>
      </c>
      <c r="BM35" s="15" t="n">
        <v>0.75</v>
      </c>
      <c r="BN35" s="15" t="n">
        <v>0.2656909877590322</v>
      </c>
      <c r="BO35" s="15" t="n">
        <v>0.35</v>
      </c>
      <c r="BP35" s="19" t="n">
        <v>0.764320936904941</v>
      </c>
      <c r="BQ35" s="19" t="n">
        <v>0.2356790630950589</v>
      </c>
      <c r="BR35" s="19" t="n">
        <v>0</v>
      </c>
      <c r="BS35" s="15" t="n">
        <v>0.1079228215535978</v>
      </c>
      <c r="BT35" s="19" t="n">
        <v>1</v>
      </c>
      <c r="BU35" s="19" t="n">
        <v>0</v>
      </c>
      <c r="BV35" s="19" t="n">
        <v>0</v>
      </c>
      <c r="BW35" t="inlineStr">
        <is>
          <t>G#6</t>
        </is>
      </c>
      <c r="BX35" t="n">
        <v>92</v>
      </c>
      <c r="BY35" t="inlineStr">
        <is>
          <t>G#</t>
        </is>
      </c>
      <c r="BZ35" t="n">
        <v>6</v>
      </c>
      <c r="CA35" t="inlineStr">
        <is>
          <t>Very high</t>
        </is>
      </c>
      <c r="CB35" t="inlineStr">
        <is>
          <t>ff</t>
        </is>
      </c>
      <c r="CC35" s="15" t="n">
        <v>1661.218790319781</v>
      </c>
      <c r="CD35" s="15" t="n">
        <v>1661.528284337554</v>
      </c>
      <c r="CE35" t="inlineStr">
        <is>
          <t>prior_constrained_harmonic_fit</t>
        </is>
      </c>
      <c r="CF35" t="n">
        <v>1661.528284337554</v>
      </c>
      <c r="CG35" s="15" t="n">
        <v>1</v>
      </c>
      <c r="CH35" t="inlineStr">
        <is>
          <t>free_fit_acoustically_verified</t>
        </is>
      </c>
      <c r="CI35" s="15" t="inlineStr">
        <is>
          <t>free_f0_fit</t>
        </is>
      </c>
      <c r="CJ35" s="15" t="n">
        <v>1661.218790319781</v>
      </c>
      <c r="CK35" s="15" t="n">
        <v>1661.528284337554</v>
      </c>
      <c r="CL35" s="15" t="n">
        <v>0.3225081964183523</v>
      </c>
      <c r="CM35" s="15" t="n">
        <v>20000</v>
      </c>
      <c r="CN35" s="15" t="n">
        <v>0.3225081964183523</v>
      </c>
      <c r="CO35" s="15" t="n">
        <v>2.20327891790321</v>
      </c>
      <c r="CP35" s="15" t="n">
        <v>40270.69418132986</v>
      </c>
      <c r="CQ35" t="n">
        <v>1.048944460534195</v>
      </c>
      <c r="CR35" t="n">
        <v>0.08741203837784955</v>
      </c>
      <c r="CS35" t="n">
        <v>52.43579971527326</v>
      </c>
      <c r="CT35" t="n">
        <v>52.43579971527326</v>
      </c>
      <c r="CU35" t="n">
        <v>55.00224164501638</v>
      </c>
      <c r="CV35" t="n">
        <v>2.121360423470227</v>
      </c>
      <c r="CW35" s="15" t="n">
        <v>40270.69418132986</v>
      </c>
      <c r="CX35" s="15" t="n">
        <v>880.0671509856204</v>
      </c>
      <c r="CY35" s="15" t="n">
        <v>2.121360423470227</v>
      </c>
      <c r="CZ35" s="15" t="n">
        <v>2.400407874239882</v>
      </c>
      <c r="DA35" s="15" t="n">
        <v>2.400407874239882</v>
      </c>
      <c r="DB35" s="15" t="n">
        <v>1.890562002866136</v>
      </c>
      <c r="DC35" s="15" t="n">
        <v>0</v>
      </c>
      <c r="DD35" s="15" t="n">
        <v>5.96068163968415e-05</v>
      </c>
      <c r="DE35" s="15" t="n">
        <v>0</v>
      </c>
      <c r="DF35" s="15" t="n">
        <v>11</v>
      </c>
      <c r="DG35" s="15" t="inlineStr">
        <is>
          <t>Density_Metrics</t>
        </is>
      </c>
      <c r="DH35" s="15" t="n">
        <v>2.20327891790321</v>
      </c>
      <c r="DI35" t="n">
        <v>0.8774386882548842</v>
      </c>
      <c r="DJ35" s="15" t="n">
        <v>0.5315310131915389</v>
      </c>
      <c r="DK35" s="15" t="n">
        <v>4.772682586777777</v>
      </c>
      <c r="DL35" s="15" t="n">
        <v>1.095247562580242</v>
      </c>
      <c r="DM35" s="15" t="n">
        <v>1.038956417448965</v>
      </c>
      <c r="DN35" s="15" t="n">
        <v>7.182292037068009</v>
      </c>
      <c r="DO35" s="15" t="n">
        <v>1.788716561892015</v>
      </c>
      <c r="DP35" s="15" t="n">
        <v>16.6875</v>
      </c>
      <c r="DQ35" s="15" t="n">
        <v>24</v>
      </c>
      <c r="DR35" s="15" t="b">
        <v>0</v>
      </c>
      <c r="DS35" s="15" t="n">
        <v>1.048944460534195</v>
      </c>
      <c r="DT35" s="15" t="n">
        <v>3.823111090273066</v>
      </c>
      <c r="DU35" t="n">
        <v>12</v>
      </c>
      <c r="DV35" s="15" t="n">
        <v>0.1079228215535978</v>
      </c>
      <c r="DW35" s="15" t="n">
        <v>0.8659836261331477</v>
      </c>
      <c r="DX35" s="15" t="n">
        <v>1.913228850812315</v>
      </c>
      <c r="DY35" s="15" t="n">
        <v>0.2195764769816682</v>
      </c>
      <c r="DZ35" s="15" t="b">
        <v>1</v>
      </c>
      <c r="EA35" s="15" t="n">
        <v>0.207326389549116</v>
      </c>
      <c r="EB35" s="15" t="n">
        <v>20000</v>
      </c>
      <c r="EC35" s="15" t="n">
        <v>20000</v>
      </c>
      <c r="ED35" s="15" t="n">
        <v/>
      </c>
      <c r="EE35" s="15" t="n">
        <v>0</v>
      </c>
      <c r="EF35" s="15" t="n">
        <v>0.02592458410713607</v>
      </c>
      <c r="EG35" s="15" t="b">
        <v>0</v>
      </c>
      <c r="EH35" s="15" t="b">
        <v>1</v>
      </c>
      <c r="EI35" s="15" t="b">
        <v>0</v>
      </c>
      <c r="EJ35" s="15" t="inlineStr">
        <is>
          <t>wf=log|dst=-90.0|ceil=20000.0|fft=adaptive_tier</t>
        </is>
      </c>
      <c r="EK35" s="15" t="inlineStr">
        <is>
          <t>wf=log|dst=runtime_configured|ceil=runtime_configured|fft=fixed</t>
        </is>
      </c>
      <c r="EL35" s="15" t="n">
        <v>0.8299653737509878</v>
      </c>
      <c r="EM35" s="15" t="n">
        <v>0.9976772863458756</v>
      </c>
      <c r="EN35" s="15" t="n">
        <v>0.8461538461538461</v>
      </c>
      <c r="EO35" s="15" t="n">
        <v>0.4242837437074876</v>
      </c>
      <c r="EP35" s="15" t="inlineStr">
        <is>
          <t>warn:power_outlier_detected</t>
        </is>
      </c>
      <c r="EQ35" s="15" t="n">
        <v>217.4643307308858</v>
      </c>
      <c r="ER35" s="15" t="inlineStr">
        <is>
          <t>winsorize_p95_for_robust_diagnostics</t>
        </is>
      </c>
      <c r="ES35" s="15" t="n">
        <v>0.1488933313411197</v>
      </c>
      <c r="ET35" s="15" t="n">
        <v>0.02881546988537657</v>
      </c>
      <c r="EU35" s="15" t="n">
        <v>0.03291395497572654</v>
      </c>
      <c r="EV35" t="inlineStr">
        <is>
          <t>computed</t>
        </is>
      </c>
      <c r="EW35" s="15" t="inlineStr">
        <is>
          <t>computed</t>
        </is>
      </c>
      <c r="EX35" s="15" t="inlineStr">
        <is>
          <t>computed</t>
        </is>
      </c>
      <c r="EY35" s="15" t="inlineStr">
        <is>
          <t>available_from_curve</t>
        </is>
      </c>
      <c r="EZ35" s="15" t="n">
        <v>20000</v>
      </c>
      <c r="FA35" s="15" t="n">
        <v>20000</v>
      </c>
      <c r="FB35" s="15" t="n">
        <v>0.2356790630950589</v>
      </c>
      <c r="FC35" s="15" t="n">
        <v>0.06431860710808329</v>
      </c>
      <c r="FD35" s="15" t="n">
        <v>2.400407874239882</v>
      </c>
      <c r="FE35" s="15" t="n">
        <v>1.890562002866136</v>
      </c>
      <c r="FF35" s="15" t="n">
        <v>0.4817127096717587</v>
      </c>
      <c r="FG35" s="15" t="n">
        <v>1.815270658873162</v>
      </c>
      <c r="FH35" s="15" t="n">
        <v>0.3631008094324216</v>
      </c>
      <c r="FI35" s="15" t="n">
        <v>0.02490744959762585</v>
      </c>
      <c r="FJ35" s="15" t="n">
        <v>629.2295965832791</v>
      </c>
      <c r="FK35" s="15" t="n">
        <v>13.75104923415032</v>
      </c>
      <c r="FL35" s="15" t="n">
        <v>0.03314625661672229</v>
      </c>
      <c r="FM35" s="15" t="n">
        <v>0.004679053640683269</v>
      </c>
      <c r="FN35" t="n">
        <v>1</v>
      </c>
      <c r="FO35" t="n">
        <v>0</v>
      </c>
      <c r="FP35" t="n">
        <v>0</v>
      </c>
      <c r="FQ35" t="inlineStr">
        <is>
          <t>good</t>
        </is>
      </c>
      <c r="FR35" s="19" t="n">
        <v>0.75</v>
      </c>
      <c r="FS35" s="15" t="n">
        <v>0.7810808317968561</v>
      </c>
      <c r="FT35" s="15" t="n">
        <v>1.990711457933772</v>
      </c>
      <c r="FU35" t="inlineStr">
        <is>
          <t>passed</t>
        </is>
      </c>
      <c r="FV35" t="n">
        <v>31.30308269776389</v>
      </c>
      <c r="FW35" t="n">
        <v>9.59065345939741</v>
      </c>
      <c r="FX35" t="n">
        <v>0.2539856121505089</v>
      </c>
      <c r="FY35" t="n">
        <v>0.2636979223462591</v>
      </c>
      <c r="FZ35" t="n">
        <v>0.01166812258197421</v>
      </c>
      <c r="GA35" t="n">
        <v>0.2427824568293163</v>
      </c>
      <c r="GB35" t="n">
        <v>0.019814251384542</v>
      </c>
      <c r="GC35" t="n">
        <v>0.01122849141780885</v>
      </c>
      <c r="GD35" t="n">
        <v>0.02908630341166883</v>
      </c>
      <c r="GE35" t="n">
        <v>0.8211830314415615</v>
      </c>
      <c r="GF35" t="n">
        <v>0.2928279692759946</v>
      </c>
      <c r="GG35" t="n">
        <v>0.6331172256947559</v>
      </c>
      <c r="GH35" t="n">
        <v>0.1459876202002795</v>
      </c>
      <c r="GI35" t="n">
        <v>0.8794642857142857</v>
      </c>
      <c r="GJ35" t="n">
        <v>0.3333333333333335</v>
      </c>
      <c r="GK35" t="n">
        <v>0.4727272727272727</v>
      </c>
      <c r="GL35" t="n">
        <v>0.8271990480788604</v>
      </c>
      <c r="GM35" t="n">
        <v>0.8271990480788604</v>
      </c>
      <c r="GN35" t="n">
        <v>0.07929571658088116</v>
      </c>
      <c r="GO35" t="n">
        <v>0.1551668888040919</v>
      </c>
      <c r="GP35" t="n">
        <v>55.00224164501638</v>
      </c>
      <c r="GQ35" t="inlineStr">
        <is>
          <t>compiled workbook density_weighted_sum = density_component_ratio_weighted_sum (per-note component ratios); research density_weighted_sum maps body-ceiling richness</t>
        </is>
      </c>
      <c r="GR35" s="15" t="inlineStr">
        <is>
          <t>individual_exact</t>
        </is>
      </c>
      <c r="GS35" s="15" t="inlineStr">
        <is>
          <t>density_weight</t>
        </is>
      </c>
      <c r="GT35" s="15" t="n">
        <v>0.838519042037125</v>
      </c>
      <c r="GU35" s="15" t="n">
        <v>0.161480957962875</v>
      </c>
      <c r="GV35" s="15" t="n">
        <v>0</v>
      </c>
      <c r="GW35" s="15" t="inlineStr">
        <is>
          <t>log</t>
        </is>
      </c>
      <c r="GX35" s="15" t="n">
        <v>0.5</v>
      </c>
      <c r="GY35" s="15" t="inlineStr">
        <is>
          <t>EWSD-R v18.1</t>
        </is>
      </c>
      <c r="GZ35" s="15" t="n">
        <v>1.119110400351346</v>
      </c>
      <c r="HA35" s="15" t="n">
        <v>6.614527747186582</v>
      </c>
      <c r="HB35" s="15" t="n">
        <v>0.5455921013961054</v>
      </c>
      <c r="HC35" s="15" t="n">
        <v>2.260384957757528</v>
      </c>
      <c r="HD35" s="15" t="n">
        <v>9.262583917301601</v>
      </c>
      <c r="HE35" s="15" t="n">
        <v>0.4292112975234521</v>
      </c>
      <c r="HF35" s="15" t="inlineStr">
        <is>
          <t>partials+ratios</t>
        </is>
      </c>
      <c r="HG35" s="15" t="inlineStr">
        <is>
          <t>merged_individual_exact</t>
        </is>
      </c>
      <c r="HH35" s="15" t="inlineStr">
        <is>
          <t>passed</t>
        </is>
      </c>
      <c r="HI35" s="15" t="inlineStr">
        <is>
          <t>passed</t>
        </is>
      </c>
    </row>
    <row r="36">
      <c r="A36" t="inlineStr">
        <is>
          <t>incomplete_inference</t>
        </is>
      </c>
      <c r="B36" t="inlineStr">
        <is>
          <t>missing_instrument_technique</t>
        </is>
      </c>
      <c r="C36" t="inlineStr">
        <is>
          <t>prior_constrained_harmonic_fit</t>
        </is>
      </c>
      <c r="D36" t="inlineStr">
        <is>
          <t>IOWA_flt_ff.A6_SustainStable/A6/component_amplitude_mass_pie.png</t>
        </is>
      </c>
      <c r="E36" t="inlineStr">
        <is>
          <t>IOWA_flt_ff.A6_SustainStable/A6/component_energy_ratio_pie.png</t>
        </is>
      </c>
      <c r="F36" s="15" t="n">
        <v>1766.519323209072</v>
      </c>
      <c r="G36" s="15" t="inlineStr">
        <is>
          <t>prior_constrained_harmonic_fit</t>
        </is>
      </c>
      <c r="H36" s="15" t="inlineStr">
        <is>
          <t>fit_accepted_acoustically_verified</t>
        </is>
      </c>
      <c r="I36" s="16" t="n">
        <v>57.57384378902258</v>
      </c>
      <c r="J36" t="inlineStr">
        <is>
          <t>richness_weighted_body_density_body_ceiling</t>
        </is>
      </c>
      <c r="K36" t="inlineStr">
        <is>
          <t>research_body_ceiling_richness_metric</t>
        </is>
      </c>
      <c r="L36" s="15" t="n">
        <v>38997.17610111941</v>
      </c>
      <c r="M36" s="15" t="n">
        <v>38997.17610111941</v>
      </c>
      <c r="N36" s="15" t="n">
        <v>727.9691396859032</v>
      </c>
      <c r="O36" s="15" t="n">
        <v>0.3480498272820844</v>
      </c>
      <c r="P36" s="15" t="n">
        <v>-5.226174201797974</v>
      </c>
      <c r="Q36" s="15" t="n">
        <v>10</v>
      </c>
      <c r="R36" s="15" t="n">
        <v>10</v>
      </c>
      <c r="S36" s="15" t="n">
        <v>609.3308765799908</v>
      </c>
      <c r="T36" s="15" t="n">
        <v>12</v>
      </c>
      <c r="U36" s="15" t="n">
        <v>-0.4704961397749018</v>
      </c>
      <c r="V36" s="15" t="n">
        <v>9.26971407166895</v>
      </c>
      <c r="W36" s="15" t="n">
        <v>0.8273228140369046</v>
      </c>
      <c r="X36" s="15" t="n">
        <v>0.3369635206808134</v>
      </c>
      <c r="Y36" s="15" t="n">
        <v>10</v>
      </c>
      <c r="Z36" s="15" t="n">
        <v>11</v>
      </c>
      <c r="AA36" s="15" t="n">
        <v>0.9090909090909091</v>
      </c>
      <c r="AB36" s="15" t="n">
        <v>11</v>
      </c>
      <c r="AC36" s="15" t="n">
        <v>10</v>
      </c>
      <c r="AD36" s="15" t="n">
        <v>0.9090909090909091</v>
      </c>
      <c r="AE36" s="15" t="n">
        <v>82.20320561206064</v>
      </c>
      <c r="AF36" s="15" t="n">
        <v>10</v>
      </c>
      <c r="AG36" s="15" t="n">
        <v>11</v>
      </c>
      <c r="AH36" s="15" t="n">
        <v>0.9090909090909091</v>
      </c>
      <c r="AI36" s="15" t="n">
        <v>82.20320561206064</v>
      </c>
      <c r="AJ36" s="15" t="n">
        <v>5</v>
      </c>
      <c r="AK36" s="15" t="n">
        <v>5</v>
      </c>
      <c r="AL36" s="15" t="n">
        <v>53.37115438673445</v>
      </c>
      <c r="AM36" s="15" t="n">
        <v>29</v>
      </c>
      <c r="AN36" s="15" t="n">
        <v>0</v>
      </c>
      <c r="AO36" s="15" t="n">
        <v>29</v>
      </c>
      <c r="AP36" s="15" t="n">
        <v>0</v>
      </c>
      <c r="AQ36" s="15" t="n">
        <v>12.22114040793598</v>
      </c>
      <c r="AR36" s="15" t="n">
        <v>6.684635312177707</v>
      </c>
      <c r="AS36" s="15" t="n">
        <v>0.03662160560191637</v>
      </c>
      <c r="AT36" s="17" t="n">
        <v>2.374669754933271</v>
      </c>
      <c r="AU36" s="18" t="n">
        <v>2.10098800917442</v>
      </c>
      <c r="AV36" s="15" t="n">
        <v>3.516394647939704</v>
      </c>
      <c r="AW36" s="15" t="b">
        <v>1</v>
      </c>
      <c r="AX36" s="15" t="n">
        <v>5.850833928875501</v>
      </c>
      <c r="AY36" s="15" t="n">
        <v>12.98330796164657</v>
      </c>
      <c r="AZ36" s="15" t="n">
        <v>0</v>
      </c>
      <c r="BA36" s="15" t="n">
        <v>1</v>
      </c>
      <c r="BB36" s="15" t="n">
        <v>0.5</v>
      </c>
      <c r="BC36" s="15" t="n">
        <v>0.25</v>
      </c>
      <c r="BD36" s="15" t="inlineStr">
        <is>
          <t>his_note_adaptive</t>
        </is>
      </c>
      <c r="BE36" s="15" t="n">
        <v>-90</v>
      </c>
      <c r="BF36" s="15" t="n">
        <v>20000</v>
      </c>
      <c r="BG36" s="15" t="n">
        <v>10</v>
      </c>
      <c r="BH36" s="15" t="n">
        <v>0.9090909090909091</v>
      </c>
      <c r="BI36" s="15" t="n">
        <v>11</v>
      </c>
      <c r="BJ36" s="15" t="n">
        <v>10</v>
      </c>
      <c r="BK36" s="15" t="n">
        <v>11</v>
      </c>
      <c r="BL36" s="15" t="n">
        <v>9</v>
      </c>
      <c r="BM36" s="15" t="n">
        <v>0.8181818181818182</v>
      </c>
      <c r="BN36" s="15" t="n">
        <v>0.2862728571892641</v>
      </c>
      <c r="BO36" s="15" t="n">
        <v>0.2416666666666667</v>
      </c>
      <c r="BP36" s="19" t="n">
        <v>0.7670422759387934</v>
      </c>
      <c r="BQ36" s="19" t="n">
        <v>0.2329577240612065</v>
      </c>
      <c r="BR36" s="19" t="n">
        <v>0</v>
      </c>
      <c r="BS36" s="15" t="n">
        <v>0.07339636733740768</v>
      </c>
      <c r="BT36" s="19" t="n">
        <v>1</v>
      </c>
      <c r="BU36" s="19" t="n">
        <v>0</v>
      </c>
      <c r="BV36" s="19" t="n">
        <v>0</v>
      </c>
      <c r="BW36" t="inlineStr">
        <is>
          <t>A6</t>
        </is>
      </c>
      <c r="BX36" t="n">
        <v>93</v>
      </c>
      <c r="BY36" t="inlineStr">
        <is>
          <t>A</t>
        </is>
      </c>
      <c r="BZ36" t="n">
        <v>6</v>
      </c>
      <c r="CA36" t="inlineStr">
        <is>
          <t>Very high</t>
        </is>
      </c>
      <c r="CB36" t="inlineStr">
        <is>
          <t>ff</t>
        </is>
      </c>
      <c r="CC36" s="15" t="n">
        <v>1760</v>
      </c>
      <c r="CD36" s="15" t="n">
        <v>1766.519323209072</v>
      </c>
      <c r="CE36" t="inlineStr">
        <is>
          <t>prior_constrained_harmonic_fit</t>
        </is>
      </c>
      <c r="CF36" t="n">
        <v>1766.519323209072</v>
      </c>
      <c r="CG36" s="15" t="n">
        <v>1</v>
      </c>
      <c r="CH36" t="inlineStr">
        <is>
          <t>free_fit_acoustically_verified</t>
        </is>
      </c>
      <c r="CI36" s="15" t="inlineStr">
        <is>
          <t>free_f0_fit</t>
        </is>
      </c>
      <c r="CJ36" s="15" t="n">
        <v>1760</v>
      </c>
      <c r="CK36" s="15" t="n">
        <v>1766.519323209072</v>
      </c>
      <c r="CL36" s="15" t="n">
        <v>6.400921781120469</v>
      </c>
      <c r="CM36" s="15" t="n">
        <v>20000</v>
      </c>
      <c r="CN36" s="15" t="n">
        <v>6.400921781120469</v>
      </c>
      <c r="CO36" s="15" t="n">
        <v>2.162484760747818</v>
      </c>
      <c r="CP36" s="15" t="n">
        <v>38997.17610111941</v>
      </c>
      <c r="CQ36" t="n">
        <v>1.039356950420531</v>
      </c>
      <c r="CR36" t="n">
        <v>0.09448699549277557</v>
      </c>
      <c r="CS36" t="n">
        <v>55.39371605272643</v>
      </c>
      <c r="CT36" t="n">
        <v>55.39371605272643</v>
      </c>
      <c r="CU36" t="n">
        <v>57.57384378902258</v>
      </c>
      <c r="CV36" t="n">
        <v>0.3480498272820844</v>
      </c>
      <c r="CW36" s="15" t="n">
        <v>38997.17610111941</v>
      </c>
      <c r="CX36" s="15" t="n">
        <v>727.9691396859032</v>
      </c>
      <c r="CY36" s="15" t="n">
        <v>0.3480498272820844</v>
      </c>
      <c r="CZ36" s="15" t="n">
        <v>2.374669754933271</v>
      </c>
      <c r="DA36" s="15" t="n">
        <v>2.374669754933271</v>
      </c>
      <c r="DB36" s="15" t="n">
        <v>1.839128377605629</v>
      </c>
      <c r="DC36" s="15" t="n">
        <v>0</v>
      </c>
      <c r="DD36" s="15" t="n">
        <v>6.089337722238577e-05</v>
      </c>
      <c r="DE36" s="15" t="n">
        <v>0</v>
      </c>
      <c r="DF36" s="15" t="n">
        <v>10</v>
      </c>
      <c r="DG36" s="15" t="inlineStr">
        <is>
          <t>Density_Metrics</t>
        </is>
      </c>
      <c r="DH36" s="15" t="n">
        <v>2.162484760747818</v>
      </c>
      <c r="DI36" t="n">
        <v>0.861192732533148</v>
      </c>
      <c r="DJ36" s="15" t="n">
        <v>0.5282312792032979</v>
      </c>
      <c r="DK36" s="15" t="n">
        <v>4.474032166820788</v>
      </c>
      <c r="DL36" s="15" t="n">
        <v>1.078450979006551</v>
      </c>
      <c r="DM36" s="15" t="n">
        <v>1.027398489627766</v>
      </c>
      <c r="DN36" s="15" t="n">
        <v>6.724284975192357</v>
      </c>
      <c r="DO36" s="15" t="n">
        <v>1.594489318262965</v>
      </c>
      <c r="DP36" s="15" t="n">
        <v>9.25</v>
      </c>
      <c r="DQ36" s="15" t="n">
        <v>21</v>
      </c>
      <c r="DR36" s="15" t="b">
        <v>1</v>
      </c>
      <c r="DS36" s="15" t="n">
        <v>1.039356950420531</v>
      </c>
      <c r="DT36" s="15" t="n">
        <v>3.706598727488947</v>
      </c>
      <c r="DU36" t="n">
        <v>11</v>
      </c>
      <c r="DV36" s="15" t="n">
        <v>0.07339636733740768</v>
      </c>
      <c r="DW36" s="15" t="n">
        <v>0.81227348648788</v>
      </c>
      <c r="DX36" s="15" t="n">
        <v>1.895344038771565</v>
      </c>
      <c r="DY36" s="15" t="n">
        <v>0.2320303131040405</v>
      </c>
      <c r="DZ36" s="15" t="b">
        <v>1</v>
      </c>
      <c r="EA36" s="15" t="n">
        <v>0.2678176049265922</v>
      </c>
      <c r="EB36" s="15" t="n">
        <v>20000</v>
      </c>
      <c r="EC36" s="15" t="n">
        <v>20000</v>
      </c>
      <c r="ED36" s="15" t="n">
        <v/>
      </c>
      <c r="EE36" s="15" t="n">
        <v>0</v>
      </c>
      <c r="EF36" s="15" t="n">
        <v>0.02446954900568182</v>
      </c>
      <c r="EG36" s="15" t="b">
        <v>0</v>
      </c>
      <c r="EH36" s="15" t="b">
        <v>1</v>
      </c>
      <c r="EI36" s="15" t="b">
        <v>0</v>
      </c>
      <c r="EJ36" s="15" t="inlineStr">
        <is>
          <t>wf=log|dst=-90.0|ceil=20000.0|fft=adaptive_tier</t>
        </is>
      </c>
      <c r="EK36" s="15" t="inlineStr">
        <is>
          <t>wf=log|dst=runtime_configured|ceil=runtime_configured|fft=fixed</t>
        </is>
      </c>
      <c r="EL36" s="15" t="n">
        <v>0.8203234408975303</v>
      </c>
      <c r="EM36" s="15" t="n">
        <v>0.9875603267024839</v>
      </c>
      <c r="EN36" s="15" t="n">
        <v>0.8333333333333334</v>
      </c>
      <c r="EO36" s="15" t="n">
        <v>0.4212731360737292</v>
      </c>
      <c r="EP36" s="15" t="inlineStr">
        <is>
          <t>warn:power_outlier_detected</t>
        </is>
      </c>
      <c r="EQ36" s="15" t="n">
        <v>226.4595549571755</v>
      </c>
      <c r="ER36" s="15" t="inlineStr">
        <is>
          <t>winsorize_p95_for_robust_diagnostics</t>
        </is>
      </c>
      <c r="ES36" s="15" t="n">
        <v>0.1051660866975283</v>
      </c>
      <c r="ET36" s="15" t="n">
        <v>0.01588696314828363</v>
      </c>
      <c r="EU36" s="15" t="n">
        <v>0.01839418225870976</v>
      </c>
      <c r="EV36" t="inlineStr">
        <is>
          <t>computed</t>
        </is>
      </c>
      <c r="EW36" s="15" t="inlineStr">
        <is>
          <t>computed</t>
        </is>
      </c>
      <c r="EX36" s="15" t="inlineStr">
        <is>
          <t>computed</t>
        </is>
      </c>
      <c r="EY36" s="15" t="inlineStr">
        <is>
          <t>available_from_curve</t>
        </is>
      </c>
      <c r="EZ36" s="15" t="n">
        <v>20000</v>
      </c>
      <c r="FA36" s="15" t="n">
        <v>20000</v>
      </c>
      <c r="FB36" s="15" t="n">
        <v>0.2329577240612065</v>
      </c>
      <c r="FC36" s="15" t="n">
        <v>0.05606169607218201</v>
      </c>
      <c r="FD36" s="15" t="n">
        <v>2.374669754933271</v>
      </c>
      <c r="FE36" s="15" t="n">
        <v>1.839128377605629</v>
      </c>
      <c r="FF36" s="15" t="n">
        <v>0.2602340342818875</v>
      </c>
      <c r="FG36" s="15" t="n">
        <v>1.795806611411368</v>
      </c>
      <c r="FH36" s="15" t="n">
        <v>0.3532224817521756</v>
      </c>
      <c r="FI36" s="15" t="n">
        <v>0.01345566758427374</v>
      </c>
      <c r="FJ36" s="15" t="n">
        <v>609.3308765799908</v>
      </c>
      <c r="FK36" s="15" t="n">
        <v>11.37451780759224</v>
      </c>
      <c r="FL36" s="15" t="n">
        <v>0.005438278551282569</v>
      </c>
      <c r="FM36" s="15" t="n">
        <v>0.004524982892015836</v>
      </c>
      <c r="FN36" t="n">
        <v>1</v>
      </c>
      <c r="FO36" t="n">
        <v>0</v>
      </c>
      <c r="FP36" t="n">
        <v>0</v>
      </c>
      <c r="FQ36" t="inlineStr">
        <is>
          <t>good</t>
        </is>
      </c>
      <c r="FR36" s="19" t="n">
        <v>0.8181818181818182</v>
      </c>
      <c r="FS36" s="15" t="n">
        <v>0.7809300703170383</v>
      </c>
      <c r="FT36" s="15" t="n">
        <v>0.7809300703170597</v>
      </c>
      <c r="FU36" t="inlineStr">
        <is>
          <t>passed</t>
        </is>
      </c>
      <c r="FV36" t="n">
        <v>29.49463946677477</v>
      </c>
      <c r="FW36" t="n">
        <v>8.505548364185401</v>
      </c>
      <c r="FX36" t="n">
        <v>0.1025852162845512</v>
      </c>
      <c r="FY36" t="n">
        <v>0.1660983553943181</v>
      </c>
      <c r="FZ36" t="n">
        <v>0.0155516590487589</v>
      </c>
      <c r="GA36" t="n">
        <v>0.06831587111101772</v>
      </c>
      <c r="GB36" t="n">
        <v>0.01569515230659001</v>
      </c>
      <c r="GC36" t="n">
        <v>0.008822869741713538</v>
      </c>
      <c r="GD36" t="n">
        <v>0.01703479981789532</v>
      </c>
      <c r="GE36" t="n">
        <v>0.8827712528078234</v>
      </c>
      <c r="GF36" t="n">
        <v>0.3396345735531024</v>
      </c>
      <c r="GG36" t="n">
        <v>0.3714574689472769</v>
      </c>
      <c r="GH36" t="n">
        <v>0.1396838176012262</v>
      </c>
      <c r="GI36" t="n">
        <v>0.8685064935064934</v>
      </c>
      <c r="GJ36" t="n">
        <v>0.6060606060606064</v>
      </c>
      <c r="GK36" t="n">
        <v>0.2363636363636365</v>
      </c>
      <c r="GL36" t="n">
        <v>0.807670493589279</v>
      </c>
      <c r="GM36" t="n">
        <v>0.807670493589279</v>
      </c>
      <c r="GN36" t="n">
        <v>0.06463675888590056</v>
      </c>
      <c r="GO36" t="n">
        <v>0.04476224191739932</v>
      </c>
      <c r="GP36" t="n">
        <v>57.57384378902258</v>
      </c>
      <c r="GQ36" t="inlineStr">
        <is>
          <t>compiled workbook density_weighted_sum = density_component_ratio_weighted_sum (per-note component ratios); research density_weighted_sum maps body-ceiling richness</t>
        </is>
      </c>
      <c r="GR36" s="15" t="inlineStr">
        <is>
          <t>individual_exact</t>
        </is>
      </c>
      <c r="GS36" s="15" t="inlineStr">
        <is>
          <t>density_weight</t>
        </is>
      </c>
      <c r="GT36" s="15" t="n">
        <v>0.8830978732665273</v>
      </c>
      <c r="GU36" s="15" t="n">
        <v>0.1169021267334727</v>
      </c>
      <c r="GV36" s="15" t="n">
        <v>0</v>
      </c>
      <c r="GW36" s="15" t="inlineStr">
        <is>
          <t>log</t>
        </is>
      </c>
      <c r="GX36" s="15" t="n">
        <v>0.5</v>
      </c>
      <c r="GY36" s="15" t="inlineStr">
        <is>
          <t>EWSD-R v18.1</t>
        </is>
      </c>
      <c r="GZ36" s="15" t="n">
        <v>0.9028935775403826</v>
      </c>
      <c r="HA36" s="15" t="n">
        <v>6.796105145148187</v>
      </c>
      <c r="HB36" s="15" t="n">
        <v>0.7346803252737653</v>
      </c>
      <c r="HC36" s="15" t="n">
        <v>2.001625994387033</v>
      </c>
      <c r="HD36" s="15" t="n">
        <v>9.631444860530905</v>
      </c>
      <c r="HE36" s="15" t="n">
        <v>0.5329349293106429</v>
      </c>
      <c r="HF36" s="15" t="inlineStr">
        <is>
          <t>partials+ratios</t>
        </is>
      </c>
      <c r="HG36" s="15" t="inlineStr">
        <is>
          <t>merged_individual_exact</t>
        </is>
      </c>
      <c r="HH36" s="15" t="inlineStr">
        <is>
          <t>passed</t>
        </is>
      </c>
      <c r="HI36" s="15" t="inlineStr">
        <is>
          <t>passed</t>
        </is>
      </c>
    </row>
    <row r="37">
      <c r="A37" t="inlineStr">
        <is>
          <t>incomplete_inference</t>
        </is>
      </c>
      <c r="B37" t="inlineStr">
        <is>
          <t>missing_instrument_technique</t>
        </is>
      </c>
      <c r="C37" t="inlineStr">
        <is>
          <t>prior_constrained_harmonic_fit</t>
        </is>
      </c>
      <c r="D37" t="inlineStr">
        <is>
          <t>IOWA_flt_ff.A#6_SustainStable/A#6/component_amplitude_mass_pie.png</t>
        </is>
      </c>
      <c r="E37" t="inlineStr">
        <is>
          <t>IOWA_flt_ff.A#6_SustainStable/A#6/component_energy_ratio_pie.png</t>
        </is>
      </c>
      <c r="F37" s="15" t="n">
        <v>1867.596399896791</v>
      </c>
      <c r="G37" s="15" t="inlineStr">
        <is>
          <t>prior_constrained_harmonic_fit</t>
        </is>
      </c>
      <c r="H37" s="15" t="inlineStr">
        <is>
          <t>fit_accepted_acoustically_verified</t>
        </is>
      </c>
      <c r="I37" s="16" t="n">
        <v>66.61583838255768</v>
      </c>
      <c r="J37" t="inlineStr">
        <is>
          <t>richness_weighted_body_density_body_ceiling</t>
        </is>
      </c>
      <c r="K37" t="inlineStr">
        <is>
          <t>research_body_ceiling_richness_metric</t>
        </is>
      </c>
      <c r="L37" s="15" t="n">
        <v>39914.49408748477</v>
      </c>
      <c r="M37" s="15" t="n">
        <v>39914.49408748477</v>
      </c>
      <c r="N37" s="15" t="n">
        <v>591.1986569031657</v>
      </c>
      <c r="O37" s="15" t="n">
        <v>0.5468164273010387</v>
      </c>
      <c r="P37" s="15" t="n">
        <v>-4.994683288100593</v>
      </c>
      <c r="Q37" s="15" t="n">
        <v>10</v>
      </c>
      <c r="R37" s="15" t="n">
        <v>10</v>
      </c>
      <c r="S37" s="15" t="n">
        <v>623.6639701169495</v>
      </c>
      <c r="T37" s="15" t="n">
        <v>11</v>
      </c>
      <c r="U37" s="15" t="n">
        <v>-0.1297881589431872</v>
      </c>
      <c r="V37" s="15" t="n">
        <v>10.20824451692164</v>
      </c>
      <c r="W37" s="15" t="n">
        <v>0.7475188224956778</v>
      </c>
      <c r="X37" s="15" t="n">
        <v>0.4994848324346416</v>
      </c>
      <c r="Y37" s="15" t="n">
        <v>10</v>
      </c>
      <c r="Z37" s="15" t="n">
        <v>10</v>
      </c>
      <c r="AA37" s="15" t="n">
        <v>1</v>
      </c>
      <c r="AB37" s="15" t="n">
        <v>10</v>
      </c>
      <c r="AC37" s="15" t="n">
        <v>10</v>
      </c>
      <c r="AD37" s="15" t="n">
        <v>1</v>
      </c>
      <c r="AE37" s="15" t="n">
        <v>89.19276696720489</v>
      </c>
      <c r="AF37" s="15" t="n">
        <v>10</v>
      </c>
      <c r="AG37" s="15" t="n">
        <v>10</v>
      </c>
      <c r="AH37" s="15" t="n">
        <v>1</v>
      </c>
      <c r="AI37" s="15" t="n">
        <v>89.19276696720489</v>
      </c>
      <c r="AJ37" s="15" t="n">
        <v>5</v>
      </c>
      <c r="AK37" s="15" t="n">
        <v>5</v>
      </c>
      <c r="AL37" s="15" t="n">
        <v>35.73618711491487</v>
      </c>
      <c r="AM37" s="15" t="n">
        <v>38</v>
      </c>
      <c r="AN37" s="15" t="n">
        <v>0</v>
      </c>
      <c r="AO37" s="15" t="n">
        <v>38</v>
      </c>
      <c r="AP37" s="15" t="n">
        <v>0</v>
      </c>
      <c r="AQ37" s="15" t="n">
        <v>13.84811328673569</v>
      </c>
      <c r="AR37" s="15" t="n">
        <v>7.796206362318751</v>
      </c>
      <c r="AS37" s="15" t="n">
        <v>0.09524177729073169</v>
      </c>
      <c r="AT37" s="17" t="n">
        <v>2.409972954892286</v>
      </c>
      <c r="AU37" s="18" t="n">
        <v>2.84056865971504</v>
      </c>
      <c r="AV37" s="15" t="n">
        <v>4.416422458423059</v>
      </c>
      <c r="AW37" s="15" t="b">
        <v>1</v>
      </c>
      <c r="AX37" s="15" t="n">
        <v>6.243487595505968</v>
      </c>
      <c r="AY37" s="15" t="n">
        <v>17.54152438164181</v>
      </c>
      <c r="AZ37" s="15" t="n">
        <v>0</v>
      </c>
      <c r="BA37" s="15" t="n">
        <v>1</v>
      </c>
      <c r="BB37" s="15" t="n">
        <v>0.5</v>
      </c>
      <c r="BC37" s="15" t="n">
        <v>0.25</v>
      </c>
      <c r="BD37" s="15" t="inlineStr">
        <is>
          <t>his_note_adaptive</t>
        </is>
      </c>
      <c r="BE37" s="15" t="n">
        <v>-90</v>
      </c>
      <c r="BF37" s="15" t="n">
        <v>20000</v>
      </c>
      <c r="BG37" s="15" t="n">
        <v>10</v>
      </c>
      <c r="BH37" s="15" t="n">
        <v>1</v>
      </c>
      <c r="BI37" s="15" t="n">
        <v>10</v>
      </c>
      <c r="BJ37" s="15" t="n">
        <v>10</v>
      </c>
      <c r="BK37" s="15" t="n">
        <v>10</v>
      </c>
      <c r="BL37" s="15" t="n">
        <v>7</v>
      </c>
      <c r="BM37" s="15" t="n">
        <v>0.7</v>
      </c>
      <c r="BN37" s="15" t="n">
        <v>0.4175377794767106</v>
      </c>
      <c r="BO37" s="15" t="n">
        <v>0.3166666666666667</v>
      </c>
      <c r="BP37" s="19" t="n">
        <v>0.7638995217753917</v>
      </c>
      <c r="BQ37" s="19" t="n">
        <v>0.2361004782246083</v>
      </c>
      <c r="BR37" s="19" t="n">
        <v>0</v>
      </c>
      <c r="BS37" s="15" t="n">
        <v>0.09787301772886264</v>
      </c>
      <c r="BT37" s="19" t="n">
        <v>1</v>
      </c>
      <c r="BU37" s="19" t="n">
        <v>0</v>
      </c>
      <c r="BV37" s="19" t="n">
        <v>0</v>
      </c>
      <c r="BW37" t="inlineStr">
        <is>
          <t>A#6</t>
        </is>
      </c>
      <c r="BX37" t="n">
        <v>94</v>
      </c>
      <c r="BY37" t="inlineStr">
        <is>
          <t>A#</t>
        </is>
      </c>
      <c r="BZ37" t="n">
        <v>6</v>
      </c>
      <c r="CA37" t="inlineStr">
        <is>
          <t>Very high</t>
        </is>
      </c>
      <c r="CB37" t="inlineStr">
        <is>
          <t>ff</t>
        </is>
      </c>
      <c r="CC37" s="15" t="n">
        <v>1864.655046072359</v>
      </c>
      <c r="CD37" s="15" t="n">
        <v>1867.596399896791</v>
      </c>
      <c r="CE37" t="inlineStr">
        <is>
          <t>prior_constrained_harmonic_fit</t>
        </is>
      </c>
      <c r="CF37" t="n">
        <v>1867.596399896791</v>
      </c>
      <c r="CG37" s="15" t="n">
        <v>1</v>
      </c>
      <c r="CH37" t="inlineStr">
        <is>
          <t>free_fit_acoustically_verified</t>
        </is>
      </c>
      <c r="CI37" s="15" t="inlineStr">
        <is>
          <t>free_f0_fit</t>
        </is>
      </c>
      <c r="CJ37" s="15" t="n">
        <v>1864.655046072359</v>
      </c>
      <c r="CK37" s="15" t="n">
        <v>1867.596399896791</v>
      </c>
      <c r="CL37" s="15" t="n">
        <v>2.728740557357714</v>
      </c>
      <c r="CM37" s="15" t="n">
        <v>20000</v>
      </c>
      <c r="CN37" s="15" t="n">
        <v>2.728740557357714</v>
      </c>
      <c r="CO37" s="15" t="n">
        <v>2.185299773716511</v>
      </c>
      <c r="CP37" s="15" t="n">
        <v>39914.49408748477</v>
      </c>
      <c r="CQ37" t="n">
        <v>1.068136714231959</v>
      </c>
      <c r="CR37" t="n">
        <v>0.1068136714231959</v>
      </c>
      <c r="CS37" t="n">
        <v>62.36639701169495</v>
      </c>
      <c r="CT37" t="n">
        <v>62.36639701169495</v>
      </c>
      <c r="CU37" t="n">
        <v>66.61583838255768</v>
      </c>
      <c r="CV37" t="n">
        <v>0.5468164273010387</v>
      </c>
      <c r="CW37" s="15" t="n">
        <v>39914.49408748477</v>
      </c>
      <c r="CX37" s="15" t="n">
        <v>591.1986569031657</v>
      </c>
      <c r="CY37" s="15" t="n">
        <v>0.5468164273010387</v>
      </c>
      <c r="CZ37" s="15" t="n">
        <v>2.409972954892286</v>
      </c>
      <c r="DA37" s="15" t="n">
        <v>2.409972954892286</v>
      </c>
      <c r="DB37" s="15" t="n">
        <v>1.806270515086471</v>
      </c>
      <c r="DC37" s="15" t="n">
        <v>0</v>
      </c>
      <c r="DD37" s="15" t="n">
        <v>6.037839160907556e-05</v>
      </c>
      <c r="DE37" s="15" t="n">
        <v>0</v>
      </c>
      <c r="DF37" s="15" t="n">
        <v>10</v>
      </c>
      <c r="DG37" s="15" t="inlineStr">
        <is>
          <t>Density_Metrics</t>
        </is>
      </c>
      <c r="DH37" s="15" t="n">
        <v>2.185299773716511</v>
      </c>
      <c r="DI37" t="n">
        <v>0.8702786339544801</v>
      </c>
      <c r="DJ37" s="15" t="n">
        <v>0.5327509345386501</v>
      </c>
      <c r="DK37" s="15" t="n">
        <v>4.523439067017781</v>
      </c>
      <c r="DL37" s="15" t="n">
        <v>1.099977446468951</v>
      </c>
      <c r="DM37" s="15" t="n">
        <v>1.032743641399365</v>
      </c>
      <c r="DN37" s="15" t="n">
        <v>7.133907375007682</v>
      </c>
      <c r="DO37" s="15" t="n">
        <v>1.557952679963973</v>
      </c>
      <c r="DP37" s="15" t="n">
        <v>9</v>
      </c>
      <c r="DQ37" s="15" t="n">
        <v>22</v>
      </c>
      <c r="DR37" s="15" t="b">
        <v>1</v>
      </c>
      <c r="DS37" s="15" t="n">
        <v>1.068136714231959</v>
      </c>
      <c r="DT37" s="15" t="n">
        <v>4.994848324346416</v>
      </c>
      <c r="DU37" t="n">
        <v>10</v>
      </c>
      <c r="DV37" s="15" t="n">
        <v>0.09787301772886264</v>
      </c>
      <c r="DW37" s="15" t="n">
        <v>0.8215546333477287</v>
      </c>
      <c r="DX37" s="15" t="n">
        <v>1.918639153207859</v>
      </c>
      <c r="DY37" s="15" t="n">
        <v>0.2235593104122074</v>
      </c>
      <c r="DZ37" s="15" t="b">
        <v>1</v>
      </c>
      <c r="EA37" s="15" t="n">
        <v>0.1265636422160676</v>
      </c>
      <c r="EB37" s="15" t="n">
        <v>20000</v>
      </c>
      <c r="EC37" s="15" t="n">
        <v>20000</v>
      </c>
      <c r="ED37" s="15" t="n">
        <v/>
      </c>
      <c r="EE37" s="15" t="n">
        <v>0</v>
      </c>
      <c r="EF37" s="15" t="n">
        <v>0.02309617874936895</v>
      </c>
      <c r="EG37" s="15" t="b">
        <v>0</v>
      </c>
      <c r="EH37" s="15" t="b">
        <v>1</v>
      </c>
      <c r="EI37" s="15" t="b">
        <v>0</v>
      </c>
      <c r="EJ37" s="15" t="inlineStr">
        <is>
          <t>wf=log|dst=-90.0|ceil=20000.0|fft=adaptive_tier</t>
        </is>
      </c>
      <c r="EK37" s="15" t="inlineStr">
        <is>
          <t>wf=log|dst=runtime_configured|ceil=runtime_configured|fft=fixed</t>
        </is>
      </c>
      <c r="EL37" s="15" t="n">
        <v>0.8498918942905574</v>
      </c>
      <c r="EM37" s="15" t="n">
        <v>0.9927173295596589</v>
      </c>
      <c r="EN37" s="15" t="n">
        <v>0.9090909090909091</v>
      </c>
      <c r="EO37" s="15" t="n">
        <v>0.4249363890344641</v>
      </c>
      <c r="EP37" s="15" t="inlineStr">
        <is>
          <t>warn:power_outlier_detected</t>
        </is>
      </c>
      <c r="EQ37" s="15" t="n">
        <v>215.5762645405916</v>
      </c>
      <c r="ER37" s="15" t="inlineStr">
        <is>
          <t>winsorize_p95_for_robust_diagnostics</t>
        </is>
      </c>
      <c r="ES37" s="15" t="n">
        <v>0.1200623594903532</v>
      </c>
      <c r="ET37" s="15" t="n">
        <v>0.02308315102707963</v>
      </c>
      <c r="EU37" s="15" t="n">
        <v>0.02797526787235512</v>
      </c>
      <c r="EV37" t="inlineStr">
        <is>
          <t>computed</t>
        </is>
      </c>
      <c r="EW37" s="15" t="inlineStr">
        <is>
          <t>computed</t>
        </is>
      </c>
      <c r="EX37" s="15" t="inlineStr">
        <is>
          <t>computed</t>
        </is>
      </c>
      <c r="EY37" s="15" t="inlineStr">
        <is>
          <t>available_from_curve</t>
        </is>
      </c>
      <c r="EZ37" s="15" t="n">
        <v>20000</v>
      </c>
      <c r="FA37" s="15" t="n">
        <v>20000</v>
      </c>
      <c r="FB37" s="15" t="n">
        <v>0.2361004782246083</v>
      </c>
      <c r="FC37" s="15" t="n">
        <v>0.08566763127293245</v>
      </c>
      <c r="FD37" s="15" t="n">
        <v>2.409972954892286</v>
      </c>
      <c r="FE37" s="15" t="n">
        <v>1.806270515086471</v>
      </c>
      <c r="FF37" s="15" t="n">
        <v>0.3071955970390236</v>
      </c>
      <c r="FG37" s="15" t="n">
        <v>1.822504100507977</v>
      </c>
      <c r="FH37" s="15" t="n">
        <v>0.346911809867922</v>
      </c>
      <c r="FI37" s="15" t="n">
        <v>0.01588386334061188</v>
      </c>
      <c r="FJ37" s="15" t="n">
        <v>623.6639701169495</v>
      </c>
      <c r="FK37" s="15" t="n">
        <v>9.237479014111964</v>
      </c>
      <c r="FL37" s="15" t="n">
        <v>0.00854400667657873</v>
      </c>
      <c r="FM37" s="15" t="n">
        <v>0.004643889518654144</v>
      </c>
      <c r="FN37" t="n">
        <v>1</v>
      </c>
      <c r="FO37" t="n">
        <v>0</v>
      </c>
      <c r="FP37" t="n">
        <v>0</v>
      </c>
      <c r="FQ37" t="inlineStr">
        <is>
          <t>good</t>
        </is>
      </c>
      <c r="FR37" s="19" t="n">
        <v>0.7</v>
      </c>
      <c r="FS37" s="15" t="n">
        <v>0.757959871413337</v>
      </c>
      <c r="FT37" s="15" t="n">
        <v>1.376610680285989</v>
      </c>
      <c r="FU37" t="inlineStr">
        <is>
          <t>passed</t>
        </is>
      </c>
      <c r="FV37" t="n">
        <v>32.00294649743683</v>
      </c>
      <c r="FW37" t="n">
        <v>7.87666800261028</v>
      </c>
      <c r="FX37" t="n">
        <v>0.1285745188205185</v>
      </c>
      <c r="FY37" t="n">
        <v>0.2206830199889395</v>
      </c>
      <c r="FZ37" t="n">
        <v>0.02920653790251477</v>
      </c>
      <c r="GA37" t="n">
        <v>0.09717855675376892</v>
      </c>
      <c r="GB37" t="n">
        <v>0.02097418133573263</v>
      </c>
      <c r="GC37" t="n">
        <v>0.01604405885514178</v>
      </c>
      <c r="GD37" t="n">
        <v>0.03951565742068879</v>
      </c>
      <c r="GE37" t="n">
        <v>0.7931026768701475</v>
      </c>
      <c r="GF37" t="n">
        <v>0.7537165388339184</v>
      </c>
      <c r="GG37" t="n">
        <v>0.5569544895019674</v>
      </c>
      <c r="GH37" t="n">
        <v>0.3016000831210536</v>
      </c>
      <c r="GI37" t="n">
        <v>1</v>
      </c>
      <c r="GJ37" t="n">
        <v>0.1333333333333333</v>
      </c>
      <c r="GK37" t="n">
        <v>0.4000000000000001</v>
      </c>
      <c r="GL37" t="n">
        <v>0.8302231579812887</v>
      </c>
      <c r="GM37" t="n">
        <v>0.8302231579812887</v>
      </c>
      <c r="GN37" t="n">
        <v>0.1171978376889938</v>
      </c>
      <c r="GO37" t="n">
        <v>0.09222229891593031</v>
      </c>
      <c r="GP37" t="n">
        <v>66.61583838255768</v>
      </c>
      <c r="GQ37" t="inlineStr">
        <is>
          <t>compiled workbook density_weighted_sum = density_component_ratio_weighted_sum (per-note component ratios); research density_weighted_sum maps body-ceiling richness</t>
        </is>
      </c>
      <c r="GR37" s="15" t="inlineStr">
        <is>
          <t>individual_exact</t>
        </is>
      </c>
      <c r="GS37" s="15" t="inlineStr">
        <is>
          <t>density_weight</t>
        </is>
      </c>
      <c r="GT37" s="15" t="n">
        <v>0.8625673826165827</v>
      </c>
      <c r="GU37" s="15" t="n">
        <v>0.1374326173834174</v>
      </c>
      <c r="GV37" s="15" t="n">
        <v>0</v>
      </c>
      <c r="GW37" s="15" t="inlineStr">
        <is>
          <t>log</t>
        </is>
      </c>
      <c r="GX37" s="15" t="n">
        <v>0.5</v>
      </c>
      <c r="GY37" s="15" t="inlineStr">
        <is>
          <t>EWSD-R v18.1</t>
        </is>
      </c>
      <c r="GZ37" s="15" t="n">
        <v>1.309414980464798</v>
      </c>
      <c r="HA37" s="15" t="n">
        <v>7.865020971285205</v>
      </c>
      <c r="HB37" s="15" t="n">
        <v>0.6053485233660266</v>
      </c>
      <c r="HC37" s="15" t="n">
        <v>2.443607413285307</v>
      </c>
      <c r="HD37" s="15" t="n">
        <v>10.56263920552392</v>
      </c>
      <c r="HE37" s="15" t="n">
        <v>0.4795364066554684</v>
      </c>
      <c r="HF37" s="15" t="inlineStr">
        <is>
          <t>partials+ratios</t>
        </is>
      </c>
      <c r="HG37" s="15" t="inlineStr">
        <is>
          <t>merged_individual_exact</t>
        </is>
      </c>
      <c r="HH37" s="15" t="inlineStr">
        <is>
          <t>passed</t>
        </is>
      </c>
      <c r="HI37" s="15" t="inlineStr">
        <is>
          <t>passed</t>
        </is>
      </c>
    </row>
    <row r="38">
      <c r="A38" t="inlineStr">
        <is>
          <t>incomplete_inference</t>
        </is>
      </c>
      <c r="B38" t="inlineStr">
        <is>
          <t>missing_instrument_technique</t>
        </is>
      </c>
      <c r="C38" t="inlineStr">
        <is>
          <t>prior_constrained_harmonic_fit</t>
        </is>
      </c>
      <c r="D38" t="inlineStr">
        <is>
          <t>IOWA_flt_ff.B6_SustainStable/B6/component_amplitude_mass_pie.png</t>
        </is>
      </c>
      <c r="E38" t="inlineStr">
        <is>
          <t>IOWA_flt_ff.B6_SustainStable/B6/component_energy_ratio_pie.png</t>
        </is>
      </c>
      <c r="F38" s="15" t="n">
        <v>1972.771711398326</v>
      </c>
      <c r="G38" s="15" t="inlineStr">
        <is>
          <t>prior_constrained_harmonic_fit</t>
        </is>
      </c>
      <c r="H38" s="15" t="inlineStr">
        <is>
          <t>fit_accepted_acoustically_verified</t>
        </is>
      </c>
      <c r="I38" s="16" t="n">
        <v>61.70875097299106</v>
      </c>
      <c r="J38" t="inlineStr">
        <is>
          <t>richness_weighted_body_density_body_ceiling</t>
        </is>
      </c>
      <c r="K38" t="inlineStr">
        <is>
          <t>research_body_ceiling_richness_metric</t>
        </is>
      </c>
      <c r="L38" s="15" t="n">
        <v>38605.45388609343</v>
      </c>
      <c r="M38" s="15" t="n">
        <v>38605.45388609343</v>
      </c>
      <c r="N38" s="15" t="n">
        <v>751.2255904620051</v>
      </c>
      <c r="O38" s="15" t="n">
        <v>0.3895889435826952</v>
      </c>
      <c r="P38" s="15" t="n">
        <v>-5.156068999671675</v>
      </c>
      <c r="Q38" s="15" t="n">
        <v>9</v>
      </c>
      <c r="R38" s="15" t="n">
        <v>9</v>
      </c>
      <c r="S38" s="15" t="n">
        <v>603.2102169702099</v>
      </c>
      <c r="T38" s="15" t="n">
        <v>11</v>
      </c>
      <c r="U38" s="15" t="n">
        <v>-0.4674933532807185</v>
      </c>
      <c r="V38" s="15" t="n">
        <v>9.739071952509008</v>
      </c>
      <c r="W38" s="15" t="n">
        <v>0.5507280838047932</v>
      </c>
      <c r="X38" s="15" t="n">
        <v>0.4512243338780122</v>
      </c>
      <c r="Y38" s="15" t="n">
        <v>10</v>
      </c>
      <c r="Z38" s="15" t="n">
        <v>10</v>
      </c>
      <c r="AA38" s="15" t="n">
        <v>1</v>
      </c>
      <c r="AB38" s="15" t="n">
        <v>10</v>
      </c>
      <c r="AC38" s="15" t="n">
        <v>10</v>
      </c>
      <c r="AD38" s="15" t="n">
        <v>1</v>
      </c>
      <c r="AE38" s="15" t="n">
        <v>81.49919819372478</v>
      </c>
      <c r="AF38" s="15" t="n">
        <v>10</v>
      </c>
      <c r="AG38" s="15" t="n">
        <v>10</v>
      </c>
      <c r="AH38" s="15" t="n">
        <v>1</v>
      </c>
      <c r="AI38" s="15" t="n">
        <v>81.49919819372478</v>
      </c>
      <c r="AJ38" s="15" t="n">
        <v>5</v>
      </c>
      <c r="AK38" s="15" t="n">
        <v>5</v>
      </c>
      <c r="AL38" s="15" t="n">
        <v>105.5745834751247</v>
      </c>
      <c r="AM38" s="15" t="n">
        <v>39</v>
      </c>
      <c r="AN38" s="15" t="n">
        <v>0</v>
      </c>
      <c r="AO38" s="15" t="n">
        <v>39</v>
      </c>
      <c r="AP38" s="15" t="n">
        <v>0</v>
      </c>
      <c r="AQ38" s="15" t="n">
        <v>14.5706453539056</v>
      </c>
      <c r="AR38" s="15" t="n">
        <v>7.930280473484594</v>
      </c>
      <c r="AS38" s="15" t="n">
        <v>0.1023123531343269</v>
      </c>
      <c r="AT38" s="17" t="n">
        <v>2.370493714442146</v>
      </c>
      <c r="AU38" s="18" t="n">
        <v>2.759272962734479</v>
      </c>
      <c r="AV38" s="15" t="n">
        <v>4.107324282650568</v>
      </c>
      <c r="AW38" s="15" t="b">
        <v>1</v>
      </c>
      <c r="AX38" s="15" t="n">
        <v>6.032969778969568</v>
      </c>
      <c r="AY38" s="15" t="n">
        <v>18.07109697558517</v>
      </c>
      <c r="AZ38" s="15" t="n">
        <v>0</v>
      </c>
      <c r="BA38" s="15" t="n">
        <v>1</v>
      </c>
      <c r="BB38" s="15" t="n">
        <v>0.5</v>
      </c>
      <c r="BC38" s="15" t="n">
        <v>0.25</v>
      </c>
      <c r="BD38" s="15" t="inlineStr">
        <is>
          <t>his_note_adaptive</t>
        </is>
      </c>
      <c r="BE38" s="15" t="n">
        <v>-90</v>
      </c>
      <c r="BF38" s="15" t="n">
        <v>20000</v>
      </c>
      <c r="BG38" s="15" t="n">
        <v>10</v>
      </c>
      <c r="BH38" s="15" t="n">
        <v>1</v>
      </c>
      <c r="BI38" s="15" t="n">
        <v>10</v>
      </c>
      <c r="BJ38" s="15" t="n">
        <v>10</v>
      </c>
      <c r="BK38" s="15" t="n">
        <v>10</v>
      </c>
      <c r="BL38" s="15" t="n">
        <v>8</v>
      </c>
      <c r="BM38" s="15" t="n">
        <v>0.8</v>
      </c>
      <c r="BN38" s="15" t="n">
        <v>0.3967940198706464</v>
      </c>
      <c r="BO38" s="15" t="n">
        <v>0.325</v>
      </c>
      <c r="BP38" s="19" t="n">
        <v>0.7488590741721264</v>
      </c>
      <c r="BQ38" s="19" t="n">
        <v>0.2511409258278737</v>
      </c>
      <c r="BR38" s="19" t="n">
        <v>0</v>
      </c>
      <c r="BS38" s="15" t="n">
        <v>0.1089935392507487</v>
      </c>
      <c r="BT38" s="19" t="n">
        <v>1</v>
      </c>
      <c r="BU38" s="19" t="n">
        <v>0</v>
      </c>
      <c r="BV38" s="19" t="n">
        <v>0</v>
      </c>
      <c r="BW38" t="inlineStr">
        <is>
          <t>B6</t>
        </is>
      </c>
      <c r="BX38" t="n">
        <v>95</v>
      </c>
      <c r="BY38" t="inlineStr">
        <is>
          <t>B</t>
        </is>
      </c>
      <c r="BZ38" t="n">
        <v>6</v>
      </c>
      <c r="CA38" t="inlineStr">
        <is>
          <t>Very high</t>
        </is>
      </c>
      <c r="CB38" t="inlineStr">
        <is>
          <t>ff</t>
        </is>
      </c>
      <c r="CC38" s="15" t="n">
        <v>1975.533205024497</v>
      </c>
      <c r="CD38" s="15" t="n">
        <v>1972.771711398326</v>
      </c>
      <c r="CE38" t="inlineStr">
        <is>
          <t>prior_constrained_harmonic_fit</t>
        </is>
      </c>
      <c r="CF38" t="n">
        <v>1972.771711398326</v>
      </c>
      <c r="CG38" s="15" t="n">
        <v>1</v>
      </c>
      <c r="CH38" t="inlineStr">
        <is>
          <t>free_fit_acoustically_verified</t>
        </is>
      </c>
      <c r="CI38" s="15" t="inlineStr">
        <is>
          <t>free_f0_fit</t>
        </is>
      </c>
      <c r="CJ38" s="15" t="n">
        <v>1975.533205024497</v>
      </c>
      <c r="CK38" s="15" t="n">
        <v>1972.771711398326</v>
      </c>
      <c r="CL38" s="15" t="n">
        <v>-2.42169370028914</v>
      </c>
      <c r="CM38" s="15" t="n">
        <v>20000</v>
      </c>
      <c r="CN38" s="15" t="n">
        <v>-2.42169370028914</v>
      </c>
      <c r="CO38" s="15" t="n">
        <v>2.164594102593518</v>
      </c>
      <c r="CP38" s="15" t="n">
        <v>38605.45388609343</v>
      </c>
      <c r="CQ38" t="n">
        <v>1.02300573227921</v>
      </c>
      <c r="CR38" t="n">
        <v>0.102300573227921</v>
      </c>
      <c r="CS38" t="n">
        <v>60.32102169702099</v>
      </c>
      <c r="CT38" t="n">
        <v>60.32102169702099</v>
      </c>
      <c r="CU38" t="n">
        <v>61.70875097299106</v>
      </c>
      <c r="CV38" t="n">
        <v>0.3895889435826952</v>
      </c>
      <c r="CW38" s="15" t="n">
        <v>38605.45388609343</v>
      </c>
      <c r="CX38" s="15" t="n">
        <v>751.2255904620051</v>
      </c>
      <c r="CY38" s="15" t="n">
        <v>0.3895889435826952</v>
      </c>
      <c r="CZ38" s="15" t="n">
        <v>2.370493714442146</v>
      </c>
      <c r="DA38" s="15" t="n">
        <v>2.370493714442146</v>
      </c>
      <c r="DB38" s="15" t="n">
        <v>1.86352356600664</v>
      </c>
      <c r="DC38" s="15" t="n">
        <v>0</v>
      </c>
      <c r="DD38" s="15" t="n">
        <v>6.140307847270387e-05</v>
      </c>
      <c r="DE38" s="15" t="n">
        <v>0</v>
      </c>
      <c r="DF38" s="15" t="n">
        <v>9</v>
      </c>
      <c r="DG38" s="15" t="inlineStr">
        <is>
          <t>Density_Metrics</t>
        </is>
      </c>
      <c r="DH38" s="15" t="n">
        <v>2.164594102593518</v>
      </c>
      <c r="DI38" t="n">
        <v>0.8620327615131983</v>
      </c>
      <c r="DJ38" s="15" t="n">
        <v>0.5276935215695625</v>
      </c>
      <c r="DK38" s="15" t="n">
        <v>4.505508680730548</v>
      </c>
      <c r="DL38" s="15" t="n">
        <v>1.063111630032948</v>
      </c>
      <c r="DM38" s="15" t="n">
        <v>1.027854325808712</v>
      </c>
      <c r="DN38" s="15" t="n">
        <v>8.37697726313292</v>
      </c>
      <c r="DO38" s="15" t="n">
        <v>2.21085100537178</v>
      </c>
      <c r="DP38" s="15" t="n">
        <v>18.875</v>
      </c>
      <c r="DQ38" s="15" t="n">
        <v>20</v>
      </c>
      <c r="DR38" s="15" t="b">
        <v>0</v>
      </c>
      <c r="DS38" s="15" t="n">
        <v>1.02300573227921</v>
      </c>
      <c r="DT38" s="15" t="n">
        <v>4.512243338780122</v>
      </c>
      <c r="DU38" t="n">
        <v>10</v>
      </c>
      <c r="DV38" s="15" t="n">
        <v>0.1089935392507487</v>
      </c>
      <c r="DW38" s="15" t="n">
        <v>0.8390679669293348</v>
      </c>
      <c r="DX38" s="15" t="n">
        <v>1.892212690559666</v>
      </c>
      <c r="DY38" s="15" t="n">
        <v>0.2254014237367616</v>
      </c>
      <c r="DZ38" s="15" t="b">
        <v>1</v>
      </c>
      <c r="EA38" s="15" t="n">
        <v>0.123783935379971</v>
      </c>
      <c r="EB38" s="15" t="n">
        <v>20000</v>
      </c>
      <c r="EC38" s="15" t="n">
        <v>20000</v>
      </c>
      <c r="ED38" s="15" t="n">
        <v/>
      </c>
      <c r="EE38" s="15" t="n">
        <v>0</v>
      </c>
      <c r="EF38" s="15" t="n">
        <v>0.02179988984263414</v>
      </c>
      <c r="EG38" s="15" t="b">
        <v>0</v>
      </c>
      <c r="EH38" s="15" t="b">
        <v>1</v>
      </c>
      <c r="EI38" s="15" t="b">
        <v>0</v>
      </c>
      <c r="EJ38" s="15" t="inlineStr">
        <is>
          <t>wf=log|dst=-90.0|ceil=20000.0|fft=adaptive_tier</t>
        </is>
      </c>
      <c r="EK38" s="15" t="inlineStr">
        <is>
          <t>wf=log|dst=runtime_configured|ceil=runtime_configured|fft=fixed</t>
        </is>
      </c>
      <c r="EL38" s="15" t="n">
        <v>0.8150528170908032</v>
      </c>
      <c r="EM38" s="15" t="n">
        <v>0.9854119515005322</v>
      </c>
      <c r="EN38" s="15" t="n">
        <v>0.8181818181818182</v>
      </c>
      <c r="EO38" s="15" t="n">
        <v>0.4262690127596369</v>
      </c>
      <c r="EP38" s="15" t="inlineStr">
        <is>
          <t>warn:power_outlier_detected</t>
        </is>
      </c>
      <c r="EQ38" s="15" t="n">
        <v>211.7871682282422</v>
      </c>
      <c r="ER38" s="15" t="inlineStr">
        <is>
          <t>winsorize_p95_for_robust_diagnostics</t>
        </is>
      </c>
      <c r="ES38" s="15" t="n">
        <v>0.1089693329901818</v>
      </c>
      <c r="ET38" s="15" t="n">
        <v>0.02210088005909267</v>
      </c>
      <c r="EU38" s="15" t="n">
        <v>0.02649635378596586</v>
      </c>
      <c r="EV38" t="inlineStr">
        <is>
          <t>computed</t>
        </is>
      </c>
      <c r="EW38" s="15" t="inlineStr">
        <is>
          <t>computed</t>
        </is>
      </c>
      <c r="EX38" s="15" t="inlineStr">
        <is>
          <t>computed</t>
        </is>
      </c>
      <c r="EY38" s="15" t="inlineStr">
        <is>
          <t>available_from_curve</t>
        </is>
      </c>
      <c r="EZ38" s="15" t="n">
        <v>20000</v>
      </c>
      <c r="FA38" s="15" t="n">
        <v>20000</v>
      </c>
      <c r="FB38" s="15" t="n">
        <v>0.2511409258278737</v>
      </c>
      <c r="FC38" s="15" t="n">
        <v>0.06692938134057416</v>
      </c>
      <c r="FD38" s="15" t="n">
        <v>2.370493714442146</v>
      </c>
      <c r="FE38" s="15" t="n">
        <v>1.86352356600664</v>
      </c>
      <c r="FF38" s="15" t="n">
        <v>0.2714914002817627</v>
      </c>
      <c r="FG38" s="15" t="n">
        <v>1.792648546544493</v>
      </c>
      <c r="FH38" s="15" t="n">
        <v>0.3579078148125221</v>
      </c>
      <c r="FI38" s="15" t="n">
        <v>0.01403774123650305</v>
      </c>
      <c r="FJ38" s="15" t="n">
        <v>603.2102169702099</v>
      </c>
      <c r="FK38" s="15" t="n">
        <v>11.73789985096883</v>
      </c>
      <c r="FL38" s="15" t="n">
        <v>0.006087327243479613</v>
      </c>
      <c r="FM38" s="15" t="n">
        <v>0.004529413706207508</v>
      </c>
      <c r="FN38" t="n">
        <v>1</v>
      </c>
      <c r="FO38" t="n">
        <v>0</v>
      </c>
      <c r="FP38" t="n">
        <v>0</v>
      </c>
      <c r="FQ38" t="inlineStr">
        <is>
          <t>good</t>
        </is>
      </c>
      <c r="FR38" s="19" t="n">
        <v>0.8</v>
      </c>
      <c r="FS38" s="15" t="n">
        <v>2.042025770508134</v>
      </c>
      <c r="FT38" s="15" t="n">
        <v>7.253627137806905</v>
      </c>
      <c r="FU38" t="inlineStr">
        <is>
          <t>passed</t>
        </is>
      </c>
      <c r="FV38" t="n">
        <v>29.21119119687971</v>
      </c>
      <c r="FW38" t="n">
        <v>9.00421802382086</v>
      </c>
      <c r="FX38" t="n">
        <v>0.1085615847220817</v>
      </c>
      <c r="FY38" t="n">
        <v>0.1711449322830058</v>
      </c>
      <c r="FZ38" t="n">
        <v>0.0217960397641581</v>
      </c>
      <c r="GA38" t="n">
        <v>0.08670392465181415</v>
      </c>
      <c r="GB38" t="n">
        <v>0.01193341719323517</v>
      </c>
      <c r="GC38" t="n">
        <v>0.004720152318212332</v>
      </c>
      <c r="GD38" t="n">
        <v>0.02827744808496707</v>
      </c>
      <c r="GE38" t="n">
        <v>0.5719866029076185</v>
      </c>
      <c r="GF38" t="n">
        <v>0.6307554214757799</v>
      </c>
      <c r="GG38" t="n">
        <v>0.6412316915019732</v>
      </c>
      <c r="GH38" t="n">
        <v>0.141110846032156</v>
      </c>
      <c r="GI38" t="n">
        <v>1</v>
      </c>
      <c r="GJ38" t="n">
        <v>0.5333333333333337</v>
      </c>
      <c r="GK38" t="n">
        <v>0.4181818181818182</v>
      </c>
      <c r="GL38" t="n">
        <v>0.9381546567450659</v>
      </c>
      <c r="GM38" t="n">
        <v>0.9381546567450659</v>
      </c>
      <c r="GN38" t="n">
        <v>0.08393077064151289</v>
      </c>
      <c r="GO38" t="n">
        <v>0.1132991180430252</v>
      </c>
      <c r="GP38" t="n">
        <v>61.70875097299106</v>
      </c>
      <c r="GQ38" t="inlineStr">
        <is>
          <t>compiled workbook density_weighted_sum = density_component_ratio_weighted_sum (per-note component ratios); research density_weighted_sum maps body-ceiling richness</t>
        </is>
      </c>
      <c r="GR38" s="15" t="inlineStr">
        <is>
          <t>individual_exact</t>
        </is>
      </c>
      <c r="GS38" s="15" t="inlineStr">
        <is>
          <t>density_weight</t>
        </is>
      </c>
      <c r="GT38" s="15" t="n">
        <v>0.8423915395204964</v>
      </c>
      <c r="GU38" s="15" t="n">
        <v>0.1576084604795035</v>
      </c>
      <c r="GV38" s="15" t="n">
        <v>0</v>
      </c>
      <c r="GW38" s="15" t="inlineStr">
        <is>
          <t>log</t>
        </is>
      </c>
      <c r="GX38" s="15" t="n">
        <v>0.5</v>
      </c>
      <c r="GY38" s="15" t="inlineStr">
        <is>
          <t>EWSD-R v18.1</t>
        </is>
      </c>
      <c r="GZ38" s="15" t="n">
        <v>1.273386370131139</v>
      </c>
      <c r="HA38" s="15" t="n">
        <v>6.646958457685645</v>
      </c>
      <c r="HB38" s="15" t="n">
        <v>0.5126535240610766</v>
      </c>
      <c r="HC38" s="15" t="n">
        <v>2.487280722976303</v>
      </c>
      <c r="HD38" s="15" t="n">
        <v>9.092936830745831</v>
      </c>
      <c r="HE38" s="15" t="n">
        <v>0.3907038901673425</v>
      </c>
      <c r="HF38" s="15" t="inlineStr">
        <is>
          <t>partials+ratios</t>
        </is>
      </c>
      <c r="HG38" s="15" t="inlineStr">
        <is>
          <t>merged_individual_exact</t>
        </is>
      </c>
      <c r="HH38" s="15" t="inlineStr">
        <is>
          <t>passed</t>
        </is>
      </c>
      <c r="HI38" s="15" t="inlineStr">
        <is>
          <t>passed</t>
        </is>
      </c>
    </row>
    <row r="39">
      <c r="A39" t="inlineStr">
        <is>
          <t>incomplete_inference</t>
        </is>
      </c>
      <c r="B39" t="inlineStr">
        <is>
          <t>missing_instrument_technique</t>
        </is>
      </c>
      <c r="C39" t="inlineStr">
        <is>
          <t>prior_constrained_harmonic_fit</t>
        </is>
      </c>
      <c r="D39" t="inlineStr">
        <is>
          <t>IOWA_flt_ff.C7_SustainStable/C7/component_amplitude_mass_pie.png</t>
        </is>
      </c>
      <c r="E39" t="inlineStr">
        <is>
          <t>IOWA_flt_ff.C7_SustainStable/C7/component_energy_ratio_pie.png</t>
        </is>
      </c>
      <c r="F39" s="15" t="n">
        <v>2094.597929620281</v>
      </c>
      <c r="G39" s="15" t="inlineStr">
        <is>
          <t>prior_constrained_harmonic_fit</t>
        </is>
      </c>
      <c r="H39" s="15" t="inlineStr">
        <is>
          <t>fit_accepted_acoustically_verified</t>
        </is>
      </c>
      <c r="I39" s="16" t="n">
        <v>80.60845956421021</v>
      </c>
      <c r="J39" t="inlineStr">
        <is>
          <t>richness_weighted_body_density_body_ceiling</t>
        </is>
      </c>
      <c r="K39" t="inlineStr">
        <is>
          <t>research_body_ceiling_richness_metric</t>
        </is>
      </c>
      <c r="L39" s="15" t="n">
        <v>39865.02637406288</v>
      </c>
      <c r="M39" s="15" t="n">
        <v>39865.02637406288</v>
      </c>
      <c r="N39" s="15" t="n">
        <v>1102.664963087665</v>
      </c>
      <c r="O39" s="15" t="n">
        <v>1.731527656495956</v>
      </c>
      <c r="P39" s="15" t="n">
        <v>-6.374734617732247</v>
      </c>
      <c r="Q39" s="15" t="n">
        <v>7</v>
      </c>
      <c r="R39" s="15" t="n">
        <v>7</v>
      </c>
      <c r="S39" s="15" t="n">
        <v>622.8910370947325</v>
      </c>
      <c r="T39" s="15" t="n">
        <v>10</v>
      </c>
      <c r="U39" s="15" t="n">
        <v>-0.5606726535908384</v>
      </c>
      <c r="V39" s="15" t="n">
        <v>12.77954403235384</v>
      </c>
      <c r="W39" s="15" t="n">
        <v>0.06486471392705866</v>
      </c>
      <c r="X39" s="15" t="n">
        <v>0.5961476058177811</v>
      </c>
      <c r="Y39" s="15" t="n">
        <v>9</v>
      </c>
      <c r="Z39" s="15" t="n">
        <v>9</v>
      </c>
      <c r="AA39" s="15" t="n">
        <v>1</v>
      </c>
      <c r="AB39" s="15" t="n">
        <v>9</v>
      </c>
      <c r="AC39" s="15" t="n">
        <v>9</v>
      </c>
      <c r="AD39" s="15" t="n">
        <v>1</v>
      </c>
      <c r="AE39" s="15" t="n">
        <v>93.84152649618083</v>
      </c>
      <c r="AF39" s="15" t="n">
        <v>9</v>
      </c>
      <c r="AG39" s="15" t="n">
        <v>9</v>
      </c>
      <c r="AH39" s="15" t="n">
        <v>1</v>
      </c>
      <c r="AI39" s="15" t="n">
        <v>93.84152649618083</v>
      </c>
      <c r="AJ39" s="15" t="n">
        <v>5</v>
      </c>
      <c r="AK39" s="15" t="n">
        <v>4</v>
      </c>
      <c r="AL39" s="15" t="n">
        <v>13.946905522682</v>
      </c>
      <c r="AM39" s="15" t="n">
        <v>59</v>
      </c>
      <c r="AN39" s="15" t="n">
        <v>0</v>
      </c>
      <c r="AO39" s="15" t="n">
        <v>59</v>
      </c>
      <c r="AP39" s="15" t="n">
        <v>0</v>
      </c>
      <c r="AQ39" s="15" t="n">
        <v>19.30120608564142</v>
      </c>
      <c r="AR39" s="15" t="n">
        <v>10.09567834153983</v>
      </c>
      <c r="AS39" s="15" t="n">
        <v>0.2165074779388872</v>
      </c>
      <c r="AT39" s="17" t="n">
        <v>2.438375347511269</v>
      </c>
      <c r="AU39" s="18" t="n">
        <v>4.12390175385277</v>
      </c>
      <c r="AV39" s="15" t="n">
        <v>5.432182768461996</v>
      </c>
      <c r="AW39" s="15" t="b">
        <v>1</v>
      </c>
      <c r="AX39" s="15" t="n">
        <v>5.270052078423662</v>
      </c>
      <c r="AY39" s="15" t="n">
        <v>28.69267959891605</v>
      </c>
      <c r="AZ39" s="15" t="n">
        <v>0</v>
      </c>
      <c r="BA39" s="15" t="n">
        <v>1</v>
      </c>
      <c r="BB39" s="15" t="n">
        <v>0.5</v>
      </c>
      <c r="BC39" s="15" t="n">
        <v>0.25</v>
      </c>
      <c r="BD39" s="15" t="inlineStr">
        <is>
          <t>his_note_adaptive</t>
        </is>
      </c>
      <c r="BE39" s="15" t="n">
        <v>-90</v>
      </c>
      <c r="BF39" s="15" t="n">
        <v>20000</v>
      </c>
      <c r="BG39" s="15" t="n">
        <v>9</v>
      </c>
      <c r="BH39" s="15" t="n">
        <v>1</v>
      </c>
      <c r="BI39" s="15" t="n">
        <v>9</v>
      </c>
      <c r="BJ39" s="15" t="n">
        <v>9</v>
      </c>
      <c r="BK39" s="15" t="n">
        <v>9</v>
      </c>
      <c r="BL39" s="15" t="n">
        <v>6</v>
      </c>
      <c r="BM39" s="15" t="n">
        <v>0.6666666666666666</v>
      </c>
      <c r="BN39" s="15" t="n">
        <v>0.5159594630482816</v>
      </c>
      <c r="BO39" s="15" t="n">
        <v>0.4916666666666666</v>
      </c>
      <c r="BP39" s="19" t="n">
        <v>0.7630470523432646</v>
      </c>
      <c r="BQ39" s="19" t="n">
        <v>0.2369529476567354</v>
      </c>
      <c r="BR39" s="19" t="n">
        <v>0</v>
      </c>
      <c r="BS39" s="15" t="n">
        <v>0.1526797929085225</v>
      </c>
      <c r="BT39" s="19" t="n">
        <v>1</v>
      </c>
      <c r="BU39" s="19" t="n">
        <v>0</v>
      </c>
      <c r="BV39" s="19" t="n">
        <v>0</v>
      </c>
      <c r="BW39" t="inlineStr">
        <is>
          <t>C7</t>
        </is>
      </c>
      <c r="BX39" t="n">
        <v>96</v>
      </c>
      <c r="BY39" t="inlineStr">
        <is>
          <t>C</t>
        </is>
      </c>
      <c r="BZ39" t="n">
        <v>7</v>
      </c>
      <c r="CA39" t="inlineStr">
        <is>
          <t>Very high</t>
        </is>
      </c>
      <c r="CB39" t="inlineStr">
        <is>
          <t>ff</t>
        </is>
      </c>
      <c r="CC39" s="15" t="n">
        <v>2093.004522404789</v>
      </c>
      <c r="CD39" s="15" t="n">
        <v>2094.597929620281</v>
      </c>
      <c r="CE39" t="inlineStr">
        <is>
          <t>prior_constrained_harmonic_fit</t>
        </is>
      </c>
      <c r="CF39" t="n">
        <v>2094.597929620281</v>
      </c>
      <c r="CG39" s="15" t="n">
        <v>1</v>
      </c>
      <c r="CH39" t="inlineStr">
        <is>
          <t>free_fit_acoustically_verified</t>
        </is>
      </c>
      <c r="CI39" s="15" t="inlineStr">
        <is>
          <t>free_f0_fit</t>
        </is>
      </c>
      <c r="CJ39" s="15" t="n">
        <v>2093.004522404789</v>
      </c>
      <c r="CK39" s="15" t="n">
        <v>2094.597929620281</v>
      </c>
      <c r="CL39" s="15" t="n">
        <v>1.317489417977973</v>
      </c>
      <c r="CM39" s="15" t="n">
        <v>20000</v>
      </c>
      <c r="CN39" s="15" t="n">
        <v>1.317489417977973</v>
      </c>
      <c r="CO39" s="15" t="n">
        <v>2.230227887749002</v>
      </c>
      <c r="CP39" s="15" t="n">
        <v>39865.02637406288</v>
      </c>
      <c r="CQ39" t="n">
        <v>1.164691884894722</v>
      </c>
      <c r="CR39" t="n">
        <v>0.1294102094327468</v>
      </c>
      <c r="CS39" t="n">
        <v>69.21011523274805</v>
      </c>
      <c r="CT39" t="n">
        <v>69.21011523274805</v>
      </c>
      <c r="CU39" t="n">
        <v>80.60845956421021</v>
      </c>
      <c r="CV39" t="n">
        <v>1.731527656495956</v>
      </c>
      <c r="CW39" s="15" t="n">
        <v>39865.02637406288</v>
      </c>
      <c r="CX39" s="15" t="n">
        <v>1102.664963087665</v>
      </c>
      <c r="CY39" s="15" t="n">
        <v>1.731527656495956</v>
      </c>
      <c r="CZ39" s="15" t="n">
        <v>2.438375347511269</v>
      </c>
      <c r="DA39" s="15" t="n">
        <v>2.438375347511269</v>
      </c>
      <c r="DB39" s="15" t="n">
        <v>1.889286287654939</v>
      </c>
      <c r="DC39" s="15" t="n">
        <v>0</v>
      </c>
      <c r="DD39" s="15" t="n">
        <v>6.116577785830171e-05</v>
      </c>
      <c r="DE39" s="15" t="n">
        <v>0</v>
      </c>
      <c r="DF39" s="15" t="n">
        <v>7</v>
      </c>
      <c r="DG39" s="15" t="inlineStr">
        <is>
          <t>Density_Metrics</t>
        </is>
      </c>
      <c r="DH39" s="15" t="n">
        <v>2.230227887749002</v>
      </c>
      <c r="DI39" t="n">
        <v>0.8881709058416689</v>
      </c>
      <c r="DJ39" s="15" t="n">
        <v>0.536353284350776</v>
      </c>
      <c r="DK39" s="15" t="n">
        <v>4.780009866047832</v>
      </c>
      <c r="DL39" s="15" t="n">
        <v>1.229815973351143</v>
      </c>
      <c r="DM39" s="15" t="n">
        <v>1.064017521252107</v>
      </c>
      <c r="DN39" s="15" t="n">
        <v>6.882567092196354</v>
      </c>
      <c r="DO39" s="15" t="n">
        <v>1.272375751606876</v>
      </c>
      <c r="DP39" s="15" t="n">
        <v>29.8125</v>
      </c>
      <c r="DQ39" s="15" t="n">
        <v>16</v>
      </c>
      <c r="DR39" s="15" t="b">
        <v>0</v>
      </c>
      <c r="DS39" s="15" t="n">
        <v>1.164691884894722</v>
      </c>
      <c r="DT39" s="15" t="n">
        <v>5.36532845236003</v>
      </c>
      <c r="DU39" t="n">
        <v>9</v>
      </c>
      <c r="DV39" s="15" t="n">
        <v>0.1526797929085225</v>
      </c>
      <c r="DW39" s="15" t="n">
        <v>0.9155565027508331</v>
      </c>
      <c r="DX39" s="15" t="n">
        <v>1.909819725425901</v>
      </c>
      <c r="DY39" s="15" t="n">
        <v>0.1886229171722953</v>
      </c>
      <c r="DZ39" s="15" t="b">
        <v>1</v>
      </c>
      <c r="EA39" s="15" t="n">
        <v>0.06730252076117024</v>
      </c>
      <c r="EB39" s="15" t="n">
        <v>20000</v>
      </c>
      <c r="EC39" s="15" t="n">
        <v>20000</v>
      </c>
      <c r="ED39" s="15" t="n">
        <v/>
      </c>
      <c r="EE39" s="15" t="n">
        <v>0</v>
      </c>
      <c r="EF39" s="15" t="n">
        <v>0.02057635604175294</v>
      </c>
      <c r="EG39" s="15" t="b">
        <v>0</v>
      </c>
      <c r="EH39" s="15" t="b">
        <v>1</v>
      </c>
      <c r="EI39" s="15" t="b">
        <v>0</v>
      </c>
      <c r="EJ39" s="15" t="inlineStr">
        <is>
          <t>wf=log|dst=-90.0|ceil=20000.0|fft=adaptive_tier</t>
        </is>
      </c>
      <c r="EK39" s="15" t="inlineStr">
        <is>
          <t>wf=log|dst=runtime_configured|ceil=runtime_configured|fft=fixed</t>
        </is>
      </c>
      <c r="EL39" s="15" t="n">
        <v>0.7807237895661434</v>
      </c>
      <c r="EM39" s="15" t="n">
        <v>0.9983601632350212</v>
      </c>
      <c r="EN39" s="15" t="n">
        <v>0.7</v>
      </c>
      <c r="EO39" s="15" t="n">
        <v>0.4323085805519196</v>
      </c>
      <c r="EP39" s="15" t="inlineStr">
        <is>
          <t>warn:power_outlier_detected</t>
        </is>
      </c>
      <c r="EQ39" s="15" t="n">
        <v>195.6660025952498</v>
      </c>
      <c r="ER39" s="15" t="inlineStr">
        <is>
          <t>winsorize_p95_for_robust_diagnostics</t>
        </is>
      </c>
      <c r="ES39" s="15" t="n">
        <v>0.1763432151132657</v>
      </c>
      <c r="ET39" s="15" t="n">
        <v>0.04846936347987105</v>
      </c>
      <c r="EU39" s="15" t="n">
        <v>0.05651077480345798</v>
      </c>
      <c r="EV39" t="inlineStr">
        <is>
          <t>computed</t>
        </is>
      </c>
      <c r="EW39" s="15" t="inlineStr">
        <is>
          <t>computed</t>
        </is>
      </c>
      <c r="EX39" s="15" t="inlineStr">
        <is>
          <t>computed</t>
        </is>
      </c>
      <c r="EY39" s="15" t="inlineStr">
        <is>
          <t>available_from_curve</t>
        </is>
      </c>
      <c r="EZ39" s="15" t="n">
        <v>20000</v>
      </c>
      <c r="FA39" s="15" t="n">
        <v>20000</v>
      </c>
      <c r="FB39" s="15" t="n">
        <v>0.2369529476567354</v>
      </c>
      <c r="FC39" s="15" t="n">
        <v>0.1771561496041621</v>
      </c>
      <c r="FD39" s="15" t="n">
        <v>2.438375347511269</v>
      </c>
      <c r="FE39" s="15" t="n">
        <v>1.889286287654939</v>
      </c>
      <c r="FF39" s="15" t="n">
        <v>0.4523482308816238</v>
      </c>
      <c r="FG39" s="15" t="n">
        <v>1.843982962711494</v>
      </c>
      <c r="FH39" s="15" t="n">
        <v>0.3628557959258089</v>
      </c>
      <c r="FI39" s="15" t="n">
        <v>0.02338912911169926</v>
      </c>
      <c r="FJ39" s="15" t="n">
        <v>622.8910370947325</v>
      </c>
      <c r="FK39" s="15" t="n">
        <v>17.22914004824477</v>
      </c>
      <c r="FL39" s="15" t="n">
        <v>0.02705511963274932</v>
      </c>
      <c r="FM39" s="15" t="n">
        <v>0.004644041229450062</v>
      </c>
      <c r="FN39" t="n">
        <v>1</v>
      </c>
      <c r="FO39" t="n">
        <v>0</v>
      </c>
      <c r="FP39" t="n">
        <v>0</v>
      </c>
      <c r="FQ39" t="inlineStr">
        <is>
          <t>warning</t>
        </is>
      </c>
      <c r="FR39" s="19" t="n">
        <v>0.6666666666666666</v>
      </c>
      <c r="FS39" s="15" t="n">
        <v>0.7199984453210009</v>
      </c>
      <c r="FT39" s="15" t="n">
        <v>1.298612786772634</v>
      </c>
      <c r="FU39" t="inlineStr">
        <is>
          <t>passed</t>
        </is>
      </c>
      <c r="FV39" t="n">
        <v>34.17430819147674</v>
      </c>
      <c r="FW39" t="n">
        <v>9.5621561579096</v>
      </c>
      <c r="FX39" t="n">
        <v>0.2292079005983903</v>
      </c>
      <c r="FY39" t="n">
        <v>0.3281730327580594</v>
      </c>
      <c r="FZ39" t="n">
        <v>0.05033766611824873</v>
      </c>
      <c r="GA39" t="n">
        <v>0.2470629309603592</v>
      </c>
      <c r="GB39" t="n">
        <v>0.05281504671271228</v>
      </c>
      <c r="GC39" t="n">
        <v>0.04027091324504056</v>
      </c>
      <c r="GD39" t="n">
        <v>0.1011066463469987</v>
      </c>
      <c r="GE39" t="n">
        <v>0.02606558272017294</v>
      </c>
      <c r="GF39" t="n">
        <v>1</v>
      </c>
      <c r="GG39" t="n">
        <v>0.9723092598420657</v>
      </c>
      <c r="GH39" t="n">
        <v>0.09682880634193479</v>
      </c>
      <c r="GI39" t="n">
        <v>1</v>
      </c>
      <c r="GJ39" t="n">
        <v>0</v>
      </c>
      <c r="GK39" t="n">
        <v>0.7818181818181816</v>
      </c>
      <c r="GL39" t="n">
        <v>0.8363405492908271</v>
      </c>
      <c r="GM39" t="n">
        <v>0.8363405492908271</v>
      </c>
      <c r="GN39" t="n">
        <v>0.2796225403365939</v>
      </c>
      <c r="GO39" t="n">
        <v>0.2512932326891325</v>
      </c>
      <c r="GP39" t="n">
        <v>80.60845956421021</v>
      </c>
      <c r="GQ39" t="inlineStr">
        <is>
          <t>compiled workbook density_weighted_sum = density_component_ratio_weighted_sum (per-note component ratios); research density_weighted_sum maps body-ceiling richness</t>
        </is>
      </c>
      <c r="GR39" s="15" t="inlineStr">
        <is>
          <t>individual_exact</t>
        </is>
      </c>
      <c r="GS39" s="15" t="inlineStr">
        <is>
          <t>density_weight</t>
        </is>
      </c>
      <c r="GT39" s="15" t="n">
        <v>0.7939758782871715</v>
      </c>
      <c r="GU39" s="15" t="n">
        <v>0.2060241217128284</v>
      </c>
      <c r="GV39" s="15" t="n">
        <v>0</v>
      </c>
      <c r="GW39" s="15" t="inlineStr">
        <is>
          <t>log</t>
        </is>
      </c>
      <c r="GX39" s="15" t="n">
        <v>0.5</v>
      </c>
      <c r="GY39" s="15" t="inlineStr">
        <is>
          <t>EWSD-R v18.1</t>
        </is>
      </c>
      <c r="GZ39" s="15" t="n">
        <v>1.913221002290067</v>
      </c>
      <c r="HA39" s="15" t="n">
        <v>9.993428411465633</v>
      </c>
      <c r="HB39" s="15" t="n">
        <v>0.4928542101894524</v>
      </c>
      <c r="HC39" s="15" t="n">
        <v>2.964931969059355</v>
      </c>
      <c r="HD39" s="15" t="n">
        <v>11.81152937071723</v>
      </c>
      <c r="HE39" s="15" t="n">
        <v>0.410238061775924</v>
      </c>
      <c r="HF39" s="15" t="inlineStr">
        <is>
          <t>partials+ratios</t>
        </is>
      </c>
      <c r="HG39" s="15" t="inlineStr">
        <is>
          <t>merged_individual_exact</t>
        </is>
      </c>
      <c r="HH39" s="15" t="inlineStr">
        <is>
          <t>passed</t>
        </is>
      </c>
      <c r="HI39" s="15" t="inlineStr">
        <is>
          <t>warning_harmonic_alignment</t>
        </is>
      </c>
    </row>
    <row r="40">
      <c r="A40" t="inlineStr">
        <is>
          <t>incomplete_inference</t>
        </is>
      </c>
      <c r="B40" t="inlineStr">
        <is>
          <t>missing_instrument_technique</t>
        </is>
      </c>
      <c r="C40" t="inlineStr">
        <is>
          <t>prior_constrained_harmonic_fit</t>
        </is>
      </c>
      <c r="D40" t="inlineStr">
        <is>
          <t>IOWA_flt_ff.C#7_SustainStable/C#7/component_amplitude_mass_pie.png</t>
        </is>
      </c>
      <c r="E40" t="inlineStr">
        <is>
          <t>IOWA_flt_ff.C#7_SustainStable/C#7/component_energy_ratio_pie.png</t>
        </is>
      </c>
      <c r="F40" s="15" t="n">
        <v>2215.301825040167</v>
      </c>
      <c r="G40" s="15" t="inlineStr">
        <is>
          <t>prior_constrained_harmonic_fit</t>
        </is>
      </c>
      <c r="H40" s="15" t="inlineStr">
        <is>
          <t>fit_accepted_acoustically_verified</t>
        </is>
      </c>
      <c r="I40" s="16" t="n">
        <v>73.48226035427308</v>
      </c>
      <c r="J40" t="inlineStr">
        <is>
          <t>richness_weighted_body_density_body_ceiling</t>
        </is>
      </c>
      <c r="K40" t="inlineStr">
        <is>
          <t>research_body_ceiling_richness_metric</t>
        </is>
      </c>
      <c r="L40" s="15" t="n">
        <v>37743.69773932766</v>
      </c>
      <c r="M40" s="15" t="n">
        <v>37743.69773932766</v>
      </c>
      <c r="N40" s="15" t="n">
        <v>914.7062673409082</v>
      </c>
      <c r="O40" s="15" t="n">
        <v>0.9543019197465379</v>
      </c>
      <c r="P40" s="15" t="n">
        <v>-8.678062718209068</v>
      </c>
      <c r="Q40" s="15" t="n">
        <v>5</v>
      </c>
      <c r="R40" s="15" t="n">
        <v>5</v>
      </c>
      <c r="S40" s="15" t="n">
        <v>589.7452771769947</v>
      </c>
      <c r="T40" s="15" t="n">
        <v>10</v>
      </c>
      <c r="U40" s="15" t="n">
        <v>-0.7644220853677584</v>
      </c>
      <c r="V40" s="15" t="n">
        <v>11.37125298613688</v>
      </c>
      <c r="W40" s="15" t="n">
        <v>0.04166664792494411</v>
      </c>
      <c r="X40" s="15" t="n">
        <v>0.5706234737225457</v>
      </c>
      <c r="Y40" s="15" t="n">
        <v>9</v>
      </c>
      <c r="Z40" s="15" t="n">
        <v>9</v>
      </c>
      <c r="AA40" s="15" t="n">
        <v>1</v>
      </c>
      <c r="AB40" s="15" t="n">
        <v>9</v>
      </c>
      <c r="AC40" s="15" t="n">
        <v>9</v>
      </c>
      <c r="AD40" s="15" t="n">
        <v>1</v>
      </c>
      <c r="AE40" s="15" t="n">
        <v>87.372933472074</v>
      </c>
      <c r="AF40" s="15" t="n">
        <v>9</v>
      </c>
      <c r="AG40" s="15" t="n">
        <v>9</v>
      </c>
      <c r="AH40" s="15" t="n">
        <v>1</v>
      </c>
      <c r="AI40" s="15" t="n">
        <v>87.372933472074</v>
      </c>
      <c r="AJ40" s="15" t="n">
        <v>5</v>
      </c>
      <c r="AK40" s="15" t="n">
        <v>4</v>
      </c>
      <c r="AL40" s="15" t="n">
        <v>17.05324566842936</v>
      </c>
      <c r="AM40" s="15" t="n">
        <v>51</v>
      </c>
      <c r="AN40" s="15" t="n">
        <v>0</v>
      </c>
      <c r="AO40" s="15" t="n">
        <v>51</v>
      </c>
      <c r="AP40" s="15" t="n">
        <v>0</v>
      </c>
      <c r="AQ40" s="15" t="n">
        <v>16.30981610287924</v>
      </c>
      <c r="AR40" s="15" t="n">
        <v>8.537371206540286</v>
      </c>
      <c r="AS40" s="15" t="n">
        <v>0.134328087079447</v>
      </c>
      <c r="AT40" s="17" t="n">
        <v>2.398096258901981</v>
      </c>
      <c r="AU40" s="18" t="n">
        <v>3.892728122528653</v>
      </c>
      <c r="AV40" s="15" t="n">
        <v>4.888957419113481</v>
      </c>
      <c r="AW40" s="15" t="b">
        <v>1</v>
      </c>
      <c r="AX40" s="15" t="n">
        <v>5.4031297607902</v>
      </c>
      <c r="AY40" s="15" t="n">
        <v>23.41153638399555</v>
      </c>
      <c r="AZ40" s="15" t="n">
        <v>0</v>
      </c>
      <c r="BA40" s="15" t="n">
        <v>1</v>
      </c>
      <c r="BB40" s="15" t="n">
        <v>0.5</v>
      </c>
      <c r="BC40" s="15" t="n">
        <v>0.25</v>
      </c>
      <c r="BD40" s="15" t="inlineStr">
        <is>
          <t>his_note_adaptive</t>
        </is>
      </c>
      <c r="BE40" s="15" t="n">
        <v>-90</v>
      </c>
      <c r="BF40" s="15" t="n">
        <v>20000</v>
      </c>
      <c r="BG40" s="15" t="n">
        <v>9</v>
      </c>
      <c r="BH40" s="15" t="n">
        <v>1</v>
      </c>
      <c r="BI40" s="15" t="n">
        <v>9</v>
      </c>
      <c r="BJ40" s="15" t="n">
        <v>9</v>
      </c>
      <c r="BK40" s="15" t="n">
        <v>9</v>
      </c>
      <c r="BL40" s="15" t="n">
        <v>7</v>
      </c>
      <c r="BM40" s="15" t="n">
        <v>0.7777777777777778</v>
      </c>
      <c r="BN40" s="15" t="n">
        <v>0.4906171683111911</v>
      </c>
      <c r="BO40" s="15" t="n">
        <v>0.425</v>
      </c>
      <c r="BP40" s="19" t="n">
        <v>0.7673642671417451</v>
      </c>
      <c r="BQ40" s="19" t="n">
        <v>0.2326357328582548</v>
      </c>
      <c r="BR40" s="19" t="n">
        <v>0</v>
      </c>
      <c r="BS40" s="15" t="n">
        <v>0.1288438759769554</v>
      </c>
      <c r="BT40" s="19" t="n">
        <v>1</v>
      </c>
      <c r="BU40" s="19" t="n">
        <v>0</v>
      </c>
      <c r="BV40" s="19" t="n">
        <v>0</v>
      </c>
      <c r="BW40" t="inlineStr">
        <is>
          <t>C#7</t>
        </is>
      </c>
      <c r="BX40" t="n">
        <v>97</v>
      </c>
      <c r="BY40" t="inlineStr">
        <is>
          <t>C#</t>
        </is>
      </c>
      <c r="BZ40" t="n">
        <v>7</v>
      </c>
      <c r="CA40" t="inlineStr">
        <is>
          <t>Very high</t>
        </is>
      </c>
      <c r="CB40" t="inlineStr">
        <is>
          <t>ff</t>
        </is>
      </c>
      <c r="CC40" s="15" t="n">
        <v>2217.461047814976</v>
      </c>
      <c r="CD40" s="15" t="n">
        <v>2215.301825040167</v>
      </c>
      <c r="CE40" t="inlineStr">
        <is>
          <t>prior_constrained_harmonic_fit</t>
        </is>
      </c>
      <c r="CF40" t="n">
        <v>2215.301825040167</v>
      </c>
      <c r="CG40" s="15" t="n">
        <v>1</v>
      </c>
      <c r="CH40" t="inlineStr">
        <is>
          <t>free_fit_acoustically_verified</t>
        </is>
      </c>
      <c r="CI40" s="15" t="inlineStr">
        <is>
          <t>free_f0_fit</t>
        </is>
      </c>
      <c r="CJ40" s="15" t="n">
        <v>2217.461047814976</v>
      </c>
      <c r="CK40" s="15" t="n">
        <v>2215.301825040167</v>
      </c>
      <c r="CL40" s="15" t="n">
        <v>-1.68658707453591</v>
      </c>
      <c r="CM40" s="15" t="n">
        <v>20000</v>
      </c>
      <c r="CN40" s="15" t="n">
        <v>-1.68658707453591</v>
      </c>
      <c r="CO40" s="15" t="n">
        <v>2.179383954111985</v>
      </c>
      <c r="CP40" s="15" t="n">
        <v>37743.69773932766</v>
      </c>
      <c r="CQ40" t="n">
        <v>1.121399981962002</v>
      </c>
      <c r="CR40" t="n">
        <v>0.124599997995778</v>
      </c>
      <c r="CS40" t="n">
        <v>65.52725301966608</v>
      </c>
      <c r="CT40" t="n">
        <v>65.52725301966608</v>
      </c>
      <c r="CU40" t="n">
        <v>73.48226035427308</v>
      </c>
      <c r="CV40" t="n">
        <v>0.9543019197465379</v>
      </c>
      <c r="CW40" s="15" t="n">
        <v>37743.69773932766</v>
      </c>
      <c r="CX40" s="15" t="n">
        <v>914.7062673409082</v>
      </c>
      <c r="CY40" s="15" t="n">
        <v>0.9543019197465379</v>
      </c>
      <c r="CZ40" s="15" t="n">
        <v>2.398096258901981</v>
      </c>
      <c r="DA40" s="15" t="n">
        <v>2.398096258901981</v>
      </c>
      <c r="DB40" s="15" t="n">
        <v>1.804676400514547</v>
      </c>
      <c r="DC40" s="15" t="n">
        <v>0</v>
      </c>
      <c r="DD40" s="15" t="n">
        <v>6.353633593253492e-05</v>
      </c>
      <c r="DE40" s="15" t="n">
        <v>0</v>
      </c>
      <c r="DF40" s="15" t="n">
        <v>5</v>
      </c>
      <c r="DG40" s="15" t="inlineStr">
        <is>
          <t>Density_Metrics</t>
        </is>
      </c>
      <c r="DH40" s="15" t="n">
        <v>2.179383954111985</v>
      </c>
      <c r="DI40" t="n">
        <v>0.8679227048201484</v>
      </c>
      <c r="DJ40" s="15" t="n">
        <v>0.53123567709861</v>
      </c>
      <c r="DK40" s="15" t="n">
        <v>4.575181351155881</v>
      </c>
      <c r="DL40" s="15" t="n">
        <v>1.176219011038638</v>
      </c>
      <c r="DM40" s="15" t="n">
        <v>1.044601471988413</v>
      </c>
      <c r="DN40" s="15" t="n">
        <v>6.174817297742215</v>
      </c>
      <c r="DO40" s="15" t="n">
        <v>1.11052095230138</v>
      </c>
      <c r="DP40" s="15" t="n">
        <v>25.8125</v>
      </c>
      <c r="DQ40" s="15" t="n">
        <v>12</v>
      </c>
      <c r="DR40" s="15" t="b">
        <v>0</v>
      </c>
      <c r="DS40" s="15" t="n">
        <v>1.121399981962002</v>
      </c>
      <c r="DT40" s="15" t="n">
        <v>5.135611263502912</v>
      </c>
      <c r="DU40" t="n">
        <v>9</v>
      </c>
      <c r="DV40" s="15" t="n">
        <v>0.1288438759769554</v>
      </c>
      <c r="DW40" s="15" t="n">
        <v>0.8654611128742814</v>
      </c>
      <c r="DX40" s="15" t="n">
        <v>1.858969133612637</v>
      </c>
      <c r="DY40" s="15" t="n">
        <v>0.2002486973110996</v>
      </c>
      <c r="DZ40" s="15" t="b">
        <v>1</v>
      </c>
      <c r="EA40" s="15" t="n">
        <v>0.1415691060516832</v>
      </c>
      <c r="EB40" s="15" t="n">
        <v>20000</v>
      </c>
      <c r="EC40" s="15" t="n">
        <v>11076.50912520084</v>
      </c>
      <c r="ED40" s="15" t="n">
        <v>5</v>
      </c>
      <c r="EE40" s="15" t="n">
        <v>0</v>
      </c>
      <c r="EF40" s="15" t="n">
        <v>0.01942149391640337</v>
      </c>
      <c r="EG40" s="15" t="b">
        <v>0</v>
      </c>
      <c r="EH40" s="15" t="b">
        <v>1</v>
      </c>
      <c r="EI40" s="15" t="b">
        <v>0</v>
      </c>
      <c r="EJ40" s="15" t="inlineStr">
        <is>
          <t>wf=log|dst=-90.0|ceil=20000.0|fft=adaptive_tier</t>
        </is>
      </c>
      <c r="EK40" s="15" t="inlineStr">
        <is>
          <t>wf=log|dst=runtime_configured|ceil=runtime_configured|fft=fixed</t>
        </is>
      </c>
      <c r="EL40" s="15" t="n">
        <v>0.7090118646417554</v>
      </c>
      <c r="EM40" s="15" t="n">
        <v>0.9952390155901281</v>
      </c>
      <c r="EN40" s="15" t="n">
        <v>0.5</v>
      </c>
      <c r="EO40" s="15" t="n">
        <v>0.4307715381309885</v>
      </c>
      <c r="EP40" s="15" t="inlineStr">
        <is>
          <t>warn:power_outlier_detected</t>
        </is>
      </c>
      <c r="EQ40" s="15" t="n">
        <v>199.6119977142584</v>
      </c>
      <c r="ER40" s="15" t="inlineStr">
        <is>
          <t>winsorize_p95_for_robust_diagnostics</t>
        </is>
      </c>
      <c r="ES40" s="15" t="n">
        <v>0.1428264269105923</v>
      </c>
      <c r="ET40" s="15" t="n">
        <v>0.03933416401200585</v>
      </c>
      <c r="EU40" s="15" t="n">
        <v>0.04296138305129207</v>
      </c>
      <c r="EV40" t="inlineStr">
        <is>
          <t>computed</t>
        </is>
      </c>
      <c r="EW40" s="15" t="inlineStr">
        <is>
          <t>computed</t>
        </is>
      </c>
      <c r="EX40" s="15" t="inlineStr">
        <is>
          <t>computed</t>
        </is>
      </c>
      <c r="EY40" s="15" t="inlineStr">
        <is>
          <t>available_from_curve</t>
        </is>
      </c>
      <c r="EZ40" s="15" t="n">
        <v>20000</v>
      </c>
      <c r="FA40" s="15" t="n">
        <v>20000</v>
      </c>
      <c r="FB40" s="15" t="n">
        <v>0.2326357328582548</v>
      </c>
      <c r="FC40" s="15" t="n">
        <v>0.1910463220194008</v>
      </c>
      <c r="FD40" s="15" t="n">
        <v>2.398096258901981</v>
      </c>
      <c r="FE40" s="15" t="n">
        <v>1.804676400514547</v>
      </c>
      <c r="FF40" s="15" t="n">
        <v>0.3724086917393532</v>
      </c>
      <c r="FG40" s="15" t="n">
        <v>1.813522536171797</v>
      </c>
      <c r="FH40" s="15" t="n">
        <v>0.3466056446691523</v>
      </c>
      <c r="FI40" s="15" t="n">
        <v>0.01925577327103589</v>
      </c>
      <c r="FJ40" s="15" t="n">
        <v>589.7452771769947</v>
      </c>
      <c r="FK40" s="15" t="n">
        <v>14.29228542720169</v>
      </c>
      <c r="FL40" s="15" t="n">
        <v>0.01491096749603965</v>
      </c>
      <c r="FM40" s="15" t="n">
        <v>0.004431990247675553</v>
      </c>
      <c r="FN40" t="n">
        <v>1</v>
      </c>
      <c r="FO40" t="n">
        <v>0</v>
      </c>
      <c r="FP40" t="n">
        <v>0</v>
      </c>
      <c r="FQ40" t="inlineStr">
        <is>
          <t>good</t>
        </is>
      </c>
      <c r="FR40" s="19" t="n">
        <v>0.7777777777777778</v>
      </c>
      <c r="FS40" s="15" t="n">
        <v>1.182623977286197</v>
      </c>
      <c r="FT40" s="15" t="n">
        <v>2.04480586350148</v>
      </c>
      <c r="FU40" t="inlineStr">
        <is>
          <t>passed</t>
        </is>
      </c>
      <c r="FV40" t="n">
        <v>31.13624513058228</v>
      </c>
      <c r="FW40" t="n">
        <v>7.847351042572025</v>
      </c>
      <c r="FX40" t="n">
        <v>0.1696583175326064</v>
      </c>
      <c r="FY40" t="n">
        <v>0.2065294874286714</v>
      </c>
      <c r="FZ40" t="n">
        <v>0.03957594912175819</v>
      </c>
      <c r="GA40" t="n">
        <v>0.1274055346771229</v>
      </c>
      <c r="GB40" t="n">
        <v>0.03967123106270903</v>
      </c>
      <c r="GC40" t="n">
        <v>0.02940845376810726</v>
      </c>
      <c r="GD40" t="n">
        <v>0.06737349401993861</v>
      </c>
      <c r="GE40" t="n">
        <v>0</v>
      </c>
      <c r="GF40" t="n">
        <v>0.934968019479862</v>
      </c>
      <c r="GG40" t="n">
        <v>0.7916680568064421</v>
      </c>
      <c r="GH40" t="n">
        <v>0</v>
      </c>
      <c r="GI40" t="n">
        <v>1</v>
      </c>
      <c r="GJ40" t="n">
        <v>0.4444444444444446</v>
      </c>
      <c r="GK40" t="n">
        <v>0.6363636363636364</v>
      </c>
      <c r="GL40" t="n">
        <v>0.8053598580257615</v>
      </c>
      <c r="GM40" t="n">
        <v>0.8053598580257615</v>
      </c>
      <c r="GN40" t="n">
        <v>0.304282543202756</v>
      </c>
      <c r="GO40" t="n">
        <v>0.1640320736761645</v>
      </c>
      <c r="GP40" t="n">
        <v>73.48226035427308</v>
      </c>
      <c r="GQ40" t="inlineStr">
        <is>
          <t>compiled workbook density_weighted_sum = density_component_ratio_weighted_sum (per-note component ratios); research density_weighted_sum maps body-ceiling richness</t>
        </is>
      </c>
      <c r="GR40" s="15" t="inlineStr">
        <is>
          <t>individual_exact</t>
        </is>
      </c>
      <c r="GS40" s="15" t="inlineStr">
        <is>
          <t>density_weight</t>
        </is>
      </c>
      <c r="GT40" s="15" t="n">
        <v>0.8259567594552562</v>
      </c>
      <c r="GU40" s="15" t="n">
        <v>0.1740432405447438</v>
      </c>
      <c r="GV40" s="15" t="n">
        <v>0</v>
      </c>
      <c r="GW40" s="15" t="inlineStr">
        <is>
          <t>log</t>
        </is>
      </c>
      <c r="GX40" s="15" t="n">
        <v>0.5</v>
      </c>
      <c r="GY40" s="15" t="inlineStr">
        <is>
          <t>EWSD-R v18.1</t>
        </is>
      </c>
      <c r="GZ40" s="15" t="n">
        <v>2.246742967133423</v>
      </c>
      <c r="HA40" s="15" t="n">
        <v>9.922350992558378</v>
      </c>
      <c r="HB40" s="15" t="n">
        <v>0.5060230011888612</v>
      </c>
      <c r="HC40" s="15" t="n">
        <v>3.096682036690384</v>
      </c>
      <c r="HD40" s="15" t="n">
        <v>10.86729374975504</v>
      </c>
      <c r="HE40" s="15" t="n">
        <v>0.4221132489348099</v>
      </c>
      <c r="HF40" s="15" t="inlineStr">
        <is>
          <t>partials+ratios</t>
        </is>
      </c>
      <c r="HG40" s="15" t="inlineStr">
        <is>
          <t>merged_individual_exact</t>
        </is>
      </c>
      <c r="HH40" s="15" t="inlineStr">
        <is>
          <t>passed</t>
        </is>
      </c>
      <c r="HI40" s="15" t="inlineStr">
        <is>
          <t>passed</t>
        </is>
      </c>
    </row>
  </sheetData>
  <autoFilter ref="A1:HI40"/>
  <conditionalFormatting sqref="FN2:FN40">
    <cfRule type="colorScale" priority="1">
      <colorScale>
        <cfvo type="num" val="0"/>
        <cfvo type="num" val="0.85"/>
        <cfvo type="num" val="1"/>
        <color rgb="00F8696B"/>
        <color rgb="00FFEB84"/>
        <color rgb="0063BE7B"/>
      </colorScale>
    </cfRule>
  </conditionalFormatting>
  <conditionalFormatting sqref="FU2:FU40">
    <cfRule type="cellIs" priority="2" operator="equal" dxfId="0" stopIfTrue="0">
      <formula>passed</formula>
    </cfRule>
  </conditionalFormatting>
  <conditionalFormatting sqref="CG2:CG40">
    <cfRule type="cellIs" priority="3" operator="equal" dxfId="0">
      <formula>TRUE</formula>
    </cfRule>
    <cfRule type="cellIs" priority="4" operator="equal" dxfId="1">
      <formula>FALSE</formula>
    </cfRule>
  </conditionalFormatting>
  <conditionalFormatting sqref="AV2:AV40">
    <cfRule type="dataBar" priority="5">
      <dataBar minLength="0" maxLength="100" showValue="1">
        <cfvo type="min"/>
        <cfvo type="max"/>
        <color rgb="FFC00000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32" customWidth="1" min="3" max="3"/>
    <col width="30" customWidth="1" min="4" max="4"/>
    <col width="26" customWidth="1" min="5" max="5"/>
    <col width="17" customWidth="1" min="6" max="6"/>
    <col width="30" customWidth="1" min="7" max="7"/>
    <col width="14" customWidth="1" min="8" max="8"/>
  </cols>
  <sheetData>
    <row r="1">
      <c r="A1" s="11" t="inlineStr">
        <is>
          <t>Note</t>
        </is>
      </c>
      <c r="B1" s="11" t="inlineStr">
        <is>
          <t>ewsd_merge_status</t>
        </is>
      </c>
      <c r="C1" s="11" t="inlineStr">
        <is>
          <t>ewsd_primary_analysis_eligible</t>
        </is>
      </c>
      <c r="D1" s="11" t="inlineStr">
        <is>
          <t>EWSD_score_acoustic_balanced</t>
        </is>
      </c>
      <c r="E1" s="11" t="inlineStr">
        <is>
          <t>ewsd_uncertainty_sources</t>
        </is>
      </c>
      <c r="F1" s="11" t="inlineStr">
        <is>
          <t>density_fragile</t>
        </is>
      </c>
      <c r="G1" s="11" t="inlineStr">
        <is>
          <t>density_effective_ceiling_hz</t>
        </is>
      </c>
      <c r="H1" s="11" t="inlineStr">
        <is>
          <t>stage3_issue</t>
        </is>
      </c>
    </row>
    <row r="2">
      <c r="A2" s="15" t="inlineStr">
        <is>
          <t>B3</t>
        </is>
      </c>
      <c r="B2" s="15" t="inlineStr">
        <is>
          <t>merged_individual_exact</t>
        </is>
      </c>
      <c r="C2" s="15" t="b">
        <v>1</v>
      </c>
      <c r="D2" s="15" t="n">
        <v>22.06102943174711</v>
      </c>
      <c r="E2" s="15" t="inlineStr">
        <is>
          <t>partials+ratios</t>
        </is>
      </c>
      <c r="F2" s="15" t="b">
        <v>1</v>
      </c>
      <c r="G2" s="15" t="n">
        <v>20000</v>
      </c>
      <c r="H2" s="15" t="inlineStr"/>
    </row>
    <row r="3">
      <c r="A3" s="15" t="inlineStr">
        <is>
          <t>C4</t>
        </is>
      </c>
      <c r="B3" s="15" t="inlineStr">
        <is>
          <t>merged_individual_exact</t>
        </is>
      </c>
      <c r="C3" s="15" t="b">
        <v>1</v>
      </c>
      <c r="D3" s="15" t="n">
        <v>27.29266365044042</v>
      </c>
      <c r="E3" s="15" t="inlineStr">
        <is>
          <t>partials+ratios</t>
        </is>
      </c>
      <c r="F3" s="15" t="b">
        <v>1</v>
      </c>
      <c r="G3" s="15" t="n">
        <v>20000</v>
      </c>
      <c r="H3" s="15" t="inlineStr"/>
    </row>
    <row r="4">
      <c r="A4" s="15" t="inlineStr">
        <is>
          <t>C#4</t>
        </is>
      </c>
      <c r="B4" s="15" t="inlineStr">
        <is>
          <t>merged_individual_exact</t>
        </is>
      </c>
      <c r="C4" s="15" t="b">
        <v>1</v>
      </c>
      <c r="D4" s="15" t="n">
        <v>25.36466816701331</v>
      </c>
      <c r="E4" s="15" t="inlineStr">
        <is>
          <t>partials+ratios</t>
        </is>
      </c>
      <c r="F4" s="15" t="b">
        <v>1</v>
      </c>
      <c r="G4" s="15" t="n">
        <v>20000</v>
      </c>
      <c r="H4" s="15" t="inlineStr"/>
    </row>
    <row r="5">
      <c r="A5" s="15" t="inlineStr">
        <is>
          <t>D4</t>
        </is>
      </c>
      <c r="B5" s="15" t="inlineStr">
        <is>
          <t>merged_individual_exact</t>
        </is>
      </c>
      <c r="C5" s="15" t="b">
        <v>1</v>
      </c>
      <c r="D5" s="15" t="n">
        <v>23.7390284438217</v>
      </c>
      <c r="E5" s="15" t="inlineStr">
        <is>
          <t>partials+ratios</t>
        </is>
      </c>
      <c r="F5" s="15" t="b">
        <v>1</v>
      </c>
      <c r="G5" s="15" t="n">
        <v>20000</v>
      </c>
      <c r="H5" s="15" t="inlineStr"/>
    </row>
    <row r="6">
      <c r="A6" s="15" t="inlineStr">
        <is>
          <t>D#4</t>
        </is>
      </c>
      <c r="B6" s="15" t="inlineStr">
        <is>
          <t>merged_individual_exact</t>
        </is>
      </c>
      <c r="C6" s="15" t="b">
        <v>1</v>
      </c>
      <c r="D6" s="15" t="n">
        <v>23.62236609181559</v>
      </c>
      <c r="E6" s="15" t="inlineStr">
        <is>
          <t>partials+ratios</t>
        </is>
      </c>
      <c r="F6" s="15" t="b">
        <v>1</v>
      </c>
      <c r="G6" s="15" t="n">
        <v>20000</v>
      </c>
      <c r="H6" s="15" t="inlineStr"/>
    </row>
    <row r="7">
      <c r="A7" s="15" t="inlineStr">
        <is>
          <t>E4</t>
        </is>
      </c>
      <c r="B7" s="15" t="inlineStr">
        <is>
          <t>merged_individual_exact</t>
        </is>
      </c>
      <c r="C7" s="15" t="b">
        <v>1</v>
      </c>
      <c r="D7" s="15" t="n">
        <v>22.33582815835092</v>
      </c>
      <c r="E7" s="15" t="inlineStr">
        <is>
          <t>partials+ratios</t>
        </is>
      </c>
      <c r="F7" s="15" t="b">
        <v>1</v>
      </c>
      <c r="G7" s="15" t="n">
        <v>20000</v>
      </c>
      <c r="H7" s="15" t="inlineStr"/>
    </row>
    <row r="8">
      <c r="A8" s="15" t="inlineStr">
        <is>
          <t>F4</t>
        </is>
      </c>
      <c r="B8" s="15" t="inlineStr">
        <is>
          <t>merged_individual_exact</t>
        </is>
      </c>
      <c r="C8" s="15" t="b">
        <v>1</v>
      </c>
      <c r="D8" s="15" t="n">
        <v>20.23720166626874</v>
      </c>
      <c r="E8" s="15" t="inlineStr">
        <is>
          <t>partials+ratios</t>
        </is>
      </c>
      <c r="F8" s="15" t="b">
        <v>1</v>
      </c>
      <c r="G8" s="15" t="n">
        <v>20000</v>
      </c>
      <c r="H8" s="15" t="inlineStr"/>
    </row>
    <row r="9">
      <c r="A9" s="15" t="inlineStr">
        <is>
          <t>F#4</t>
        </is>
      </c>
      <c r="B9" s="15" t="inlineStr">
        <is>
          <t>merged_individual_exact</t>
        </is>
      </c>
      <c r="C9" s="15" t="b">
        <v>1</v>
      </c>
      <c r="D9" s="15" t="n">
        <v>19.64943372816406</v>
      </c>
      <c r="E9" s="15" t="inlineStr">
        <is>
          <t>partials+ratios</t>
        </is>
      </c>
      <c r="F9" s="15" t="b">
        <v>1</v>
      </c>
      <c r="G9" s="15" t="n">
        <v>20000</v>
      </c>
      <c r="H9" s="15" t="inlineStr"/>
    </row>
    <row r="10">
      <c r="A10" s="15" t="inlineStr">
        <is>
          <t>G4</t>
        </is>
      </c>
      <c r="B10" s="15" t="inlineStr">
        <is>
          <t>merged_individual_exact</t>
        </is>
      </c>
      <c r="C10" s="15" t="b">
        <v>1</v>
      </c>
      <c r="D10" s="15" t="n">
        <v>18.7441405519416</v>
      </c>
      <c r="E10" s="15" t="inlineStr">
        <is>
          <t>partials+ratios</t>
        </is>
      </c>
      <c r="F10" s="15" t="b">
        <v>1</v>
      </c>
      <c r="G10" s="15" t="n">
        <v>20000</v>
      </c>
      <c r="H10" s="15" t="inlineStr"/>
    </row>
    <row r="11">
      <c r="A11" s="15" t="inlineStr">
        <is>
          <t>G#4</t>
        </is>
      </c>
      <c r="B11" s="15" t="inlineStr">
        <is>
          <t>merged_individual_exact</t>
        </is>
      </c>
      <c r="C11" s="15" t="b">
        <v>1</v>
      </c>
      <c r="D11" s="15" t="n">
        <v>17.61266113206138</v>
      </c>
      <c r="E11" s="15" t="inlineStr">
        <is>
          <t>partials+ratios</t>
        </is>
      </c>
      <c r="F11" s="15" t="b">
        <v>1</v>
      </c>
      <c r="G11" s="15" t="n">
        <v>20000</v>
      </c>
      <c r="H11" s="15" t="inlineStr"/>
    </row>
    <row r="12">
      <c r="A12" s="15" t="inlineStr">
        <is>
          <t>A4</t>
        </is>
      </c>
      <c r="B12" s="15" t="inlineStr">
        <is>
          <t>merged_individual_exact</t>
        </is>
      </c>
      <c r="C12" s="15" t="b">
        <v>1</v>
      </c>
      <c r="D12" s="15" t="n">
        <v>14.694597435492</v>
      </c>
      <c r="E12" s="15" t="inlineStr">
        <is>
          <t>partials+ratios</t>
        </is>
      </c>
      <c r="F12" s="15" t="b">
        <v>1</v>
      </c>
      <c r="G12" s="15" t="n">
        <v>20000</v>
      </c>
      <c r="H12" s="15" t="inlineStr"/>
    </row>
    <row r="13">
      <c r="A13" s="15" t="inlineStr">
        <is>
          <t>A#4</t>
        </is>
      </c>
      <c r="B13" s="15" t="inlineStr">
        <is>
          <t>merged_individual_exact</t>
        </is>
      </c>
      <c r="C13" s="15" t="b">
        <v>1</v>
      </c>
      <c r="D13" s="15" t="n">
        <v>13.91018068584472</v>
      </c>
      <c r="E13" s="15" t="inlineStr">
        <is>
          <t>partials+ratios</t>
        </is>
      </c>
      <c r="F13" s="15" t="b">
        <v>1</v>
      </c>
      <c r="G13" s="15" t="n">
        <v>20000</v>
      </c>
      <c r="H13" s="15" t="inlineStr"/>
    </row>
    <row r="14">
      <c r="A14" s="15" t="inlineStr">
        <is>
          <t>B4</t>
        </is>
      </c>
      <c r="B14" s="15" t="inlineStr">
        <is>
          <t>merged_individual_exact</t>
        </is>
      </c>
      <c r="C14" s="15" t="b">
        <v>1</v>
      </c>
      <c r="D14" s="15" t="n">
        <v>12.89693199501643</v>
      </c>
      <c r="E14" s="15" t="inlineStr">
        <is>
          <t>partials+ratios</t>
        </is>
      </c>
      <c r="F14" s="15" t="b">
        <v>1</v>
      </c>
      <c r="G14" s="15" t="n">
        <v>20000</v>
      </c>
      <c r="H14" s="15" t="inlineStr"/>
    </row>
    <row r="15">
      <c r="A15" s="15" t="inlineStr">
        <is>
          <t>C5</t>
        </is>
      </c>
      <c r="B15" s="15" t="inlineStr">
        <is>
          <t>merged_individual_exact</t>
        </is>
      </c>
      <c r="C15" s="15" t="b">
        <v>1</v>
      </c>
      <c r="D15" s="15" t="n">
        <v>10.09109192163227</v>
      </c>
      <c r="E15" s="15" t="inlineStr">
        <is>
          <t>partials+ratios</t>
        </is>
      </c>
      <c r="F15" s="15" t="b">
        <v>1</v>
      </c>
      <c r="G15" s="15" t="n">
        <v>20000</v>
      </c>
      <c r="H15" s="15" t="inlineStr"/>
    </row>
    <row r="16">
      <c r="A16" s="15" t="inlineStr">
        <is>
          <t>C#5</t>
        </is>
      </c>
      <c r="B16" s="15" t="inlineStr">
        <is>
          <t>merged_individual_exact</t>
        </is>
      </c>
      <c r="C16" s="15" t="b">
        <v>1</v>
      </c>
      <c r="D16" s="15" t="n">
        <v>8.733395219730012</v>
      </c>
      <c r="E16" s="15" t="inlineStr">
        <is>
          <t>partials+ratios</t>
        </is>
      </c>
      <c r="F16" s="15" t="b">
        <v>1</v>
      </c>
      <c r="G16" s="15" t="n">
        <v>20000</v>
      </c>
      <c r="H16" s="15" t="inlineStr"/>
    </row>
    <row r="17">
      <c r="A17" s="15" t="inlineStr">
        <is>
          <t>D5</t>
        </is>
      </c>
      <c r="B17" s="15" t="inlineStr">
        <is>
          <t>merged_individual_exact</t>
        </is>
      </c>
      <c r="C17" s="15" t="b">
        <v>1</v>
      </c>
      <c r="D17" s="15" t="n">
        <v>8.360408041976882</v>
      </c>
      <c r="E17" s="15" t="inlineStr">
        <is>
          <t>partials+ratios</t>
        </is>
      </c>
      <c r="F17" s="15" t="b">
        <v>1</v>
      </c>
      <c r="G17" s="15" t="n">
        <v>20000</v>
      </c>
      <c r="H17" s="15" t="inlineStr"/>
    </row>
    <row r="18">
      <c r="A18" s="15" t="inlineStr">
        <is>
          <t>D#5</t>
        </is>
      </c>
      <c r="B18" s="15" t="inlineStr">
        <is>
          <t>merged_individual_exact</t>
        </is>
      </c>
      <c r="C18" s="15" t="b">
        <v>1</v>
      </c>
      <c r="D18" s="15" t="n">
        <v>8.278403370173091</v>
      </c>
      <c r="E18" s="15" t="inlineStr">
        <is>
          <t>partials+ratios</t>
        </is>
      </c>
      <c r="F18" s="15" t="b">
        <v>1</v>
      </c>
      <c r="G18" s="15" t="n">
        <v>20000</v>
      </c>
      <c r="H18" s="15" t="inlineStr"/>
    </row>
    <row r="19">
      <c r="A19" s="15" t="inlineStr">
        <is>
          <t>E5</t>
        </is>
      </c>
      <c r="B19" s="15" t="inlineStr">
        <is>
          <t>merged_individual_exact</t>
        </is>
      </c>
      <c r="C19" s="15" t="b">
        <v>1</v>
      </c>
      <c r="D19" s="15" t="n">
        <v>10.69832057662752</v>
      </c>
      <c r="E19" s="15" t="inlineStr">
        <is>
          <t>partials+ratios</t>
        </is>
      </c>
      <c r="F19" s="15" t="b">
        <v>1</v>
      </c>
      <c r="G19" s="15" t="n">
        <v>20000</v>
      </c>
      <c r="H19" s="15" t="inlineStr"/>
    </row>
    <row r="20">
      <c r="A20" s="15" t="inlineStr">
        <is>
          <t>F5</t>
        </is>
      </c>
      <c r="B20" s="15" t="inlineStr">
        <is>
          <t>merged_individual_exact</t>
        </is>
      </c>
      <c r="C20" s="15" t="b">
        <v>1</v>
      </c>
      <c r="D20" s="15" t="n">
        <v>10.21344682437645</v>
      </c>
      <c r="E20" s="15" t="inlineStr">
        <is>
          <t>partials+ratios</t>
        </is>
      </c>
      <c r="F20" s="15" t="b">
        <v>1</v>
      </c>
      <c r="G20" s="15" t="n">
        <v>20000</v>
      </c>
      <c r="H20" s="15" t="inlineStr"/>
    </row>
    <row r="21">
      <c r="A21" s="15" t="inlineStr">
        <is>
          <t>F#5</t>
        </is>
      </c>
      <c r="B21" s="15" t="inlineStr">
        <is>
          <t>merged_individual_exact</t>
        </is>
      </c>
      <c r="C21" s="15" t="b">
        <v>1</v>
      </c>
      <c r="D21" s="15" t="n">
        <v>10.39721518244377</v>
      </c>
      <c r="E21" s="15" t="inlineStr">
        <is>
          <t>partials+ratios</t>
        </is>
      </c>
      <c r="F21" s="15" t="b">
        <v>1</v>
      </c>
      <c r="G21" s="15" t="n">
        <v>20000</v>
      </c>
      <c r="H21" s="15" t="inlineStr"/>
    </row>
    <row r="22">
      <c r="A22" s="15" t="inlineStr">
        <is>
          <t>G5</t>
        </is>
      </c>
      <c r="B22" s="15" t="inlineStr">
        <is>
          <t>merged_individual_exact</t>
        </is>
      </c>
      <c r="C22" s="15" t="b">
        <v>1</v>
      </c>
      <c r="D22" s="15" t="n">
        <v>7.104509477332726</v>
      </c>
      <c r="E22" s="15" t="inlineStr">
        <is>
          <t>partials+ratios</t>
        </is>
      </c>
      <c r="F22" s="15" t="b">
        <v>1</v>
      </c>
      <c r="G22" s="15" t="n">
        <v>20000</v>
      </c>
      <c r="H22" s="15" t="inlineStr"/>
    </row>
    <row r="23">
      <c r="A23" s="15" t="inlineStr">
        <is>
          <t>G#5</t>
        </is>
      </c>
      <c r="B23" s="15" t="inlineStr">
        <is>
          <t>merged_individual_exact</t>
        </is>
      </c>
      <c r="C23" s="15" t="b">
        <v>1</v>
      </c>
      <c r="D23" s="15" t="n">
        <v>8.753865807862461</v>
      </c>
      <c r="E23" s="15" t="inlineStr">
        <is>
          <t>partials+ratios</t>
        </is>
      </c>
      <c r="F23" s="15" t="b">
        <v>1</v>
      </c>
      <c r="G23" s="15" t="n">
        <v>20000</v>
      </c>
      <c r="H23" s="15" t="inlineStr"/>
    </row>
    <row r="24">
      <c r="A24" s="15" t="inlineStr">
        <is>
          <t>A5</t>
        </is>
      </c>
      <c r="B24" s="15" t="inlineStr">
        <is>
          <t>merged_individual_exact</t>
        </is>
      </c>
      <c r="C24" s="15" t="b">
        <v>1</v>
      </c>
      <c r="D24" s="15" t="n">
        <v>8.404579795206104</v>
      </c>
      <c r="E24" s="15" t="inlineStr">
        <is>
          <t>partials+ratios</t>
        </is>
      </c>
      <c r="F24" s="15" t="b">
        <v>1</v>
      </c>
      <c r="G24" s="15" t="n">
        <v>20000</v>
      </c>
      <c r="H24" s="15" t="inlineStr"/>
    </row>
    <row r="25">
      <c r="A25" s="15" t="inlineStr">
        <is>
          <t>A#5</t>
        </is>
      </c>
      <c r="B25" s="15" t="inlineStr">
        <is>
          <t>merged_individual_exact</t>
        </is>
      </c>
      <c r="C25" s="15" t="b">
        <v>1</v>
      </c>
      <c r="D25" s="15" t="n">
        <v>7.895133429669692</v>
      </c>
      <c r="E25" s="15" t="inlineStr">
        <is>
          <t>partials+ratios</t>
        </is>
      </c>
      <c r="F25" s="15" t="b">
        <v>1</v>
      </c>
      <c r="G25" s="15" t="n">
        <v>20000</v>
      </c>
      <c r="H25" s="15" t="inlineStr"/>
    </row>
    <row r="26">
      <c r="A26" s="15" t="inlineStr">
        <is>
          <t>B5</t>
        </is>
      </c>
      <c r="B26" s="15" t="inlineStr">
        <is>
          <t>merged_individual_exact</t>
        </is>
      </c>
      <c r="C26" s="15" t="b">
        <v>1</v>
      </c>
      <c r="D26" s="15" t="n">
        <v>5.762555978367647</v>
      </c>
      <c r="E26" s="15" t="inlineStr">
        <is>
          <t>partials+ratios</t>
        </is>
      </c>
      <c r="F26" s="15" t="b">
        <v>1</v>
      </c>
      <c r="G26" s="15" t="n">
        <v>20000</v>
      </c>
      <c r="H26" s="15" t="inlineStr"/>
    </row>
    <row r="27">
      <c r="A27" s="15" t="inlineStr">
        <is>
          <t>C6</t>
        </is>
      </c>
      <c r="B27" s="15" t="inlineStr">
        <is>
          <t>merged_individual_exact</t>
        </is>
      </c>
      <c r="C27" s="15" t="b">
        <v>1</v>
      </c>
      <c r="D27" s="15" t="n">
        <v>6.901802875943037</v>
      </c>
      <c r="E27" s="15" t="inlineStr">
        <is>
          <t>partials+ratios</t>
        </is>
      </c>
      <c r="F27" s="15" t="b">
        <v>1</v>
      </c>
      <c r="G27" s="15" t="n">
        <v>20000</v>
      </c>
      <c r="H27" s="15" t="inlineStr"/>
    </row>
    <row r="28">
      <c r="A28" s="15" t="inlineStr">
        <is>
          <t>C#6</t>
        </is>
      </c>
      <c r="B28" s="15" t="inlineStr">
        <is>
          <t>merged_individual_exact</t>
        </is>
      </c>
      <c r="C28" s="15" t="b">
        <v>1</v>
      </c>
      <c r="D28" s="15" t="n">
        <v>5.661439755417657</v>
      </c>
      <c r="E28" s="15" t="inlineStr">
        <is>
          <t>partials+ratios</t>
        </is>
      </c>
      <c r="F28" s="15" t="b">
        <v>1</v>
      </c>
      <c r="G28" s="15" t="n">
        <v>20000</v>
      </c>
      <c r="H28" s="15" t="inlineStr"/>
    </row>
    <row r="29">
      <c r="A29" s="15" t="inlineStr">
        <is>
          <t>D6</t>
        </is>
      </c>
      <c r="B29" s="15" t="inlineStr">
        <is>
          <t>merged_individual_exact</t>
        </is>
      </c>
      <c r="C29" s="15" t="b">
        <v>1</v>
      </c>
      <c r="D29" s="15" t="n">
        <v>5.759100367846218</v>
      </c>
      <c r="E29" s="15" t="inlineStr">
        <is>
          <t>partials+ratios</t>
        </is>
      </c>
      <c r="F29" s="15" t="b">
        <v>1</v>
      </c>
      <c r="G29" s="15" t="n">
        <v>20000</v>
      </c>
      <c r="H29" s="15" t="inlineStr"/>
    </row>
    <row r="30">
      <c r="A30" s="15" t="inlineStr">
        <is>
          <t>D#6</t>
        </is>
      </c>
      <c r="B30" s="15" t="inlineStr">
        <is>
          <t>merged_individual_exact</t>
        </is>
      </c>
      <c r="C30" s="15" t="b">
        <v>1</v>
      </c>
      <c r="D30" s="15" t="n">
        <v>9.632766997571013</v>
      </c>
      <c r="E30" s="15" t="inlineStr">
        <is>
          <t>partials+ratios</t>
        </is>
      </c>
      <c r="F30" s="15" t="b">
        <v>1</v>
      </c>
      <c r="G30" s="15" t="n">
        <v>20000</v>
      </c>
      <c r="H30" s="15" t="inlineStr"/>
    </row>
    <row r="31">
      <c r="A31" s="15" t="inlineStr">
        <is>
          <t>E6</t>
        </is>
      </c>
      <c r="B31" s="15" t="inlineStr">
        <is>
          <t>merged_individual_exact</t>
        </is>
      </c>
      <c r="C31" s="15" t="b">
        <v>1</v>
      </c>
      <c r="D31" s="15" t="n">
        <v>4.508449951773743</v>
      </c>
      <c r="E31" s="15" t="inlineStr">
        <is>
          <t>partials+ratios</t>
        </is>
      </c>
      <c r="F31" s="15" t="b">
        <v>1</v>
      </c>
      <c r="G31" s="15" t="n">
        <v>20000</v>
      </c>
      <c r="H31" s="15" t="inlineStr"/>
    </row>
    <row r="32">
      <c r="A32" s="15" t="inlineStr">
        <is>
          <t>F6</t>
        </is>
      </c>
      <c r="B32" s="15" t="inlineStr">
        <is>
          <t>merged_individual_exact</t>
        </is>
      </c>
      <c r="C32" s="15" t="b">
        <v>1</v>
      </c>
      <c r="D32" s="15" t="n">
        <v>3.711923447763497</v>
      </c>
      <c r="E32" s="15" t="inlineStr">
        <is>
          <t>partials+ratios</t>
        </is>
      </c>
      <c r="F32" s="15" t="b">
        <v>1</v>
      </c>
      <c r="G32" s="15" t="n">
        <v>20000</v>
      </c>
      <c r="H32" s="15" t="inlineStr"/>
    </row>
    <row r="33">
      <c r="A33" s="15" t="inlineStr">
        <is>
          <t>F#6</t>
        </is>
      </c>
      <c r="B33" s="15" t="inlineStr">
        <is>
          <t>merged_individual_exact</t>
        </is>
      </c>
      <c r="C33" s="15" t="b">
        <v>1</v>
      </c>
      <c r="D33" s="15" t="n">
        <v>3.847997706483045</v>
      </c>
      <c r="E33" s="15" t="inlineStr">
        <is>
          <t>partials+ratios</t>
        </is>
      </c>
      <c r="F33" s="15" t="b">
        <v>1</v>
      </c>
      <c r="G33" s="15" t="n">
        <v>20000</v>
      </c>
      <c r="H33" s="15" t="inlineStr"/>
    </row>
    <row r="34">
      <c r="A34" s="15" t="inlineStr">
        <is>
          <t>G6</t>
        </is>
      </c>
      <c r="B34" s="15" t="inlineStr">
        <is>
          <t>merged_individual_exact</t>
        </is>
      </c>
      <c r="C34" s="15" t="b">
        <v>1</v>
      </c>
      <c r="D34" s="15" t="n">
        <v>2.575337218105709</v>
      </c>
      <c r="E34" s="15" t="inlineStr">
        <is>
          <t>partials+ratios</t>
        </is>
      </c>
      <c r="F34" s="15" t="b">
        <v>1</v>
      </c>
      <c r="G34" s="15" t="n">
        <v>20000</v>
      </c>
      <c r="H34" s="15" t="inlineStr"/>
    </row>
    <row r="35">
      <c r="A35" s="15" t="inlineStr">
        <is>
          <t>G#6</t>
        </is>
      </c>
      <c r="B35" s="15" t="inlineStr">
        <is>
          <t>merged_individual_exact</t>
        </is>
      </c>
      <c r="C35" s="15" t="b">
        <v>1</v>
      </c>
      <c r="D35" s="15" t="n">
        <v>4.139994847428106</v>
      </c>
      <c r="E35" s="15" t="inlineStr">
        <is>
          <t>partials+ratios</t>
        </is>
      </c>
      <c r="F35" s="15" t="b">
        <v>1</v>
      </c>
      <c r="G35" s="15" t="n">
        <v>20000</v>
      </c>
      <c r="H35" s="15" t="inlineStr"/>
    </row>
    <row r="36">
      <c r="A36" s="15" t="inlineStr">
        <is>
          <t>A6</t>
        </is>
      </c>
      <c r="B36" s="15" t="inlineStr">
        <is>
          <t>merged_individual_exact</t>
        </is>
      </c>
      <c r="C36" s="15" t="b">
        <v>1</v>
      </c>
      <c r="D36" s="15" t="n">
        <v>3.516394647939704</v>
      </c>
      <c r="E36" s="15" t="inlineStr">
        <is>
          <t>partials+ratios</t>
        </is>
      </c>
      <c r="F36" s="15" t="b">
        <v>1</v>
      </c>
      <c r="G36" s="15" t="n">
        <v>20000</v>
      </c>
      <c r="H36" s="15" t="inlineStr"/>
    </row>
    <row r="37">
      <c r="A37" s="15" t="inlineStr">
        <is>
          <t>A#6</t>
        </is>
      </c>
      <c r="B37" s="15" t="inlineStr">
        <is>
          <t>merged_individual_exact</t>
        </is>
      </c>
      <c r="C37" s="15" t="b">
        <v>1</v>
      </c>
      <c r="D37" s="15" t="n">
        <v>4.416422458423059</v>
      </c>
      <c r="E37" s="15" t="inlineStr">
        <is>
          <t>partials+ratios</t>
        </is>
      </c>
      <c r="F37" s="15" t="b">
        <v>1</v>
      </c>
      <c r="G37" s="15" t="n">
        <v>20000</v>
      </c>
      <c r="H37" s="15" t="inlineStr"/>
    </row>
    <row r="38">
      <c r="A38" s="15" t="inlineStr">
        <is>
          <t>B6</t>
        </is>
      </c>
      <c r="B38" s="15" t="inlineStr">
        <is>
          <t>merged_individual_exact</t>
        </is>
      </c>
      <c r="C38" s="15" t="b">
        <v>1</v>
      </c>
      <c r="D38" s="15" t="n">
        <v>4.107324282650568</v>
      </c>
      <c r="E38" s="15" t="inlineStr">
        <is>
          <t>partials+ratios</t>
        </is>
      </c>
      <c r="F38" s="15" t="b">
        <v>1</v>
      </c>
      <c r="G38" s="15" t="n">
        <v>20000</v>
      </c>
      <c r="H38" s="15" t="inlineStr"/>
    </row>
    <row r="39">
      <c r="A39" s="15" t="inlineStr">
        <is>
          <t>C7</t>
        </is>
      </c>
      <c r="B39" s="15" t="inlineStr">
        <is>
          <t>merged_individual_exact</t>
        </is>
      </c>
      <c r="C39" s="15" t="b">
        <v>1</v>
      </c>
      <c r="D39" s="15" t="n">
        <v>5.432182768461996</v>
      </c>
      <c r="E39" s="15" t="inlineStr">
        <is>
          <t>partials+ratios</t>
        </is>
      </c>
      <c r="F39" s="15" t="b">
        <v>1</v>
      </c>
      <c r="G39" s="15" t="n">
        <v>20000</v>
      </c>
      <c r="H39" s="15" t="inlineStr"/>
    </row>
    <row r="40">
      <c r="A40" s="15" t="inlineStr">
        <is>
          <t>C#7</t>
        </is>
      </c>
      <c r="B40" s="15" t="inlineStr">
        <is>
          <t>merged_individual_exact</t>
        </is>
      </c>
      <c r="C40" s="15" t="b">
        <v>1</v>
      </c>
      <c r="D40" s="15" t="n">
        <v>4.888957419113481</v>
      </c>
      <c r="E40" s="15" t="inlineStr">
        <is>
          <t>partials+ratios</t>
        </is>
      </c>
      <c r="F40" s="15" t="b">
        <v>1</v>
      </c>
      <c r="G40" s="15" t="n">
        <v>20000</v>
      </c>
      <c r="H40" s="15" t="inlineStr"/>
    </row>
  </sheetData>
  <autoFilter ref="A1:H4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48" customWidth="1" min="3" max="3"/>
    <col width="48" customWidth="1" min="4" max="4"/>
    <col width="44" customWidth="1" min="5" max="5"/>
    <col width="17" customWidth="1" min="6" max="6"/>
    <col width="13" customWidth="1" min="7" max="7"/>
    <col width="12" customWidth="1" min="8" max="8"/>
    <col width="42" customWidth="1" min="9" max="9"/>
    <col width="34" customWidth="1" min="10" max="10"/>
  </cols>
  <sheetData>
    <row r="1">
      <c r="A1" s="11" t="inlineStr">
        <is>
          <t>stage3_status_row</t>
        </is>
      </c>
      <c r="B1" s="11" t="inlineStr">
        <is>
          <t>ewsd_stage3_version</t>
        </is>
      </c>
      <c r="C1" s="11" t="inlineStr">
        <is>
          <t>stage3_issue</t>
        </is>
      </c>
      <c r="D1" s="11" t="inlineStr">
        <is>
          <t>analysis_version</t>
        </is>
      </c>
      <c r="E1" s="11" t="inlineStr">
        <is>
          <t>analysis_version_source</t>
        </is>
      </c>
      <c r="F1" s="11" t="inlineStr">
        <is>
          <t>package_version</t>
        </is>
      </c>
      <c r="G1" s="11" t="inlineStr">
        <is>
          <t>code_commit</t>
        </is>
      </c>
      <c r="H1" s="11" t="inlineStr">
        <is>
          <t>code_dirty</t>
        </is>
      </c>
      <c r="I1" s="11" t="inlineStr">
        <is>
          <t>git_describe</t>
        </is>
      </c>
      <c r="J1" s="11" t="inlineStr">
        <is>
          <t>export_schema_version</t>
        </is>
      </c>
    </row>
    <row r="2">
      <c r="A2" s="15" t="inlineStr">
        <is>
          <t>__STAGE3_SUMMARY__</t>
        </is>
      </c>
      <c r="B2" s="15" t="inlineStr">
        <is>
          <t>EWSD-R v18.1</t>
        </is>
      </c>
      <c r="C2" s="15" t="inlineStr">
        <is>
          <t>analysis_root=D:\METAIS\TROMBONE\IOWA-flute - test\IOWA_Flute_ff\_Sustains_Stable\analysis_results; frequency_ceiling_hz=20000.0; workbooks=39; rows=39</t>
        </is>
      </c>
      <c r="D2" s="15" t="inlineStr">
        <is>
          <t>4.1.0+v0.1.0-validated-2026-05-15-242-g6b0e51a</t>
        </is>
      </c>
      <c r="E2" s="15" t="inlineStr">
        <is>
          <t>pyproject.toml:pyproject.toml+git-describe</t>
        </is>
      </c>
      <c r="F2" s="15" t="inlineStr">
        <is>
          <t>4.1.0</t>
        </is>
      </c>
      <c r="G2" s="15" t="inlineStr">
        <is>
          <t>6b0e51a</t>
        </is>
      </c>
      <c r="H2" s="15" t="b">
        <v>0</v>
      </c>
      <c r="I2" s="15" t="inlineStr">
        <is>
          <t>v0.1.0-validated-2026-05-15-242-g6b0e51a</t>
        </is>
      </c>
      <c r="J2" s="15" t="inlineStr">
        <is>
          <t>spectral_analysis_schema_2026_08</t>
        </is>
      </c>
    </row>
  </sheetData>
  <autoFilter ref="A1:J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1" customWidth="1" min="3" max="3"/>
    <col width="21" customWidth="1" min="4" max="4"/>
    <col width="18" customWidth="1" min="5" max="5"/>
    <col width="32" customWidth="1" min="6" max="6"/>
    <col width="22" customWidth="1" min="7" max="7"/>
    <col width="24" customWidth="1" min="8" max="8"/>
    <col width="30" customWidth="1" min="9" max="9"/>
  </cols>
  <sheetData>
    <row r="1">
      <c r="A1" s="11" t="inlineStr">
        <is>
          <t>Note</t>
        </is>
      </c>
      <c r="B1" s="11" t="inlineStr">
        <is>
          <t>metric</t>
        </is>
      </c>
      <c r="C1" s="11" t="inlineStr">
        <is>
          <t>rel_uncertainty</t>
        </is>
      </c>
      <c r="D1" s="11" t="inlineStr">
        <is>
          <t>rel_uncertainty_pct</t>
        </is>
      </c>
      <c r="E1" s="11" t="inlineStr">
        <is>
          <t>uncertainty_flag</t>
        </is>
      </c>
      <c r="F1" s="11" t="inlineStr">
        <is>
          <t>uncertainty_flag_threshold_pct</t>
        </is>
      </c>
      <c r="G1" s="11" t="inlineStr">
        <is>
          <t>ci_basis_frame_count</t>
        </is>
      </c>
      <c r="H1" s="11" t="inlineStr">
        <is>
          <t>ci_basis_partial_count</t>
        </is>
      </c>
      <c r="I1" s="11" t="inlineStr">
        <is>
          <t>ci_basis_frames_insufficient</t>
        </is>
      </c>
    </row>
    <row r="2">
      <c r="A2" s="15" t="inlineStr">
        <is>
          <t>B3</t>
        </is>
      </c>
      <c r="B2" s="15" t="inlineStr">
        <is>
          <t>note_density_final</t>
        </is>
      </c>
      <c r="C2" s="15" t="n">
        <v>0.06150608283306276</v>
      </c>
      <c r="D2" s="15" t="n">
        <v>6.150608283306276</v>
      </c>
      <c r="E2" s="15" t="b">
        <v>0</v>
      </c>
      <c r="F2" s="15" t="n">
        <v>25</v>
      </c>
      <c r="G2" s="15" t="n">
        <v>6.9375</v>
      </c>
      <c r="H2" s="15" t="n">
        <v>39</v>
      </c>
      <c r="I2" s="15" t="b">
        <v>1</v>
      </c>
    </row>
    <row r="3">
      <c r="A3" s="15" t="inlineStr">
        <is>
          <t>B3</t>
        </is>
      </c>
      <c r="B3" s="15" t="inlineStr">
        <is>
          <t>note_effective_component_density</t>
        </is>
      </c>
      <c r="C3" s="15" t="n">
        <v>0.3980495139462407</v>
      </c>
      <c r="D3" s="15" t="n">
        <v>39.80495139462407</v>
      </c>
      <c r="E3" s="15" t="b">
        <v>1</v>
      </c>
      <c r="F3" s="15" t="n">
        <v>25</v>
      </c>
      <c r="G3" s="15" t="n">
        <v>6.9375</v>
      </c>
      <c r="H3" s="15" t="n">
        <v>39</v>
      </c>
      <c r="I3" s="15" t="b">
        <v>1</v>
      </c>
    </row>
    <row r="4">
      <c r="A4" s="15" t="inlineStr">
        <is>
          <t>B3</t>
        </is>
      </c>
      <c r="B4" s="15" t="inlineStr">
        <is>
          <t>EWSD_score_acoustic_balanced</t>
        </is>
      </c>
      <c r="C4" s="15" t="n">
        <v>0.2197265100319334</v>
      </c>
      <c r="D4" s="15" t="n">
        <v>21.97265100319335</v>
      </c>
      <c r="E4" s="15" t="b">
        <v>0</v>
      </c>
      <c r="F4" s="15" t="n">
        <v>25</v>
      </c>
      <c r="G4" s="15" t="n">
        <v>6.9375</v>
      </c>
      <c r="H4" s="15" t="n">
        <v>39</v>
      </c>
      <c r="I4" s="15" t="b">
        <v>1</v>
      </c>
    </row>
    <row r="5">
      <c r="A5" s="15" t="inlineStr">
        <is>
          <t>C4</t>
        </is>
      </c>
      <c r="B5" s="15" t="inlineStr">
        <is>
          <t>note_density_final</t>
        </is>
      </c>
      <c r="C5" s="15" t="n">
        <v>0.06108657903210934</v>
      </c>
      <c r="D5" s="15" t="n">
        <v>6.108657903210934</v>
      </c>
      <c r="E5" s="15" t="b">
        <v>0</v>
      </c>
      <c r="F5" s="15" t="n">
        <v>25</v>
      </c>
      <c r="G5" s="15" t="n">
        <v>2.6875</v>
      </c>
      <c r="H5" s="15" t="n">
        <v>61</v>
      </c>
      <c r="I5" s="15" t="b">
        <v>1</v>
      </c>
    </row>
    <row r="6">
      <c r="A6" s="15" t="inlineStr">
        <is>
          <t>C4</t>
        </is>
      </c>
      <c r="B6" s="15" t="inlineStr">
        <is>
          <t>note_effective_component_density</t>
        </is>
      </c>
      <c r="C6" s="15" t="n">
        <v>0.4091102748755392</v>
      </c>
      <c r="D6" s="15" t="n">
        <v>40.91102748755392</v>
      </c>
      <c r="E6" s="15" t="b">
        <v>1</v>
      </c>
      <c r="F6" s="15" t="n">
        <v>25</v>
      </c>
      <c r="G6" s="15" t="n">
        <v>2.6875</v>
      </c>
      <c r="H6" s="15" t="n">
        <v>61</v>
      </c>
      <c r="I6" s="15" t="b">
        <v>1</v>
      </c>
    </row>
    <row r="7">
      <c r="A7" s="15" t="inlineStr">
        <is>
          <t>C4</t>
        </is>
      </c>
      <c r="B7" s="15" t="inlineStr">
        <is>
          <t>EWSD_score_acoustic_balanced</t>
        </is>
      </c>
      <c r="C7" s="15" t="n">
        <v>0.2467473477339555</v>
      </c>
      <c r="D7" s="15" t="n">
        <v>24.67473477339555</v>
      </c>
      <c r="E7" s="15" t="b">
        <v>0</v>
      </c>
      <c r="F7" s="15" t="n">
        <v>25</v>
      </c>
      <c r="G7" s="15" t="n">
        <v>2.6875</v>
      </c>
      <c r="H7" s="15" t="n">
        <v>61</v>
      </c>
      <c r="I7" s="15" t="b">
        <v>1</v>
      </c>
    </row>
    <row r="8">
      <c r="A8" s="15" t="inlineStr">
        <is>
          <t>C#4</t>
        </is>
      </c>
      <c r="B8" s="15" t="inlineStr">
        <is>
          <t>note_density_final</t>
        </is>
      </c>
      <c r="C8" s="15" t="n">
        <v>0.0581521285970368</v>
      </c>
      <c r="D8" s="15" t="n">
        <v>5.81521285970368</v>
      </c>
      <c r="E8" s="15" t="b">
        <v>0</v>
      </c>
      <c r="F8" s="15" t="n">
        <v>25</v>
      </c>
      <c r="G8" s="15" t="n">
        <v>1.8125</v>
      </c>
      <c r="H8" s="15" t="n">
        <v>49</v>
      </c>
      <c r="I8" s="15" t="b">
        <v>1</v>
      </c>
    </row>
    <row r="9">
      <c r="A9" s="15" t="inlineStr">
        <is>
          <t>C#4</t>
        </is>
      </c>
      <c r="B9" s="15" t="inlineStr">
        <is>
          <t>note_effective_component_density</t>
        </is>
      </c>
      <c r="C9" s="15" t="n">
        <v>0.3631215179793706</v>
      </c>
      <c r="D9" s="15" t="n">
        <v>36.31215179793706</v>
      </c>
      <c r="E9" s="15" t="b">
        <v>1</v>
      </c>
      <c r="F9" s="15" t="n">
        <v>25</v>
      </c>
      <c r="G9" s="15" t="n">
        <v>1.8125</v>
      </c>
      <c r="H9" s="15" t="n">
        <v>49</v>
      </c>
      <c r="I9" s="15" t="b">
        <v>1</v>
      </c>
    </row>
    <row r="10">
      <c r="A10" s="15" t="inlineStr">
        <is>
          <t>C#4</t>
        </is>
      </c>
      <c r="B10" s="15" t="inlineStr">
        <is>
          <t>EWSD_score_acoustic_balanced</t>
        </is>
      </c>
      <c r="C10" s="15" t="n">
        <v>0.2417589984219428</v>
      </c>
      <c r="D10" s="15" t="n">
        <v>24.17589984219428</v>
      </c>
      <c r="E10" s="15" t="b">
        <v>0</v>
      </c>
      <c r="F10" s="15" t="n">
        <v>25</v>
      </c>
      <c r="G10" s="15" t="n">
        <v>1.8125</v>
      </c>
      <c r="H10" s="15" t="n">
        <v>49</v>
      </c>
      <c r="I10" s="15" t="b">
        <v>1</v>
      </c>
    </row>
    <row r="11">
      <c r="A11" s="15" t="inlineStr">
        <is>
          <t>D4</t>
        </is>
      </c>
      <c r="B11" s="15" t="inlineStr">
        <is>
          <t>note_density_final</t>
        </is>
      </c>
      <c r="C11" s="15" t="n">
        <v>0.06396035424542246</v>
      </c>
      <c r="D11" s="15" t="n">
        <v>6.396035424542246</v>
      </c>
      <c r="E11" s="15" t="b">
        <v>0</v>
      </c>
      <c r="F11" s="15" t="n">
        <v>25</v>
      </c>
      <c r="G11" s="15" t="n">
        <v>4.3125</v>
      </c>
      <c r="H11" s="15" t="n">
        <v>47</v>
      </c>
      <c r="I11" s="15" t="b">
        <v>1</v>
      </c>
    </row>
    <row r="12">
      <c r="A12" s="15" t="inlineStr">
        <is>
          <t>D4</t>
        </is>
      </c>
      <c r="B12" s="15" t="inlineStr">
        <is>
          <t>note_effective_component_density</t>
        </is>
      </c>
      <c r="C12" s="15" t="n">
        <v>0.4179663507868131</v>
      </c>
      <c r="D12" s="15" t="n">
        <v>41.79663507868131</v>
      </c>
      <c r="E12" s="15" t="b">
        <v>1</v>
      </c>
      <c r="F12" s="15" t="n">
        <v>25</v>
      </c>
      <c r="G12" s="15" t="n">
        <v>4.3125</v>
      </c>
      <c r="H12" s="15" t="n">
        <v>47</v>
      </c>
      <c r="I12" s="15" t="b">
        <v>1</v>
      </c>
    </row>
    <row r="13">
      <c r="A13" s="15" t="inlineStr">
        <is>
          <t>D4</t>
        </is>
      </c>
      <c r="B13" s="15" t="inlineStr">
        <is>
          <t>EWSD_score_acoustic_balanced</t>
        </is>
      </c>
      <c r="C13" s="15" t="n">
        <v>0.2496575616129028</v>
      </c>
      <c r="D13" s="15" t="n">
        <v>24.96575616129028</v>
      </c>
      <c r="E13" s="15" t="b">
        <v>0</v>
      </c>
      <c r="F13" s="15" t="n">
        <v>25</v>
      </c>
      <c r="G13" s="15" t="n">
        <v>4.3125</v>
      </c>
      <c r="H13" s="15" t="n">
        <v>47</v>
      </c>
      <c r="I13" s="15" t="b">
        <v>1</v>
      </c>
    </row>
    <row r="14">
      <c r="A14" s="15" t="inlineStr">
        <is>
          <t>D#4</t>
        </is>
      </c>
      <c r="B14" s="15" t="inlineStr">
        <is>
          <t>note_density_final</t>
        </is>
      </c>
      <c r="C14" s="15" t="n">
        <v>0.06155278963755303</v>
      </c>
      <c r="D14" s="15" t="n">
        <v>6.155278963755303</v>
      </c>
      <c r="E14" s="15" t="b">
        <v>0</v>
      </c>
      <c r="F14" s="15" t="n">
        <v>25</v>
      </c>
      <c r="G14" s="15" t="n">
        <v>10.125</v>
      </c>
      <c r="H14" s="15" t="n">
        <v>49</v>
      </c>
      <c r="I14" s="15" t="b">
        <v>0</v>
      </c>
    </row>
    <row r="15">
      <c r="A15" s="15" t="inlineStr">
        <is>
          <t>D#4</t>
        </is>
      </c>
      <c r="B15" s="15" t="inlineStr">
        <is>
          <t>note_effective_component_density</t>
        </is>
      </c>
      <c r="C15" s="15" t="n">
        <v>0.3729622991351293</v>
      </c>
      <c r="D15" s="15" t="n">
        <v>37.29622991351293</v>
      </c>
      <c r="E15" s="15" t="b">
        <v>1</v>
      </c>
      <c r="F15" s="15" t="n">
        <v>25</v>
      </c>
      <c r="G15" s="15" t="n">
        <v>10.125</v>
      </c>
      <c r="H15" s="15" t="n">
        <v>49</v>
      </c>
      <c r="I15" s="15" t="b">
        <v>0</v>
      </c>
    </row>
    <row r="16">
      <c r="A16" s="15" t="inlineStr">
        <is>
          <t>D#4</t>
        </is>
      </c>
      <c r="B16" s="15" t="inlineStr">
        <is>
          <t>EWSD_score_acoustic_balanced</t>
        </is>
      </c>
      <c r="C16" s="15" t="n">
        <v>0.2525643165712977</v>
      </c>
      <c r="D16" s="15" t="n">
        <v>25.25643165712977</v>
      </c>
      <c r="E16" s="15" t="b">
        <v>1</v>
      </c>
      <c r="F16" s="15" t="n">
        <v>25</v>
      </c>
      <c r="G16" s="15" t="n">
        <v>10.125</v>
      </c>
      <c r="H16" s="15" t="n">
        <v>49</v>
      </c>
      <c r="I16" s="15" t="b">
        <v>0</v>
      </c>
    </row>
    <row r="17">
      <c r="A17" s="15" t="inlineStr">
        <is>
          <t>E4</t>
        </is>
      </c>
      <c r="B17" s="15" t="inlineStr">
        <is>
          <t>note_density_final</t>
        </is>
      </c>
      <c r="C17" s="15" t="n">
        <v>0.0626662514180447</v>
      </c>
      <c r="D17" s="15" t="n">
        <v>6.26662514180447</v>
      </c>
      <c r="E17" s="15" t="b">
        <v>0</v>
      </c>
      <c r="F17" s="15" t="n">
        <v>25</v>
      </c>
      <c r="G17" s="15" t="n">
        <v>9.5</v>
      </c>
      <c r="H17" s="15" t="n">
        <v>47</v>
      </c>
      <c r="I17" s="15" t="b">
        <v>1</v>
      </c>
    </row>
    <row r="18">
      <c r="A18" s="15" t="inlineStr">
        <is>
          <t>E4</t>
        </is>
      </c>
      <c r="B18" s="15" t="inlineStr">
        <is>
          <t>note_effective_component_density</t>
        </is>
      </c>
      <c r="C18" s="15" t="n">
        <v>0.4082682889808444</v>
      </c>
      <c r="D18" s="15" t="n">
        <v>40.82682889808444</v>
      </c>
      <c r="E18" s="15" t="b">
        <v>1</v>
      </c>
      <c r="F18" s="15" t="n">
        <v>25</v>
      </c>
      <c r="G18" s="15" t="n">
        <v>9.5</v>
      </c>
      <c r="H18" s="15" t="n">
        <v>47</v>
      </c>
      <c r="I18" s="15" t="b">
        <v>1</v>
      </c>
    </row>
    <row r="19">
      <c r="A19" s="15" t="inlineStr">
        <is>
          <t>E4</t>
        </is>
      </c>
      <c r="B19" s="15" t="inlineStr">
        <is>
          <t>EWSD_score_acoustic_balanced</t>
        </is>
      </c>
      <c r="C19" s="15" t="n">
        <v>0.2532806583341576</v>
      </c>
      <c r="D19" s="15" t="n">
        <v>25.32806583341576</v>
      </c>
      <c r="E19" s="15" t="b">
        <v>1</v>
      </c>
      <c r="F19" s="15" t="n">
        <v>25</v>
      </c>
      <c r="G19" s="15" t="n">
        <v>9.5</v>
      </c>
      <c r="H19" s="15" t="n">
        <v>47</v>
      </c>
      <c r="I19" s="15" t="b">
        <v>1</v>
      </c>
    </row>
    <row r="20">
      <c r="A20" s="15" t="inlineStr">
        <is>
          <t>F4</t>
        </is>
      </c>
      <c r="B20" s="15" t="inlineStr">
        <is>
          <t>note_density_final</t>
        </is>
      </c>
      <c r="C20" s="15" t="n">
        <v>0.07647931175033852</v>
      </c>
      <c r="D20" s="15" t="n">
        <v>7.647931175033852</v>
      </c>
      <c r="E20" s="15" t="b">
        <v>0</v>
      </c>
      <c r="F20" s="15" t="n">
        <v>25</v>
      </c>
      <c r="G20" s="15" t="n">
        <v>9.875</v>
      </c>
      <c r="H20" s="15" t="n">
        <v>45</v>
      </c>
      <c r="I20" s="15" t="b">
        <v>1</v>
      </c>
    </row>
    <row r="21">
      <c r="A21" s="15" t="inlineStr">
        <is>
          <t>F4</t>
        </is>
      </c>
      <c r="B21" s="15" t="inlineStr">
        <is>
          <t>note_effective_component_density</t>
        </is>
      </c>
      <c r="C21" s="15" t="n">
        <v>0.4565438217271242</v>
      </c>
      <c r="D21" s="15" t="n">
        <v>45.65438217271242</v>
      </c>
      <c r="E21" s="15" t="b">
        <v>1</v>
      </c>
      <c r="F21" s="15" t="n">
        <v>25</v>
      </c>
      <c r="G21" s="15" t="n">
        <v>9.875</v>
      </c>
      <c r="H21" s="15" t="n">
        <v>45</v>
      </c>
      <c r="I21" s="15" t="b">
        <v>1</v>
      </c>
    </row>
    <row r="22">
      <c r="A22" s="15" t="inlineStr">
        <is>
          <t>F4</t>
        </is>
      </c>
      <c r="B22" s="15" t="inlineStr">
        <is>
          <t>EWSD_score_acoustic_balanced</t>
        </is>
      </c>
      <c r="C22" s="15" t="n">
        <v>0.2818300676095907</v>
      </c>
      <c r="D22" s="15" t="n">
        <v>28.18300676095907</v>
      </c>
      <c r="E22" s="15" t="b">
        <v>1</v>
      </c>
      <c r="F22" s="15" t="n">
        <v>25</v>
      </c>
      <c r="G22" s="15" t="n">
        <v>9.875</v>
      </c>
      <c r="H22" s="15" t="n">
        <v>45</v>
      </c>
      <c r="I22" s="15" t="b">
        <v>1</v>
      </c>
    </row>
    <row r="23">
      <c r="A23" s="15" t="inlineStr">
        <is>
          <t>F#4</t>
        </is>
      </c>
      <c r="B23" s="15" t="inlineStr">
        <is>
          <t>note_density_final</t>
        </is>
      </c>
      <c r="C23" s="15" t="n">
        <v>0.08348678832475796</v>
      </c>
      <c r="D23" s="15" t="n">
        <v>8.348678832475796</v>
      </c>
      <c r="E23" s="15" t="b">
        <v>0</v>
      </c>
      <c r="F23" s="15" t="n">
        <v>25</v>
      </c>
      <c r="G23" s="15" t="n">
        <v>9.625</v>
      </c>
      <c r="H23" s="15" t="n">
        <v>49</v>
      </c>
      <c r="I23" s="15" t="b">
        <v>1</v>
      </c>
    </row>
    <row r="24">
      <c r="A24" s="15" t="inlineStr">
        <is>
          <t>F#4</t>
        </is>
      </c>
      <c r="B24" s="15" t="inlineStr">
        <is>
          <t>note_effective_component_density</t>
        </is>
      </c>
      <c r="C24" s="15" t="n">
        <v>0.4867852753263771</v>
      </c>
      <c r="D24" s="15" t="n">
        <v>48.67852753263771</v>
      </c>
      <c r="E24" s="15" t="b">
        <v>1</v>
      </c>
      <c r="F24" s="15" t="n">
        <v>25</v>
      </c>
      <c r="G24" s="15" t="n">
        <v>9.625</v>
      </c>
      <c r="H24" s="15" t="n">
        <v>49</v>
      </c>
      <c r="I24" s="15" t="b">
        <v>1</v>
      </c>
    </row>
    <row r="25">
      <c r="A25" s="15" t="inlineStr">
        <is>
          <t>F#4</t>
        </is>
      </c>
      <c r="B25" s="15" t="inlineStr">
        <is>
          <t>EWSD_score_acoustic_balanced</t>
        </is>
      </c>
      <c r="C25" s="15" t="n">
        <v>0.2855404199671995</v>
      </c>
      <c r="D25" s="15" t="n">
        <v>28.55404199671995</v>
      </c>
      <c r="E25" s="15" t="b">
        <v>1</v>
      </c>
      <c r="F25" s="15" t="n">
        <v>25</v>
      </c>
      <c r="G25" s="15" t="n">
        <v>9.625</v>
      </c>
      <c r="H25" s="15" t="n">
        <v>49</v>
      </c>
      <c r="I25" s="15" t="b">
        <v>1</v>
      </c>
    </row>
    <row r="26">
      <c r="A26" s="15" t="inlineStr">
        <is>
          <t>G4</t>
        </is>
      </c>
      <c r="B26" s="15" t="inlineStr">
        <is>
          <t>note_density_final</t>
        </is>
      </c>
      <c r="C26" s="15" t="n">
        <v>0.08067229258029104</v>
      </c>
      <c r="D26" s="15" t="n">
        <v>8.067229258029105</v>
      </c>
      <c r="E26" s="15" t="b">
        <v>0</v>
      </c>
      <c r="F26" s="15" t="n">
        <v>25</v>
      </c>
      <c r="G26" s="15" t="n">
        <v>9.125</v>
      </c>
      <c r="H26" s="15" t="n">
        <v>47</v>
      </c>
      <c r="I26" s="15" t="b">
        <v>1</v>
      </c>
    </row>
    <row r="27">
      <c r="A27" s="15" t="inlineStr">
        <is>
          <t>G4</t>
        </is>
      </c>
      <c r="B27" s="15" t="inlineStr">
        <is>
          <t>note_effective_component_density</t>
        </is>
      </c>
      <c r="C27" s="15" t="n">
        <v>0.5112908386701123</v>
      </c>
      <c r="D27" s="15" t="n">
        <v>51.12908386701123</v>
      </c>
      <c r="E27" s="15" t="b">
        <v>1</v>
      </c>
      <c r="F27" s="15" t="n">
        <v>25</v>
      </c>
      <c r="G27" s="15" t="n">
        <v>9.125</v>
      </c>
      <c r="H27" s="15" t="n">
        <v>47</v>
      </c>
      <c r="I27" s="15" t="b">
        <v>1</v>
      </c>
    </row>
    <row r="28">
      <c r="A28" s="15" t="inlineStr">
        <is>
          <t>G4</t>
        </is>
      </c>
      <c r="B28" s="15" t="inlineStr">
        <is>
          <t>EWSD_score_acoustic_balanced</t>
        </is>
      </c>
      <c r="C28" s="15" t="n">
        <v>0.3008193672969491</v>
      </c>
      <c r="D28" s="15" t="n">
        <v>30.08193672969491</v>
      </c>
      <c r="E28" s="15" t="b">
        <v>1</v>
      </c>
      <c r="F28" s="15" t="n">
        <v>25</v>
      </c>
      <c r="G28" s="15" t="n">
        <v>9.125</v>
      </c>
      <c r="H28" s="15" t="n">
        <v>47</v>
      </c>
      <c r="I28" s="15" t="b">
        <v>1</v>
      </c>
    </row>
    <row r="29">
      <c r="A29" s="15" t="inlineStr">
        <is>
          <t>G#4</t>
        </is>
      </c>
      <c r="B29" s="15" t="inlineStr">
        <is>
          <t>note_density_final</t>
        </is>
      </c>
      <c r="C29" s="15" t="n">
        <v>0.0911233598487209</v>
      </c>
      <c r="D29" s="15" t="n">
        <v>9.11233598487209</v>
      </c>
      <c r="E29" s="15" t="b">
        <v>0</v>
      </c>
      <c r="F29" s="15" t="n">
        <v>25</v>
      </c>
      <c r="G29" s="15" t="n">
        <v>9.125</v>
      </c>
      <c r="H29" s="15" t="n">
        <v>43</v>
      </c>
      <c r="I29" s="15" t="b">
        <v>1</v>
      </c>
    </row>
    <row r="30">
      <c r="A30" s="15" t="inlineStr">
        <is>
          <t>G#4</t>
        </is>
      </c>
      <c r="B30" s="15" t="inlineStr">
        <is>
          <t>note_effective_component_density</t>
        </is>
      </c>
      <c r="C30" s="15" t="n">
        <v>0.5618595405017369</v>
      </c>
      <c r="D30" s="15" t="n">
        <v>56.18595405017369</v>
      </c>
      <c r="E30" s="15" t="b">
        <v>1</v>
      </c>
      <c r="F30" s="15" t="n">
        <v>25</v>
      </c>
      <c r="G30" s="15" t="n">
        <v>9.125</v>
      </c>
      <c r="H30" s="15" t="n">
        <v>43</v>
      </c>
      <c r="I30" s="15" t="b">
        <v>1</v>
      </c>
    </row>
    <row r="31">
      <c r="A31" s="15" t="inlineStr">
        <is>
          <t>G#4</t>
        </is>
      </c>
      <c r="B31" s="15" t="inlineStr">
        <is>
          <t>EWSD_score_acoustic_balanced</t>
        </is>
      </c>
      <c r="C31" s="15" t="n">
        <v>0.2943476867414149</v>
      </c>
      <c r="D31" s="15" t="n">
        <v>29.43476867414149</v>
      </c>
      <c r="E31" s="15" t="b">
        <v>1</v>
      </c>
      <c r="F31" s="15" t="n">
        <v>25</v>
      </c>
      <c r="G31" s="15" t="n">
        <v>9.125</v>
      </c>
      <c r="H31" s="15" t="n">
        <v>43</v>
      </c>
      <c r="I31" s="15" t="b">
        <v>1</v>
      </c>
    </row>
    <row r="32">
      <c r="A32" s="15" t="inlineStr">
        <is>
          <t>A4</t>
        </is>
      </c>
      <c r="B32" s="15" t="inlineStr">
        <is>
          <t>note_density_final</t>
        </is>
      </c>
      <c r="C32" s="15" t="n">
        <v>0.09390053726867233</v>
      </c>
      <c r="D32" s="15" t="n">
        <v>9.390053726867233</v>
      </c>
      <c r="E32" s="15" t="b">
        <v>0</v>
      </c>
      <c r="F32" s="15" t="n">
        <v>25</v>
      </c>
      <c r="G32" s="15" t="n">
        <v>7.1875</v>
      </c>
      <c r="H32" s="15" t="n">
        <v>47</v>
      </c>
      <c r="I32" s="15" t="b">
        <v>1</v>
      </c>
    </row>
    <row r="33">
      <c r="A33" s="15" t="inlineStr">
        <is>
          <t>A4</t>
        </is>
      </c>
      <c r="B33" s="15" t="inlineStr">
        <is>
          <t>note_effective_component_density</t>
        </is>
      </c>
      <c r="C33" s="15" t="n">
        <v>0.6393948002066012</v>
      </c>
      <c r="D33" s="15" t="n">
        <v>63.93948002066012</v>
      </c>
      <c r="E33" s="15" t="b">
        <v>1</v>
      </c>
      <c r="F33" s="15" t="n">
        <v>25</v>
      </c>
      <c r="G33" s="15" t="n">
        <v>7.1875</v>
      </c>
      <c r="H33" s="15" t="n">
        <v>47</v>
      </c>
      <c r="I33" s="15" t="b">
        <v>1</v>
      </c>
    </row>
    <row r="34">
      <c r="A34" s="15" t="inlineStr">
        <is>
          <t>A4</t>
        </is>
      </c>
      <c r="B34" s="15" t="inlineStr">
        <is>
          <t>EWSD_score_acoustic_balanced</t>
        </is>
      </c>
      <c r="C34" s="15" t="n">
        <v>0.3562591705299473</v>
      </c>
      <c r="D34" s="15" t="n">
        <v>35.62591705299473</v>
      </c>
      <c r="E34" s="15" t="b">
        <v>1</v>
      </c>
      <c r="F34" s="15" t="n">
        <v>25</v>
      </c>
      <c r="G34" s="15" t="n">
        <v>7.1875</v>
      </c>
      <c r="H34" s="15" t="n">
        <v>47</v>
      </c>
      <c r="I34" s="15" t="b">
        <v>1</v>
      </c>
    </row>
    <row r="35">
      <c r="A35" s="15" t="inlineStr">
        <is>
          <t>A#4</t>
        </is>
      </c>
      <c r="B35" s="15" t="inlineStr">
        <is>
          <t>note_density_final</t>
        </is>
      </c>
      <c r="C35" s="15" t="n">
        <v>0.1113335596075839</v>
      </c>
      <c r="D35" s="15" t="n">
        <v>11.13335596075839</v>
      </c>
      <c r="E35" s="15" t="b">
        <v>0</v>
      </c>
      <c r="F35" s="15" t="n">
        <v>25</v>
      </c>
      <c r="G35" s="15" t="n">
        <v>7.5625</v>
      </c>
      <c r="H35" s="15" t="n">
        <v>49</v>
      </c>
      <c r="I35" s="15" t="b">
        <v>1</v>
      </c>
    </row>
    <row r="36">
      <c r="A36" s="15" t="inlineStr">
        <is>
          <t>A#4</t>
        </is>
      </c>
      <c r="B36" s="15" t="inlineStr">
        <is>
          <t>note_effective_component_density</t>
        </is>
      </c>
      <c r="C36" s="15" t="n">
        <v>0.7944839867527687</v>
      </c>
      <c r="D36" s="15" t="n">
        <v>79.44839867527686</v>
      </c>
      <c r="E36" s="15" t="b">
        <v>1</v>
      </c>
      <c r="F36" s="15" t="n">
        <v>25</v>
      </c>
      <c r="G36" s="15" t="n">
        <v>7.5625</v>
      </c>
      <c r="H36" s="15" t="n">
        <v>49</v>
      </c>
      <c r="I36" s="15" t="b">
        <v>1</v>
      </c>
    </row>
    <row r="37">
      <c r="A37" s="15" t="inlineStr">
        <is>
          <t>A#4</t>
        </is>
      </c>
      <c r="B37" s="15" t="inlineStr">
        <is>
          <t>EWSD_score_acoustic_balanced</t>
        </is>
      </c>
      <c r="C37" s="15" t="n">
        <v>0.3238231294006026</v>
      </c>
      <c r="D37" s="15" t="n">
        <v>32.38231294006027</v>
      </c>
      <c r="E37" s="15" t="b">
        <v>1</v>
      </c>
      <c r="F37" s="15" t="n">
        <v>25</v>
      </c>
      <c r="G37" s="15" t="n">
        <v>7.5625</v>
      </c>
      <c r="H37" s="15" t="n">
        <v>49</v>
      </c>
      <c r="I37" s="15" t="b">
        <v>1</v>
      </c>
    </row>
    <row r="38">
      <c r="A38" s="15" t="inlineStr">
        <is>
          <t>B4</t>
        </is>
      </c>
      <c r="B38" s="15" t="inlineStr">
        <is>
          <t>note_density_final</t>
        </is>
      </c>
      <c r="C38" s="15" t="n">
        <v>0.1098387150415055</v>
      </c>
      <c r="D38" s="15" t="n">
        <v>10.98387150415055</v>
      </c>
      <c r="E38" s="15" t="b">
        <v>0</v>
      </c>
      <c r="F38" s="15" t="n">
        <v>25</v>
      </c>
      <c r="G38" s="15" t="n">
        <v>7.75</v>
      </c>
      <c r="H38" s="15" t="n">
        <v>47</v>
      </c>
      <c r="I38" s="15" t="b">
        <v>1</v>
      </c>
    </row>
    <row r="39">
      <c r="A39" s="15" t="inlineStr">
        <is>
          <t>B4</t>
        </is>
      </c>
      <c r="B39" s="15" t="inlineStr">
        <is>
          <t>note_effective_component_density</t>
        </is>
      </c>
      <c r="C39" s="15" t="n">
        <v>0.9571894702036864</v>
      </c>
      <c r="D39" s="15" t="n">
        <v>95.71894702036865</v>
      </c>
      <c r="E39" s="15" t="b">
        <v>1</v>
      </c>
      <c r="F39" s="15" t="n">
        <v>25</v>
      </c>
      <c r="G39" s="15" t="n">
        <v>7.75</v>
      </c>
      <c r="H39" s="15" t="n">
        <v>47</v>
      </c>
      <c r="I39" s="15" t="b">
        <v>1</v>
      </c>
    </row>
    <row r="40">
      <c r="A40" s="15" t="inlineStr">
        <is>
          <t>B4</t>
        </is>
      </c>
      <c r="B40" s="15" t="inlineStr">
        <is>
          <t>EWSD_score_acoustic_balanced</t>
        </is>
      </c>
      <c r="C40" s="15" t="n">
        <v>0.3339223004756031</v>
      </c>
      <c r="D40" s="15" t="n">
        <v>33.39223004756031</v>
      </c>
      <c r="E40" s="15" t="b">
        <v>1</v>
      </c>
      <c r="F40" s="15" t="n">
        <v>25</v>
      </c>
      <c r="G40" s="15" t="n">
        <v>7.75</v>
      </c>
      <c r="H40" s="15" t="n">
        <v>47</v>
      </c>
      <c r="I40" s="15" t="b">
        <v>1</v>
      </c>
    </row>
    <row r="41">
      <c r="A41" s="15" t="inlineStr">
        <is>
          <t>C5</t>
        </is>
      </c>
      <c r="B41" s="15" t="inlineStr">
        <is>
          <t>note_density_final</t>
        </is>
      </c>
      <c r="C41" s="15" t="n">
        <v>0.12388460408185</v>
      </c>
      <c r="D41" s="15" t="n">
        <v>12.388460408185</v>
      </c>
      <c r="E41" s="15" t="b">
        <v>0</v>
      </c>
      <c r="F41" s="15" t="n">
        <v>25</v>
      </c>
      <c r="G41" s="15" t="n">
        <v>13.9375</v>
      </c>
      <c r="H41" s="15" t="n">
        <v>39</v>
      </c>
      <c r="I41" s="15" t="b">
        <v>0</v>
      </c>
    </row>
    <row r="42">
      <c r="A42" s="15" t="inlineStr">
        <is>
          <t>C5</t>
        </is>
      </c>
      <c r="B42" s="15" t="inlineStr">
        <is>
          <t>note_effective_component_density</t>
        </is>
      </c>
      <c r="C42" s="15" t="n">
        <v>0.7007183095206879</v>
      </c>
      <c r="D42" s="15" t="n">
        <v>70.07183095206879</v>
      </c>
      <c r="E42" s="15" t="b">
        <v>1</v>
      </c>
      <c r="F42" s="15" t="n">
        <v>25</v>
      </c>
      <c r="G42" s="15" t="n">
        <v>13.9375</v>
      </c>
      <c r="H42" s="15" t="n">
        <v>39</v>
      </c>
      <c r="I42" s="15" t="b">
        <v>0</v>
      </c>
    </row>
    <row r="43">
      <c r="A43" s="15" t="inlineStr">
        <is>
          <t>C5</t>
        </is>
      </c>
      <c r="B43" s="15" t="inlineStr">
        <is>
          <t>EWSD_score_acoustic_balanced</t>
        </is>
      </c>
      <c r="C43" s="15" t="n">
        <v>0.3741967931375457</v>
      </c>
      <c r="D43" s="15" t="n">
        <v>37.41967931375456</v>
      </c>
      <c r="E43" s="15" t="b">
        <v>1</v>
      </c>
      <c r="F43" s="15" t="n">
        <v>25</v>
      </c>
      <c r="G43" s="15" t="n">
        <v>13.9375</v>
      </c>
      <c r="H43" s="15" t="n">
        <v>39</v>
      </c>
      <c r="I43" s="15" t="b">
        <v>0</v>
      </c>
    </row>
    <row r="44">
      <c r="A44" s="15" t="inlineStr">
        <is>
          <t>C#5</t>
        </is>
      </c>
      <c r="B44" s="15" t="inlineStr">
        <is>
          <t>note_density_final</t>
        </is>
      </c>
      <c r="C44" s="15" t="n">
        <v>0.1308078159383793</v>
      </c>
      <c r="D44" s="15" t="n">
        <v>13.08078159383793</v>
      </c>
      <c r="E44" s="15" t="b">
        <v>0</v>
      </c>
      <c r="F44" s="15" t="n">
        <v>25</v>
      </c>
      <c r="G44" s="15" t="n">
        <v>6.625</v>
      </c>
      <c r="H44" s="15" t="n">
        <v>37</v>
      </c>
      <c r="I44" s="15" t="b">
        <v>1</v>
      </c>
    </row>
    <row r="45">
      <c r="A45" s="15" t="inlineStr">
        <is>
          <t>C#5</t>
        </is>
      </c>
      <c r="B45" s="15" t="inlineStr">
        <is>
          <t>note_effective_component_density</t>
        </is>
      </c>
      <c r="C45" s="15" t="n">
        <v>0.71099535964955</v>
      </c>
      <c r="D45" s="15" t="n">
        <v>71.099535964955</v>
      </c>
      <c r="E45" s="15" t="b">
        <v>1</v>
      </c>
      <c r="F45" s="15" t="n">
        <v>25</v>
      </c>
      <c r="G45" s="15" t="n">
        <v>6.625</v>
      </c>
      <c r="H45" s="15" t="n">
        <v>37</v>
      </c>
      <c r="I45" s="15" t="b">
        <v>1</v>
      </c>
    </row>
    <row r="46">
      <c r="A46" s="15" t="inlineStr">
        <is>
          <t>C#5</t>
        </is>
      </c>
      <c r="B46" s="15" t="inlineStr">
        <is>
          <t>EWSD_score_acoustic_balanced</t>
        </is>
      </c>
      <c r="C46" s="15" t="n">
        <v>0.4382657381567003</v>
      </c>
      <c r="D46" s="15" t="n">
        <v>43.82657381567003</v>
      </c>
      <c r="E46" s="15" t="b">
        <v>1</v>
      </c>
      <c r="F46" s="15" t="n">
        <v>25</v>
      </c>
      <c r="G46" s="15" t="n">
        <v>6.625</v>
      </c>
      <c r="H46" s="15" t="n">
        <v>37</v>
      </c>
      <c r="I46" s="15" t="b">
        <v>1</v>
      </c>
    </row>
    <row r="47">
      <c r="A47" s="15" t="inlineStr">
        <is>
          <t>D5</t>
        </is>
      </c>
      <c r="B47" s="15" t="inlineStr">
        <is>
          <t>note_density_final</t>
        </is>
      </c>
      <c r="C47" s="15" t="n">
        <v>0.144731395999582</v>
      </c>
      <c r="D47" s="15" t="n">
        <v>14.4731395999582</v>
      </c>
      <c r="E47" s="15" t="b">
        <v>0</v>
      </c>
      <c r="F47" s="15" t="n">
        <v>25</v>
      </c>
      <c r="G47" s="15" t="n">
        <v>5.1875</v>
      </c>
      <c r="H47" s="15" t="n">
        <v>43</v>
      </c>
      <c r="I47" s="15" t="b">
        <v>1</v>
      </c>
    </row>
    <row r="48">
      <c r="A48" s="15" t="inlineStr">
        <is>
          <t>D5</t>
        </is>
      </c>
      <c r="B48" s="15" t="inlineStr">
        <is>
          <t>note_effective_component_density</t>
        </is>
      </c>
      <c r="C48" s="15" t="n">
        <v>1.016804360559827</v>
      </c>
      <c r="D48" s="15" t="n">
        <v>101.6804360559827</v>
      </c>
      <c r="E48" s="15" t="b">
        <v>1</v>
      </c>
      <c r="F48" s="15" t="n">
        <v>25</v>
      </c>
      <c r="G48" s="15" t="n">
        <v>5.1875</v>
      </c>
      <c r="H48" s="15" t="n">
        <v>43</v>
      </c>
      <c r="I48" s="15" t="b">
        <v>1</v>
      </c>
    </row>
    <row r="49">
      <c r="A49" s="15" t="inlineStr">
        <is>
          <t>D5</t>
        </is>
      </c>
      <c r="B49" s="15" t="inlineStr">
        <is>
          <t>EWSD_score_acoustic_balanced</t>
        </is>
      </c>
      <c r="C49" s="15" t="n">
        <v>0.4589307825858379</v>
      </c>
      <c r="D49" s="15" t="n">
        <v>45.89307825858378</v>
      </c>
      <c r="E49" s="15" t="b">
        <v>1</v>
      </c>
      <c r="F49" s="15" t="n">
        <v>25</v>
      </c>
      <c r="G49" s="15" t="n">
        <v>5.1875</v>
      </c>
      <c r="H49" s="15" t="n">
        <v>43</v>
      </c>
      <c r="I49" s="15" t="b">
        <v>1</v>
      </c>
    </row>
    <row r="50">
      <c r="A50" s="15" t="inlineStr">
        <is>
          <t>D#5</t>
        </is>
      </c>
      <c r="B50" s="15" t="inlineStr">
        <is>
          <t>note_density_final</t>
        </is>
      </c>
      <c r="C50" s="15" t="n">
        <v>0.1873070027711757</v>
      </c>
      <c r="D50" s="15" t="n">
        <v>18.73070027711757</v>
      </c>
      <c r="E50" s="15" t="b">
        <v>0</v>
      </c>
      <c r="F50" s="15" t="n">
        <v>25</v>
      </c>
      <c r="G50" s="15" t="n">
        <v>14.6875</v>
      </c>
      <c r="H50" s="15" t="n">
        <v>29</v>
      </c>
      <c r="I50" s="15" t="b">
        <v>0</v>
      </c>
    </row>
    <row r="51">
      <c r="A51" s="15" t="inlineStr">
        <is>
          <t>D#5</t>
        </is>
      </c>
      <c r="B51" s="15" t="inlineStr">
        <is>
          <t>note_effective_component_density</t>
        </is>
      </c>
      <c r="C51" s="15" t="n">
        <v>2.050946477946578</v>
      </c>
      <c r="D51" s="15" t="n">
        <v>2.050946477946578</v>
      </c>
      <c r="E51" s="15" t="b">
        <v>0</v>
      </c>
      <c r="F51" s="15" t="n">
        <v>25</v>
      </c>
      <c r="G51" s="15" t="n">
        <v>14.6875</v>
      </c>
      <c r="H51" s="15" t="n">
        <v>29</v>
      </c>
      <c r="I51" s="15" t="b">
        <v>0</v>
      </c>
    </row>
    <row r="52">
      <c r="A52" s="15" t="inlineStr">
        <is>
          <t>D#5</t>
        </is>
      </c>
      <c r="B52" s="15" t="inlineStr">
        <is>
          <t>EWSD_score_acoustic_balanced</t>
        </is>
      </c>
      <c r="C52" s="15" t="n">
        <v>0.3426340663247578</v>
      </c>
      <c r="D52" s="15" t="n">
        <v>34.26340663247579</v>
      </c>
      <c r="E52" s="15" t="b">
        <v>1</v>
      </c>
      <c r="F52" s="15" t="n">
        <v>25</v>
      </c>
      <c r="G52" s="15" t="n">
        <v>14.6875</v>
      </c>
      <c r="H52" s="15" t="n">
        <v>29</v>
      </c>
      <c r="I52" s="15" t="b">
        <v>0</v>
      </c>
    </row>
    <row r="53">
      <c r="A53" s="15" t="inlineStr">
        <is>
          <t>E5</t>
        </is>
      </c>
      <c r="B53" s="15" t="inlineStr">
        <is>
          <t>note_density_final</t>
        </is>
      </c>
      <c r="C53" s="15" t="n">
        <v>0.1420647815940116</v>
      </c>
      <c r="D53" s="15" t="n">
        <v>14.20647815940116</v>
      </c>
      <c r="E53" s="15" t="b">
        <v>0</v>
      </c>
      <c r="F53" s="15" t="n">
        <v>25</v>
      </c>
      <c r="G53" s="15" t="n">
        <v>6.9375</v>
      </c>
      <c r="H53" s="15" t="n">
        <v>31</v>
      </c>
      <c r="I53" s="15" t="b">
        <v>1</v>
      </c>
    </row>
    <row r="54">
      <c r="A54" s="15" t="inlineStr">
        <is>
          <t>E5</t>
        </is>
      </c>
      <c r="B54" s="15" t="inlineStr">
        <is>
          <t>note_effective_component_density</t>
        </is>
      </c>
      <c r="C54" s="15" t="n">
        <v>1.582513106856327</v>
      </c>
      <c r="D54" s="15" t="n">
        <v>158.2513106856327</v>
      </c>
      <c r="E54" s="15" t="b">
        <v>1</v>
      </c>
      <c r="F54" s="15" t="n">
        <v>25</v>
      </c>
      <c r="G54" s="15" t="n">
        <v>6.9375</v>
      </c>
      <c r="H54" s="15" t="n">
        <v>31</v>
      </c>
      <c r="I54" s="15" t="b">
        <v>1</v>
      </c>
    </row>
    <row r="55">
      <c r="A55" s="15" t="inlineStr">
        <is>
          <t>E5</t>
        </is>
      </c>
      <c r="B55" s="15" t="inlineStr">
        <is>
          <t>EWSD_score_acoustic_balanced</t>
        </is>
      </c>
      <c r="C55" s="15" t="n">
        <v>0.2885076299170266</v>
      </c>
      <c r="D55" s="15" t="n">
        <v>28.85076299170266</v>
      </c>
      <c r="E55" s="15" t="b">
        <v>1</v>
      </c>
      <c r="F55" s="15" t="n">
        <v>25</v>
      </c>
      <c r="G55" s="15" t="n">
        <v>6.9375</v>
      </c>
      <c r="H55" s="15" t="n">
        <v>31</v>
      </c>
      <c r="I55" s="15" t="b">
        <v>1</v>
      </c>
    </row>
    <row r="56">
      <c r="A56" s="15" t="inlineStr">
        <is>
          <t>F5</t>
        </is>
      </c>
      <c r="B56" s="15" t="inlineStr">
        <is>
          <t>note_density_final</t>
        </is>
      </c>
      <c r="C56" s="15" t="n">
        <v>0.1342257634235306</v>
      </c>
      <c r="D56" s="15" t="n">
        <v>13.42257634235306</v>
      </c>
      <c r="E56" s="15" t="b">
        <v>0</v>
      </c>
      <c r="F56" s="15" t="n">
        <v>25</v>
      </c>
      <c r="G56" s="15" t="n">
        <v>2.875</v>
      </c>
      <c r="H56" s="15" t="n">
        <v>22</v>
      </c>
      <c r="I56" s="15" t="b">
        <v>1</v>
      </c>
    </row>
    <row r="57">
      <c r="A57" s="15" t="inlineStr">
        <is>
          <t>F5</t>
        </is>
      </c>
      <c r="B57" s="15" t="inlineStr">
        <is>
          <t>note_effective_component_density</t>
        </is>
      </c>
      <c r="C57" s="15" t="n">
        <v>1.204305349002531</v>
      </c>
      <c r="D57" s="15" t="n">
        <v>120.4305349002531</v>
      </c>
      <c r="E57" s="15" t="b">
        <v>1</v>
      </c>
      <c r="F57" s="15" t="n">
        <v>25</v>
      </c>
      <c r="G57" s="15" t="n">
        <v>2.875</v>
      </c>
      <c r="H57" s="15" t="n">
        <v>22</v>
      </c>
      <c r="I57" s="15" t="b">
        <v>1</v>
      </c>
    </row>
    <row r="58">
      <c r="A58" s="15" t="inlineStr">
        <is>
          <t>F5</t>
        </is>
      </c>
      <c r="B58" s="15" t="inlineStr">
        <is>
          <t>EWSD_score_acoustic_balanced</t>
        </is>
      </c>
      <c r="C58" s="15" t="n">
        <v>0.3391792509667364</v>
      </c>
      <c r="D58" s="15" t="n">
        <v>33.91792509667364</v>
      </c>
      <c r="E58" s="15" t="b">
        <v>1</v>
      </c>
      <c r="F58" s="15" t="n">
        <v>25</v>
      </c>
      <c r="G58" s="15" t="n">
        <v>2.875</v>
      </c>
      <c r="H58" s="15" t="n">
        <v>22</v>
      </c>
      <c r="I58" s="15" t="b">
        <v>1</v>
      </c>
    </row>
    <row r="59">
      <c r="A59" s="15" t="inlineStr">
        <is>
          <t>F#5</t>
        </is>
      </c>
      <c r="B59" s="15" t="inlineStr">
        <is>
          <t>note_density_final</t>
        </is>
      </c>
      <c r="C59" s="15" t="n">
        <v>0.1375819699198607</v>
      </c>
      <c r="D59" s="15" t="n">
        <v>13.75819699198607</v>
      </c>
      <c r="E59" s="15" t="b">
        <v>0</v>
      </c>
      <c r="F59" s="15" t="n">
        <v>25</v>
      </c>
      <c r="G59" s="15" t="n">
        <v>17.3125</v>
      </c>
      <c r="H59" s="15" t="n">
        <v>25</v>
      </c>
      <c r="I59" s="15" t="b">
        <v>0</v>
      </c>
    </row>
    <row r="60">
      <c r="A60" s="15" t="inlineStr">
        <is>
          <t>F#5</t>
        </is>
      </c>
      <c r="B60" s="15" t="inlineStr">
        <is>
          <t>note_effective_component_density</t>
        </is>
      </c>
      <c r="C60" s="15" t="n">
        <v>1.248911509310251</v>
      </c>
      <c r="D60" s="15" t="n">
        <v>124.8911509310251</v>
      </c>
      <c r="E60" s="15" t="b">
        <v>1</v>
      </c>
      <c r="F60" s="15" t="n">
        <v>25</v>
      </c>
      <c r="G60" s="15" t="n">
        <v>17.3125</v>
      </c>
      <c r="H60" s="15" t="n">
        <v>25</v>
      </c>
      <c r="I60" s="15" t="b">
        <v>0</v>
      </c>
    </row>
    <row r="61">
      <c r="A61" s="15" t="inlineStr">
        <is>
          <t>F#5</t>
        </is>
      </c>
      <c r="B61" s="15" t="inlineStr">
        <is>
          <t>EWSD_score_acoustic_balanced</t>
        </is>
      </c>
      <c r="C61" s="15" t="n">
        <v>0.3300332292013221</v>
      </c>
      <c r="D61" s="15" t="n">
        <v>33.00332292013221</v>
      </c>
      <c r="E61" s="15" t="b">
        <v>1</v>
      </c>
      <c r="F61" s="15" t="n">
        <v>25</v>
      </c>
      <c r="G61" s="15" t="n">
        <v>17.3125</v>
      </c>
      <c r="H61" s="15" t="n">
        <v>25</v>
      </c>
      <c r="I61" s="15" t="b">
        <v>0</v>
      </c>
    </row>
    <row r="62">
      <c r="A62" s="15" t="inlineStr">
        <is>
          <t>G5</t>
        </is>
      </c>
      <c r="B62" s="15" t="inlineStr">
        <is>
          <t>note_density_final</t>
        </is>
      </c>
      <c r="C62" s="15" t="n">
        <v>0.1664704219562322</v>
      </c>
      <c r="D62" s="15" t="n">
        <v>16.64704219562322</v>
      </c>
      <c r="E62" s="15" t="b">
        <v>0</v>
      </c>
      <c r="F62" s="15" t="n">
        <v>25</v>
      </c>
      <c r="G62" s="15" t="n">
        <v>15.25</v>
      </c>
      <c r="H62" s="15" t="n">
        <v>30</v>
      </c>
      <c r="I62" s="15" t="b">
        <v>0</v>
      </c>
    </row>
    <row r="63">
      <c r="A63" s="15" t="inlineStr">
        <is>
          <t>G5</t>
        </is>
      </c>
      <c r="B63" s="15" t="inlineStr">
        <is>
          <t>note_effective_component_density</t>
        </is>
      </c>
      <c r="C63" s="15" t="n">
        <v>1.240944532869457</v>
      </c>
      <c r="D63" s="15" t="n">
        <v>124.0944532869457</v>
      </c>
      <c r="E63" s="15" t="b">
        <v>1</v>
      </c>
      <c r="F63" s="15" t="n">
        <v>25</v>
      </c>
      <c r="G63" s="15" t="n">
        <v>15.25</v>
      </c>
      <c r="H63" s="15" t="n">
        <v>30</v>
      </c>
      <c r="I63" s="15" t="b">
        <v>0</v>
      </c>
    </row>
    <row r="64">
      <c r="A64" s="15" t="inlineStr">
        <is>
          <t>G5</t>
        </is>
      </c>
      <c r="B64" s="15" t="inlineStr">
        <is>
          <t>EWSD_score_acoustic_balanced</t>
        </is>
      </c>
      <c r="C64" s="15" t="n">
        <v>0.4088003961509682</v>
      </c>
      <c r="D64" s="15" t="n">
        <v>40.88003961509682</v>
      </c>
      <c r="E64" s="15" t="b">
        <v>1</v>
      </c>
      <c r="F64" s="15" t="n">
        <v>25</v>
      </c>
      <c r="G64" s="15" t="n">
        <v>15.25</v>
      </c>
      <c r="H64" s="15" t="n">
        <v>30</v>
      </c>
      <c r="I64" s="15" t="b">
        <v>0</v>
      </c>
    </row>
    <row r="65">
      <c r="A65" s="15" t="inlineStr">
        <is>
          <t>G#5</t>
        </is>
      </c>
      <c r="B65" s="15" t="inlineStr">
        <is>
          <t>note_density_final</t>
        </is>
      </c>
      <c r="C65" s="15" t="n">
        <v>0.1590417649964778</v>
      </c>
      <c r="D65" s="15" t="n">
        <v>15.90417649964778</v>
      </c>
      <c r="E65" s="15" t="b">
        <v>0</v>
      </c>
      <c r="F65" s="15" t="n">
        <v>25</v>
      </c>
      <c r="G65" s="15" t="n">
        <v>16.0625</v>
      </c>
      <c r="H65" s="15" t="n">
        <v>25</v>
      </c>
      <c r="I65" s="15" t="b">
        <v>0</v>
      </c>
    </row>
    <row r="66">
      <c r="A66" s="15" t="inlineStr">
        <is>
          <t>G#5</t>
        </is>
      </c>
      <c r="B66" s="15" t="inlineStr">
        <is>
          <t>note_effective_component_density</t>
        </is>
      </c>
      <c r="C66" s="15" t="n">
        <v>1.840883582717051</v>
      </c>
      <c r="D66" s="15" t="n">
        <v>184.0883582717051</v>
      </c>
      <c r="E66" s="15" t="b">
        <v>1</v>
      </c>
      <c r="F66" s="15" t="n">
        <v>25</v>
      </c>
      <c r="G66" s="15" t="n">
        <v>16.0625</v>
      </c>
      <c r="H66" s="15" t="n">
        <v>25</v>
      </c>
      <c r="I66" s="15" t="b">
        <v>0</v>
      </c>
    </row>
    <row r="67">
      <c r="A67" s="15" t="inlineStr">
        <is>
          <t>G#5</t>
        </is>
      </c>
      <c r="B67" s="15" t="inlineStr">
        <is>
          <t>EWSD_score_acoustic_balanced</t>
        </is>
      </c>
      <c r="C67" s="15" t="n">
        <v>0.3629200405160984</v>
      </c>
      <c r="D67" s="15" t="n">
        <v>36.29200405160984</v>
      </c>
      <c r="E67" s="15" t="b">
        <v>1</v>
      </c>
      <c r="F67" s="15" t="n">
        <v>25</v>
      </c>
      <c r="G67" s="15" t="n">
        <v>16.0625</v>
      </c>
      <c r="H67" s="15" t="n">
        <v>25</v>
      </c>
      <c r="I67" s="15" t="b">
        <v>0</v>
      </c>
    </row>
    <row r="68">
      <c r="A68" s="15" t="inlineStr">
        <is>
          <t>A5</t>
        </is>
      </c>
      <c r="B68" s="15" t="inlineStr">
        <is>
          <t>note_density_final</t>
        </is>
      </c>
      <c r="C68" s="15" t="n">
        <v>0.1467279349546755</v>
      </c>
      <c r="D68" s="15" t="n">
        <v>14.67279349546755</v>
      </c>
      <c r="E68" s="15" t="b">
        <v>0</v>
      </c>
      <c r="F68" s="15" t="n">
        <v>25</v>
      </c>
      <c r="G68" s="15" t="n">
        <v>13.75</v>
      </c>
      <c r="H68" s="15" t="n">
        <v>31</v>
      </c>
      <c r="I68" s="15" t="b">
        <v>0</v>
      </c>
    </row>
    <row r="69">
      <c r="A69" s="15" t="inlineStr">
        <is>
          <t>A5</t>
        </is>
      </c>
      <c r="B69" s="15" t="inlineStr">
        <is>
          <t>note_effective_component_density</t>
        </is>
      </c>
      <c r="C69" s="15" t="n">
        <v>1.813798020303328</v>
      </c>
      <c r="D69" s="15" t="n">
        <v>181.3798020303328</v>
      </c>
      <c r="E69" s="15" t="b">
        <v>1</v>
      </c>
      <c r="F69" s="15" t="n">
        <v>25</v>
      </c>
      <c r="G69" s="15" t="n">
        <v>13.75</v>
      </c>
      <c r="H69" s="15" t="n">
        <v>31</v>
      </c>
      <c r="I69" s="15" t="b">
        <v>0</v>
      </c>
    </row>
    <row r="70">
      <c r="A70" s="15" t="inlineStr">
        <is>
          <t>A5</t>
        </is>
      </c>
      <c r="B70" s="15" t="inlineStr">
        <is>
          <t>EWSD_score_acoustic_balanced</t>
        </is>
      </c>
      <c r="C70" s="15" t="n">
        <v>0.3516704458572628</v>
      </c>
      <c r="D70" s="15" t="n">
        <v>35.16704458572628</v>
      </c>
      <c r="E70" s="15" t="b">
        <v>1</v>
      </c>
      <c r="F70" s="15" t="n">
        <v>25</v>
      </c>
      <c r="G70" s="15" t="n">
        <v>13.75</v>
      </c>
      <c r="H70" s="15" t="n">
        <v>31</v>
      </c>
      <c r="I70" s="15" t="b">
        <v>0</v>
      </c>
    </row>
    <row r="71">
      <c r="A71" s="15" t="inlineStr">
        <is>
          <t>A#5</t>
        </is>
      </c>
      <c r="B71" s="15" t="inlineStr">
        <is>
          <t>note_density_final</t>
        </is>
      </c>
      <c r="C71" s="15" t="n">
        <v>0.1578878419615725</v>
      </c>
      <c r="D71" s="15" t="n">
        <v>15.78878419615725</v>
      </c>
      <c r="E71" s="15" t="b">
        <v>0</v>
      </c>
      <c r="F71" s="15" t="n">
        <v>25</v>
      </c>
      <c r="G71" s="15" t="n">
        <v>18</v>
      </c>
      <c r="H71" s="15" t="n">
        <v>29</v>
      </c>
      <c r="I71" s="15" t="b">
        <v>0</v>
      </c>
    </row>
    <row r="72">
      <c r="A72" s="15" t="inlineStr">
        <is>
          <t>A#5</t>
        </is>
      </c>
      <c r="B72" s="15" t="inlineStr">
        <is>
          <t>note_effective_component_density</t>
        </is>
      </c>
      <c r="C72" s="15" t="n">
        <v>2.102640633274939</v>
      </c>
      <c r="D72" s="15" t="n">
        <v>2.102640633274939</v>
      </c>
      <c r="E72" s="15" t="b">
        <v>0</v>
      </c>
      <c r="F72" s="15" t="n">
        <v>25</v>
      </c>
      <c r="G72" s="15" t="n">
        <v>18</v>
      </c>
      <c r="H72" s="15" t="n">
        <v>29</v>
      </c>
      <c r="I72" s="15" t="b">
        <v>0</v>
      </c>
    </row>
    <row r="73">
      <c r="A73" s="15" t="inlineStr">
        <is>
          <t>A#5</t>
        </is>
      </c>
      <c r="B73" s="15" t="inlineStr">
        <is>
          <t>EWSD_score_acoustic_balanced</t>
        </is>
      </c>
      <c r="C73" s="15" t="n">
        <v>0.3788252116138686</v>
      </c>
      <c r="D73" s="15" t="n">
        <v>37.88252116138686</v>
      </c>
      <c r="E73" s="15" t="b">
        <v>1</v>
      </c>
      <c r="F73" s="15" t="n">
        <v>25</v>
      </c>
      <c r="G73" s="15" t="n">
        <v>18</v>
      </c>
      <c r="H73" s="15" t="n">
        <v>29</v>
      </c>
      <c r="I73" s="15" t="b">
        <v>0</v>
      </c>
    </row>
    <row r="74">
      <c r="A74" s="15" t="inlineStr">
        <is>
          <t>B5</t>
        </is>
      </c>
      <c r="B74" s="15" t="inlineStr">
        <is>
          <t>note_density_final</t>
        </is>
      </c>
      <c r="C74" s="15" t="n">
        <v>0.2072253067044256</v>
      </c>
      <c r="D74" s="15" t="n">
        <v>20.72253067044256</v>
      </c>
      <c r="E74" s="15" t="b">
        <v>0</v>
      </c>
      <c r="F74" s="15" t="n">
        <v>25</v>
      </c>
      <c r="G74" s="15" t="n">
        <v>7</v>
      </c>
      <c r="H74" s="15" t="n">
        <v>22</v>
      </c>
      <c r="I74" s="15" t="b">
        <v>1</v>
      </c>
    </row>
    <row r="75">
      <c r="A75" s="15" t="inlineStr">
        <is>
          <t>B5</t>
        </is>
      </c>
      <c r="B75" s="15" t="inlineStr">
        <is>
          <t>note_effective_component_density</t>
        </is>
      </c>
      <c r="C75" s="15" t="n">
        <v>2.110982305519715</v>
      </c>
      <c r="D75" s="15" t="n">
        <v>2.110982305519715</v>
      </c>
      <c r="E75" s="15" t="b">
        <v>0</v>
      </c>
      <c r="F75" s="15" t="n">
        <v>25</v>
      </c>
      <c r="G75" s="15" t="n">
        <v>7</v>
      </c>
      <c r="H75" s="15" t="n">
        <v>22</v>
      </c>
      <c r="I75" s="15" t="b">
        <v>1</v>
      </c>
    </row>
    <row r="76">
      <c r="A76" s="15" t="inlineStr">
        <is>
          <t>B5</t>
        </is>
      </c>
      <c r="B76" s="15" t="inlineStr">
        <is>
          <t>EWSD_score_acoustic_balanced</t>
        </is>
      </c>
      <c r="C76" s="15" t="n">
        <v>0.4186896451411474</v>
      </c>
      <c r="D76" s="15" t="n">
        <v>41.86896451411474</v>
      </c>
      <c r="E76" s="15" t="b">
        <v>1</v>
      </c>
      <c r="F76" s="15" t="n">
        <v>25</v>
      </c>
      <c r="G76" s="15" t="n">
        <v>7</v>
      </c>
      <c r="H76" s="15" t="n">
        <v>22</v>
      </c>
      <c r="I76" s="15" t="b">
        <v>1</v>
      </c>
    </row>
    <row r="77">
      <c r="A77" s="15" t="inlineStr">
        <is>
          <t>C6</t>
        </is>
      </c>
      <c r="B77" s="15" t="inlineStr">
        <is>
          <t>note_density_final</t>
        </is>
      </c>
      <c r="C77" s="15" t="n">
        <v>0.1747604679035343</v>
      </c>
      <c r="D77" s="15" t="n">
        <v>17.47604679035343</v>
      </c>
      <c r="E77" s="15" t="b">
        <v>0</v>
      </c>
      <c r="F77" s="15" t="n">
        <v>25</v>
      </c>
      <c r="G77" s="15" t="n">
        <v>13.9375</v>
      </c>
      <c r="H77" s="15" t="n">
        <v>33</v>
      </c>
      <c r="I77" s="15" t="b">
        <v>0</v>
      </c>
    </row>
    <row r="78">
      <c r="A78" s="15" t="inlineStr">
        <is>
          <t>C6</t>
        </is>
      </c>
      <c r="B78" s="15" t="inlineStr">
        <is>
          <t>note_effective_component_density</t>
        </is>
      </c>
      <c r="C78" s="15" t="n">
        <v>1.316035601713348</v>
      </c>
      <c r="D78" s="15" t="n">
        <v>131.6035601713348</v>
      </c>
      <c r="E78" s="15" t="b">
        <v>1</v>
      </c>
      <c r="F78" s="15" t="n">
        <v>25</v>
      </c>
      <c r="G78" s="15" t="n">
        <v>13.9375</v>
      </c>
      <c r="H78" s="15" t="n">
        <v>33</v>
      </c>
      <c r="I78" s="15" t="b">
        <v>0</v>
      </c>
    </row>
    <row r="79">
      <c r="A79" s="15" t="inlineStr">
        <is>
          <t>C6</t>
        </is>
      </c>
      <c r="B79" s="15" t="inlineStr">
        <is>
          <t>EWSD_score_acoustic_balanced</t>
        </is>
      </c>
      <c r="C79" s="15" t="n">
        <v>0.4318826625470784</v>
      </c>
      <c r="D79" s="15" t="n">
        <v>43.18826625470784</v>
      </c>
      <c r="E79" s="15" t="b">
        <v>1</v>
      </c>
      <c r="F79" s="15" t="n">
        <v>25</v>
      </c>
      <c r="G79" s="15" t="n">
        <v>13.9375</v>
      </c>
      <c r="H79" s="15" t="n">
        <v>33</v>
      </c>
      <c r="I79" s="15" t="b">
        <v>0</v>
      </c>
    </row>
    <row r="80">
      <c r="A80" s="15" t="inlineStr">
        <is>
          <t>C#6</t>
        </is>
      </c>
      <c r="B80" s="15" t="inlineStr">
        <is>
          <t>note_density_final</t>
        </is>
      </c>
      <c r="C80" s="15" t="n">
        <v>0.2305302775257653</v>
      </c>
      <c r="D80" s="15" t="n">
        <v>23.05302775257653</v>
      </c>
      <c r="E80" s="15" t="b">
        <v>0</v>
      </c>
      <c r="F80" s="15" t="n">
        <v>25</v>
      </c>
      <c r="G80" s="15" t="n">
        <v>14.8125</v>
      </c>
      <c r="H80" s="15" t="n">
        <v>24</v>
      </c>
      <c r="I80" s="15" t="b">
        <v>0</v>
      </c>
    </row>
    <row r="81">
      <c r="A81" s="15" t="inlineStr">
        <is>
          <t>C#6</t>
        </is>
      </c>
      <c r="B81" s="15" t="inlineStr">
        <is>
          <t>note_effective_component_density</t>
        </is>
      </c>
      <c r="C81" s="15" t="n">
        <v>1.665739115608173</v>
      </c>
      <c r="D81" s="15" t="n">
        <v>166.5739115608173</v>
      </c>
      <c r="E81" s="15" t="b">
        <v>1</v>
      </c>
      <c r="F81" s="15" t="n">
        <v>25</v>
      </c>
      <c r="G81" s="15" t="n">
        <v>14.8125</v>
      </c>
      <c r="H81" s="15" t="n">
        <v>24</v>
      </c>
      <c r="I81" s="15" t="b">
        <v>0</v>
      </c>
    </row>
    <row r="82">
      <c r="A82" s="15" t="inlineStr">
        <is>
          <t>C#6</t>
        </is>
      </c>
      <c r="B82" s="15" t="inlineStr">
        <is>
          <t>EWSD_score_acoustic_balanced</t>
        </is>
      </c>
      <c r="C82" s="15" t="n">
        <v>0.4460898827193132</v>
      </c>
      <c r="D82" s="15" t="n">
        <v>44.60898827193132</v>
      </c>
      <c r="E82" s="15" t="b">
        <v>1</v>
      </c>
      <c r="F82" s="15" t="n">
        <v>25</v>
      </c>
      <c r="G82" s="15" t="n">
        <v>14.8125</v>
      </c>
      <c r="H82" s="15" t="n">
        <v>24</v>
      </c>
      <c r="I82" s="15" t="b">
        <v>0</v>
      </c>
    </row>
    <row r="83">
      <c r="A83" s="15" t="inlineStr">
        <is>
          <t>D6</t>
        </is>
      </c>
      <c r="B83" s="15" t="inlineStr">
        <is>
          <t>note_density_final</t>
        </is>
      </c>
      <c r="C83" s="15" t="n">
        <v>0.2015956823867756</v>
      </c>
      <c r="D83" s="15" t="n">
        <v>20.15956823867756</v>
      </c>
      <c r="E83" s="15" t="b">
        <v>0</v>
      </c>
      <c r="F83" s="15" t="n">
        <v>25</v>
      </c>
      <c r="G83" s="15" t="n">
        <v>8.3125</v>
      </c>
      <c r="H83" s="15" t="n">
        <v>27</v>
      </c>
      <c r="I83" s="15" t="b">
        <v>1</v>
      </c>
    </row>
    <row r="84">
      <c r="A84" s="15" t="inlineStr">
        <is>
          <t>D6</t>
        </is>
      </c>
      <c r="B84" s="15" t="inlineStr">
        <is>
          <t>note_effective_component_density</t>
        </is>
      </c>
      <c r="C84" s="15" t="n">
        <v>1.878977742107956</v>
      </c>
      <c r="D84" s="15" t="n">
        <v>187.8977742107956</v>
      </c>
      <c r="E84" s="15" t="b">
        <v>1</v>
      </c>
      <c r="F84" s="15" t="n">
        <v>25</v>
      </c>
      <c r="G84" s="15" t="n">
        <v>8.3125</v>
      </c>
      <c r="H84" s="15" t="n">
        <v>27</v>
      </c>
      <c r="I84" s="15" t="b">
        <v>1</v>
      </c>
    </row>
    <row r="85">
      <c r="A85" s="15" t="inlineStr">
        <is>
          <t>D6</t>
        </is>
      </c>
      <c r="B85" s="15" t="inlineStr">
        <is>
          <t>EWSD_score_acoustic_balanced</t>
        </is>
      </c>
      <c r="C85" s="15" t="n">
        <v>0.4706573515424712</v>
      </c>
      <c r="D85" s="15" t="n">
        <v>47.06573515424711</v>
      </c>
      <c r="E85" s="15" t="b">
        <v>1</v>
      </c>
      <c r="F85" s="15" t="n">
        <v>25</v>
      </c>
      <c r="G85" s="15" t="n">
        <v>8.3125</v>
      </c>
      <c r="H85" s="15" t="n">
        <v>27</v>
      </c>
      <c r="I85" s="15" t="b">
        <v>1</v>
      </c>
    </row>
    <row r="86">
      <c r="A86" s="15" t="inlineStr">
        <is>
          <t>D#6</t>
        </is>
      </c>
      <c r="B86" s="15" t="inlineStr">
        <is>
          <t>note_density_final</t>
        </is>
      </c>
      <c r="C86" s="15" t="n">
        <v>0.1619915949324242</v>
      </c>
      <c r="D86" s="15" t="n">
        <v>16.19915949324242</v>
      </c>
      <c r="E86" s="15" t="b">
        <v>0</v>
      </c>
      <c r="F86" s="15" t="n">
        <v>25</v>
      </c>
      <c r="G86" s="15" t="n">
        <v>12.125</v>
      </c>
      <c r="H86" s="15" t="n">
        <v>27</v>
      </c>
      <c r="I86" s="15" t="b">
        <v>0</v>
      </c>
    </row>
    <row r="87">
      <c r="A87" s="15" t="inlineStr">
        <is>
          <t>D#6</t>
        </is>
      </c>
      <c r="B87" s="15" t="inlineStr">
        <is>
          <t>note_effective_component_density</t>
        </is>
      </c>
      <c r="C87" s="15" t="n">
        <v>1.851094748824757</v>
      </c>
      <c r="D87" s="15" t="n">
        <v>185.1094748824757</v>
      </c>
      <c r="E87" s="15" t="b">
        <v>1</v>
      </c>
      <c r="F87" s="15" t="n">
        <v>25</v>
      </c>
      <c r="G87" s="15" t="n">
        <v>12.125</v>
      </c>
      <c r="H87" s="15" t="n">
        <v>27</v>
      </c>
      <c r="I87" s="15" t="b">
        <v>0</v>
      </c>
    </row>
    <row r="88">
      <c r="A88" s="15" t="inlineStr">
        <is>
          <t>D#6</t>
        </is>
      </c>
      <c r="B88" s="15" t="inlineStr">
        <is>
          <t>EWSD_score_acoustic_balanced</t>
        </is>
      </c>
      <c r="C88" s="15" t="n">
        <v>0.2938135226271338</v>
      </c>
      <c r="D88" s="15" t="n">
        <v>29.38135226271338</v>
      </c>
      <c r="E88" s="15" t="b">
        <v>1</v>
      </c>
      <c r="F88" s="15" t="n">
        <v>25</v>
      </c>
      <c r="G88" s="15" t="n">
        <v>12.125</v>
      </c>
      <c r="H88" s="15" t="n">
        <v>27</v>
      </c>
      <c r="I88" s="15" t="b">
        <v>0</v>
      </c>
    </row>
    <row r="89">
      <c r="A89" s="15" t="inlineStr">
        <is>
          <t>E6</t>
        </is>
      </c>
      <c r="B89" s="15" t="inlineStr">
        <is>
          <t>note_density_final</t>
        </is>
      </c>
      <c r="C89" s="15" t="n">
        <v>0.2693981850908266</v>
      </c>
      <c r="D89" s="15" t="n">
        <v>26.93981850908266</v>
      </c>
      <c r="E89" s="15" t="b">
        <v>1</v>
      </c>
      <c r="F89" s="15" t="n">
        <v>25</v>
      </c>
      <c r="G89" s="15" t="n">
        <v>16.25</v>
      </c>
      <c r="H89" s="15" t="n">
        <v>25</v>
      </c>
      <c r="I89" s="15" t="b">
        <v>0</v>
      </c>
    </row>
    <row r="90">
      <c r="A90" s="15" t="inlineStr">
        <is>
          <t>E6</t>
        </is>
      </c>
      <c r="B90" s="15" t="inlineStr">
        <is>
          <t>note_effective_component_density</t>
        </is>
      </c>
      <c r="C90" s="15" t="n">
        <v>2.395068340014863</v>
      </c>
      <c r="D90" s="15" t="n">
        <v>2.395068340014863</v>
      </c>
      <c r="E90" s="15" t="b">
        <v>0</v>
      </c>
      <c r="F90" s="15" t="n">
        <v>25</v>
      </c>
      <c r="G90" s="15" t="n">
        <v>16.25</v>
      </c>
      <c r="H90" s="15" t="n">
        <v>25</v>
      </c>
      <c r="I90" s="15" t="b">
        <v>0</v>
      </c>
    </row>
    <row r="91">
      <c r="A91" s="15" t="inlineStr">
        <is>
          <t>E6</t>
        </is>
      </c>
      <c r="B91" s="15" t="inlineStr">
        <is>
          <t>EWSD_score_acoustic_balanced</t>
        </is>
      </c>
      <c r="C91" s="15" t="n">
        <v>0.463699488951918</v>
      </c>
      <c r="D91" s="15" t="n">
        <v>46.3699488951918</v>
      </c>
      <c r="E91" s="15" t="b">
        <v>1</v>
      </c>
      <c r="F91" s="15" t="n">
        <v>25</v>
      </c>
      <c r="G91" s="15" t="n">
        <v>16.25</v>
      </c>
      <c r="H91" s="15" t="n">
        <v>25</v>
      </c>
      <c r="I91" s="15" t="b">
        <v>0</v>
      </c>
    </row>
    <row r="92">
      <c r="A92" s="15" t="inlineStr">
        <is>
          <t>F6</t>
        </is>
      </c>
      <c r="B92" s="15" t="inlineStr">
        <is>
          <t>note_density_final</t>
        </is>
      </c>
      <c r="C92" s="15" t="n">
        <v>0.2238356151629198</v>
      </c>
      <c r="D92" s="15" t="n">
        <v>22.38356151629198</v>
      </c>
      <c r="E92" s="15" t="b">
        <v>0</v>
      </c>
      <c r="F92" s="15" t="n">
        <v>25</v>
      </c>
      <c r="G92" s="15" t="n">
        <v>29.25</v>
      </c>
      <c r="H92" s="15" t="n">
        <v>22</v>
      </c>
      <c r="I92" s="15" t="b">
        <v>0</v>
      </c>
    </row>
    <row r="93">
      <c r="A93" s="15" t="inlineStr">
        <is>
          <t>F6</t>
        </is>
      </c>
      <c r="B93" s="15" t="inlineStr">
        <is>
          <t>note_effective_component_density</t>
        </is>
      </c>
      <c r="C93" s="15" t="n">
        <v>1.697029085080727</v>
      </c>
      <c r="D93" s="15" t="n">
        <v>169.7029085080727</v>
      </c>
      <c r="E93" s="15" t="b">
        <v>1</v>
      </c>
      <c r="F93" s="15" t="n">
        <v>25</v>
      </c>
      <c r="G93" s="15" t="n">
        <v>29.25</v>
      </c>
      <c r="H93" s="15" t="n">
        <v>22</v>
      </c>
      <c r="I93" s="15" t="b">
        <v>0</v>
      </c>
    </row>
    <row r="94">
      <c r="A94" s="15" t="inlineStr">
        <is>
          <t>F6</t>
        </is>
      </c>
      <c r="B94" s="15" t="inlineStr">
        <is>
          <t>EWSD_score_acoustic_balanced</t>
        </is>
      </c>
      <c r="C94" s="15" t="n">
        <v>0.5053527874789526</v>
      </c>
      <c r="D94" s="15" t="n">
        <v>50.53527874789526</v>
      </c>
      <c r="E94" s="15" t="b">
        <v>1</v>
      </c>
      <c r="F94" s="15" t="n">
        <v>25</v>
      </c>
      <c r="G94" s="15" t="n">
        <v>29.25</v>
      </c>
      <c r="H94" s="15" t="n">
        <v>22</v>
      </c>
      <c r="I94" s="15" t="b">
        <v>0</v>
      </c>
    </row>
    <row r="95">
      <c r="A95" s="15" t="inlineStr">
        <is>
          <t>F#6</t>
        </is>
      </c>
      <c r="B95" s="15" t="inlineStr">
        <is>
          <t>note_density_final</t>
        </is>
      </c>
      <c r="C95" s="15" t="n">
        <v>0.2264952883494607</v>
      </c>
      <c r="D95" s="15" t="n">
        <v>22.64952883494607</v>
      </c>
      <c r="E95" s="15" t="b">
        <v>0</v>
      </c>
      <c r="F95" s="15" t="n">
        <v>25</v>
      </c>
      <c r="G95" s="15" t="n">
        <v>6.0625</v>
      </c>
      <c r="H95" s="15" t="n">
        <v>18</v>
      </c>
      <c r="I95" s="15" t="b">
        <v>1</v>
      </c>
    </row>
    <row r="96">
      <c r="A96" s="15" t="inlineStr">
        <is>
          <t>F#6</t>
        </is>
      </c>
      <c r="B96" s="15" t="inlineStr">
        <is>
          <t>note_effective_component_density</t>
        </is>
      </c>
      <c r="C96" s="15" t="n">
        <v>2.191269519304972</v>
      </c>
      <c r="D96" s="15" t="n">
        <v>2.191269519304972</v>
      </c>
      <c r="E96" s="15" t="b">
        <v>0</v>
      </c>
      <c r="F96" s="15" t="n">
        <v>25</v>
      </c>
      <c r="G96" s="15" t="n">
        <v>6.0625</v>
      </c>
      <c r="H96" s="15" t="n">
        <v>18</v>
      </c>
      <c r="I96" s="15" t="b">
        <v>1</v>
      </c>
    </row>
    <row r="97">
      <c r="A97" s="15" t="inlineStr">
        <is>
          <t>F#6</t>
        </is>
      </c>
      <c r="B97" s="15" t="inlineStr">
        <is>
          <t>EWSD_score_acoustic_balanced</t>
        </is>
      </c>
      <c r="C97" s="15" t="n">
        <v>0.3928408068609954</v>
      </c>
      <c r="D97" s="15" t="n">
        <v>39.28408068609954</v>
      </c>
      <c r="E97" s="15" t="b">
        <v>1</v>
      </c>
      <c r="F97" s="15" t="n">
        <v>25</v>
      </c>
      <c r="G97" s="15" t="n">
        <v>6.0625</v>
      </c>
      <c r="H97" s="15" t="n">
        <v>18</v>
      </c>
      <c r="I97" s="15" t="b">
        <v>1</v>
      </c>
    </row>
    <row r="98">
      <c r="A98" s="15" t="inlineStr">
        <is>
          <t>G6</t>
        </is>
      </c>
      <c r="B98" s="15" t="inlineStr">
        <is>
          <t>note_density_final</t>
        </is>
      </c>
      <c r="C98" s="15" t="n">
        <v>0.2773398180209594</v>
      </c>
      <c r="D98" s="15" t="n">
        <v>27.73398180209594</v>
      </c>
      <c r="E98" s="15" t="b">
        <v>1</v>
      </c>
      <c r="F98" s="15" t="n">
        <v>25</v>
      </c>
      <c r="G98" s="15" t="n">
        <v>14.875</v>
      </c>
      <c r="H98" s="15" t="n">
        <v>22</v>
      </c>
      <c r="I98" s="15" t="b">
        <v>0</v>
      </c>
    </row>
    <row r="99">
      <c r="A99" s="15" t="inlineStr">
        <is>
          <t>G6</t>
        </is>
      </c>
      <c r="B99" s="15" t="inlineStr">
        <is>
          <t>note_effective_component_density</t>
        </is>
      </c>
      <c r="C99" s="15" t="n">
        <v>2.141809394476787</v>
      </c>
      <c r="D99" s="15" t="n">
        <v>2.141809394476787</v>
      </c>
      <c r="E99" s="15" t="b">
        <v>0</v>
      </c>
      <c r="F99" s="15" t="n">
        <v>25</v>
      </c>
      <c r="G99" s="15" t="n">
        <v>14.875</v>
      </c>
      <c r="H99" s="15" t="n">
        <v>22</v>
      </c>
      <c r="I99" s="15" t="b">
        <v>0</v>
      </c>
    </row>
    <row r="100">
      <c r="A100" s="15" t="inlineStr">
        <is>
          <t>G6</t>
        </is>
      </c>
      <c r="B100" s="15" t="inlineStr">
        <is>
          <t>EWSD_score_acoustic_balanced</t>
        </is>
      </c>
      <c r="C100" s="15" t="n">
        <v>0.6090703568271219</v>
      </c>
      <c r="D100" s="15" t="n">
        <v>60.90703568271218</v>
      </c>
      <c r="E100" s="15" t="b">
        <v>1</v>
      </c>
      <c r="F100" s="15" t="n">
        <v>25</v>
      </c>
      <c r="G100" s="15" t="n">
        <v>14.875</v>
      </c>
      <c r="H100" s="15" t="n">
        <v>22</v>
      </c>
      <c r="I100" s="15" t="b">
        <v>0</v>
      </c>
    </row>
    <row r="101">
      <c r="A101" s="15" t="inlineStr">
        <is>
          <t>G#6</t>
        </is>
      </c>
      <c r="B101" s="15" t="inlineStr">
        <is>
          <t>note_density_final</t>
        </is>
      </c>
      <c r="C101" s="15" t="n">
        <v>0.2195764769816682</v>
      </c>
      <c r="D101" s="15" t="n">
        <v>21.95764769816682</v>
      </c>
      <c r="E101" s="15" t="b">
        <v>0</v>
      </c>
      <c r="F101" s="15" t="n">
        <v>25</v>
      </c>
      <c r="G101" s="15" t="n">
        <v>16.6875</v>
      </c>
      <c r="H101" s="15" t="n">
        <v>24</v>
      </c>
      <c r="I101" s="15" t="b">
        <v>0</v>
      </c>
    </row>
    <row r="102">
      <c r="A102" s="15" t="inlineStr">
        <is>
          <t>G#6</t>
        </is>
      </c>
      <c r="B102" s="15" t="inlineStr">
        <is>
          <t>note_effective_component_density</t>
        </is>
      </c>
      <c r="C102" s="15" t="n">
        <v>1.788716561892015</v>
      </c>
      <c r="D102" s="15" t="n">
        <v>178.8716561892015</v>
      </c>
      <c r="E102" s="15" t="b">
        <v>1</v>
      </c>
      <c r="F102" s="15" t="n">
        <v>25</v>
      </c>
      <c r="G102" s="15" t="n">
        <v>16.6875</v>
      </c>
      <c r="H102" s="15" t="n">
        <v>24</v>
      </c>
      <c r="I102" s="15" t="b">
        <v>0</v>
      </c>
    </row>
    <row r="103">
      <c r="A103" s="15" t="inlineStr">
        <is>
          <t>G#6</t>
        </is>
      </c>
      <c r="B103" s="15" t="inlineStr">
        <is>
          <t>EWSD_score_acoustic_balanced</t>
        </is>
      </c>
      <c r="C103" s="15" t="n">
        <v>0.4292112975234521</v>
      </c>
      <c r="D103" s="15" t="n">
        <v>42.92112975234521</v>
      </c>
      <c r="E103" s="15" t="b">
        <v>1</v>
      </c>
      <c r="F103" s="15" t="n">
        <v>25</v>
      </c>
      <c r="G103" s="15" t="n">
        <v>16.6875</v>
      </c>
      <c r="H103" s="15" t="n">
        <v>24</v>
      </c>
      <c r="I103" s="15" t="b">
        <v>0</v>
      </c>
    </row>
    <row r="104">
      <c r="A104" s="15" t="inlineStr">
        <is>
          <t>A6</t>
        </is>
      </c>
      <c r="B104" s="15" t="inlineStr">
        <is>
          <t>note_density_final</t>
        </is>
      </c>
      <c r="C104" s="15" t="n">
        <v>0.2320303131040405</v>
      </c>
      <c r="D104" s="15" t="n">
        <v>23.20303131040405</v>
      </c>
      <c r="E104" s="15" t="b">
        <v>0</v>
      </c>
      <c r="F104" s="15" t="n">
        <v>25</v>
      </c>
      <c r="G104" s="15" t="n">
        <v>9.25</v>
      </c>
      <c r="H104" s="15" t="n">
        <v>21</v>
      </c>
      <c r="I104" s="15" t="b">
        <v>1</v>
      </c>
    </row>
    <row r="105">
      <c r="A105" s="15" t="inlineStr">
        <is>
          <t>A6</t>
        </is>
      </c>
      <c r="B105" s="15" t="inlineStr">
        <is>
          <t>note_effective_component_density</t>
        </is>
      </c>
      <c r="C105" s="15" t="n">
        <v>1.594489318262965</v>
      </c>
      <c r="D105" s="15" t="n">
        <v>159.4489318262965</v>
      </c>
      <c r="E105" s="15" t="b">
        <v>1</v>
      </c>
      <c r="F105" s="15" t="n">
        <v>25</v>
      </c>
      <c r="G105" s="15" t="n">
        <v>9.25</v>
      </c>
      <c r="H105" s="15" t="n">
        <v>21</v>
      </c>
      <c r="I105" s="15" t="b">
        <v>1</v>
      </c>
    </row>
    <row r="106">
      <c r="A106" s="15" t="inlineStr">
        <is>
          <t>A6</t>
        </is>
      </c>
      <c r="B106" s="15" t="inlineStr">
        <is>
          <t>EWSD_score_acoustic_balanced</t>
        </is>
      </c>
      <c r="C106" s="15" t="n">
        <v>0.5329349293106429</v>
      </c>
      <c r="D106" s="15" t="n">
        <v>53.29349293106429</v>
      </c>
      <c r="E106" s="15" t="b">
        <v>1</v>
      </c>
      <c r="F106" s="15" t="n">
        <v>25</v>
      </c>
      <c r="G106" s="15" t="n">
        <v>9.25</v>
      </c>
      <c r="H106" s="15" t="n">
        <v>21</v>
      </c>
      <c r="I106" s="15" t="b">
        <v>1</v>
      </c>
    </row>
    <row r="107">
      <c r="A107" s="15" t="inlineStr">
        <is>
          <t>A#6</t>
        </is>
      </c>
      <c r="B107" s="15" t="inlineStr">
        <is>
          <t>note_density_final</t>
        </is>
      </c>
      <c r="C107" s="15" t="n">
        <v>0.2235593104122074</v>
      </c>
      <c r="D107" s="15" t="n">
        <v>22.35593104122074</v>
      </c>
      <c r="E107" s="15" t="b">
        <v>0</v>
      </c>
      <c r="F107" s="15" t="n">
        <v>25</v>
      </c>
      <c r="G107" s="15" t="n">
        <v>9</v>
      </c>
      <c r="H107" s="15" t="n">
        <v>22</v>
      </c>
      <c r="I107" s="15" t="b">
        <v>1</v>
      </c>
    </row>
    <row r="108">
      <c r="A108" s="15" t="inlineStr">
        <is>
          <t>A#6</t>
        </is>
      </c>
      <c r="B108" s="15" t="inlineStr">
        <is>
          <t>note_effective_component_density</t>
        </is>
      </c>
      <c r="C108" s="15" t="n">
        <v>1.557952679963973</v>
      </c>
      <c r="D108" s="15" t="n">
        <v>155.7952679963973</v>
      </c>
      <c r="E108" s="15" t="b">
        <v>1</v>
      </c>
      <c r="F108" s="15" t="n">
        <v>25</v>
      </c>
      <c r="G108" s="15" t="n">
        <v>9</v>
      </c>
      <c r="H108" s="15" t="n">
        <v>22</v>
      </c>
      <c r="I108" s="15" t="b">
        <v>1</v>
      </c>
    </row>
    <row r="109">
      <c r="A109" s="15" t="inlineStr">
        <is>
          <t>A#6</t>
        </is>
      </c>
      <c r="B109" s="15" t="inlineStr">
        <is>
          <t>EWSD_score_acoustic_balanced</t>
        </is>
      </c>
      <c r="C109" s="15" t="n">
        <v>0.4795364066554684</v>
      </c>
      <c r="D109" s="15" t="n">
        <v>47.95364066554684</v>
      </c>
      <c r="E109" s="15" t="b">
        <v>1</v>
      </c>
      <c r="F109" s="15" t="n">
        <v>25</v>
      </c>
      <c r="G109" s="15" t="n">
        <v>9</v>
      </c>
      <c r="H109" s="15" t="n">
        <v>22</v>
      </c>
      <c r="I109" s="15" t="b">
        <v>1</v>
      </c>
    </row>
    <row r="110">
      <c r="A110" s="15" t="inlineStr">
        <is>
          <t>B6</t>
        </is>
      </c>
      <c r="B110" s="15" t="inlineStr">
        <is>
          <t>note_density_final</t>
        </is>
      </c>
      <c r="C110" s="15" t="n">
        <v>0.2254014237367616</v>
      </c>
      <c r="D110" s="15" t="n">
        <v>22.54014237367616</v>
      </c>
      <c r="E110" s="15" t="b">
        <v>0</v>
      </c>
      <c r="F110" s="15" t="n">
        <v>25</v>
      </c>
      <c r="G110" s="15" t="n">
        <v>18.875</v>
      </c>
      <c r="H110" s="15" t="n">
        <v>20</v>
      </c>
      <c r="I110" s="15" t="b">
        <v>0</v>
      </c>
    </row>
    <row r="111">
      <c r="A111" s="15" t="inlineStr">
        <is>
          <t>B6</t>
        </is>
      </c>
      <c r="B111" s="15" t="inlineStr">
        <is>
          <t>note_effective_component_density</t>
        </is>
      </c>
      <c r="C111" s="15" t="n">
        <v>2.21085100537178</v>
      </c>
      <c r="D111" s="15" t="n">
        <v>2.21085100537178</v>
      </c>
      <c r="E111" s="15" t="b">
        <v>0</v>
      </c>
      <c r="F111" s="15" t="n">
        <v>25</v>
      </c>
      <c r="G111" s="15" t="n">
        <v>18.875</v>
      </c>
      <c r="H111" s="15" t="n">
        <v>20</v>
      </c>
      <c r="I111" s="15" t="b">
        <v>0</v>
      </c>
    </row>
    <row r="112">
      <c r="A112" s="15" t="inlineStr">
        <is>
          <t>B6</t>
        </is>
      </c>
      <c r="B112" s="15" t="inlineStr">
        <is>
          <t>EWSD_score_acoustic_balanced</t>
        </is>
      </c>
      <c r="C112" s="15" t="n">
        <v>0.3907038901673425</v>
      </c>
      <c r="D112" s="15" t="n">
        <v>39.07038901673425</v>
      </c>
      <c r="E112" s="15" t="b">
        <v>1</v>
      </c>
      <c r="F112" s="15" t="n">
        <v>25</v>
      </c>
      <c r="G112" s="15" t="n">
        <v>18.875</v>
      </c>
      <c r="H112" s="15" t="n">
        <v>20</v>
      </c>
      <c r="I112" s="15" t="b">
        <v>0</v>
      </c>
    </row>
    <row r="113">
      <c r="A113" s="15" t="inlineStr">
        <is>
          <t>C7</t>
        </is>
      </c>
      <c r="B113" s="15" t="inlineStr">
        <is>
          <t>note_density_final</t>
        </is>
      </c>
      <c r="C113" s="15" t="n">
        <v>0.1886229171722953</v>
      </c>
      <c r="D113" s="15" t="n">
        <v>18.86229171722953</v>
      </c>
      <c r="E113" s="15" t="b">
        <v>0</v>
      </c>
      <c r="F113" s="15" t="n">
        <v>25</v>
      </c>
      <c r="G113" s="15" t="n">
        <v>29.8125</v>
      </c>
      <c r="H113" s="15" t="n">
        <v>16</v>
      </c>
      <c r="I113" s="15" t="b">
        <v>0</v>
      </c>
    </row>
    <row r="114">
      <c r="A114" s="15" t="inlineStr">
        <is>
          <t>C7</t>
        </is>
      </c>
      <c r="B114" s="15" t="inlineStr">
        <is>
          <t>note_effective_component_density</t>
        </is>
      </c>
      <c r="C114" s="15" t="n">
        <v>1.272375751606876</v>
      </c>
      <c r="D114" s="15" t="n">
        <v>127.2375751606876</v>
      </c>
      <c r="E114" s="15" t="b">
        <v>1</v>
      </c>
      <c r="F114" s="15" t="n">
        <v>25</v>
      </c>
      <c r="G114" s="15" t="n">
        <v>29.8125</v>
      </c>
      <c r="H114" s="15" t="n">
        <v>16</v>
      </c>
      <c r="I114" s="15" t="b">
        <v>0</v>
      </c>
    </row>
    <row r="115">
      <c r="A115" s="15" t="inlineStr">
        <is>
          <t>C7</t>
        </is>
      </c>
      <c r="B115" s="15" t="inlineStr">
        <is>
          <t>EWSD_score_acoustic_balanced</t>
        </is>
      </c>
      <c r="C115" s="15" t="n">
        <v>0.410238061775924</v>
      </c>
      <c r="D115" s="15" t="n">
        <v>41.0238061775924</v>
      </c>
      <c r="E115" s="15" t="b">
        <v>1</v>
      </c>
      <c r="F115" s="15" t="n">
        <v>25</v>
      </c>
      <c r="G115" s="15" t="n">
        <v>29.8125</v>
      </c>
      <c r="H115" s="15" t="n">
        <v>16</v>
      </c>
      <c r="I115" s="15" t="b">
        <v>0</v>
      </c>
    </row>
    <row r="116">
      <c r="A116" s="15" t="inlineStr">
        <is>
          <t>C#7</t>
        </is>
      </c>
      <c r="B116" s="15" t="inlineStr">
        <is>
          <t>note_density_final</t>
        </is>
      </c>
      <c r="C116" s="15" t="n">
        <v>0.2002486973110996</v>
      </c>
      <c r="D116" s="15" t="n">
        <v>20.02486973110996</v>
      </c>
      <c r="E116" s="15" t="b">
        <v>0</v>
      </c>
      <c r="F116" s="15" t="n">
        <v>25</v>
      </c>
      <c r="G116" s="15" t="n">
        <v>25.8125</v>
      </c>
      <c r="H116" s="15" t="n">
        <v>12</v>
      </c>
      <c r="I116" s="15" t="b">
        <v>0</v>
      </c>
    </row>
    <row r="117">
      <c r="A117" s="15" t="inlineStr">
        <is>
          <t>C#7</t>
        </is>
      </c>
      <c r="B117" s="15" t="inlineStr">
        <is>
          <t>note_effective_component_density</t>
        </is>
      </c>
      <c r="C117" s="15" t="n">
        <v>1.11052095230138</v>
      </c>
      <c r="D117" s="15" t="n">
        <v>111.052095230138</v>
      </c>
      <c r="E117" s="15" t="b">
        <v>1</v>
      </c>
      <c r="F117" s="15" t="n">
        <v>25</v>
      </c>
      <c r="G117" s="15" t="n">
        <v>25.8125</v>
      </c>
      <c r="H117" s="15" t="n">
        <v>12</v>
      </c>
      <c r="I117" s="15" t="b">
        <v>0</v>
      </c>
    </row>
    <row r="118">
      <c r="A118" s="15" t="inlineStr">
        <is>
          <t>C#7</t>
        </is>
      </c>
      <c r="B118" s="15" t="inlineStr">
        <is>
          <t>EWSD_score_acoustic_balanced</t>
        </is>
      </c>
      <c r="C118" s="15" t="n">
        <v>0.4221132489348099</v>
      </c>
      <c r="D118" s="15" t="n">
        <v>42.21132489348099</v>
      </c>
      <c r="E118" s="15" t="b">
        <v>1</v>
      </c>
      <c r="F118" s="15" t="n">
        <v>25</v>
      </c>
      <c r="G118" s="15" t="n">
        <v>25.8125</v>
      </c>
      <c r="H118" s="15" t="n">
        <v>12</v>
      </c>
      <c r="I118" s="15" t="b">
        <v>0</v>
      </c>
    </row>
  </sheetData>
  <autoFilter ref="A1:I1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1" t="inlineStr">
        <is>
          <t>primary_statistics_status</t>
        </is>
      </c>
    </row>
    <row r="2">
      <c r="A2" s="15" t="inlineStr">
        <is>
          <t>no rows passed valid_for_primary_statistics + is_primary_comparable_profile filters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22" customWidth="1" min="5" max="5"/>
    <col width="24" customWidth="1" min="6" max="6"/>
    <col width="21" customWidth="1" min="7" max="7"/>
    <col width="19" customWidth="1" min="8" max="8"/>
    <col width="33" customWidth="1" min="9" max="9"/>
    <col width="35" customWidth="1" min="10" max="10"/>
    <col width="32" customWidth="1" min="11" max="11"/>
    <col width="28" customWidth="1" min="12" max="12"/>
    <col width="28" customWidth="1" min="13" max="13"/>
    <col width="27" customWidth="1" min="14" max="14"/>
    <col width="40" customWidth="1" min="15" max="15"/>
    <col width="42" customWidth="1" min="16" max="16"/>
    <col width="39" customWidth="1" min="17" max="17"/>
    <col width="20" customWidth="1" min="18" max="18"/>
    <col width="24" customWidth="1" min="19" max="19"/>
    <col width="26" customWidth="1" min="20" max="20"/>
    <col width="23" customWidth="1" min="21" max="21"/>
    <col width="22" customWidth="1" min="22" max="22"/>
    <col width="22" customWidth="1" min="23" max="23"/>
    <col width="48" customWidth="1" min="24" max="24"/>
    <col width="48" customWidth="1" min="25" max="25"/>
    <col width="28" customWidth="1" min="26" max="26"/>
    <col width="23" customWidth="1" min="27" max="27"/>
    <col width="31" customWidth="1" min="28" max="28"/>
    <col width="31" customWidth="1" min="29" max="29"/>
    <col width="22" customWidth="1" min="30" max="30"/>
    <col width="24" customWidth="1" min="31" max="31"/>
    <col width="26" customWidth="1" min="32" max="32"/>
  </cols>
  <sheetData>
    <row r="1">
      <c r="A1" s="11" t="inlineStr">
        <is>
          <t>Note</t>
        </is>
      </c>
      <c r="B1" s="11" t="inlineStr">
        <is>
          <t>MIDI</t>
        </is>
      </c>
      <c r="C1" s="11" t="inlineStr">
        <is>
          <t>Register</t>
        </is>
      </c>
      <c r="D1" s="11" t="inlineStr">
        <is>
          <t>Dynamic</t>
        </is>
      </c>
      <c r="E1" s="11" t="inlineStr">
        <is>
          <t>harmonic_density_sum</t>
        </is>
      </c>
      <c r="F1" s="11" t="inlineStr">
        <is>
          <t>inharmonic_density_sum</t>
        </is>
      </c>
      <c r="G1" s="11" t="inlineStr">
        <is>
          <t>subbass_density_sum</t>
        </is>
      </c>
      <c r="H1" s="11" t="inlineStr">
        <is>
          <t>Total sum</t>
        </is>
      </c>
      <c r="I1" s="11" t="inlineStr">
        <is>
          <t>component_harmonic_energy_ratio</t>
        </is>
      </c>
      <c r="J1" s="11" t="inlineStr">
        <is>
          <t>component_inharmonic_energy_ratio</t>
        </is>
      </c>
      <c r="K1" s="11" t="inlineStr">
        <is>
          <t>component_subbass_energy_ratio</t>
        </is>
      </c>
      <c r="L1" s="11" t="inlineStr">
        <is>
          <t>core_harmonic_energy_ratio</t>
        </is>
      </c>
      <c r="M1" s="11" t="inlineStr">
        <is>
          <t>core_residual_energy_ratio</t>
        </is>
      </c>
      <c r="N1" s="11" t="inlineStr">
        <is>
          <t>core_subbass_energy_ratio</t>
        </is>
      </c>
      <c r="O1" s="11" t="inlineStr">
        <is>
          <t>weighted_harmonic_density_contribution</t>
        </is>
      </c>
      <c r="P1" s="11" t="inlineStr">
        <is>
          <t>weighted_inharmonic_density_contribution</t>
        </is>
      </c>
      <c r="Q1" s="11" t="inlineStr">
        <is>
          <t>weighted_subbass_density_contribution</t>
        </is>
      </c>
      <c r="R1" s="11" t="inlineStr">
        <is>
          <t>density_metric_raw</t>
        </is>
      </c>
      <c r="S1" s="11" t="inlineStr">
        <is>
          <t>harmonic_amplitude_sum</t>
        </is>
      </c>
      <c r="T1" s="11" t="inlineStr">
        <is>
          <t>inharmonic_amplitude_sum</t>
        </is>
      </c>
      <c r="U1" s="11" t="inlineStr">
        <is>
          <t>subbass_amplitude_sum</t>
        </is>
      </c>
      <c r="V1" s="11" t="inlineStr">
        <is>
          <t>density_weighted_sum</t>
        </is>
      </c>
      <c r="W1" s="11" t="inlineStr">
        <is>
          <t>density_log_weighted</t>
        </is>
      </c>
      <c r="X1" s="11" t="inlineStr">
        <is>
          <t>amplitude_mass_chart_file</t>
        </is>
      </c>
      <c r="Y1" s="11" t="inlineStr">
        <is>
          <t>energy_ratio_chart_file</t>
        </is>
      </c>
      <c r="Z1" s="11" t="inlineStr">
        <is>
          <t>component_energy_ratio_sum</t>
        </is>
      </c>
      <c r="AA1" s="11" t="inlineStr">
        <is>
          <t>core_energy_ratio_sum</t>
        </is>
      </c>
      <c r="AB1" s="11" t="inlineStr">
        <is>
          <t>density_metric_raw_recomputed</t>
        </is>
      </c>
      <c r="AC1" s="11" t="inlineStr">
        <is>
          <t>density_metric_raw_difference</t>
        </is>
      </c>
      <c r="AD1" s="11" t="inlineStr">
        <is>
          <t>total_sum_recomputed</t>
        </is>
      </c>
      <c r="AE1" s="11" t="inlineStr">
        <is>
          <t>total_sum_difference</t>
        </is>
      </c>
      <c r="AF1" s="11" t="inlineStr">
        <is>
          <t>component_balance_status</t>
        </is>
      </c>
    </row>
    <row r="2">
      <c r="A2" t="inlineStr">
        <is>
          <t>B3</t>
        </is>
      </c>
      <c r="B2" t="n">
        <v>59</v>
      </c>
      <c r="C2" t="inlineStr">
        <is>
          <t>Middle</t>
        </is>
      </c>
      <c r="D2" t="inlineStr">
        <is>
          <t>ff</t>
        </is>
      </c>
      <c r="E2" s="15" t="n">
        <v>2.658568931092335</v>
      </c>
      <c r="F2" s="15" t="n">
        <v>1.774292860095749</v>
      </c>
      <c r="G2" s="15" t="n">
        <v>1.520435206921716</v>
      </c>
      <c r="H2" s="15" t="n">
        <v>5.953296998109801</v>
      </c>
      <c r="I2" s="19" t="n">
        <v>1</v>
      </c>
      <c r="J2" s="19" t="n">
        <v>0</v>
      </c>
      <c r="K2" s="19" t="n">
        <v>0</v>
      </c>
      <c r="L2" s="19" t="n">
        <v>0.7949571145698945</v>
      </c>
      <c r="M2" s="19" t="n">
        <v>0.2050428854301057</v>
      </c>
      <c r="N2" s="19" t="n">
        <v>0</v>
      </c>
      <c r="O2" s="15" t="n">
        <v>2.010500893200044</v>
      </c>
      <c r="P2" s="15" t="n">
        <v>0.3407701903953635</v>
      </c>
      <c r="Q2" s="15" t="n">
        <v>0.07861566141500267</v>
      </c>
      <c r="R2" s="15" t="n">
        <v>2.42988674501041</v>
      </c>
      <c r="S2" s="15" t="n">
        <v>227.2922453318862</v>
      </c>
      <c r="T2" s="15" t="n">
        <v>29.23465229711105</v>
      </c>
      <c r="U2" s="15" t="n">
        <v>16.07315573091341</v>
      </c>
      <c r="V2" s="15" t="n">
        <v>417.7905106024004</v>
      </c>
      <c r="W2" s="15" t="n">
        <v>0.5633112419882489</v>
      </c>
      <c r="X2" t="inlineStr">
        <is>
          <t>IOWA_flt_ff.B3_SustainStable/B3/component_amplitude_mass_pie.png</t>
        </is>
      </c>
      <c r="Y2" t="inlineStr">
        <is>
          <t>IOWA_flt_ff.B3_SustainStable/B3/component_energy_ratio_pie.png</t>
        </is>
      </c>
      <c r="Z2" s="19" t="n">
        <v>1</v>
      </c>
      <c r="AA2" s="19" t="n">
        <v>1</v>
      </c>
      <c r="AB2" s="15" t="n">
        <v>2.42988674501041</v>
      </c>
      <c r="AC2" s="15" t="n">
        <v>-4.440892098500626e-16</v>
      </c>
      <c r="AD2" s="15" t="n">
        <v>5.9532969981098</v>
      </c>
      <c r="AE2" s="15" t="n">
        <v>8.881784197001252e-16</v>
      </c>
      <c r="AF2" t="inlineStr">
        <is>
          <t>passed</t>
        </is>
      </c>
    </row>
    <row r="3">
      <c r="A3" t="inlineStr">
        <is>
          <t>C4</t>
        </is>
      </c>
      <c r="B3" t="n">
        <v>60</v>
      </c>
      <c r="C3" t="inlineStr">
        <is>
          <t>High</t>
        </is>
      </c>
      <c r="D3" t="inlineStr">
        <is>
          <t>ff</t>
        </is>
      </c>
      <c r="E3" s="15" t="n">
        <v>2.738612894675979</v>
      </c>
      <c r="F3" s="15" t="n">
        <v>1.90808513530688</v>
      </c>
      <c r="G3" s="15" t="n">
        <v>1.422183117313924</v>
      </c>
      <c r="H3" s="15" t="n">
        <v>6.068881147296784</v>
      </c>
      <c r="I3" s="19" t="n">
        <v>1</v>
      </c>
      <c r="J3" s="19" t="n">
        <v>0</v>
      </c>
      <c r="K3" s="19" t="n">
        <v>0</v>
      </c>
      <c r="L3" s="19" t="n">
        <v>0.8316245911723987</v>
      </c>
      <c r="M3" s="19" t="n">
        <v>0.1683754088276012</v>
      </c>
      <c r="N3" s="19" t="n">
        <v>0</v>
      </c>
      <c r="O3" s="15" t="n">
        <v>2.071032880314655</v>
      </c>
      <c r="P3" s="15" t="n">
        <v>0.3664662973473271</v>
      </c>
      <c r="Q3" s="15" t="n">
        <v>0.07353543637498859</v>
      </c>
      <c r="R3" s="15" t="n">
        <v>2.511034614036971</v>
      </c>
      <c r="S3" s="15" t="n">
        <v>273.3942399252722</v>
      </c>
      <c r="T3" s="15" t="n">
        <v>39.96272614185588</v>
      </c>
      <c r="U3" s="15" t="n">
        <v>12.7176157295983</v>
      </c>
      <c r="V3" s="15" t="n">
        <v>509.5565345090764</v>
      </c>
      <c r="W3" s="15" t="n">
        <v>0.5727104995459016</v>
      </c>
      <c r="X3" t="inlineStr">
        <is>
          <t>IOWA_flt_ff.C4_SustainStable/C4/component_amplitude_mass_pie.png</t>
        </is>
      </c>
      <c r="Y3" t="inlineStr">
        <is>
          <t>IOWA_flt_ff.C4_SustainStable/C4/component_energy_ratio_pie.png</t>
        </is>
      </c>
      <c r="Z3" s="19" t="n">
        <v>1</v>
      </c>
      <c r="AA3" s="19" t="n">
        <v>1</v>
      </c>
      <c r="AB3" s="15" t="n">
        <v>2.511034614036971</v>
      </c>
      <c r="AC3" s="15" t="n">
        <v>0</v>
      </c>
      <c r="AD3" s="15" t="n">
        <v>6.068881147296783</v>
      </c>
      <c r="AE3" s="15" t="n">
        <v>8.881784197001252e-16</v>
      </c>
      <c r="AF3" t="inlineStr">
        <is>
          <t>passed</t>
        </is>
      </c>
    </row>
    <row r="4">
      <c r="A4" t="inlineStr">
        <is>
          <t>C#4</t>
        </is>
      </c>
      <c r="B4" t="n">
        <v>61</v>
      </c>
      <c r="C4" t="inlineStr">
        <is>
          <t>High</t>
        </is>
      </c>
      <c r="D4" t="inlineStr">
        <is>
          <t>ff</t>
        </is>
      </c>
      <c r="E4" s="15" t="n">
        <v>2.723480131739759</v>
      </c>
      <c r="F4" s="15" t="n">
        <v>1.831782513118727</v>
      </c>
      <c r="G4" s="15" t="n">
        <v>1.330254669749042</v>
      </c>
      <c r="H4" s="15" t="n">
        <v>5.885517314607528</v>
      </c>
      <c r="I4" s="19" t="n">
        <v>1</v>
      </c>
      <c r="J4" s="19" t="n">
        <v>0</v>
      </c>
      <c r="K4" s="19" t="n">
        <v>0</v>
      </c>
      <c r="L4" s="19" t="n">
        <v>0.8462381175795185</v>
      </c>
      <c r="M4" s="19" t="n">
        <v>0.1537618824204815</v>
      </c>
      <c r="N4" s="19" t="n">
        <v>0</v>
      </c>
      <c r="O4" s="15" t="n">
        <v>2.059588966619569</v>
      </c>
      <c r="P4" s="15" t="n">
        <v>0.3518116370736454</v>
      </c>
      <c r="Q4" s="15" t="n">
        <v>0.06878218173101107</v>
      </c>
      <c r="R4" s="15" t="n">
        <v>2.480182785424226</v>
      </c>
      <c r="S4" s="15" t="n">
        <v>264.0148972052791</v>
      </c>
      <c r="T4" s="15" t="n">
        <v>33.44317923906024</v>
      </c>
      <c r="U4" s="15" t="n">
        <v>10.19608077746259</v>
      </c>
      <c r="V4" s="15" t="n">
        <v>664.4164061283924</v>
      </c>
      <c r="W4" s="15" t="n">
        <v>0.5709490408170117</v>
      </c>
      <c r="X4" t="inlineStr">
        <is>
          <t>IOWA_flt_ff.C#4_SustainStable/C#4/component_amplitude_mass_pie.png</t>
        </is>
      </c>
      <c r="Y4" t="inlineStr">
        <is>
          <t>IOWA_flt_ff.C#4_SustainStable/C#4/component_energy_ratio_pie.png</t>
        </is>
      </c>
      <c r="Z4" s="19" t="n">
        <v>1</v>
      </c>
      <c r="AA4" s="19" t="n">
        <v>1</v>
      </c>
      <c r="AB4" s="15" t="n">
        <v>2.480182785424226</v>
      </c>
      <c r="AC4" s="15" t="n">
        <v>4.440892098500626e-16</v>
      </c>
      <c r="AD4" s="15" t="n">
        <v>5.885517314607528</v>
      </c>
      <c r="AE4" s="15" t="n">
        <v>0</v>
      </c>
      <c r="AF4" t="inlineStr">
        <is>
          <t>passed</t>
        </is>
      </c>
    </row>
    <row r="5">
      <c r="A5" t="inlineStr">
        <is>
          <t>D4</t>
        </is>
      </c>
      <c r="B5" t="n">
        <v>62</v>
      </c>
      <c r="C5" t="inlineStr">
        <is>
          <t>High</t>
        </is>
      </c>
      <c r="D5" t="inlineStr">
        <is>
          <t>ff</t>
        </is>
      </c>
      <c r="E5" s="15" t="n">
        <v>2.702564491595578</v>
      </c>
      <c r="F5" s="15" t="n">
        <v>1.796547520620051</v>
      </c>
      <c r="G5" s="15" t="n">
        <v>1.3510473209136</v>
      </c>
      <c r="H5" s="15" t="n">
        <v>5.85015933312923</v>
      </c>
      <c r="I5" s="19" t="n">
        <v>1</v>
      </c>
      <c r="J5" s="19" t="n">
        <v>0</v>
      </c>
      <c r="K5" s="19" t="n">
        <v>0</v>
      </c>
      <c r="L5" s="19" t="n">
        <v>0.8795926053483764</v>
      </c>
      <c r="M5" s="19" t="n">
        <v>0.1204073946516236</v>
      </c>
      <c r="N5" s="19" t="n">
        <v>0</v>
      </c>
      <c r="O5" s="15" t="n">
        <v>2.043771843091218</v>
      </c>
      <c r="P5" s="15" t="n">
        <v>0.345044414270469</v>
      </c>
      <c r="Q5" s="15" t="n">
        <v>0.06985728708007928</v>
      </c>
      <c r="R5" s="15" t="n">
        <v>2.458673544441766</v>
      </c>
      <c r="S5" s="15" t="n">
        <v>251.5777396576891</v>
      </c>
      <c r="T5" s="15" t="n">
        <v>30.79806765177104</v>
      </c>
      <c r="U5" s="15" t="n">
        <v>10.72063215721592</v>
      </c>
      <c r="V5" s="15" t="n">
        <v>564.3562015680677</v>
      </c>
      <c r="W5" s="15" t="n">
        <v>0.5685026318387995</v>
      </c>
      <c r="X5" t="inlineStr">
        <is>
          <t>IOWA_flt_ff.D4_SustainStable/D4/component_amplitude_mass_pie.png</t>
        </is>
      </c>
      <c r="Y5" t="inlineStr">
        <is>
          <t>IOWA_flt_ff.D4_SustainStable/D4/component_energy_ratio_pie.png</t>
        </is>
      </c>
      <c r="Z5" s="19" t="n">
        <v>1</v>
      </c>
      <c r="AA5" s="19" t="n">
        <v>1</v>
      </c>
      <c r="AB5" s="15" t="n">
        <v>2.458673544441766</v>
      </c>
      <c r="AC5" s="15" t="n">
        <v>-4.440892098500626e-16</v>
      </c>
      <c r="AD5" s="15" t="n">
        <v>5.85015933312923</v>
      </c>
      <c r="AE5" s="15" t="n">
        <v>0</v>
      </c>
      <c r="AF5" t="inlineStr">
        <is>
          <t>passed</t>
        </is>
      </c>
    </row>
    <row r="6">
      <c r="A6" t="inlineStr">
        <is>
          <t>D#4</t>
        </is>
      </c>
      <c r="B6" t="n">
        <v>63</v>
      </c>
      <c r="C6" t="inlineStr">
        <is>
          <t>High</t>
        </is>
      </c>
      <c r="D6" t="inlineStr">
        <is>
          <t>ff</t>
        </is>
      </c>
      <c r="E6" s="15" t="n">
        <v>2.697221838622978</v>
      </c>
      <c r="F6" s="15" t="n">
        <v>1.885701534227075</v>
      </c>
      <c r="G6" s="15" t="n">
        <v>1.368403239163177</v>
      </c>
      <c r="H6" s="15" t="n">
        <v>5.951326612013231</v>
      </c>
      <c r="I6" s="19" t="n">
        <v>1</v>
      </c>
      <c r="J6" s="19" t="n">
        <v>0</v>
      </c>
      <c r="K6" s="19" t="n">
        <v>0</v>
      </c>
      <c r="L6" s="19" t="n">
        <v>0.8147209377023434</v>
      </c>
      <c r="M6" s="19" t="n">
        <v>0.1852790622976566</v>
      </c>
      <c r="N6" s="19" t="n">
        <v>0</v>
      </c>
      <c r="O6" s="15" t="n">
        <v>2.039731545904319</v>
      </c>
      <c r="P6" s="15" t="n">
        <v>0.3621673091851997</v>
      </c>
      <c r="Q6" s="15" t="n">
        <v>0.07075469262978215</v>
      </c>
      <c r="R6" s="15" t="n">
        <v>2.4726535477193</v>
      </c>
      <c r="S6" s="15" t="n">
        <v>248.4956975877362</v>
      </c>
      <c r="T6" s="15" t="n">
        <v>37.93010212442377</v>
      </c>
      <c r="U6" s="15" t="n">
        <v>11.17812833352406</v>
      </c>
      <c r="V6" s="15" t="n">
        <v>709.4563446760469</v>
      </c>
      <c r="W6" s="15" t="n">
        <v>0.5678755096478719</v>
      </c>
      <c r="X6" t="inlineStr">
        <is>
          <t>IOWA_flt_ff.D#4_SustainStable/D#4/component_amplitude_mass_pie.png</t>
        </is>
      </c>
      <c r="Y6" t="inlineStr">
        <is>
          <t>IOWA_flt_ff.D#4_SustainStable/D#4/component_energy_ratio_pie.png</t>
        </is>
      </c>
      <c r="Z6" s="19" t="n">
        <v>1</v>
      </c>
      <c r="AA6" s="19" t="n">
        <v>1</v>
      </c>
      <c r="AB6" s="15" t="n">
        <v>2.4726535477193</v>
      </c>
      <c r="AC6" s="15" t="n">
        <v>-4.440892098500626e-16</v>
      </c>
      <c r="AD6" s="15" t="n">
        <v>5.95132661201323</v>
      </c>
      <c r="AE6" s="15" t="n">
        <v>8.881784197001252e-16</v>
      </c>
      <c r="AF6" t="inlineStr">
        <is>
          <t>passed</t>
        </is>
      </c>
    </row>
    <row r="7">
      <c r="A7" t="inlineStr">
        <is>
          <t>E4</t>
        </is>
      </c>
      <c r="B7" t="n">
        <v>64</v>
      </c>
      <c r="C7" t="inlineStr">
        <is>
          <t>High</t>
        </is>
      </c>
      <c r="D7" t="inlineStr">
        <is>
          <t>ff</t>
        </is>
      </c>
      <c r="E7" s="15" t="n">
        <v>2.675161915897589</v>
      </c>
      <c r="F7" s="15" t="n">
        <v>1.646434489554931</v>
      </c>
      <c r="G7" s="15" t="n">
        <v>1.219431321542365</v>
      </c>
      <c r="H7" s="15" t="n">
        <v>5.541027726994885</v>
      </c>
      <c r="I7" s="19" t="n">
        <v>1</v>
      </c>
      <c r="J7" s="19" t="n">
        <v>0</v>
      </c>
      <c r="K7" s="19" t="n">
        <v>0</v>
      </c>
      <c r="L7" s="19" t="n">
        <v>0.8318303866544954</v>
      </c>
      <c r="M7" s="19" t="n">
        <v>0.1681696133455048</v>
      </c>
      <c r="N7" s="19" t="n">
        <v>0</v>
      </c>
      <c r="O7" s="15" t="n">
        <v>2.023049076691419</v>
      </c>
      <c r="P7" s="15" t="n">
        <v>0.3162137475145166</v>
      </c>
      <c r="Q7" s="15" t="n">
        <v>0.06305194687468178</v>
      </c>
      <c r="R7" s="15" t="n">
        <v>2.402314771080618</v>
      </c>
      <c r="S7" s="15" t="n">
        <v>236.1638472649367</v>
      </c>
      <c r="T7" s="15" t="n">
        <v>21.65156905501568</v>
      </c>
      <c r="U7" s="15" t="n">
        <v>7.787076079041911</v>
      </c>
      <c r="V7" s="15" t="n">
        <v>655.641110044553</v>
      </c>
      <c r="W7" s="15" t="n">
        <v>0.5652764774696868</v>
      </c>
      <c r="X7" t="inlineStr">
        <is>
          <t>IOWA_flt_ff.E4_SustainStable/E4/component_amplitude_mass_pie.png</t>
        </is>
      </c>
      <c r="Y7" t="inlineStr">
        <is>
          <t>IOWA_flt_ff.E4_SustainStable/E4/component_energy_ratio_pie.png</t>
        </is>
      </c>
      <c r="Z7" s="19" t="n">
        <v>1</v>
      </c>
      <c r="AA7" s="19" t="n">
        <v>1</v>
      </c>
      <c r="AB7" s="15" t="n">
        <v>2.402314771080617</v>
      </c>
      <c r="AC7" s="15" t="n">
        <v>8.881784197001252e-16</v>
      </c>
      <c r="AD7" s="15" t="n">
        <v>5.541027726994885</v>
      </c>
      <c r="AE7" s="15" t="n">
        <v>0</v>
      </c>
      <c r="AF7" t="inlineStr">
        <is>
          <t>passed</t>
        </is>
      </c>
    </row>
    <row r="8">
      <c r="A8" t="inlineStr">
        <is>
          <t>F4</t>
        </is>
      </c>
      <c r="B8" t="n">
        <v>65</v>
      </c>
      <c r="C8" t="inlineStr">
        <is>
          <t>High</t>
        </is>
      </c>
      <c r="D8" t="inlineStr">
        <is>
          <t>ff</t>
        </is>
      </c>
      <c r="E8" s="15" t="n">
        <v>2.635273527141893</v>
      </c>
      <c r="F8" s="15" t="n">
        <v>1.730443217245666</v>
      </c>
      <c r="G8" s="15" t="n">
        <v>1.094666381587932</v>
      </c>
      <c r="H8" s="15" t="n">
        <v>5.460383125975491</v>
      </c>
      <c r="I8" s="19" t="n">
        <v>1</v>
      </c>
      <c r="J8" s="19" t="n">
        <v>0</v>
      </c>
      <c r="K8" s="19" t="n">
        <v>0</v>
      </c>
      <c r="L8" s="19" t="n">
        <v>0.8271381879486103</v>
      </c>
      <c r="M8" s="19" t="n">
        <v>0.1728618120513899</v>
      </c>
      <c r="N8" s="19" t="n">
        <v>0</v>
      </c>
      <c r="O8" s="15" t="n">
        <v>1.992884110764172</v>
      </c>
      <c r="P8" s="15" t="n">
        <v>0.3323484402554316</v>
      </c>
      <c r="Q8" s="15" t="n">
        <v>0.05660084772144711</v>
      </c>
      <c r="R8" s="15" t="n">
        <v>2.381833398741051</v>
      </c>
      <c r="S8" s="15" t="n">
        <v>215.3954707846202</v>
      </c>
      <c r="T8" s="15" t="n">
        <v>26.37900707349502</v>
      </c>
      <c r="U8" s="15" t="n">
        <v>5.717794808450487</v>
      </c>
      <c r="V8" s="15" t="n">
        <v>554.4245713615593</v>
      </c>
      <c r="W8" s="15" t="n">
        <v>0.5605370938358223</v>
      </c>
      <c r="X8" t="inlineStr">
        <is>
          <t>IOWA_flt_ff.F4_SustainStable/F4/component_amplitude_mass_pie.png</t>
        </is>
      </c>
      <c r="Y8" t="inlineStr">
        <is>
          <t>IOWA_flt_ff.F4_SustainStable/F4/component_energy_ratio_pie.png</t>
        </is>
      </c>
      <c r="Z8" s="19" t="n">
        <v>1</v>
      </c>
      <c r="AA8" s="19" t="n">
        <v>1</v>
      </c>
      <c r="AB8" s="15" t="n">
        <v>2.381833398741051</v>
      </c>
      <c r="AC8" s="15" t="n">
        <v>4.440892098500626e-16</v>
      </c>
      <c r="AD8" s="15" t="n">
        <v>5.460383125975491</v>
      </c>
      <c r="AE8" s="15" t="n">
        <v>0</v>
      </c>
      <c r="AF8" t="inlineStr">
        <is>
          <t>passed</t>
        </is>
      </c>
    </row>
    <row r="9">
      <c r="A9" t="inlineStr">
        <is>
          <t>F#4</t>
        </is>
      </c>
      <c r="B9" t="n">
        <v>66</v>
      </c>
      <c r="C9" t="inlineStr">
        <is>
          <t>High</t>
        </is>
      </c>
      <c r="D9" t="inlineStr">
        <is>
          <t>ff</t>
        </is>
      </c>
      <c r="E9" s="15" t="n">
        <v>2.637218464464654</v>
      </c>
      <c r="F9" s="15" t="n">
        <v>1.769539755488298</v>
      </c>
      <c r="G9" s="15" t="n">
        <v>1.080225077406363</v>
      </c>
      <c r="H9" s="15" t="n">
        <v>5.486983297359315</v>
      </c>
      <c r="I9" s="19" t="n">
        <v>1</v>
      </c>
      <c r="J9" s="19" t="n">
        <v>0</v>
      </c>
      <c r="K9" s="19" t="n">
        <v>0</v>
      </c>
      <c r="L9" s="19" t="n">
        <v>0.8625164558159193</v>
      </c>
      <c r="M9" s="19" t="n">
        <v>0.1374835441840808</v>
      </c>
      <c r="N9" s="19" t="n">
        <v>0</v>
      </c>
      <c r="O9" s="15" t="n">
        <v>1.994354938990176</v>
      </c>
      <c r="P9" s="15" t="n">
        <v>0.33985731045402</v>
      </c>
      <c r="Q9" s="15" t="n">
        <v>0.05585414528075066</v>
      </c>
      <c r="R9" s="15" t="n">
        <v>2.390066394724947</v>
      </c>
      <c r="S9" s="15" t="n">
        <v>216.3645017656075</v>
      </c>
      <c r="T9" s="15" t="n">
        <v>28.91099787828371</v>
      </c>
      <c r="U9" s="15" t="n">
        <v>5.514438407639032</v>
      </c>
      <c r="V9" s="15" t="n">
        <v>566.9854890301073</v>
      </c>
      <c r="W9" s="15" t="n">
        <v>0.5607693871317202</v>
      </c>
      <c r="X9" t="inlineStr">
        <is>
          <t>IOWA_flt_ff.F#4_SustainStable/F#4/component_amplitude_mass_pie.png</t>
        </is>
      </c>
      <c r="Y9" t="inlineStr">
        <is>
          <t>IOWA_flt_ff.F#4_SustainStable/F#4/component_energy_ratio_pie.png</t>
        </is>
      </c>
      <c r="Z9" s="19" t="n">
        <v>1</v>
      </c>
      <c r="AA9" s="19" t="n">
        <v>1</v>
      </c>
      <c r="AB9" s="15" t="n">
        <v>2.390066394724947</v>
      </c>
      <c r="AC9" s="15" t="n">
        <v>4.440892098500626e-16</v>
      </c>
      <c r="AD9" s="15" t="n">
        <v>5.486983297359314</v>
      </c>
      <c r="AE9" s="15" t="n">
        <v>8.881784197001252e-16</v>
      </c>
      <c r="AF9" t="inlineStr">
        <is>
          <t>passed</t>
        </is>
      </c>
    </row>
    <row r="10">
      <c r="A10" t="inlineStr">
        <is>
          <t>G4</t>
        </is>
      </c>
      <c r="B10" t="n">
        <v>67</v>
      </c>
      <c r="C10" t="inlineStr">
        <is>
          <t>High</t>
        </is>
      </c>
      <c r="D10" t="inlineStr">
        <is>
          <t>ff</t>
        </is>
      </c>
      <c r="E10" s="15" t="n">
        <v>2.629006155742987</v>
      </c>
      <c r="F10" s="15" t="n">
        <v>1.761359481334184</v>
      </c>
      <c r="G10" s="15" t="n">
        <v>1.011328377623369</v>
      </c>
      <c r="H10" s="15" t="n">
        <v>5.401694014700539</v>
      </c>
      <c r="I10" s="19" t="n">
        <v>1</v>
      </c>
      <c r="J10" s="19" t="n">
        <v>0</v>
      </c>
      <c r="K10" s="19" t="n">
        <v>0</v>
      </c>
      <c r="L10" s="19" t="n">
        <v>0.8636356335776452</v>
      </c>
      <c r="M10" s="19" t="n">
        <v>0.1363643664223549</v>
      </c>
      <c r="N10" s="19" t="n">
        <v>0</v>
      </c>
      <c r="O10" s="15" t="n">
        <v>1.988144509827687</v>
      </c>
      <c r="P10" s="15" t="n">
        <v>0.3382862092882107</v>
      </c>
      <c r="Q10" s="15" t="n">
        <v>0.05229177077239067</v>
      </c>
      <c r="R10" s="15" t="n">
        <v>2.378722489888288</v>
      </c>
      <c r="S10" s="15" t="n">
        <v>212.3022228301713</v>
      </c>
      <c r="T10" s="15" t="n">
        <v>28.36220358027764</v>
      </c>
      <c r="U10" s="15" t="n">
        <v>4.632138664018098</v>
      </c>
      <c r="V10" s="15" t="n">
        <v>553.661093542088</v>
      </c>
      <c r="W10" s="15" t="n">
        <v>0.5597877048781381</v>
      </c>
      <c r="X10" t="inlineStr">
        <is>
          <t>IOWA_flt_ff.G4_SustainStable/G4/component_amplitude_mass_pie.png</t>
        </is>
      </c>
      <c r="Y10" t="inlineStr">
        <is>
          <t>IOWA_flt_ff.G4_SustainStable/G4/component_energy_ratio_pie.png</t>
        </is>
      </c>
      <c r="Z10" s="19" t="n">
        <v>1</v>
      </c>
      <c r="AA10" s="19" t="n">
        <v>1</v>
      </c>
      <c r="AB10" s="15" t="n">
        <v>2.378722489888288</v>
      </c>
      <c r="AC10" s="15" t="n">
        <v>-4.440892098500626e-16</v>
      </c>
      <c r="AD10" s="15" t="n">
        <v>5.401694014700539</v>
      </c>
      <c r="AE10" s="15" t="n">
        <v>-8.881784197001252e-16</v>
      </c>
      <c r="AF10" t="inlineStr">
        <is>
          <t>passed</t>
        </is>
      </c>
    </row>
    <row r="11">
      <c r="A11" t="inlineStr">
        <is>
          <t>G#4</t>
        </is>
      </c>
      <c r="B11" t="n">
        <v>68</v>
      </c>
      <c r="C11" t="inlineStr">
        <is>
          <t>High</t>
        </is>
      </c>
      <c r="D11" t="inlineStr">
        <is>
          <t>ff</t>
        </is>
      </c>
      <c r="E11" s="15" t="n">
        <v>2.617642317747352</v>
      </c>
      <c r="F11" s="15" t="n">
        <v>1.75049985766299</v>
      </c>
      <c r="G11" s="15" t="n">
        <v>1.106057657396516</v>
      </c>
      <c r="H11" s="15" t="n">
        <v>5.474199832806857</v>
      </c>
      <c r="I11" s="19" t="n">
        <v>1</v>
      </c>
      <c r="J11" s="19" t="n">
        <v>0</v>
      </c>
      <c r="K11" s="19" t="n">
        <v>0</v>
      </c>
      <c r="L11" s="19" t="n">
        <v>0.8287331227537544</v>
      </c>
      <c r="M11" s="19" t="n">
        <v>0.1712668772462456</v>
      </c>
      <c r="N11" s="19" t="n">
        <v>0</v>
      </c>
      <c r="O11" s="15" t="n">
        <v>1.979550786274685</v>
      </c>
      <c r="P11" s="15" t="n">
        <v>0.3362005130036328</v>
      </c>
      <c r="Q11" s="15" t="n">
        <v>0.05718984531764566</v>
      </c>
      <c r="R11" s="15" t="n">
        <v>2.372941144595964</v>
      </c>
      <c r="S11" s="15" t="n">
        <v>206.8062148712369</v>
      </c>
      <c r="T11" s="15" t="n">
        <v>27.64944664392439</v>
      </c>
      <c r="U11" s="15" t="n">
        <v>5.883041407161265</v>
      </c>
      <c r="V11" s="15" t="n">
        <v>643.4962655153979</v>
      </c>
      <c r="W11" s="15" t="n">
        <v>0.5584256252358791</v>
      </c>
      <c r="X11" t="inlineStr">
        <is>
          <t>IOWA_flt_ff.G#4_SustainStable/G#4/component_amplitude_mass_pie.png</t>
        </is>
      </c>
      <c r="Y11" t="inlineStr">
        <is>
          <t>IOWA_flt_ff.G#4_SustainStable/G#4/component_energy_ratio_pie.png</t>
        </is>
      </c>
      <c r="Z11" s="19" t="n">
        <v>1</v>
      </c>
      <c r="AA11" s="19" t="n">
        <v>1</v>
      </c>
      <c r="AB11" s="15" t="n">
        <v>2.372941144595964</v>
      </c>
      <c r="AC11" s="15" t="n">
        <v>4.440892098500626e-16</v>
      </c>
      <c r="AD11" s="15" t="n">
        <v>5.474199832806858</v>
      </c>
      <c r="AE11" s="15" t="n">
        <v>-8.881784197001252e-16</v>
      </c>
      <c r="AF11" t="inlineStr">
        <is>
          <t>passed</t>
        </is>
      </c>
    </row>
    <row r="12">
      <c r="A12" t="inlineStr">
        <is>
          <t>A4</t>
        </is>
      </c>
      <c r="B12" t="n">
        <v>69</v>
      </c>
      <c r="C12" t="inlineStr">
        <is>
          <t>High</t>
        </is>
      </c>
      <c r="D12" t="inlineStr">
        <is>
          <t>ff</t>
        </is>
      </c>
      <c r="E12" s="15" t="n">
        <v>2.590561011521437</v>
      </c>
      <c r="F12" s="15" t="n">
        <v>1.738884827822976</v>
      </c>
      <c r="G12" s="15" t="n">
        <v>1.036470177229353</v>
      </c>
      <c r="H12" s="15" t="n">
        <v>5.365916016573767</v>
      </c>
      <c r="I12" s="19" t="n">
        <v>1</v>
      </c>
      <c r="J12" s="19" t="n">
        <v>0</v>
      </c>
      <c r="K12" s="19" t="n">
        <v>0</v>
      </c>
      <c r="L12" s="19" t="n">
        <v>0.8445183200213514</v>
      </c>
      <c r="M12" s="19" t="n">
        <v>0.1554816799786486</v>
      </c>
      <c r="N12" s="19" t="n">
        <v>0</v>
      </c>
      <c r="O12" s="15" t="n">
        <v>1.959070974854541</v>
      </c>
      <c r="P12" s="15" t="n">
        <v>0.3339697336215777</v>
      </c>
      <c r="Q12" s="15" t="n">
        <v>0.05359175330120198</v>
      </c>
      <c r="R12" s="15" t="n">
        <v>2.346632461777321</v>
      </c>
      <c r="S12" s="15" t="n">
        <v>194.2740146053771</v>
      </c>
      <c r="T12" s="15" t="n">
        <v>26.90657922904644</v>
      </c>
      <c r="U12" s="15" t="n">
        <v>4.938012249929823</v>
      </c>
      <c r="V12" s="15" t="n">
        <v>573.7325601647595</v>
      </c>
      <c r="W12" s="15" t="n">
        <v>0.5551623107434478</v>
      </c>
      <c r="X12" t="inlineStr">
        <is>
          <t>IOWA_flt_ff.A4_SustainStable/A4/component_amplitude_mass_pie.png</t>
        </is>
      </c>
      <c r="Y12" t="inlineStr">
        <is>
          <t>IOWA_flt_ff.A4_SustainStable/A4/component_energy_ratio_pie.png</t>
        </is>
      </c>
      <c r="Z12" s="19" t="n">
        <v>1</v>
      </c>
      <c r="AA12" s="19" t="n">
        <v>1</v>
      </c>
      <c r="AB12" s="15" t="n">
        <v>2.34663246177732</v>
      </c>
      <c r="AC12" s="15" t="n">
        <v>4.440892098500626e-16</v>
      </c>
      <c r="AD12" s="15" t="n">
        <v>5.365916016573765</v>
      </c>
      <c r="AE12" s="15" t="n">
        <v>1.77635683940025e-15</v>
      </c>
      <c r="AF12" t="inlineStr">
        <is>
          <t>passed</t>
        </is>
      </c>
    </row>
    <row r="13">
      <c r="A13" t="inlineStr">
        <is>
          <t>A#4</t>
        </is>
      </c>
      <c r="B13" t="n">
        <v>70</v>
      </c>
      <c r="C13" t="inlineStr">
        <is>
          <t>High</t>
        </is>
      </c>
      <c r="D13" t="inlineStr">
        <is>
          <t>ff</t>
        </is>
      </c>
      <c r="E13" s="15" t="n">
        <v>2.581070524926026</v>
      </c>
      <c r="F13" s="15" t="n">
        <v>1.736860015134059</v>
      </c>
      <c r="G13" s="15" t="n">
        <v>0.9039058200266343</v>
      </c>
      <c r="H13" s="15" t="n">
        <v>5.221836360086718</v>
      </c>
      <c r="I13" s="19" t="n">
        <v>0.9999908934322395</v>
      </c>
      <c r="J13" s="19" t="n">
        <v>0</v>
      </c>
      <c r="K13" s="19" t="n">
        <v>9.106567760455094e-06</v>
      </c>
      <c r="L13" s="19" t="n">
        <v>0.8777045053115221</v>
      </c>
      <c r="M13" s="19" t="n">
        <v>0.1222875017401381</v>
      </c>
      <c r="N13" s="19" t="n">
        <v>7.992948339601755e-06</v>
      </c>
      <c r="O13" s="15" t="n">
        <v>1.951893943800794</v>
      </c>
      <c r="P13" s="15" t="n">
        <v>0.3335808486629355</v>
      </c>
      <c r="Q13" s="15" t="n">
        <v>0.04673737728168972</v>
      </c>
      <c r="R13" s="15" t="n">
        <v>2.332212169745419</v>
      </c>
      <c r="S13" s="15" t="n">
        <v>190.0638547808138</v>
      </c>
      <c r="T13" s="15" t="n">
        <v>26.77909884545185</v>
      </c>
      <c r="U13" s="15" t="n">
        <v>3.507521162069875</v>
      </c>
      <c r="V13" s="15" t="n">
        <v>678.015321200738</v>
      </c>
      <c r="W13" s="15" t="n">
        <v>0.5540110217459221</v>
      </c>
      <c r="X13" t="inlineStr">
        <is>
          <t>IOWA_flt_ff.A#4_SustainStable/A#4/component_amplitude_mass_pie.png</t>
        </is>
      </c>
      <c r="Y13" t="inlineStr">
        <is>
          <t>IOWA_flt_ff.A#4_SustainStable/A#4/component_energy_ratio_pie.png</t>
        </is>
      </c>
      <c r="Z13" s="19" t="n">
        <v>0.9999999999999999</v>
      </c>
      <c r="AA13" s="19" t="n">
        <v>0.9999999999999999</v>
      </c>
      <c r="AB13" s="15" t="n">
        <v>2.332212169745419</v>
      </c>
      <c r="AC13" s="15" t="n">
        <v>-4.440892098500626e-16</v>
      </c>
      <c r="AD13" s="15" t="n">
        <v>5.221836360086719</v>
      </c>
      <c r="AE13" s="15" t="n">
        <v>-8.881784197001252e-16</v>
      </c>
      <c r="AF13" t="inlineStr">
        <is>
          <t>passed</t>
        </is>
      </c>
    </row>
    <row r="14">
      <c r="A14" t="inlineStr">
        <is>
          <t>B4</t>
        </is>
      </c>
      <c r="B14" t="n">
        <v>71</v>
      </c>
      <c r="C14" t="inlineStr">
        <is>
          <t>High</t>
        </is>
      </c>
      <c r="D14" t="inlineStr">
        <is>
          <t>ff</t>
        </is>
      </c>
      <c r="E14" s="15" t="n">
        <v>2.571165052009216</v>
      </c>
      <c r="F14" s="15" t="n">
        <v>1.763252336922819</v>
      </c>
      <c r="G14" s="15" t="n">
        <v>0.7665069042213143</v>
      </c>
      <c r="H14" s="15" t="n">
        <v>5.10092429315335</v>
      </c>
      <c r="I14" s="19" t="n">
        <v>1</v>
      </c>
      <c r="J14" s="19" t="n">
        <v>0</v>
      </c>
      <c r="K14" s="19" t="n">
        <v>0</v>
      </c>
      <c r="L14" s="19" t="n">
        <v>0.8207335082662873</v>
      </c>
      <c r="M14" s="19" t="n">
        <v>0.1792664917337126</v>
      </c>
      <c r="N14" s="19" t="n">
        <v>0</v>
      </c>
      <c r="O14" s="15" t="n">
        <v>1.944403085875725</v>
      </c>
      <c r="P14" s="15" t="n">
        <v>0.3386497506030844</v>
      </c>
      <c r="Q14" s="15" t="n">
        <v>0.03963302545231535</v>
      </c>
      <c r="R14" s="15" t="n">
        <v>2.322685861931125</v>
      </c>
      <c r="S14" s="15" t="n">
        <v>185.7666296199141</v>
      </c>
      <c r="T14" s="15" t="n">
        <v>28.48827290528621</v>
      </c>
      <c r="U14" s="15" t="n">
        <v>2.420632466016414</v>
      </c>
      <c r="V14" s="15" t="n">
        <v>651.4037697979435</v>
      </c>
      <c r="W14" s="15" t="n">
        <v>0.5528099228671938</v>
      </c>
      <c r="X14" t="inlineStr">
        <is>
          <t>IOWA_flt_ff.B4_SustainStable/B4/component_amplitude_mass_pie.png</t>
        </is>
      </c>
      <c r="Y14" t="inlineStr">
        <is>
          <t>IOWA_flt_ff.B4_SustainStable/B4/component_energy_ratio_pie.png</t>
        </is>
      </c>
      <c r="Z14" s="19" t="n">
        <v>1</v>
      </c>
      <c r="AA14" s="19" t="n">
        <v>1</v>
      </c>
      <c r="AB14" s="15" t="n">
        <v>2.322685861931125</v>
      </c>
      <c r="AC14" s="15" t="n">
        <v>4.440892098500626e-16</v>
      </c>
      <c r="AD14" s="15" t="n">
        <v>5.10092429315335</v>
      </c>
      <c r="AE14" s="15" t="n">
        <v>0</v>
      </c>
      <c r="AF14" t="inlineStr">
        <is>
          <t>passed</t>
        </is>
      </c>
    </row>
    <row r="15">
      <c r="A15" t="inlineStr">
        <is>
          <t>C5</t>
        </is>
      </c>
      <c r="B15" t="n">
        <v>72</v>
      </c>
      <c r="C15" t="inlineStr">
        <is>
          <t>Very high</t>
        </is>
      </c>
      <c r="D15" t="inlineStr">
        <is>
          <t>ff</t>
        </is>
      </c>
      <c r="E15" s="15" t="n">
        <v>2.567801365429105</v>
      </c>
      <c r="F15" s="15" t="n">
        <v>1.834021710241963</v>
      </c>
      <c r="G15" s="15" t="n">
        <v>0.7963780890045006</v>
      </c>
      <c r="H15" s="15" t="n">
        <v>5.198201164675568</v>
      </c>
      <c r="I15" s="19" t="n">
        <v>1</v>
      </c>
      <c r="J15" s="19" t="n">
        <v>0</v>
      </c>
      <c r="K15" s="19" t="n">
        <v>0</v>
      </c>
      <c r="L15" s="19" t="n">
        <v>0.7598825562977928</v>
      </c>
      <c r="M15" s="19" t="n">
        <v>0.2401174437022072</v>
      </c>
      <c r="N15" s="19" t="n">
        <v>0</v>
      </c>
      <c r="O15" s="15" t="n">
        <v>1.941859350863002</v>
      </c>
      <c r="P15" s="15" t="n">
        <v>0.3522416966467741</v>
      </c>
      <c r="Q15" s="15" t="n">
        <v>0.04117754569118461</v>
      </c>
      <c r="R15" s="15" t="n">
        <v>2.335278593200961</v>
      </c>
      <c r="S15" s="15" t="n">
        <v>92.16476725794689</v>
      </c>
      <c r="T15" s="15" t="n">
        <v>16.80932012217232</v>
      </c>
      <c r="U15" s="15" t="n">
        <v>1.314292984792508</v>
      </c>
      <c r="V15" s="15" t="n">
        <v>136.3120990315769</v>
      </c>
      <c r="W15" s="15" t="n">
        <v>0.5524006673690508</v>
      </c>
      <c r="X15" t="inlineStr">
        <is>
          <t>IOWA_flt_ff.C5_SustainStable/C5/component_amplitude_mass_pie.png</t>
        </is>
      </c>
      <c r="Y15" t="inlineStr">
        <is>
          <t>IOWA_flt_ff.C5_SustainStable/C5/component_energy_ratio_pie.png</t>
        </is>
      </c>
      <c r="Z15" s="19" t="n">
        <v>1</v>
      </c>
      <c r="AA15" s="19" t="n">
        <v>1</v>
      </c>
      <c r="AB15" s="15" t="n">
        <v>2.335278593200961</v>
      </c>
      <c r="AC15" s="15" t="n">
        <v>4.440892098500626e-16</v>
      </c>
      <c r="AD15" s="15" t="n">
        <v>5.198201164675568</v>
      </c>
      <c r="AE15" s="15" t="n">
        <v>0</v>
      </c>
      <c r="AF15" t="inlineStr">
        <is>
          <t>passed</t>
        </is>
      </c>
    </row>
    <row r="16">
      <c r="A16" t="inlineStr">
        <is>
          <t>C#5</t>
        </is>
      </c>
      <c r="B16" t="n">
        <v>73</v>
      </c>
      <c r="C16" t="inlineStr">
        <is>
          <t>Very high</t>
        </is>
      </c>
      <c r="D16" t="inlineStr">
        <is>
          <t>ff</t>
        </is>
      </c>
      <c r="E16" s="15" t="n">
        <v>2.561304976825749</v>
      </c>
      <c r="F16" s="15" t="n">
        <v>1.763665475661307</v>
      </c>
      <c r="G16" s="15" t="n">
        <v>0.8779903002031988</v>
      </c>
      <c r="H16" s="15" t="n">
        <v>5.202960752690255</v>
      </c>
      <c r="I16" s="19" t="n">
        <v>1</v>
      </c>
      <c r="J16" s="19" t="n">
        <v>0</v>
      </c>
      <c r="K16" s="19" t="n">
        <v>0</v>
      </c>
      <c r="L16" s="19" t="n">
        <v>0.7614757097545953</v>
      </c>
      <c r="M16" s="19" t="n">
        <v>0.2385242902454047</v>
      </c>
      <c r="N16" s="19" t="n">
        <v>0</v>
      </c>
      <c r="O16" s="15" t="n">
        <v>1.936946559271679</v>
      </c>
      <c r="P16" s="15" t="n">
        <v>0.338729097913633</v>
      </c>
      <c r="Q16" s="15" t="n">
        <v>0.04539738875566903</v>
      </c>
      <c r="R16" s="15" t="n">
        <v>2.321073045940981</v>
      </c>
      <c r="S16" s="15" t="n">
        <v>90.79266994669952</v>
      </c>
      <c r="T16" s="15" t="n">
        <v>14.25793109797835</v>
      </c>
      <c r="U16" s="15" t="n">
        <v>1.637688407913049</v>
      </c>
      <c r="V16" s="15" t="n">
        <v>178.4887053102515</v>
      </c>
      <c r="W16" s="15" t="n">
        <v>0.5516091666203696</v>
      </c>
      <c r="X16" t="inlineStr">
        <is>
          <t>IOWA_flt_ff.C#5_SustainStable/C#5/component_amplitude_mass_pie.png</t>
        </is>
      </c>
      <c r="Y16" t="inlineStr">
        <is>
          <t>IOWA_flt_ff.C#5_SustainStable/C#5/component_energy_ratio_pie.png</t>
        </is>
      </c>
      <c r="Z16" s="19" t="n">
        <v>1</v>
      </c>
      <c r="AA16" s="19" t="n">
        <v>1</v>
      </c>
      <c r="AB16" s="15" t="n">
        <v>2.321073045940981</v>
      </c>
      <c r="AC16" s="15" t="n">
        <v>0</v>
      </c>
      <c r="AD16" s="15" t="n">
        <v>5.202960752690255</v>
      </c>
      <c r="AE16" s="15" t="n">
        <v>0</v>
      </c>
      <c r="AF16" t="inlineStr">
        <is>
          <t>passed</t>
        </is>
      </c>
    </row>
    <row r="17">
      <c r="A17" t="inlineStr">
        <is>
          <t>D5</t>
        </is>
      </c>
      <c r="B17" t="n">
        <v>74</v>
      </c>
      <c r="C17" t="inlineStr">
        <is>
          <t>Very high</t>
        </is>
      </c>
      <c r="D17" t="inlineStr">
        <is>
          <t>ff</t>
        </is>
      </c>
      <c r="E17" s="15" t="n">
        <v>2.524037500195474</v>
      </c>
      <c r="F17" s="15" t="n">
        <v>1.786096000025696</v>
      </c>
      <c r="G17" s="15" t="n">
        <v>0.7724344821767569</v>
      </c>
      <c r="H17" s="15" t="n">
        <v>5.082567982397927</v>
      </c>
      <c r="I17" s="19" t="n">
        <v>1</v>
      </c>
      <c r="J17" s="19" t="n">
        <v>0</v>
      </c>
      <c r="K17" s="19" t="n">
        <v>0</v>
      </c>
      <c r="L17" s="19" t="n">
        <v>0.7742673374627901</v>
      </c>
      <c r="M17" s="19" t="n">
        <v>0.2257326625372099</v>
      </c>
      <c r="N17" s="19" t="n">
        <v>0</v>
      </c>
      <c r="O17" s="15" t="n">
        <v>1.908763616871275</v>
      </c>
      <c r="P17" s="15" t="n">
        <v>0.343037098148672</v>
      </c>
      <c r="Q17" s="15" t="n">
        <v>0.0399395169485887</v>
      </c>
      <c r="R17" s="15" t="n">
        <v>2.291740231968536</v>
      </c>
      <c r="S17" s="15" t="n">
        <v>83.30597453545674</v>
      </c>
      <c r="T17" s="15" t="n">
        <v>15.02692718711919</v>
      </c>
      <c r="U17" s="15" t="n">
        <v>1.230384369020082</v>
      </c>
      <c r="V17" s="15" t="n">
        <v>113.9267552485286</v>
      </c>
      <c r="W17" s="15" t="n">
        <v>0.5470405212046278</v>
      </c>
      <c r="X17" t="inlineStr">
        <is>
          <t>IOWA_flt_ff.D5_SustainStable/D5/component_amplitude_mass_pie.png</t>
        </is>
      </c>
      <c r="Y17" t="inlineStr">
        <is>
          <t>IOWA_flt_ff.D5_SustainStable/D5/component_energy_ratio_pie.png</t>
        </is>
      </c>
      <c r="Z17" s="19" t="n">
        <v>1</v>
      </c>
      <c r="AA17" s="19" t="n">
        <v>1</v>
      </c>
      <c r="AB17" s="15" t="n">
        <v>2.291740231968536</v>
      </c>
      <c r="AC17" s="15" t="n">
        <v>0</v>
      </c>
      <c r="AD17" s="15" t="n">
        <v>5.082567982397927</v>
      </c>
      <c r="AE17" s="15" t="n">
        <v>0</v>
      </c>
      <c r="AF17" t="inlineStr">
        <is>
          <t>passed</t>
        </is>
      </c>
    </row>
    <row r="18">
      <c r="A18" t="inlineStr">
        <is>
          <t>D#5</t>
        </is>
      </c>
      <c r="B18" t="n">
        <v>75</v>
      </c>
      <c r="C18" t="inlineStr">
        <is>
          <t>Very high</t>
        </is>
      </c>
      <c r="D18" t="inlineStr">
        <is>
          <t>ff</t>
        </is>
      </c>
      <c r="E18" s="15" t="n">
        <v>2.435750802061381</v>
      </c>
      <c r="F18" s="15" t="n">
        <v>1.76527347663958</v>
      </c>
      <c r="G18" s="15" t="n">
        <v>0.9325041662086254</v>
      </c>
      <c r="H18" s="15" t="n">
        <v>5.133528444909586</v>
      </c>
      <c r="I18" s="19" t="n">
        <v>0.999578286689649</v>
      </c>
      <c r="J18" s="19" t="n">
        <v>0.0004217133103510661</v>
      </c>
      <c r="K18" s="19" t="n">
        <v>0</v>
      </c>
      <c r="L18" s="19" t="n">
        <v>0.7519790660181753</v>
      </c>
      <c r="M18" s="19" t="n">
        <v>0.2480209339818246</v>
      </c>
      <c r="N18" s="19" t="n">
        <v>0</v>
      </c>
      <c r="O18" s="15" t="n">
        <v>1.841998191540231</v>
      </c>
      <c r="P18" s="15" t="n">
        <v>0.3390379301317215</v>
      </c>
      <c r="Q18" s="15" t="n">
        <v>0.04821608409552649</v>
      </c>
      <c r="R18" s="15" t="n">
        <v>2.22925220576748</v>
      </c>
      <c r="S18" s="15" t="n">
        <v>67.93530864999724</v>
      </c>
      <c r="T18" s="15" t="n">
        <v>14.31174713707961</v>
      </c>
      <c r="U18" s="15" t="n">
        <v>1.890149809765627</v>
      </c>
      <c r="V18" s="15" t="n">
        <v>83.26930936618284</v>
      </c>
      <c r="W18" s="15" t="n">
        <v>0.5359859142985779</v>
      </c>
      <c r="X18" t="inlineStr">
        <is>
          <t>IOWA_flt_ff.D#5_SustainStable/D#5/component_amplitude_mass_pie.png</t>
        </is>
      </c>
      <c r="Y18" t="inlineStr">
        <is>
          <t>IOWA_flt_ff.D#5_SustainStable/D#5/component_energy_ratio_pie.png</t>
        </is>
      </c>
      <c r="Z18" s="19" t="n">
        <v>1</v>
      </c>
      <c r="AA18" s="19" t="n">
        <v>1</v>
      </c>
      <c r="AB18" s="15" t="n">
        <v>2.229252205767479</v>
      </c>
      <c r="AC18" s="15" t="n">
        <v>8.881784197001252e-16</v>
      </c>
      <c r="AD18" s="15" t="n">
        <v>5.133528444909587</v>
      </c>
      <c r="AE18" s="15" t="n">
        <v>-8.881784197001252e-16</v>
      </c>
      <c r="AF18" t="inlineStr">
        <is>
          <t>passed</t>
        </is>
      </c>
    </row>
    <row r="19">
      <c r="A19" t="inlineStr">
        <is>
          <t>E5</t>
        </is>
      </c>
      <c r="B19" t="n">
        <v>76</v>
      </c>
      <c r="C19" t="inlineStr">
        <is>
          <t>Very high</t>
        </is>
      </c>
      <c r="D19" t="inlineStr">
        <is>
          <t>ff</t>
        </is>
      </c>
      <c r="E19" s="15" t="n">
        <v>2.492149843992359</v>
      </c>
      <c r="F19" s="15" t="n">
        <v>1.986819015704459</v>
      </c>
      <c r="G19" s="15" t="n">
        <v>0.989795421263911</v>
      </c>
      <c r="H19" s="15" t="n">
        <v>5.468764280960728</v>
      </c>
      <c r="I19" s="19" t="n">
        <v>0.9909495986549869</v>
      </c>
      <c r="J19" s="19" t="n">
        <v>0.009050401345013129</v>
      </c>
      <c r="K19" s="19" t="n">
        <v>0</v>
      </c>
      <c r="L19" s="19" t="n">
        <v>0.7495559743730617</v>
      </c>
      <c r="M19" s="19" t="n">
        <v>0.2504440256269383</v>
      </c>
      <c r="N19" s="19" t="n">
        <v>0</v>
      </c>
      <c r="O19" s="15" t="n">
        <v>1.884649078960054</v>
      </c>
      <c r="P19" s="15" t="n">
        <v>0.3815879043926268</v>
      </c>
      <c r="Q19" s="15" t="n">
        <v>0.05117838718411762</v>
      </c>
      <c r="R19" s="15" t="n">
        <v>2.317415370536799</v>
      </c>
      <c r="S19" s="15" t="n">
        <v>77.39077336529705</v>
      </c>
      <c r="T19" s="15" t="n">
        <v>24.00264022993675</v>
      </c>
      <c r="U19" s="15" t="n">
        <v>2.19194248011869</v>
      </c>
      <c r="V19" s="15" t="n">
        <v>99.39303226051229</v>
      </c>
      <c r="W19" s="15" t="n">
        <v>0.5425237298335367</v>
      </c>
      <c r="X19" t="inlineStr">
        <is>
          <t>IOWA_flt_ff.E5_SustainStable/E5/component_amplitude_mass_pie.png</t>
        </is>
      </c>
      <c r="Y19" t="inlineStr">
        <is>
          <t>IOWA_flt_ff.E5_SustainStable/E5/component_energy_ratio_pie.png</t>
        </is>
      </c>
      <c r="Z19" s="19" t="n">
        <v>1</v>
      </c>
      <c r="AA19" s="19" t="n">
        <v>1</v>
      </c>
      <c r="AB19" s="15" t="n">
        <v>2.317415370536799</v>
      </c>
      <c r="AC19" s="15" t="n">
        <v>4.440892098500626e-16</v>
      </c>
      <c r="AD19" s="15" t="n">
        <v>5.468764280960729</v>
      </c>
      <c r="AE19" s="15" t="n">
        <v>-8.881784197001252e-16</v>
      </c>
      <c r="AF19" t="inlineStr">
        <is>
          <t>passed</t>
        </is>
      </c>
    </row>
    <row r="20">
      <c r="A20" t="inlineStr">
        <is>
          <t>F5</t>
        </is>
      </c>
      <c r="B20" t="n">
        <v>77</v>
      </c>
      <c r="C20" t="inlineStr">
        <is>
          <t>Very high</t>
        </is>
      </c>
      <c r="D20" t="inlineStr">
        <is>
          <t>ff</t>
        </is>
      </c>
      <c r="E20" s="15" t="n">
        <v>2.530895599118011</v>
      </c>
      <c r="F20" s="15" t="n">
        <v>1.767535934279702</v>
      </c>
      <c r="G20" s="15" t="n">
        <v>1.056702071672907</v>
      </c>
      <c r="H20" s="15" t="n">
        <v>5.35513360507062</v>
      </c>
      <c r="I20" s="19" t="n">
        <v>0.9978801166514818</v>
      </c>
      <c r="J20" s="19" t="n">
        <v>0.002119883348518291</v>
      </c>
      <c r="K20" s="19" t="n">
        <v>0</v>
      </c>
      <c r="L20" s="19" t="n">
        <v>0.7673277810294374</v>
      </c>
      <c r="M20" s="19" t="n">
        <v>0.2326722189705626</v>
      </c>
      <c r="N20" s="19" t="n">
        <v>0</v>
      </c>
      <c r="O20" s="15" t="n">
        <v>1.913949946196108</v>
      </c>
      <c r="P20" s="15" t="n">
        <v>0.3394724571132166</v>
      </c>
      <c r="Q20" s="15" t="n">
        <v>0.05463786414901558</v>
      </c>
      <c r="R20" s="15" t="n">
        <v>2.308060267458341</v>
      </c>
      <c r="S20" s="15" t="n">
        <v>84.6359098083223</v>
      </c>
      <c r="T20" s="15" t="n">
        <v>14.38780451527726</v>
      </c>
      <c r="U20" s="15" t="n">
        <v>2.598669595941697</v>
      </c>
      <c r="V20" s="15" t="n">
        <v>130.9493105385812</v>
      </c>
      <c r="W20" s="15" t="n">
        <v>0.5476857908759358</v>
      </c>
      <c r="X20" t="inlineStr">
        <is>
          <t>IOWA_flt_ff.F5_SustainStable/F5/component_amplitude_mass_pie.png</t>
        </is>
      </c>
      <c r="Y20" t="inlineStr">
        <is>
          <t>IOWA_flt_ff.F5_SustainStable/F5/component_energy_ratio_pie.png</t>
        </is>
      </c>
      <c r="Z20" s="19" t="n">
        <v>1</v>
      </c>
      <c r="AA20" s="19" t="n">
        <v>1</v>
      </c>
      <c r="AB20" s="15" t="n">
        <v>2.30806026745834</v>
      </c>
      <c r="AC20" s="15" t="n">
        <v>8.881784197001252e-16</v>
      </c>
      <c r="AD20" s="15" t="n">
        <v>5.35513360507062</v>
      </c>
      <c r="AE20" s="15" t="n">
        <v>0</v>
      </c>
      <c r="AF20" t="inlineStr">
        <is>
          <t>passed</t>
        </is>
      </c>
    </row>
    <row r="21">
      <c r="A21" t="inlineStr">
        <is>
          <t>F#5</t>
        </is>
      </c>
      <c r="B21" t="n">
        <v>78</v>
      </c>
      <c r="C21" t="inlineStr">
        <is>
          <t>Very high</t>
        </is>
      </c>
      <c r="D21" t="inlineStr">
        <is>
          <t>ff</t>
        </is>
      </c>
      <c r="E21" s="15" t="n">
        <v>2.515761404523716</v>
      </c>
      <c r="F21" s="15" t="n">
        <v>1.855222501110834</v>
      </c>
      <c r="G21" s="15" t="n">
        <v>0.7931444933885672</v>
      </c>
      <c r="H21" s="15" t="n">
        <v>5.164128399023117</v>
      </c>
      <c r="I21" s="19" t="n">
        <v>0.997092795371665</v>
      </c>
      <c r="J21" s="19" t="n">
        <v>0.002907204628335088</v>
      </c>
      <c r="K21" s="19" t="n">
        <v>0</v>
      </c>
      <c r="L21" s="19" t="n">
        <v>0.768530348529194</v>
      </c>
      <c r="M21" s="19" t="n">
        <v>0.231469651470806</v>
      </c>
      <c r="N21" s="19" t="n">
        <v>0</v>
      </c>
      <c r="O21" s="15" t="n">
        <v>1.902504949832147</v>
      </c>
      <c r="P21" s="15" t="n">
        <v>0.3563135146106515</v>
      </c>
      <c r="Q21" s="15" t="n">
        <v>0.04101034931416178</v>
      </c>
      <c r="R21" s="15" t="n">
        <v>2.29982881375696</v>
      </c>
      <c r="S21" s="15" t="n">
        <v>81.72877288253551</v>
      </c>
      <c r="T21" s="15" t="n">
        <v>17.66276010877717</v>
      </c>
      <c r="U21" s="15" t="n">
        <v>1.302689092230682</v>
      </c>
      <c r="V21" s="15" t="n">
        <v>123.8616803212509</v>
      </c>
      <c r="W21" s="15" t="n">
        <v>0.5457821161694532</v>
      </c>
      <c r="X21" t="inlineStr">
        <is>
          <t>IOWA_flt_ff.F#5_SustainStable/F#5/component_amplitude_mass_pie.png</t>
        </is>
      </c>
      <c r="Y21" t="inlineStr">
        <is>
          <t>IOWA_flt_ff.F#5_SustainStable/F#5/component_energy_ratio_pie.png</t>
        </is>
      </c>
      <c r="Z21" s="19" t="n">
        <v>1</v>
      </c>
      <c r="AA21" s="19" t="n">
        <v>1</v>
      </c>
      <c r="AB21" s="15" t="n">
        <v>2.29982881375696</v>
      </c>
      <c r="AC21" s="15" t="n">
        <v>-4.440892098500626e-16</v>
      </c>
      <c r="AD21" s="15" t="n">
        <v>5.164128399023117</v>
      </c>
      <c r="AE21" s="15" t="n">
        <v>-8.881784197001252e-16</v>
      </c>
      <c r="AF21" t="inlineStr">
        <is>
          <t>passed</t>
        </is>
      </c>
    </row>
    <row r="22">
      <c r="A22" t="inlineStr">
        <is>
          <t>G5</t>
        </is>
      </c>
      <c r="B22" t="n">
        <v>79</v>
      </c>
      <c r="C22" t="inlineStr">
        <is>
          <t>Very high</t>
        </is>
      </c>
      <c r="D22" t="inlineStr">
        <is>
          <t>ff</t>
        </is>
      </c>
      <c r="E22" s="15" t="n">
        <v>2.481760004313137</v>
      </c>
      <c r="F22" s="15" t="n">
        <v>1.728552286318176</v>
      </c>
      <c r="G22" s="15" t="n">
        <v>0.6882557960037631</v>
      </c>
      <c r="H22" s="15" t="n">
        <v>4.898568086635076</v>
      </c>
      <c r="I22" s="19" t="n">
        <v>0.9994319469431131</v>
      </c>
      <c r="J22" s="19" t="n">
        <v>0.0005680530568868949</v>
      </c>
      <c r="K22" s="19" t="n">
        <v>0</v>
      </c>
      <c r="L22" s="19" t="n">
        <v>0.7723069762300983</v>
      </c>
      <c r="M22" s="19" t="n">
        <v>0.2276930237699017</v>
      </c>
      <c r="N22" s="19" t="n">
        <v>0</v>
      </c>
      <c r="O22" s="15" t="n">
        <v>1.876791926297589</v>
      </c>
      <c r="P22" s="15" t="n">
        <v>0.3319852685904391</v>
      </c>
      <c r="Q22" s="15" t="n">
        <v>0.03558697166391707</v>
      </c>
      <c r="R22" s="15" t="n">
        <v>2.244364166551945</v>
      </c>
      <c r="S22" s="15" t="n">
        <v>75.5553771813626</v>
      </c>
      <c r="T22" s="15" t="n">
        <v>13.13111474918077</v>
      </c>
      <c r="U22" s="15" t="n">
        <v>0.969539312742089</v>
      </c>
      <c r="V22" s="15" t="n">
        <v>135.6629343722935</v>
      </c>
      <c r="W22" s="15" t="n">
        <v>0.5417454598587348</v>
      </c>
      <c r="X22" t="inlineStr">
        <is>
          <t>IOWA_flt_ff.G5_SustainStable/G5/component_amplitude_mass_pie.png</t>
        </is>
      </c>
      <c r="Y22" t="inlineStr">
        <is>
          <t>IOWA_flt_ff.G5_SustainStable/G5/component_energy_ratio_pie.png</t>
        </is>
      </c>
      <c r="Z22" s="19" t="n">
        <v>1</v>
      </c>
      <c r="AA22" s="19" t="n">
        <v>0.9999999999999999</v>
      </c>
      <c r="AB22" s="15" t="n">
        <v>2.244364166551945</v>
      </c>
      <c r="AC22" s="15" t="n">
        <v>0</v>
      </c>
      <c r="AD22" s="15" t="n">
        <v>4.898568086635076</v>
      </c>
      <c r="AE22" s="15" t="n">
        <v>0</v>
      </c>
      <c r="AF22" t="inlineStr">
        <is>
          <t>passed</t>
        </is>
      </c>
    </row>
    <row r="23">
      <c r="A23" t="inlineStr">
        <is>
          <t>G#5</t>
        </is>
      </c>
      <c r="B23" t="n">
        <v>80</v>
      </c>
      <c r="C23" t="inlineStr">
        <is>
          <t>Very high</t>
        </is>
      </c>
      <c r="D23" t="inlineStr">
        <is>
          <t>ff</t>
        </is>
      </c>
      <c r="E23" s="15" t="n">
        <v>2.47416239944235</v>
      </c>
      <c r="F23" s="15" t="n">
        <v>1.841842934886967</v>
      </c>
      <c r="G23" s="15" t="n">
        <v>0.8936903046308552</v>
      </c>
      <c r="H23" s="15" t="n">
        <v>5.209695638960172</v>
      </c>
      <c r="I23" s="19" t="n">
        <v>1</v>
      </c>
      <c r="J23" s="19" t="n">
        <v>0</v>
      </c>
      <c r="K23" s="19" t="n">
        <v>0</v>
      </c>
      <c r="L23" s="19" t="n">
        <v>0.767542239416355</v>
      </c>
      <c r="M23" s="19" t="n">
        <v>0.232457760583645</v>
      </c>
      <c r="N23" s="19" t="n">
        <v>0</v>
      </c>
      <c r="O23" s="15" t="n">
        <v>1.871046357243405</v>
      </c>
      <c r="P23" s="15" t="n">
        <v>0.3537438388642989</v>
      </c>
      <c r="Q23" s="15" t="n">
        <v>0.0462091735832498</v>
      </c>
      <c r="R23" s="15" t="n">
        <v>2.270999369690954</v>
      </c>
      <c r="S23" s="15" t="n">
        <v>74.24076049421139</v>
      </c>
      <c r="T23" s="15" t="n">
        <v>17.1193250867238</v>
      </c>
      <c r="U23" s="15" t="n">
        <v>1.707177945697097</v>
      </c>
      <c r="V23" s="15" t="n">
        <v>126.9265706849393</v>
      </c>
      <c r="W23" s="15" t="n">
        <v>0.5408501156462585</v>
      </c>
      <c r="X23" t="inlineStr">
        <is>
          <t>IOWA_flt_ff.G#5_SustainStable/G#5/component_amplitude_mass_pie.png</t>
        </is>
      </c>
      <c r="Y23" t="inlineStr">
        <is>
          <t>IOWA_flt_ff.G#5_SustainStable/G#5/component_energy_ratio_pie.png</t>
        </is>
      </c>
      <c r="Z23" s="19" t="n">
        <v>1</v>
      </c>
      <c r="AA23" s="19" t="n">
        <v>1</v>
      </c>
      <c r="AB23" s="15" t="n">
        <v>2.270999369690954</v>
      </c>
      <c r="AC23" s="15" t="n">
        <v>4.440892098500626e-16</v>
      </c>
      <c r="AD23" s="15" t="n">
        <v>5.209695638960172</v>
      </c>
      <c r="AE23" s="15" t="n">
        <v>0</v>
      </c>
      <c r="AF23" t="inlineStr">
        <is>
          <t>passed</t>
        </is>
      </c>
    </row>
    <row r="24">
      <c r="A24" t="inlineStr">
        <is>
          <t>A5</t>
        </is>
      </c>
      <c r="B24" t="n">
        <v>81</v>
      </c>
      <c r="C24" t="inlineStr">
        <is>
          <t>Very high</t>
        </is>
      </c>
      <c r="D24" t="inlineStr">
        <is>
          <t>ff</t>
        </is>
      </c>
      <c r="E24" s="15" t="n">
        <v>2.474505843518043</v>
      </c>
      <c r="F24" s="15" t="n">
        <v>1.958118252021644</v>
      </c>
      <c r="G24" s="15" t="n">
        <v>0.8828990060647862</v>
      </c>
      <c r="H24" s="15" t="n">
        <v>5.315523101604473</v>
      </c>
      <c r="I24" s="19" t="n">
        <v>1</v>
      </c>
      <c r="J24" s="19" t="n">
        <v>0</v>
      </c>
      <c r="K24" s="19" t="n">
        <v>0</v>
      </c>
      <c r="L24" s="19" t="n">
        <v>0.7657143988520544</v>
      </c>
      <c r="M24" s="19" t="n">
        <v>0.2342856011479456</v>
      </c>
      <c r="N24" s="19" t="n">
        <v>0</v>
      </c>
      <c r="O24" s="15" t="n">
        <v>1.871306081417892</v>
      </c>
      <c r="P24" s="15" t="n">
        <v>0.3760756437480354</v>
      </c>
      <c r="Q24" s="15" t="n">
        <v>0.04565119842558696</v>
      </c>
      <c r="R24" s="15" t="n">
        <v>2.293032923591514</v>
      </c>
      <c r="S24" s="15" t="n">
        <v>74.29969177222067</v>
      </c>
      <c r="T24" s="15" t="n">
        <v>22.45169375143993</v>
      </c>
      <c r="U24" s="15" t="n">
        <v>1.65914544102618</v>
      </c>
      <c r="V24" s="15" t="n">
        <v>154.3218494894026</v>
      </c>
      <c r="W24" s="15" t="n">
        <v>0.5408930464243075</v>
      </c>
      <c r="X24" t="inlineStr">
        <is>
          <t>IOWA_flt_ff.A5_SustainStable/A5/component_amplitude_mass_pie.png</t>
        </is>
      </c>
      <c r="Y24" t="inlineStr">
        <is>
          <t>IOWA_flt_ff.A5_SustainStable/A5/component_energy_ratio_pie.png</t>
        </is>
      </c>
      <c r="Z24" s="19" t="n">
        <v>1</v>
      </c>
      <c r="AA24" s="19" t="n">
        <v>1</v>
      </c>
      <c r="AB24" s="15" t="n">
        <v>2.293032923591514</v>
      </c>
      <c r="AC24" s="15" t="n">
        <v>0</v>
      </c>
      <c r="AD24" s="15" t="n">
        <v>5.315523101604473</v>
      </c>
      <c r="AE24" s="15" t="n">
        <v>0</v>
      </c>
      <c r="AF24" t="inlineStr">
        <is>
          <t>passed</t>
        </is>
      </c>
    </row>
    <row r="25">
      <c r="A25" t="inlineStr">
        <is>
          <t>A#5</t>
        </is>
      </c>
      <c r="B25" t="n">
        <v>82</v>
      </c>
      <c r="C25" t="inlineStr">
        <is>
          <t>Very high</t>
        </is>
      </c>
      <c r="D25" t="inlineStr">
        <is>
          <t>ff</t>
        </is>
      </c>
      <c r="E25" s="15" t="n">
        <v>2.471253769989818</v>
      </c>
      <c r="F25" s="15" t="n">
        <v>1.913345370754651</v>
      </c>
      <c r="G25" s="15" t="n">
        <v>0.7937683979236768</v>
      </c>
      <c r="H25" s="15" t="n">
        <v>5.178367538668147</v>
      </c>
      <c r="I25" s="19" t="n">
        <v>1</v>
      </c>
      <c r="J25" s="19" t="n">
        <v>0</v>
      </c>
      <c r="K25" s="19" t="n">
        <v>0</v>
      </c>
      <c r="L25" s="19" t="n">
        <v>0.7729190109747073</v>
      </c>
      <c r="M25" s="19" t="n">
        <v>0.2270809890252928</v>
      </c>
      <c r="N25" s="19" t="n">
        <v>0</v>
      </c>
      <c r="O25" s="15" t="n">
        <v>1.868846752018236</v>
      </c>
      <c r="P25" s="15" t="n">
        <v>0.3674765766960051</v>
      </c>
      <c r="Q25" s="15" t="n">
        <v>0.04104260893789594</v>
      </c>
      <c r="R25" s="15" t="n">
        <v>2.277365937652137</v>
      </c>
      <c r="S25" s="15" t="n">
        <v>73.74353545441113</v>
      </c>
      <c r="T25" s="15" t="n">
        <v>20.22789818724758</v>
      </c>
      <c r="U25" s="15" t="n">
        <v>1.304921277937204</v>
      </c>
      <c r="V25" s="15" t="n">
        <v>175.5624187615022</v>
      </c>
      <c r="W25" s="15" t="n">
        <v>0.5404863644284287</v>
      </c>
      <c r="X25" t="inlineStr">
        <is>
          <t>IOWA_flt_ff.A#5_SustainStable/A#5/component_amplitude_mass_pie.png</t>
        </is>
      </c>
      <c r="Y25" t="inlineStr">
        <is>
          <t>IOWA_flt_ff.A#5_SustainStable/A#5/component_energy_ratio_pie.png</t>
        </is>
      </c>
      <c r="Z25" s="19" t="n">
        <v>1</v>
      </c>
      <c r="AA25" s="19" t="n">
        <v>1</v>
      </c>
      <c r="AB25" s="15" t="n">
        <v>2.277365937652137</v>
      </c>
      <c r="AC25" s="15" t="n">
        <v>-4.440892098500626e-16</v>
      </c>
      <c r="AD25" s="15" t="n">
        <v>5.178367538668146</v>
      </c>
      <c r="AE25" s="15" t="n">
        <v>8.881784197001252e-16</v>
      </c>
      <c r="AF25" t="inlineStr">
        <is>
          <t>passed</t>
        </is>
      </c>
    </row>
    <row r="26">
      <c r="A26" t="inlineStr">
        <is>
          <t>B5</t>
        </is>
      </c>
      <c r="B26" t="n">
        <v>83</v>
      </c>
      <c r="C26" t="inlineStr">
        <is>
          <t>Very high</t>
        </is>
      </c>
      <c r="D26" t="inlineStr">
        <is>
          <t>ff</t>
        </is>
      </c>
      <c r="E26" s="15" t="n">
        <v>2.394131981297775</v>
      </c>
      <c r="F26" s="15" t="n">
        <v>1.738554691604675</v>
      </c>
      <c r="G26" s="15" t="n">
        <v>0.6421435234645196</v>
      </c>
      <c r="H26" s="15" t="n">
        <v>4.774830196366969</v>
      </c>
      <c r="I26" s="19" t="n">
        <v>1</v>
      </c>
      <c r="J26" s="19" t="n">
        <v>0</v>
      </c>
      <c r="K26" s="19" t="n">
        <v>0</v>
      </c>
      <c r="L26" s="19" t="n">
        <v>0.7628249990426151</v>
      </c>
      <c r="M26" s="19" t="n">
        <v>0.2371750009573849</v>
      </c>
      <c r="N26" s="19" t="n">
        <v>0</v>
      </c>
      <c r="O26" s="15" t="n">
        <v>1.810524613653807</v>
      </c>
      <c r="P26" s="15" t="n">
        <v>0.3339063277518382</v>
      </c>
      <c r="Q26" s="15" t="n">
        <v>0.03320268932914992</v>
      </c>
      <c r="R26" s="15" t="n">
        <v>2.177633630734796</v>
      </c>
      <c r="S26" s="15" t="n">
        <v>61.70437640178994</v>
      </c>
      <c r="T26" s="15" t="n">
        <v>13.44287678784297</v>
      </c>
      <c r="U26" s="15" t="n">
        <v>0.8466891128808128</v>
      </c>
      <c r="V26" s="15" t="n">
        <v>133.476159618219</v>
      </c>
      <c r="W26" s="15" t="n">
        <v>0.5307287259117983</v>
      </c>
      <c r="X26" t="inlineStr">
        <is>
          <t>IOWA_flt_ff.B5_SustainStable/B5/component_amplitude_mass_pie.png</t>
        </is>
      </c>
      <c r="Y26" t="inlineStr">
        <is>
          <t>IOWA_flt_ff.B5_SustainStable/B5/component_energy_ratio_pie.png</t>
        </is>
      </c>
      <c r="Z26" s="19" t="n">
        <v>1</v>
      </c>
      <c r="AA26" s="19" t="n">
        <v>1</v>
      </c>
      <c r="AB26" s="15" t="n">
        <v>2.177633630734795</v>
      </c>
      <c r="AC26" s="15" t="n">
        <v>8.881784197001252e-16</v>
      </c>
      <c r="AD26" s="15" t="n">
        <v>4.774830196366969</v>
      </c>
      <c r="AE26" s="15" t="n">
        <v>-8.881784197001252e-16</v>
      </c>
      <c r="AF26" t="inlineStr">
        <is>
          <t>passed</t>
        </is>
      </c>
    </row>
    <row r="27">
      <c r="A27" t="inlineStr">
        <is>
          <t>C6</t>
        </is>
      </c>
      <c r="B27" t="n">
        <v>84</v>
      </c>
      <c r="C27" t="inlineStr">
        <is>
          <t>Very high</t>
        </is>
      </c>
      <c r="D27" t="inlineStr">
        <is>
          <t>ff</t>
        </is>
      </c>
      <c r="E27" s="15" t="n">
        <v>2.473224596461617</v>
      </c>
      <c r="F27" s="15" t="n">
        <v>1.766719270520261</v>
      </c>
      <c r="G27" s="15" t="n">
        <v>0.6000346401163815</v>
      </c>
      <c r="H27" s="15" t="n">
        <v>4.839978507098259</v>
      </c>
      <c r="I27" s="19" t="n">
        <v>1</v>
      </c>
      <c r="J27" s="19" t="n">
        <v>0</v>
      </c>
      <c r="K27" s="19" t="n">
        <v>0</v>
      </c>
      <c r="L27" s="19" t="n">
        <v>0.7689541529154041</v>
      </c>
      <c r="M27" s="19" t="n">
        <v>0.2310458470845959</v>
      </c>
      <c r="N27" s="19" t="n">
        <v>0</v>
      </c>
      <c r="O27" s="15" t="n">
        <v>1.870337158505558</v>
      </c>
      <c r="P27" s="15" t="n">
        <v>0.3393156089000199</v>
      </c>
      <c r="Q27" s="15" t="n">
        <v>0.03102540633754952</v>
      </c>
      <c r="R27" s="15" t="n">
        <v>2.240678173743127</v>
      </c>
      <c r="S27" s="15" t="n">
        <v>74.08008083998722</v>
      </c>
      <c r="T27" s="15" t="n">
        <v>14.36030489814309</v>
      </c>
      <c r="U27" s="15" t="n">
        <v>0.7453473139265648</v>
      </c>
      <c r="V27" s="15" t="n">
        <v>186.0780013173648</v>
      </c>
      <c r="W27" s="15" t="n">
        <v>0.5407328679206435</v>
      </c>
      <c r="X27" t="inlineStr">
        <is>
          <t>IOWA_flt_ff.C6_SustainStable/C6/component_amplitude_mass_pie.png</t>
        </is>
      </c>
      <c r="Y27" t="inlineStr">
        <is>
          <t>IOWA_flt_ff.C6_SustainStable/C6/component_energy_ratio_pie.png</t>
        </is>
      </c>
      <c r="Z27" s="19" t="n">
        <v>1</v>
      </c>
      <c r="AA27" s="19" t="n">
        <v>1</v>
      </c>
      <c r="AB27" s="15" t="n">
        <v>2.240678173743127</v>
      </c>
      <c r="AC27" s="15" t="n">
        <v>-4.440892098500626e-16</v>
      </c>
      <c r="AD27" s="15" t="n">
        <v>4.83997850709826</v>
      </c>
      <c r="AE27" s="15" t="n">
        <v>-8.881784197001252e-16</v>
      </c>
      <c r="AF27" t="inlineStr">
        <is>
          <t>passed</t>
        </is>
      </c>
    </row>
    <row r="28">
      <c r="A28" t="inlineStr">
        <is>
          <t>C#6</t>
        </is>
      </c>
      <c r="B28" t="n">
        <v>85</v>
      </c>
      <c r="C28" t="inlineStr">
        <is>
          <t>Very high</t>
        </is>
      </c>
      <c r="D28" t="inlineStr">
        <is>
          <t>ff</t>
        </is>
      </c>
      <c r="E28" s="15" t="n">
        <v>2.393952371418846</v>
      </c>
      <c r="F28" s="15" t="n">
        <v>1.579997923114481</v>
      </c>
      <c r="G28" s="15" t="n">
        <v>0.6009543447337985</v>
      </c>
      <c r="H28" s="15" t="n">
        <v>4.574904639267126</v>
      </c>
      <c r="I28" s="19" t="n">
        <v>1</v>
      </c>
      <c r="J28" s="19" t="n">
        <v>0</v>
      </c>
      <c r="K28" s="19" t="n">
        <v>0</v>
      </c>
      <c r="L28" s="19" t="n">
        <v>0.7654385292963601</v>
      </c>
      <c r="M28" s="19" t="n">
        <v>0.2345614707036399</v>
      </c>
      <c r="N28" s="19" t="n">
        <v>0</v>
      </c>
      <c r="O28" s="15" t="n">
        <v>1.810388786510945</v>
      </c>
      <c r="P28" s="15" t="n">
        <v>0.3034539591479533</v>
      </c>
      <c r="Q28" s="15" t="n">
        <v>0.03107296060785023</v>
      </c>
      <c r="R28" s="15" t="n">
        <v>2.144915706266748</v>
      </c>
      <c r="S28" s="15" t="n">
        <v>61.67875941189627</v>
      </c>
      <c r="T28" s="15" t="n">
        <v>9.254689454525874</v>
      </c>
      <c r="U28" s="15" t="n">
        <v>0.7474573925501445</v>
      </c>
      <c r="V28" s="15" t="n">
        <v>148.7128488154557</v>
      </c>
      <c r="W28" s="15" t="n">
        <v>0.5307057434103211</v>
      </c>
      <c r="X28" t="inlineStr">
        <is>
          <t>IOWA_flt_ff.C#6_SustainStable/C#6/component_amplitude_mass_pie.png</t>
        </is>
      </c>
      <c r="Y28" t="inlineStr">
        <is>
          <t>IOWA_flt_ff.C#6_SustainStable/C#6/component_energy_ratio_pie.png</t>
        </is>
      </c>
      <c r="Z28" s="19" t="n">
        <v>1</v>
      </c>
      <c r="AA28" s="19" t="n">
        <v>1</v>
      </c>
      <c r="AB28" s="15" t="n">
        <v>2.144915706266748</v>
      </c>
      <c r="AC28" s="15" t="n">
        <v>-4.440892098500626e-16</v>
      </c>
      <c r="AD28" s="15" t="n">
        <v>4.574904639267126</v>
      </c>
      <c r="AE28" s="15" t="n">
        <v>8.881784197001252e-16</v>
      </c>
      <c r="AF28" t="inlineStr">
        <is>
          <t>passed</t>
        </is>
      </c>
    </row>
    <row r="29">
      <c r="A29" t="inlineStr">
        <is>
          <t>D6</t>
        </is>
      </c>
      <c r="B29" t="n">
        <v>86</v>
      </c>
      <c r="C29" t="inlineStr">
        <is>
          <t>Very high</t>
        </is>
      </c>
      <c r="D29" t="inlineStr">
        <is>
          <t>ff</t>
        </is>
      </c>
      <c r="E29" s="15" t="n">
        <v>2.415565882333189</v>
      </c>
      <c r="F29" s="15" t="n">
        <v>1.660071770222085</v>
      </c>
      <c r="G29" s="15" t="n">
        <v>0.4885064693351339</v>
      </c>
      <c r="H29" s="15" t="n">
        <v>4.564144121890408</v>
      </c>
      <c r="I29" s="19" t="n">
        <v>1</v>
      </c>
      <c r="J29" s="19" t="n">
        <v>0</v>
      </c>
      <c r="K29" s="19" t="n">
        <v>0</v>
      </c>
      <c r="L29" s="19" t="n">
        <v>0.7651164840436815</v>
      </c>
      <c r="M29" s="19" t="n">
        <v>0.2348835159563185</v>
      </c>
      <c r="N29" s="19" t="n">
        <v>0</v>
      </c>
      <c r="O29" s="15" t="n">
        <v>1.826733663820792</v>
      </c>
      <c r="P29" s="15" t="n">
        <v>0.3188329198247578</v>
      </c>
      <c r="Q29" s="15" t="n">
        <v>0.02525872790728308</v>
      </c>
      <c r="R29" s="15" t="n">
        <v>2.170825311552833</v>
      </c>
      <c r="S29" s="15" t="n">
        <v>64.8387439769774</v>
      </c>
      <c r="T29" s="15" t="n">
        <v>11.17909332248913</v>
      </c>
      <c r="U29" s="15" t="n">
        <v>0.5199215541915064</v>
      </c>
      <c r="V29" s="15" t="n">
        <v>166.4514906068576</v>
      </c>
      <c r="W29" s="15" t="n">
        <v>0.5334626667921263</v>
      </c>
      <c r="X29" t="inlineStr">
        <is>
          <t>IOWA_flt_ff.D6_SustainStable/D6/component_amplitude_mass_pie.png</t>
        </is>
      </c>
      <c r="Y29" t="inlineStr">
        <is>
          <t>IOWA_flt_ff.D6_SustainStable/D6/component_energy_ratio_pie.png</t>
        </is>
      </c>
      <c r="Z29" s="19" t="n">
        <v>1</v>
      </c>
      <c r="AA29" s="19" t="n">
        <v>1</v>
      </c>
      <c r="AB29" s="15" t="n">
        <v>2.170825311552833</v>
      </c>
      <c r="AC29" s="15" t="n">
        <v>4.440892098500626e-16</v>
      </c>
      <c r="AD29" s="15" t="n">
        <v>4.564144121890408</v>
      </c>
      <c r="AE29" s="15" t="n">
        <v>0</v>
      </c>
      <c r="AF29" t="inlineStr">
        <is>
          <t>passed</t>
        </is>
      </c>
    </row>
    <row r="30">
      <c r="A30" t="inlineStr">
        <is>
          <t>D#6</t>
        </is>
      </c>
      <c r="B30" t="n">
        <v>87</v>
      </c>
      <c r="C30" t="inlineStr">
        <is>
          <t>Very high</t>
        </is>
      </c>
      <c r="D30" t="inlineStr">
        <is>
          <t>ff</t>
        </is>
      </c>
      <c r="E30" s="15" t="n">
        <v>2.445246265532942</v>
      </c>
      <c r="F30" s="15" t="n">
        <v>1.723604685061958</v>
      </c>
      <c r="G30" s="15" t="n">
        <v>0.9096933315330517</v>
      </c>
      <c r="H30" s="15" t="n">
        <v>5.078544282127952</v>
      </c>
      <c r="I30" s="19" t="n">
        <v>1</v>
      </c>
      <c r="J30" s="19" t="n">
        <v>0</v>
      </c>
      <c r="K30" s="19" t="n">
        <v>0</v>
      </c>
      <c r="L30" s="19" t="n">
        <v>0.7626628449006063</v>
      </c>
      <c r="M30" s="19" t="n">
        <v>0.2373371550993937</v>
      </c>
      <c r="N30" s="19" t="n">
        <v>0</v>
      </c>
      <c r="O30" s="15" t="n">
        <v>1.849178986278203</v>
      </c>
      <c r="P30" s="15" t="n">
        <v>0.3310350336771392</v>
      </c>
      <c r="Q30" s="15" t="n">
        <v>0.0470366264985933</v>
      </c>
      <c r="R30" s="15" t="n">
        <v>2.227250646453936</v>
      </c>
      <c r="S30" s="15" t="n">
        <v>69.44253698136544</v>
      </c>
      <c r="T30" s="15" t="n">
        <v>12.97953847674317</v>
      </c>
      <c r="U30" s="15" t="n">
        <v>1.780641886388244</v>
      </c>
      <c r="V30" s="15" t="n">
        <v>160.1518632881215</v>
      </c>
      <c r="W30" s="15" t="n">
        <v>0.5372202706382755</v>
      </c>
      <c r="X30" t="inlineStr">
        <is>
          <t>IOWA_flt_ff.D#6_SustainStable/D#6/component_amplitude_mass_pie.png</t>
        </is>
      </c>
      <c r="Y30" t="inlineStr">
        <is>
          <t>IOWA_flt_ff.D#6_SustainStable/D#6/component_energy_ratio_pie.png</t>
        </is>
      </c>
      <c r="Z30" s="19" t="n">
        <v>1</v>
      </c>
      <c r="AA30" s="19" t="n">
        <v>1</v>
      </c>
      <c r="AB30" s="15" t="n">
        <v>2.227250646453935</v>
      </c>
      <c r="AC30" s="15" t="n">
        <v>4.440892098500626e-16</v>
      </c>
      <c r="AD30" s="15" t="n">
        <v>5.078544282127951</v>
      </c>
      <c r="AE30" s="15" t="n">
        <v>8.881784197001252e-16</v>
      </c>
      <c r="AF30" t="inlineStr">
        <is>
          <t>passed</t>
        </is>
      </c>
    </row>
    <row r="31">
      <c r="A31" t="inlineStr">
        <is>
          <t>E6</t>
        </is>
      </c>
      <c r="B31" t="n">
        <v>88</v>
      </c>
      <c r="C31" t="inlineStr">
        <is>
          <t>Very high</t>
        </is>
      </c>
      <c r="D31" t="inlineStr">
        <is>
          <t>ff</t>
        </is>
      </c>
      <c r="E31" s="15" t="n">
        <v>2.349457068816174</v>
      </c>
      <c r="F31" s="15" t="n">
        <v>1.514126313776892</v>
      </c>
      <c r="G31" s="15" t="n">
        <v>0.4935062561611958</v>
      </c>
      <c r="H31" s="15" t="n">
        <v>4.357089638754262</v>
      </c>
      <c r="I31" s="19" t="n">
        <v>1</v>
      </c>
      <c r="J31" s="19" t="n">
        <v>0</v>
      </c>
      <c r="K31" s="19" t="n">
        <v>0</v>
      </c>
      <c r="L31" s="19" t="n">
        <v>0.7402408148559313</v>
      </c>
      <c r="M31" s="19" t="n">
        <v>0.2597591851440686</v>
      </c>
      <c r="N31" s="19" t="n">
        <v>0</v>
      </c>
      <c r="O31" s="15" t="n">
        <v>1.776739914525849</v>
      </c>
      <c r="P31" s="15" t="n">
        <v>0.2908026762845324</v>
      </c>
      <c r="Q31" s="15" t="n">
        <v>0.0255172470118628</v>
      </c>
      <c r="R31" s="15" t="n">
        <v>2.093059837822244</v>
      </c>
      <c r="S31" s="15" t="n">
        <v>55.64810401621489</v>
      </c>
      <c r="T31" s="15" t="n">
        <v>7.917070836917818</v>
      </c>
      <c r="U31" s="15" t="n">
        <v>0.5288364433191333</v>
      </c>
      <c r="V31" s="15" t="n">
        <v>166.4316504862004</v>
      </c>
      <c r="W31" s="15" t="n">
        <v>0.5249744156557876</v>
      </c>
      <c r="X31" t="inlineStr">
        <is>
          <t>IOWA_flt_ff.E6_SustainStable/E6/component_amplitude_mass_pie.png</t>
        </is>
      </c>
      <c r="Y31" t="inlineStr">
        <is>
          <t>IOWA_flt_ff.E6_SustainStable/E6/component_energy_ratio_pie.png</t>
        </is>
      </c>
      <c r="Z31" s="19" t="n">
        <v>1</v>
      </c>
      <c r="AA31" s="19" t="n">
        <v>1</v>
      </c>
      <c r="AB31" s="15" t="n">
        <v>2.093059837822244</v>
      </c>
      <c r="AC31" s="15" t="n">
        <v>-4.440892098500626e-16</v>
      </c>
      <c r="AD31" s="15" t="n">
        <v>4.357089638754262</v>
      </c>
      <c r="AE31" s="15" t="n">
        <v>0</v>
      </c>
      <c r="AF31" t="inlineStr">
        <is>
          <t>passed</t>
        </is>
      </c>
    </row>
    <row r="32">
      <c r="A32" t="inlineStr">
        <is>
          <t>F6</t>
        </is>
      </c>
      <c r="B32" t="n">
        <v>89</v>
      </c>
      <c r="C32" t="inlineStr">
        <is>
          <t>Very high</t>
        </is>
      </c>
      <c r="D32" t="inlineStr">
        <is>
          <t>ff</t>
        </is>
      </c>
      <c r="E32" s="15" t="n">
        <v>2.385595499285407</v>
      </c>
      <c r="F32" s="15" t="n">
        <v>1.878831645628529</v>
      </c>
      <c r="G32" s="15" t="n">
        <v>0.375039197510082</v>
      </c>
      <c r="H32" s="15" t="n">
        <v>4.639466342424018</v>
      </c>
      <c r="I32" s="19" t="n">
        <v>1</v>
      </c>
      <c r="J32" s="19" t="n">
        <v>0</v>
      </c>
      <c r="K32" s="19" t="n">
        <v>0</v>
      </c>
      <c r="L32" s="19" t="n">
        <v>0.7643460870034005</v>
      </c>
      <c r="M32" s="19" t="n">
        <v>0.2356539129965995</v>
      </c>
      <c r="N32" s="19" t="n">
        <v>0</v>
      </c>
      <c r="O32" s="15" t="n">
        <v>1.804069033544549</v>
      </c>
      <c r="P32" s="15" t="n">
        <v>0.3608478803026445</v>
      </c>
      <c r="Q32" s="15" t="n">
        <v>0.01939178626920929</v>
      </c>
      <c r="R32" s="15" t="n">
        <v>2.184308700116403</v>
      </c>
      <c r="S32" s="15" t="n">
        <v>30.24924644288937</v>
      </c>
      <c r="T32" s="15" t="n">
        <v>9.33174456757698</v>
      </c>
      <c r="U32" s="15" t="n">
        <v>0.171448468135369</v>
      </c>
      <c r="V32" s="15" t="n">
        <v>47.27583832552474</v>
      </c>
      <c r="W32" s="15" t="n">
        <v>0.5296350686806952</v>
      </c>
      <c r="X32" t="inlineStr">
        <is>
          <t>IOWA_flt_ff.F6_SustainStable/F6/component_amplitude_mass_pie.png</t>
        </is>
      </c>
      <c r="Y32" t="inlineStr">
        <is>
          <t>IOWA_flt_ff.F6_SustainStable/F6/component_energy_ratio_pie.png</t>
        </is>
      </c>
      <c r="Z32" s="19" t="n">
        <v>1</v>
      </c>
      <c r="AA32" s="19" t="n">
        <v>1</v>
      </c>
      <c r="AB32" s="15" t="n">
        <v>2.184308700116403</v>
      </c>
      <c r="AC32" s="15" t="n">
        <v>4.440892098500626e-16</v>
      </c>
      <c r="AD32" s="15" t="n">
        <v>4.639466342424019</v>
      </c>
      <c r="AE32" s="15" t="n">
        <v>-8.881784197001252e-16</v>
      </c>
      <c r="AF32" t="inlineStr">
        <is>
          <t>passed</t>
        </is>
      </c>
    </row>
    <row r="33">
      <c r="A33" t="inlineStr">
        <is>
          <t>F#6</t>
        </is>
      </c>
      <c r="B33" t="n">
        <v>90</v>
      </c>
      <c r="C33" t="inlineStr">
        <is>
          <t>Very high</t>
        </is>
      </c>
      <c r="D33" t="inlineStr">
        <is>
          <t>ff</t>
        </is>
      </c>
      <c r="E33" s="15" t="n">
        <v>2.362235656385119</v>
      </c>
      <c r="F33" s="15" t="n">
        <v>1.859592481511121</v>
      </c>
      <c r="G33" s="15" t="n">
        <v>0.3162395868449299</v>
      </c>
      <c r="H33" s="15" t="n">
        <v>4.53806772474117</v>
      </c>
      <c r="I33" s="19" t="n">
        <v>1</v>
      </c>
      <c r="J33" s="19" t="n">
        <v>0</v>
      </c>
      <c r="K33" s="19" t="n">
        <v>0</v>
      </c>
      <c r="L33" s="19" t="n">
        <v>0.7504629262650089</v>
      </c>
      <c r="M33" s="19" t="n">
        <v>0.249537073734991</v>
      </c>
      <c r="N33" s="19" t="n">
        <v>0</v>
      </c>
      <c r="O33" s="15" t="n">
        <v>1.786403520167491</v>
      </c>
      <c r="P33" s="15" t="n">
        <v>0.3571528118239364</v>
      </c>
      <c r="Q33" s="15" t="n">
        <v>0.01635149210715521</v>
      </c>
      <c r="R33" s="15" t="n">
        <v>2.159907824098583</v>
      </c>
      <c r="S33" s="15" t="n">
        <v>28.65863702578329</v>
      </c>
      <c r="T33" s="15" t="n">
        <v>8.921956341525842</v>
      </c>
      <c r="U33" s="15" t="n">
        <v>0.1339104621088696</v>
      </c>
      <c r="V33" s="15" t="n">
        <v>47.29256415652407</v>
      </c>
      <c r="W33" s="15" t="n">
        <v>0.526628149520164</v>
      </c>
      <c r="X33" t="inlineStr">
        <is>
          <t>IOWA_flt_ff.F#6_SustainStable/F#6/component_amplitude_mass_pie.png</t>
        </is>
      </c>
      <c r="Y33" t="inlineStr">
        <is>
          <t>IOWA_flt_ff.F#6_SustainStable/F#6/component_energy_ratio_pie.png</t>
        </is>
      </c>
      <c r="Z33" s="19" t="n">
        <v>1</v>
      </c>
      <c r="AA33" s="19" t="n">
        <v>0.9999999999999999</v>
      </c>
      <c r="AB33" s="15" t="n">
        <v>2.159907824098583</v>
      </c>
      <c r="AC33" s="15" t="n">
        <v>4.440892098500626e-16</v>
      </c>
      <c r="AD33" s="15" t="n">
        <v>4.53806772474117</v>
      </c>
      <c r="AE33" s="15" t="n">
        <v>0</v>
      </c>
      <c r="AF33" t="inlineStr">
        <is>
          <t>passed</t>
        </is>
      </c>
    </row>
    <row r="34">
      <c r="A34" t="inlineStr">
        <is>
          <t>G6</t>
        </is>
      </c>
      <c r="B34" t="n">
        <v>91</v>
      </c>
      <c r="C34" t="inlineStr">
        <is>
          <t>Very high</t>
        </is>
      </c>
      <c r="D34" t="inlineStr">
        <is>
          <t>ff</t>
        </is>
      </c>
      <c r="E34" s="15" t="n">
        <v>2.334520095939889</v>
      </c>
      <c r="F34" s="15" t="n">
        <v>1.685940342929437</v>
      </c>
      <c r="G34" s="15" t="n">
        <v>0.3443874239198703</v>
      </c>
      <c r="H34" s="15" t="n">
        <v>4.364847862789196</v>
      </c>
      <c r="I34" s="19" t="n">
        <v>1</v>
      </c>
      <c r="J34" s="19" t="n">
        <v>0</v>
      </c>
      <c r="K34" s="19" t="n">
        <v>0</v>
      </c>
      <c r="L34" s="19" t="n">
        <v>0.7615572607664263</v>
      </c>
      <c r="M34" s="19" t="n">
        <v>0.2384427392335738</v>
      </c>
      <c r="N34" s="19" t="n">
        <v>0</v>
      </c>
      <c r="O34" s="15" t="n">
        <v>1.765444063980745</v>
      </c>
      <c r="P34" s="15" t="n">
        <v>0.323801230662837</v>
      </c>
      <c r="Q34" s="15" t="n">
        <v>0.01780690488566377</v>
      </c>
      <c r="R34" s="15" t="n">
        <v>2.107052199529246</v>
      </c>
      <c r="S34" s="15" t="n">
        <v>26.87912495716094</v>
      </c>
      <c r="T34" s="15" t="n">
        <v>5.940273035650051</v>
      </c>
      <c r="U34" s="15" t="n">
        <v>0.1512469151342625</v>
      </c>
      <c r="V34" s="15" t="n">
        <v>50.77117278591101</v>
      </c>
      <c r="W34" s="15" t="n">
        <v>0.5230333390974529</v>
      </c>
      <c r="X34" t="inlineStr">
        <is>
          <t>IOWA_flt_ff.G6_SustainStable/G6/component_amplitude_mass_pie.png</t>
        </is>
      </c>
      <c r="Y34" t="inlineStr">
        <is>
          <t>IOWA_flt_ff.G6_SustainStable/G6/component_energy_ratio_pie.png</t>
        </is>
      </c>
      <c r="Z34" s="19" t="n">
        <v>1</v>
      </c>
      <c r="AA34" s="19" t="n">
        <v>1</v>
      </c>
      <c r="AB34" s="15" t="n">
        <v>2.107052199529246</v>
      </c>
      <c r="AC34" s="15" t="n">
        <v>0</v>
      </c>
      <c r="AD34" s="15" t="n">
        <v>4.364847862789196</v>
      </c>
      <c r="AE34" s="15" t="n">
        <v>0</v>
      </c>
      <c r="AF34" t="inlineStr">
        <is>
          <t>passed</t>
        </is>
      </c>
    </row>
    <row r="35">
      <c r="A35" t="inlineStr">
        <is>
          <t>G#6</t>
        </is>
      </c>
      <c r="B35" t="n">
        <v>92</v>
      </c>
      <c r="C35" t="inlineStr">
        <is>
          <t>Very high</t>
        </is>
      </c>
      <c r="D35" t="inlineStr">
        <is>
          <t>ff</t>
        </is>
      </c>
      <c r="E35" s="15" t="n">
        <v>2.400407874239882</v>
      </c>
      <c r="F35" s="15" t="n">
        <v>1.890562002866136</v>
      </c>
      <c r="G35" s="15" t="n">
        <v>0.4817127096717587</v>
      </c>
      <c r="H35" s="15" t="n">
        <v>4.772682586777777</v>
      </c>
      <c r="I35" s="19" t="n">
        <v>1</v>
      </c>
      <c r="J35" s="19" t="n">
        <v>0</v>
      </c>
      <c r="K35" s="19" t="n">
        <v>0</v>
      </c>
      <c r="L35" s="19" t="n">
        <v>0.764320936904941</v>
      </c>
      <c r="M35" s="19" t="n">
        <v>0.2356790630950589</v>
      </c>
      <c r="N35" s="19" t="n">
        <v>0</v>
      </c>
      <c r="O35" s="15" t="n">
        <v>1.815270658873162</v>
      </c>
      <c r="P35" s="15" t="n">
        <v>0.3631008094324216</v>
      </c>
      <c r="Q35" s="15" t="n">
        <v>0.02490744959762585</v>
      </c>
      <c r="R35" s="15" t="n">
        <v>2.20327891790321</v>
      </c>
      <c r="S35" s="15" t="n">
        <v>31.30308269776389</v>
      </c>
      <c r="T35" s="15" t="n">
        <v>9.59065345939741</v>
      </c>
      <c r="U35" s="15" t="n">
        <v>0.2539856121505089</v>
      </c>
      <c r="V35" s="15" t="n">
        <v>55.00224164501638</v>
      </c>
      <c r="W35" s="15" t="n">
        <v>0.5315310131915389</v>
      </c>
      <c r="X35" t="inlineStr">
        <is>
          <t>IOWA_flt_ff.G#6_SustainStable/G#6/component_amplitude_mass_pie.png</t>
        </is>
      </c>
      <c r="Y35" t="inlineStr">
        <is>
          <t>IOWA_flt_ff.G#6_SustainStable/G#6/component_energy_ratio_pie.png</t>
        </is>
      </c>
      <c r="Z35" s="19" t="n">
        <v>1</v>
      </c>
      <c r="AA35" s="19" t="n">
        <v>0.9999999999999999</v>
      </c>
      <c r="AB35" s="15" t="n">
        <v>2.20327891790321</v>
      </c>
      <c r="AC35" s="15" t="n">
        <v>4.440892098500626e-16</v>
      </c>
      <c r="AD35" s="15" t="n">
        <v>4.772682586777776</v>
      </c>
      <c r="AE35" s="15" t="n">
        <v>8.881784197001252e-16</v>
      </c>
      <c r="AF35" t="inlineStr">
        <is>
          <t>passed</t>
        </is>
      </c>
    </row>
    <row r="36">
      <c r="A36" t="inlineStr">
        <is>
          <t>A6</t>
        </is>
      </c>
      <c r="B36" t="n">
        <v>93</v>
      </c>
      <c r="C36" t="inlineStr">
        <is>
          <t>Very high</t>
        </is>
      </c>
      <c r="D36" t="inlineStr">
        <is>
          <t>ff</t>
        </is>
      </c>
      <c r="E36" s="15" t="n">
        <v>2.374669754933271</v>
      </c>
      <c r="F36" s="15" t="n">
        <v>1.839128377605629</v>
      </c>
      <c r="G36" s="15" t="n">
        <v>0.2602340342818875</v>
      </c>
      <c r="H36" s="15" t="n">
        <v>4.474032166820788</v>
      </c>
      <c r="I36" s="19" t="n">
        <v>1</v>
      </c>
      <c r="J36" s="19" t="n">
        <v>0</v>
      </c>
      <c r="K36" s="19" t="n">
        <v>0</v>
      </c>
      <c r="L36" s="19" t="n">
        <v>0.7670422759387934</v>
      </c>
      <c r="M36" s="19" t="n">
        <v>0.2329577240612065</v>
      </c>
      <c r="N36" s="19" t="n">
        <v>0</v>
      </c>
      <c r="O36" s="15" t="n">
        <v>1.795806611411368</v>
      </c>
      <c r="P36" s="15" t="n">
        <v>0.3532224817521756</v>
      </c>
      <c r="Q36" s="15" t="n">
        <v>0.01345566758427374</v>
      </c>
      <c r="R36" s="15" t="n">
        <v>2.162484760747818</v>
      </c>
      <c r="S36" s="15" t="n">
        <v>29.49463946677477</v>
      </c>
      <c r="T36" s="15" t="n">
        <v>8.505548364185401</v>
      </c>
      <c r="U36" s="15" t="n">
        <v>0.1025852162845512</v>
      </c>
      <c r="V36" s="15" t="n">
        <v>57.57384378902258</v>
      </c>
      <c r="W36" s="15" t="n">
        <v>0.5282312792032979</v>
      </c>
      <c r="X36" t="inlineStr">
        <is>
          <t>IOWA_flt_ff.A6_SustainStable/A6/component_amplitude_mass_pie.png</t>
        </is>
      </c>
      <c r="Y36" t="inlineStr">
        <is>
          <t>IOWA_flt_ff.A6_SustainStable/A6/component_energy_ratio_pie.png</t>
        </is>
      </c>
      <c r="Z36" s="19" t="n">
        <v>1</v>
      </c>
      <c r="AA36" s="19" t="n">
        <v>0.9999999999999999</v>
      </c>
      <c r="AB36" s="15" t="n">
        <v>2.162484760747817</v>
      </c>
      <c r="AC36" s="15" t="n">
        <v>8.881784197001252e-16</v>
      </c>
      <c r="AD36" s="15" t="n">
        <v>4.474032166820787</v>
      </c>
      <c r="AE36" s="15" t="n">
        <v>8.881784197001252e-16</v>
      </c>
      <c r="AF36" t="inlineStr">
        <is>
          <t>passed</t>
        </is>
      </c>
    </row>
    <row r="37">
      <c r="A37" t="inlineStr">
        <is>
          <t>A#6</t>
        </is>
      </c>
      <c r="B37" t="n">
        <v>94</v>
      </c>
      <c r="C37" t="inlineStr">
        <is>
          <t>Very high</t>
        </is>
      </c>
      <c r="D37" t="inlineStr">
        <is>
          <t>ff</t>
        </is>
      </c>
      <c r="E37" s="15" t="n">
        <v>2.409972954892286</v>
      </c>
      <c r="F37" s="15" t="n">
        <v>1.806270515086471</v>
      </c>
      <c r="G37" s="15" t="n">
        <v>0.3071955970390236</v>
      </c>
      <c r="H37" s="15" t="n">
        <v>4.523439067017781</v>
      </c>
      <c r="I37" s="19" t="n">
        <v>1</v>
      </c>
      <c r="J37" s="19" t="n">
        <v>0</v>
      </c>
      <c r="K37" s="19" t="n">
        <v>0</v>
      </c>
      <c r="L37" s="19" t="n">
        <v>0.7638995217753917</v>
      </c>
      <c r="M37" s="19" t="n">
        <v>0.2361004782246083</v>
      </c>
      <c r="N37" s="19" t="n">
        <v>0</v>
      </c>
      <c r="O37" s="15" t="n">
        <v>1.822504100507977</v>
      </c>
      <c r="P37" s="15" t="n">
        <v>0.346911809867922</v>
      </c>
      <c r="Q37" s="15" t="n">
        <v>0.01588386334061188</v>
      </c>
      <c r="R37" s="15" t="n">
        <v>2.185299773716511</v>
      </c>
      <c r="S37" s="15" t="n">
        <v>32.00294649743683</v>
      </c>
      <c r="T37" s="15" t="n">
        <v>7.87666800261028</v>
      </c>
      <c r="U37" s="15" t="n">
        <v>0.1285745188205185</v>
      </c>
      <c r="V37" s="15" t="n">
        <v>66.61583838255768</v>
      </c>
      <c r="W37" s="15" t="n">
        <v>0.5327509345386501</v>
      </c>
      <c r="X37" t="inlineStr">
        <is>
          <t>IOWA_flt_ff.A#6_SustainStable/A#6/component_amplitude_mass_pie.png</t>
        </is>
      </c>
      <c r="Y37" t="inlineStr">
        <is>
          <t>IOWA_flt_ff.A#6_SustainStable/A#6/component_energy_ratio_pie.png</t>
        </is>
      </c>
      <c r="Z37" s="19" t="n">
        <v>1</v>
      </c>
      <c r="AA37" s="19" t="n">
        <v>0.9999999999999999</v>
      </c>
      <c r="AB37" s="15" t="n">
        <v>2.185299773716511</v>
      </c>
      <c r="AC37" s="15" t="n">
        <v>0</v>
      </c>
      <c r="AD37" s="15" t="n">
        <v>4.52343906701778</v>
      </c>
      <c r="AE37" s="15" t="n">
        <v>8.881784197001252e-16</v>
      </c>
      <c r="AF37" t="inlineStr">
        <is>
          <t>passed</t>
        </is>
      </c>
    </row>
    <row r="38">
      <c r="A38" t="inlineStr">
        <is>
          <t>B6</t>
        </is>
      </c>
      <c r="B38" t="n">
        <v>95</v>
      </c>
      <c r="C38" t="inlineStr">
        <is>
          <t>Very high</t>
        </is>
      </c>
      <c r="D38" t="inlineStr">
        <is>
          <t>ff</t>
        </is>
      </c>
      <c r="E38" s="15" t="n">
        <v>2.370493714442146</v>
      </c>
      <c r="F38" s="15" t="n">
        <v>1.86352356600664</v>
      </c>
      <c r="G38" s="15" t="n">
        <v>0.2714914002817627</v>
      </c>
      <c r="H38" s="15" t="n">
        <v>4.505508680730548</v>
      </c>
      <c r="I38" s="19" t="n">
        <v>1</v>
      </c>
      <c r="J38" s="19" t="n">
        <v>0</v>
      </c>
      <c r="K38" s="19" t="n">
        <v>0</v>
      </c>
      <c r="L38" s="19" t="n">
        <v>0.7488590741721264</v>
      </c>
      <c r="M38" s="19" t="n">
        <v>0.2511409258278737</v>
      </c>
      <c r="N38" s="19" t="n">
        <v>0</v>
      </c>
      <c r="O38" s="15" t="n">
        <v>1.792648546544493</v>
      </c>
      <c r="P38" s="15" t="n">
        <v>0.3579078148125221</v>
      </c>
      <c r="Q38" s="15" t="n">
        <v>0.01403774123650305</v>
      </c>
      <c r="R38" s="15" t="n">
        <v>2.164594102593518</v>
      </c>
      <c r="S38" s="15" t="n">
        <v>29.21119119687971</v>
      </c>
      <c r="T38" s="15" t="n">
        <v>9.00421802382086</v>
      </c>
      <c r="U38" s="15" t="n">
        <v>0.1085615847220817</v>
      </c>
      <c r="V38" s="15" t="n">
        <v>61.70875097299106</v>
      </c>
      <c r="W38" s="15" t="n">
        <v>0.5276935215695625</v>
      </c>
      <c r="X38" t="inlineStr">
        <is>
          <t>IOWA_flt_ff.B6_SustainStable/B6/component_amplitude_mass_pie.png</t>
        </is>
      </c>
      <c r="Y38" t="inlineStr">
        <is>
          <t>IOWA_flt_ff.B6_SustainStable/B6/component_energy_ratio_pie.png</t>
        </is>
      </c>
      <c r="Z38" s="19" t="n">
        <v>1</v>
      </c>
      <c r="AA38" s="19" t="n">
        <v>1</v>
      </c>
      <c r="AB38" s="15" t="n">
        <v>2.164594102593518</v>
      </c>
      <c r="AC38" s="15" t="n">
        <v>-4.440892098500626e-16</v>
      </c>
      <c r="AD38" s="15" t="n">
        <v>4.505508680730548</v>
      </c>
      <c r="AE38" s="15" t="n">
        <v>0</v>
      </c>
      <c r="AF38" t="inlineStr">
        <is>
          <t>passed</t>
        </is>
      </c>
    </row>
    <row r="39">
      <c r="A39" t="inlineStr">
        <is>
          <t>C7</t>
        </is>
      </c>
      <c r="B39" t="n">
        <v>96</v>
      </c>
      <c r="C39" t="inlineStr">
        <is>
          <t>Very high</t>
        </is>
      </c>
      <c r="D39" t="inlineStr">
        <is>
          <t>ff</t>
        </is>
      </c>
      <c r="E39" s="15" t="n">
        <v>2.438375347511269</v>
      </c>
      <c r="F39" s="15" t="n">
        <v>1.889286287654939</v>
      </c>
      <c r="G39" s="15" t="n">
        <v>0.4523482308816238</v>
      </c>
      <c r="H39" s="15" t="n">
        <v>4.780009866047832</v>
      </c>
      <c r="I39" s="19" t="n">
        <v>1</v>
      </c>
      <c r="J39" s="19" t="n">
        <v>0</v>
      </c>
      <c r="K39" s="19" t="n">
        <v>0</v>
      </c>
      <c r="L39" s="19" t="n">
        <v>0.7630470523432646</v>
      </c>
      <c r="M39" s="19" t="n">
        <v>0.2369529476567354</v>
      </c>
      <c r="N39" s="19" t="n">
        <v>0</v>
      </c>
      <c r="O39" s="15" t="n">
        <v>1.843982962711494</v>
      </c>
      <c r="P39" s="15" t="n">
        <v>0.3628557959258089</v>
      </c>
      <c r="Q39" s="15" t="n">
        <v>0.02338912911169926</v>
      </c>
      <c r="R39" s="15" t="n">
        <v>2.230227887749002</v>
      </c>
      <c r="S39" s="15" t="n">
        <v>34.17430819147674</v>
      </c>
      <c r="T39" s="15" t="n">
        <v>9.5621561579096</v>
      </c>
      <c r="U39" s="15" t="n">
        <v>0.2292079005983903</v>
      </c>
      <c r="V39" s="15" t="n">
        <v>80.60845956421021</v>
      </c>
      <c r="W39" s="15" t="n">
        <v>0.536353284350776</v>
      </c>
      <c r="X39" t="inlineStr">
        <is>
          <t>IOWA_flt_ff.C7_SustainStable/C7/component_amplitude_mass_pie.png</t>
        </is>
      </c>
      <c r="Y39" t="inlineStr">
        <is>
          <t>IOWA_flt_ff.C7_SustainStable/C7/component_energy_ratio_pie.png</t>
        </is>
      </c>
      <c r="Z39" s="19" t="n">
        <v>1</v>
      </c>
      <c r="AA39" s="19" t="n">
        <v>1</v>
      </c>
      <c r="AB39" s="15" t="n">
        <v>2.230227887749002</v>
      </c>
      <c r="AC39" s="15" t="n">
        <v>-4.440892098500626e-16</v>
      </c>
      <c r="AD39" s="15" t="n">
        <v>4.780009866047831</v>
      </c>
      <c r="AE39" s="15" t="n">
        <v>8.881784197001252e-16</v>
      </c>
      <c r="AF39" t="inlineStr">
        <is>
          <t>passed</t>
        </is>
      </c>
    </row>
    <row r="40">
      <c r="A40" t="inlineStr">
        <is>
          <t>C#7</t>
        </is>
      </c>
      <c r="B40" t="n">
        <v>97</v>
      </c>
      <c r="C40" t="inlineStr">
        <is>
          <t>Very high</t>
        </is>
      </c>
      <c r="D40" t="inlineStr">
        <is>
          <t>ff</t>
        </is>
      </c>
      <c r="E40" s="15" t="n">
        <v>2.398096258901981</v>
      </c>
      <c r="F40" s="15" t="n">
        <v>1.804676400514547</v>
      </c>
      <c r="G40" s="15" t="n">
        <v>0.3724086917393532</v>
      </c>
      <c r="H40" s="15" t="n">
        <v>4.575181351155881</v>
      </c>
      <c r="I40" s="19" t="n">
        <v>1</v>
      </c>
      <c r="J40" s="19" t="n">
        <v>0</v>
      </c>
      <c r="K40" s="19" t="n">
        <v>0</v>
      </c>
      <c r="L40" s="19" t="n">
        <v>0.7673642671417451</v>
      </c>
      <c r="M40" s="19" t="n">
        <v>0.2326357328582548</v>
      </c>
      <c r="N40" s="19" t="n">
        <v>0</v>
      </c>
      <c r="O40" s="15" t="n">
        <v>1.813522536171797</v>
      </c>
      <c r="P40" s="15" t="n">
        <v>0.3466056446691523</v>
      </c>
      <c r="Q40" s="15" t="n">
        <v>0.01925577327103589</v>
      </c>
      <c r="R40" s="15" t="n">
        <v>2.179383954111985</v>
      </c>
      <c r="S40" s="15" t="n">
        <v>31.13624513058228</v>
      </c>
      <c r="T40" s="15" t="n">
        <v>7.847351042572025</v>
      </c>
      <c r="U40" s="15" t="n">
        <v>0.1696583175326064</v>
      </c>
      <c r="V40" s="15" t="n">
        <v>73.48226035427308</v>
      </c>
      <c r="W40" s="15" t="n">
        <v>0.53123567709861</v>
      </c>
      <c r="X40" t="inlineStr">
        <is>
          <t>IOWA_flt_ff.C#7_SustainStable/C#7/component_amplitude_mass_pie.png</t>
        </is>
      </c>
      <c r="Y40" t="inlineStr">
        <is>
          <t>IOWA_flt_ff.C#7_SustainStable/C#7/component_energy_ratio_pie.png</t>
        </is>
      </c>
      <c r="Z40" s="19" t="n">
        <v>1</v>
      </c>
      <c r="AA40" s="19" t="n">
        <v>0.9999999999999999</v>
      </c>
      <c r="AB40" s="15" t="n">
        <v>2.179383954111985</v>
      </c>
      <c r="AC40" s="15" t="n">
        <v>0</v>
      </c>
      <c r="AD40" s="15" t="n">
        <v>4.575181351155881</v>
      </c>
      <c r="AE40" s="15" t="n">
        <v>0</v>
      </c>
      <c r="AF40" t="inlineStr">
        <is>
          <t>passed</t>
        </is>
      </c>
    </row>
  </sheetData>
  <autoFilter ref="A1:AF4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9" customWidth="1" min="4" max="4"/>
    <col width="19" customWidth="1" min="5" max="5"/>
    <col width="32" customWidth="1" min="6" max="6"/>
    <col width="32" customWidth="1" min="7" max="7"/>
    <col width="17" customWidth="1" min="8" max="8"/>
    <col width="36" customWidth="1" min="9" max="9"/>
    <col width="23" customWidth="1" min="10" max="10"/>
    <col width="24" customWidth="1" min="11" max="11"/>
    <col width="32" customWidth="1" min="12" max="12"/>
    <col width="27" customWidth="1" min="13" max="13"/>
    <col width="35" customWidth="1" min="14" max="14"/>
    <col width="42" customWidth="1" min="15" max="15"/>
    <col width="35" customWidth="1" min="16" max="16"/>
    <col width="34" customWidth="1" min="17" max="17"/>
    <col width="30" customWidth="1" min="18" max="18"/>
    <col width="31" customWidth="1" min="19" max="19"/>
    <col width="30" customWidth="1" min="20" max="20"/>
    <col width="28" customWidth="1" min="21" max="21"/>
    <col width="27" customWidth="1" min="22" max="22"/>
  </cols>
  <sheetData>
    <row r="1">
      <c r="A1" s="11" t="inlineStr">
        <is>
          <t>Note</t>
        </is>
      </c>
      <c r="B1" s="11" t="inlineStr">
        <is>
          <t>MIDI</t>
        </is>
      </c>
      <c r="C1" s="11" t="inlineStr">
        <is>
          <t>Register</t>
        </is>
      </c>
      <c r="D1" s="11" t="inlineStr">
        <is>
          <t>f0_nominal_hz</t>
        </is>
      </c>
      <c r="E1" s="11" t="inlineStr">
        <is>
          <t>f0_final_hz</t>
        </is>
      </c>
      <c r="F1" s="11" t="inlineStr">
        <is>
          <t>f0_source</t>
        </is>
      </c>
      <c r="G1" s="11" t="inlineStr">
        <is>
          <t>f0_final_source</t>
        </is>
      </c>
      <c r="H1" s="11" t="inlineStr">
        <is>
          <t>f0_fit_accepted</t>
        </is>
      </c>
      <c r="I1" s="11" t="inlineStr">
        <is>
          <t>acoustic_f0_status</t>
        </is>
      </c>
      <c r="J1" s="11" t="inlineStr">
        <is>
          <t>f0_fit_quality</t>
        </is>
      </c>
      <c r="K1" s="11" t="inlineStr">
        <is>
          <t>f0_fit_residual_std_hz</t>
        </is>
      </c>
      <c r="L1" s="11" t="inlineStr">
        <is>
          <t>f0_detuning_cents_from_nominal</t>
        </is>
      </c>
      <c r="M1" s="11" t="inlineStr">
        <is>
          <t>harmonic_alignment_status</t>
        </is>
      </c>
      <c r="N1" s="11" t="inlineStr">
        <is>
          <t>harmonic_alignment_coverage_ratio</t>
        </is>
      </c>
      <c r="O1" s="11" t="inlineStr">
        <is>
          <t>harmonic_alignment_energy_coverage_ratio</t>
        </is>
      </c>
      <c r="P1" s="11" t="inlineStr">
        <is>
          <t>mean_abs_harmonic_deviation_cents</t>
        </is>
      </c>
      <c r="Q1" s="11" t="inlineStr">
        <is>
          <t>max_abs_harmonic_deviation_cents</t>
        </is>
      </c>
      <c r="R1" s="11" t="inlineStr">
        <is>
          <t>rms_harmonic_deviation_cents</t>
        </is>
      </c>
      <c r="S1" s="11" t="inlineStr">
        <is>
          <t>debug_counts_invariant_status</t>
        </is>
      </c>
      <c r="T1" s="11" t="inlineStr">
        <is>
          <t>arithmetic_validation_status</t>
        </is>
      </c>
      <c r="U1" s="11" t="inlineStr">
        <is>
          <t>acoustic_validation_status</t>
        </is>
      </c>
      <c r="V1" s="11" t="inlineStr">
        <is>
          <t>validation_summary_status</t>
        </is>
      </c>
    </row>
    <row r="2">
      <c r="A2" t="inlineStr">
        <is>
          <t>B3</t>
        </is>
      </c>
      <c r="B2" t="n">
        <v>59</v>
      </c>
      <c r="C2" t="inlineStr">
        <is>
          <t>Middle</t>
        </is>
      </c>
      <c r="D2" s="15" t="n">
        <v>246.941650628062</v>
      </c>
      <c r="E2" s="15" t="n">
        <v>246.7215633054352</v>
      </c>
      <c r="F2" t="inlineStr">
        <is>
          <t>prior_constrained_harmonic_fit</t>
        </is>
      </c>
      <c r="G2" t="inlineStr">
        <is>
          <t>prior_constrained_harmonic_fit</t>
        </is>
      </c>
      <c r="H2" t="n">
        <v>1</v>
      </c>
      <c r="I2" t="inlineStr">
        <is>
          <t>fit_accepted_acoustically_verified</t>
        </is>
      </c>
      <c r="J2" t="n">
        <v>0.001409130973694893</v>
      </c>
      <c r="K2" s="15" t="n">
        <v>0.3476629967321142</v>
      </c>
      <c r="L2" s="15" t="n">
        <v>-1.543654382944697</v>
      </c>
      <c r="M2" t="inlineStr">
        <is>
          <t>excellent</t>
        </is>
      </c>
      <c r="N2" s="19" t="n">
        <v>0.8888888888888888</v>
      </c>
      <c r="O2" s="19" t="n">
        <v>0.08226519898995877</v>
      </c>
      <c r="P2" s="15" t="n">
        <v>3.280911247567159</v>
      </c>
      <c r="Q2" s="15" t="n">
        <v>12.54519120951682</v>
      </c>
      <c r="R2" s="15" t="n">
        <v>5.130361611938041</v>
      </c>
      <c r="S2" t="inlineStr">
        <is>
          <t>passed</t>
        </is>
      </c>
      <c r="T2" t="inlineStr">
        <is>
          <t>passed</t>
        </is>
      </c>
      <c r="U2" t="inlineStr">
        <is>
          <t>passed</t>
        </is>
      </c>
      <c r="V2" t="inlineStr">
        <is>
          <t>passed</t>
        </is>
      </c>
    </row>
    <row r="3">
      <c r="A3" t="inlineStr">
        <is>
          <t>C4</t>
        </is>
      </c>
      <c r="B3" t="n">
        <v>60</v>
      </c>
      <c r="C3" t="inlineStr">
        <is>
          <t>High</t>
        </is>
      </c>
      <c r="D3" s="15" t="n">
        <v>261.6255653005986</v>
      </c>
      <c r="E3" s="15" t="n">
        <v>262.0161825401063</v>
      </c>
      <c r="F3" t="inlineStr">
        <is>
          <t>prior_constrained_harmonic_fit</t>
        </is>
      </c>
      <c r="G3" t="inlineStr">
        <is>
          <t>prior_constrained_harmonic_fit</t>
        </is>
      </c>
      <c r="H3" t="n">
        <v>1</v>
      </c>
      <c r="I3" t="inlineStr">
        <is>
          <t>fit_accepted_acoustically_verified</t>
        </is>
      </c>
      <c r="J3" t="n">
        <v>0.00170810370224357</v>
      </c>
      <c r="K3" s="15" t="n">
        <v>0.4475508114444828</v>
      </c>
      <c r="L3" s="15" t="n">
        <v>2.582872711781751</v>
      </c>
      <c r="M3" t="inlineStr">
        <is>
          <t>excellent</t>
        </is>
      </c>
      <c r="N3" s="19" t="n">
        <v>0.868421052631579</v>
      </c>
      <c r="O3" s="19" t="n">
        <v>0.1147834780220312</v>
      </c>
      <c r="P3" s="15" t="n">
        <v>1.497211670874164</v>
      </c>
      <c r="Q3" s="15" t="n">
        <v>11.00430630600794</v>
      </c>
      <c r="R3" s="15" t="n">
        <v>3.152733809018056</v>
      </c>
      <c r="S3" t="inlineStr">
        <is>
          <t>passed</t>
        </is>
      </c>
      <c r="T3" t="inlineStr">
        <is>
          <t>passed</t>
        </is>
      </c>
      <c r="U3" t="inlineStr">
        <is>
          <t>passed</t>
        </is>
      </c>
      <c r="V3" t="inlineStr">
        <is>
          <t>passed</t>
        </is>
      </c>
    </row>
    <row r="4">
      <c r="A4" t="inlineStr">
        <is>
          <t>C#4</t>
        </is>
      </c>
      <c r="B4" t="n">
        <v>61</v>
      </c>
      <c r="C4" t="inlineStr">
        <is>
          <t>High</t>
        </is>
      </c>
      <c r="D4" s="15" t="n">
        <v>277.182630976872</v>
      </c>
      <c r="E4" s="15" t="n">
        <v>277.3992541831122</v>
      </c>
      <c r="F4" t="inlineStr">
        <is>
          <t>prior_constrained_harmonic_fit</t>
        </is>
      </c>
      <c r="G4" t="inlineStr">
        <is>
          <t>prior_constrained_harmonic_fit</t>
        </is>
      </c>
      <c r="H4" t="n">
        <v>1</v>
      </c>
      <c r="I4" t="inlineStr">
        <is>
          <t>fit_accepted_acoustically_verified</t>
        </is>
      </c>
      <c r="J4" t="n">
        <v>0.001397696404676195</v>
      </c>
      <c r="K4" s="15" t="n">
        <v>0.3877199402315937</v>
      </c>
      <c r="L4" s="15" t="n">
        <v>1.352462096470259</v>
      </c>
      <c r="M4" t="inlineStr">
        <is>
          <t>excellent</t>
        </is>
      </c>
      <c r="N4" s="19" t="n">
        <v>0.8888888888888888</v>
      </c>
      <c r="O4" s="19" t="n">
        <v>0.1047121089276971</v>
      </c>
      <c r="P4" s="15" t="n">
        <v>3.859084030568035</v>
      </c>
      <c r="Q4" s="15" t="n">
        <v>17.88446556157235</v>
      </c>
      <c r="R4" s="15" t="n">
        <v>6.029861390281205</v>
      </c>
      <c r="S4" t="inlineStr">
        <is>
          <t>passed</t>
        </is>
      </c>
      <c r="T4" t="inlineStr">
        <is>
          <t>passed</t>
        </is>
      </c>
      <c r="U4" t="inlineStr">
        <is>
          <t>passed</t>
        </is>
      </c>
      <c r="V4" t="inlineStr">
        <is>
          <t>passed</t>
        </is>
      </c>
    </row>
    <row r="5">
      <c r="A5" t="inlineStr">
        <is>
          <t>D4</t>
        </is>
      </c>
      <c r="B5" t="n">
        <v>62</v>
      </c>
      <c r="C5" t="inlineStr">
        <is>
          <t>High</t>
        </is>
      </c>
      <c r="D5" s="15" t="n">
        <v>293.6647679174076</v>
      </c>
      <c r="E5" s="15" t="n">
        <v>293.8184491369294</v>
      </c>
      <c r="F5" t="inlineStr">
        <is>
          <t>prior_constrained_harmonic_fit</t>
        </is>
      </c>
      <c r="G5" t="inlineStr">
        <is>
          <t>prior_constrained_harmonic_fit</t>
        </is>
      </c>
      <c r="H5" t="n">
        <v>1</v>
      </c>
      <c r="I5" t="inlineStr">
        <is>
          <t>fit_accepted_acoustically_verified</t>
        </is>
      </c>
      <c r="J5" t="n">
        <v>0.001108818931064452</v>
      </c>
      <c r="K5" s="15" t="n">
        <v>0.3257914586990251</v>
      </c>
      <c r="L5" s="15" t="n">
        <v>0.9057558013014267</v>
      </c>
      <c r="M5" t="inlineStr">
        <is>
          <t>excellent</t>
        </is>
      </c>
      <c r="N5" s="19" t="n">
        <v>0.8676470588235294</v>
      </c>
      <c r="O5" s="19" t="n">
        <v>0.08892951900246029</v>
      </c>
      <c r="P5" s="15" t="n">
        <v>3.797348171433942</v>
      </c>
      <c r="Q5" s="15" t="n">
        <v>13.28348659739279</v>
      </c>
      <c r="R5" s="15" t="n">
        <v>5.625458678908338</v>
      </c>
      <c r="S5" t="inlineStr">
        <is>
          <t>passed</t>
        </is>
      </c>
      <c r="T5" t="inlineStr">
        <is>
          <t>passed</t>
        </is>
      </c>
      <c r="U5" t="inlineStr">
        <is>
          <t>passed</t>
        </is>
      </c>
      <c r="V5" t="inlineStr">
        <is>
          <t>passed</t>
        </is>
      </c>
    </row>
    <row r="6">
      <c r="A6" t="inlineStr">
        <is>
          <t>D#4</t>
        </is>
      </c>
      <c r="B6" t="n">
        <v>63</v>
      </c>
      <c r="C6" t="inlineStr">
        <is>
          <t>High</t>
        </is>
      </c>
      <c r="D6" s="15" t="n">
        <v>311.1269837220809</v>
      </c>
      <c r="E6" s="15" t="n">
        <v>310.7728948286763</v>
      </c>
      <c r="F6" t="inlineStr">
        <is>
          <t>prior_constrained_harmonic_fit</t>
        </is>
      </c>
      <c r="G6" t="inlineStr">
        <is>
          <t>prior_constrained_harmonic_fit</t>
        </is>
      </c>
      <c r="H6" t="n">
        <v>1</v>
      </c>
      <c r="I6" t="inlineStr">
        <is>
          <t>fit_accepted_acoustically_verified</t>
        </is>
      </c>
      <c r="J6" t="n">
        <v>0.001379530355412191</v>
      </c>
      <c r="K6" s="15" t="n">
        <v>0.4287206420554791</v>
      </c>
      <c r="L6" s="15" t="n">
        <v>-1.971413200235628</v>
      </c>
      <c r="M6" t="inlineStr">
        <is>
          <t>excellent</t>
        </is>
      </c>
      <c r="N6" s="19" t="n">
        <v>0.875</v>
      </c>
      <c r="O6" s="19" t="n">
        <v>0.1027240831100033</v>
      </c>
      <c r="P6" s="15" t="n">
        <v>3.346865071092373</v>
      </c>
      <c r="Q6" s="15" t="n">
        <v>14.06569699444445</v>
      </c>
      <c r="R6" s="15" t="n">
        <v>5.395955455134844</v>
      </c>
      <c r="S6" t="inlineStr">
        <is>
          <t>passed</t>
        </is>
      </c>
      <c r="T6" t="inlineStr">
        <is>
          <t>passed</t>
        </is>
      </c>
      <c r="U6" t="inlineStr">
        <is>
          <t>passed</t>
        </is>
      </c>
      <c r="V6" t="inlineStr">
        <is>
          <t>passed</t>
        </is>
      </c>
    </row>
    <row r="7">
      <c r="A7" t="inlineStr">
        <is>
          <t>E4</t>
        </is>
      </c>
      <c r="B7" t="n">
        <v>64</v>
      </c>
      <c r="C7" t="inlineStr">
        <is>
          <t>High</t>
        </is>
      </c>
      <c r="D7" s="15" t="n">
        <v>329.6275569128699</v>
      </c>
      <c r="E7" s="15" t="n">
        <v>329.6573157708623</v>
      </c>
      <c r="F7" t="inlineStr">
        <is>
          <t>prior_constrained_harmonic_fit</t>
        </is>
      </c>
      <c r="G7" t="inlineStr">
        <is>
          <t>prior_constrained_harmonic_fit</t>
        </is>
      </c>
      <c r="H7" t="n">
        <v>1</v>
      </c>
      <c r="I7" t="inlineStr">
        <is>
          <t>fit_accepted_acoustically_verified</t>
        </is>
      </c>
      <c r="J7" t="n">
        <v>0.001629145177297186</v>
      </c>
      <c r="K7" s="15" t="n">
        <v>0.5370596261488358</v>
      </c>
      <c r="L7" s="15" t="n">
        <v>0.1562891866244766</v>
      </c>
      <c r="M7" t="inlineStr">
        <is>
          <t>excellent</t>
        </is>
      </c>
      <c r="N7" s="19" t="n">
        <v>0.8833333333333333</v>
      </c>
      <c r="O7" s="19" t="n">
        <v>0.1414186304505664</v>
      </c>
      <c r="P7" s="15" t="n">
        <v>2.600112565855691</v>
      </c>
      <c r="Q7" s="15" t="n">
        <v>15.22058251991264</v>
      </c>
      <c r="R7" s="15" t="n">
        <v>4.389419056207465</v>
      </c>
      <c r="S7" t="inlineStr">
        <is>
          <t>passed</t>
        </is>
      </c>
      <c r="T7" t="inlineStr">
        <is>
          <t>passed</t>
        </is>
      </c>
      <c r="U7" t="inlineStr">
        <is>
          <t>passed</t>
        </is>
      </c>
      <c r="V7" t="inlineStr">
        <is>
          <t>passed</t>
        </is>
      </c>
    </row>
    <row r="8">
      <c r="A8" t="inlineStr">
        <is>
          <t>F4</t>
        </is>
      </c>
      <c r="B8" t="n">
        <v>65</v>
      </c>
      <c r="C8" t="inlineStr">
        <is>
          <t>High</t>
        </is>
      </c>
      <c r="D8" s="15" t="n">
        <v>349.2282314330039</v>
      </c>
      <c r="E8" s="15" t="n">
        <v>349.004371296592</v>
      </c>
      <c r="F8" t="inlineStr">
        <is>
          <t>prior_constrained_harmonic_fit</t>
        </is>
      </c>
      <c r="G8" t="inlineStr">
        <is>
          <t>prior_constrained_harmonic_fit</t>
        </is>
      </c>
      <c r="H8" t="n">
        <v>1</v>
      </c>
      <c r="I8" t="inlineStr">
        <is>
          <t>fit_accepted_acoustically_verified</t>
        </is>
      </c>
      <c r="J8" t="n">
        <v>0.00175357915373046</v>
      </c>
      <c r="K8" s="15" t="n">
        <v>0.6120067900665088</v>
      </c>
      <c r="L8" s="15" t="n">
        <v>-1.11010085220613</v>
      </c>
      <c r="M8" t="inlineStr">
        <is>
          <t>excellent</t>
        </is>
      </c>
      <c r="N8" s="19" t="n">
        <v>0.8771929824561403</v>
      </c>
      <c r="O8" s="19" t="n">
        <v>0.1171982861169205</v>
      </c>
      <c r="P8" s="15" t="n">
        <v>2.766444805302939</v>
      </c>
      <c r="Q8" s="15" t="n">
        <v>14.46825051763848</v>
      </c>
      <c r="R8" s="15" t="n">
        <v>3.893910784565186</v>
      </c>
      <c r="S8" t="inlineStr">
        <is>
          <t>passed</t>
        </is>
      </c>
      <c r="T8" t="inlineStr">
        <is>
          <t>passed</t>
        </is>
      </c>
      <c r="U8" t="inlineStr">
        <is>
          <t>passed</t>
        </is>
      </c>
      <c r="V8" t="inlineStr">
        <is>
          <t>passed</t>
        </is>
      </c>
    </row>
    <row r="9">
      <c r="A9" t="inlineStr">
        <is>
          <t>F#4</t>
        </is>
      </c>
      <c r="B9" t="n">
        <v>66</v>
      </c>
      <c r="C9" t="inlineStr">
        <is>
          <t>High</t>
        </is>
      </c>
      <c r="D9" s="15" t="n">
        <v>369.9944227116344</v>
      </c>
      <c r="E9" s="15" t="n">
        <v>369.8973726855696</v>
      </c>
      <c r="F9" t="inlineStr">
        <is>
          <t>prior_constrained_harmonic_fit</t>
        </is>
      </c>
      <c r="G9" t="inlineStr">
        <is>
          <t>prior_constrained_harmonic_fit</t>
        </is>
      </c>
      <c r="H9" t="n">
        <v>1</v>
      </c>
      <c r="I9" t="inlineStr">
        <is>
          <t>fit_accepted_acoustically_verified</t>
        </is>
      </c>
      <c r="J9" t="n">
        <v>0.0009673829598765022</v>
      </c>
      <c r="K9" s="15" t="n">
        <v>0.357832415239108</v>
      </c>
      <c r="L9" s="15" t="n">
        <v>-0.4541645456671363</v>
      </c>
      <c r="M9" t="inlineStr">
        <is>
          <t>excellent</t>
        </is>
      </c>
      <c r="N9" s="19" t="n">
        <v>0.8888888888888888</v>
      </c>
      <c r="O9" s="19" t="n">
        <v>0.1302561875340437</v>
      </c>
      <c r="P9" s="15" t="n">
        <v>2.548523671848322</v>
      </c>
      <c r="Q9" s="15" t="n">
        <v>17.96084857258214</v>
      </c>
      <c r="R9" s="15" t="n">
        <v>4.767115362718878</v>
      </c>
      <c r="S9" t="inlineStr">
        <is>
          <t>passed</t>
        </is>
      </c>
      <c r="T9" t="inlineStr">
        <is>
          <t>passed</t>
        </is>
      </c>
      <c r="U9" t="inlineStr">
        <is>
          <t>passed</t>
        </is>
      </c>
      <c r="V9" t="inlineStr">
        <is>
          <t>passed</t>
        </is>
      </c>
    </row>
    <row r="10">
      <c r="A10" t="inlineStr">
        <is>
          <t>G4</t>
        </is>
      </c>
      <c r="B10" t="n">
        <v>67</v>
      </c>
      <c r="C10" t="inlineStr">
        <is>
          <t>High</t>
        </is>
      </c>
      <c r="D10" s="15" t="n">
        <v>391.9954359817492</v>
      </c>
      <c r="E10" s="15" t="n">
        <v>392.021373878421</v>
      </c>
      <c r="F10" t="inlineStr">
        <is>
          <t>prior_constrained_harmonic_fit</t>
        </is>
      </c>
      <c r="G10" t="inlineStr">
        <is>
          <t>prior_constrained_harmonic_fit</t>
        </is>
      </c>
      <c r="H10" t="n">
        <v>1</v>
      </c>
      <c r="I10" t="inlineStr">
        <is>
          <t>fit_accepted_acoustically_verified</t>
        </is>
      </c>
      <c r="J10" t="n">
        <v>0.0008172154992359648</v>
      </c>
      <c r="K10" s="15" t="n">
        <v>0.3203659427652226</v>
      </c>
      <c r="L10" s="15" t="n">
        <v>0.1145500181398689</v>
      </c>
      <c r="M10" t="inlineStr">
        <is>
          <t>excellent</t>
        </is>
      </c>
      <c r="N10" s="19" t="n">
        <v>0.8823529411764706</v>
      </c>
      <c r="O10" s="19" t="n">
        <v>0.1060571754121731</v>
      </c>
      <c r="P10" s="15" t="n">
        <v>2.249073284296554</v>
      </c>
      <c r="Q10" s="15" t="n">
        <v>16.21537715117335</v>
      </c>
      <c r="R10" s="15" t="n">
        <v>4.354367254980331</v>
      </c>
      <c r="S10" t="inlineStr">
        <is>
          <t>passed</t>
        </is>
      </c>
      <c r="T10" t="inlineStr">
        <is>
          <t>passed</t>
        </is>
      </c>
      <c r="U10" t="inlineStr">
        <is>
          <t>passed</t>
        </is>
      </c>
      <c r="V10" t="inlineStr">
        <is>
          <t>passed</t>
        </is>
      </c>
    </row>
    <row r="11">
      <c r="A11" t="inlineStr">
        <is>
          <t>G#4</t>
        </is>
      </c>
      <c r="B11" t="n">
        <v>68</v>
      </c>
      <c r="C11" t="inlineStr">
        <is>
          <t>High</t>
        </is>
      </c>
      <c r="D11" s="15" t="n">
        <v>415.3046975799452</v>
      </c>
      <c r="E11" s="15" t="n">
        <v>415.1043136302681</v>
      </c>
      <c r="F11" t="inlineStr">
        <is>
          <t>prior_constrained_harmonic_fit</t>
        </is>
      </c>
      <c r="G11" t="inlineStr">
        <is>
          <t>prior_constrained_harmonic_fit</t>
        </is>
      </c>
      <c r="H11" t="n">
        <v>1</v>
      </c>
      <c r="I11" t="inlineStr">
        <is>
          <t>fit_accepted_acoustically_verified</t>
        </is>
      </c>
      <c r="J11" t="n">
        <v>0.001025761470144619</v>
      </c>
      <c r="K11" s="15" t="n">
        <v>0.4257980110127568</v>
      </c>
      <c r="L11" s="15" t="n">
        <v>-0.8355196502392441</v>
      </c>
      <c r="M11" t="inlineStr">
        <is>
          <t>excellent</t>
        </is>
      </c>
      <c r="N11" s="19" t="n">
        <v>0.875</v>
      </c>
      <c r="O11" s="19" t="n">
        <v>0.09602507805016654</v>
      </c>
      <c r="P11" s="15" t="n">
        <v>3.272553147315318</v>
      </c>
      <c r="Q11" s="15" t="n">
        <v>12.46147853909068</v>
      </c>
      <c r="R11" s="15" t="n">
        <v>4.492236585376601</v>
      </c>
      <c r="S11" t="inlineStr">
        <is>
          <t>passed</t>
        </is>
      </c>
      <c r="T11" t="inlineStr">
        <is>
          <t>passed</t>
        </is>
      </c>
      <c r="U11" t="inlineStr">
        <is>
          <t>passed</t>
        </is>
      </c>
      <c r="V11" t="inlineStr">
        <is>
          <t>passed</t>
        </is>
      </c>
    </row>
    <row r="12">
      <c r="A12" t="inlineStr">
        <is>
          <t>A4</t>
        </is>
      </c>
      <c r="B12" t="n">
        <v>69</v>
      </c>
      <c r="C12" t="inlineStr">
        <is>
          <t>High</t>
        </is>
      </c>
      <c r="D12" s="15" t="n">
        <v>439.9999999999999</v>
      </c>
      <c r="E12" s="15" t="n">
        <v>440.2913267740533</v>
      </c>
      <c r="F12" t="inlineStr">
        <is>
          <t>prior_constrained_harmonic_fit</t>
        </is>
      </c>
      <c r="G12" t="inlineStr">
        <is>
          <t>prior_constrained_harmonic_fit</t>
        </is>
      </c>
      <c r="H12" t="n">
        <v>1</v>
      </c>
      <c r="I12" t="inlineStr">
        <is>
          <t>fit_accepted_acoustically_verified</t>
        </is>
      </c>
      <c r="J12" t="n">
        <v>0.0009580216061563166</v>
      </c>
      <c r="K12" s="15" t="n">
        <v>0.4218086040527742</v>
      </c>
      <c r="L12" s="15" t="n">
        <v>1.145881672848481</v>
      </c>
      <c r="M12" t="inlineStr">
        <is>
          <t>excellent</t>
        </is>
      </c>
      <c r="N12" s="19" t="n">
        <v>0.8888888888888888</v>
      </c>
      <c r="O12" s="19" t="n">
        <v>0.1081783517408036</v>
      </c>
      <c r="P12" s="15" t="n">
        <v>3.986377719639371</v>
      </c>
      <c r="Q12" s="15" t="n">
        <v>17.09555633475413</v>
      </c>
      <c r="R12" s="15" t="n">
        <v>5.366234148263917</v>
      </c>
      <c r="S12" t="inlineStr">
        <is>
          <t>passed</t>
        </is>
      </c>
      <c r="T12" t="inlineStr">
        <is>
          <t>passed</t>
        </is>
      </c>
      <c r="U12" t="inlineStr">
        <is>
          <t>passed</t>
        </is>
      </c>
      <c r="V12" t="inlineStr">
        <is>
          <t>passed</t>
        </is>
      </c>
    </row>
    <row r="13">
      <c r="A13" t="inlineStr">
        <is>
          <t>A#4</t>
        </is>
      </c>
      <c r="B13" t="n">
        <v>70</v>
      </c>
      <c r="C13" t="inlineStr">
        <is>
          <t>High</t>
        </is>
      </c>
      <c r="D13" s="15" t="n">
        <v>466.1637615180898</v>
      </c>
      <c r="E13" s="15" t="n">
        <v>465.9880257075461</v>
      </c>
      <c r="F13" t="inlineStr">
        <is>
          <t>prior_constrained_harmonic_fit</t>
        </is>
      </c>
      <c r="G13" t="inlineStr">
        <is>
          <t>prior_constrained_harmonic_fit</t>
        </is>
      </c>
      <c r="H13" t="n">
        <v>1</v>
      </c>
      <c r="I13" t="inlineStr">
        <is>
          <t>fit_accepted_acoustically_verified</t>
        </is>
      </c>
      <c r="J13" t="n">
        <v>0.0004157176687017237</v>
      </c>
      <c r="K13" s="15" t="n">
        <v>0.1937194556900599</v>
      </c>
      <c r="L13" s="15" t="n">
        <v>-0.65276884436099</v>
      </c>
      <c r="M13" t="inlineStr">
        <is>
          <t>excellent</t>
        </is>
      </c>
      <c r="N13" s="19" t="n">
        <v>0.9047619047619048</v>
      </c>
      <c r="O13" s="19" t="n">
        <v>0.1685119483049694</v>
      </c>
      <c r="P13" s="15" t="n">
        <v>1.593038230589169</v>
      </c>
      <c r="Q13" s="15" t="n">
        <v>15.30275385191586</v>
      </c>
      <c r="R13" s="15" t="n">
        <v>3.371633758873253</v>
      </c>
      <c r="S13" t="inlineStr">
        <is>
          <t>passed</t>
        </is>
      </c>
      <c r="T13" t="inlineStr">
        <is>
          <t>passed</t>
        </is>
      </c>
      <c r="U13" t="inlineStr">
        <is>
          <t>passed</t>
        </is>
      </c>
      <c r="V13" t="inlineStr">
        <is>
          <t>passed</t>
        </is>
      </c>
    </row>
    <row r="14">
      <c r="A14" t="inlineStr">
        <is>
          <t>B4</t>
        </is>
      </c>
      <c r="B14" t="n">
        <v>71</v>
      </c>
      <c r="C14" t="inlineStr">
        <is>
          <t>High</t>
        </is>
      </c>
      <c r="D14" s="15" t="n">
        <v>493.8833012561242</v>
      </c>
      <c r="E14" s="15" t="n">
        <v>493.6230154221545</v>
      </c>
      <c r="F14" t="inlineStr">
        <is>
          <t>prior_constrained_harmonic_fit</t>
        </is>
      </c>
      <c r="G14" t="inlineStr">
        <is>
          <t>prior_constrained_harmonic_fit</t>
        </is>
      </c>
      <c r="H14" t="n">
        <v>1</v>
      </c>
      <c r="I14" t="inlineStr">
        <is>
          <t>fit_accepted_acoustically_verified</t>
        </is>
      </c>
      <c r="J14" t="n">
        <v>0.0002824290707854677</v>
      </c>
      <c r="K14" s="15" t="n">
        <v>0.1394134895639997</v>
      </c>
      <c r="L14" s="15" t="n">
        <v>-0.9126335722268147</v>
      </c>
      <c r="M14" t="inlineStr">
        <is>
          <t>excellent</t>
        </is>
      </c>
      <c r="N14" s="19" t="n">
        <v>0.9</v>
      </c>
      <c r="O14" s="19" t="n">
        <v>0.1271163482610728</v>
      </c>
      <c r="P14" s="15" t="n">
        <v>2.745381887602246</v>
      </c>
      <c r="Q14" s="15" t="n">
        <v>16.98530937440757</v>
      </c>
      <c r="R14" s="15" t="n">
        <v>4.771029900235053</v>
      </c>
      <c r="S14" t="inlineStr">
        <is>
          <t>passed</t>
        </is>
      </c>
      <c r="T14" t="inlineStr">
        <is>
          <t>passed</t>
        </is>
      </c>
      <c r="U14" t="inlineStr">
        <is>
          <t>passed</t>
        </is>
      </c>
      <c r="V14" t="inlineStr">
        <is>
          <t>passed</t>
        </is>
      </c>
    </row>
    <row r="15">
      <c r="A15" t="inlineStr">
        <is>
          <t>C5</t>
        </is>
      </c>
      <c r="B15" t="n">
        <v>72</v>
      </c>
      <c r="C15" t="inlineStr">
        <is>
          <t>Very high</t>
        </is>
      </c>
      <c r="D15" s="15" t="n">
        <v>523.2511306011972</v>
      </c>
      <c r="E15" s="15" t="n">
        <v>522.8194509578135</v>
      </c>
      <c r="F15" t="inlineStr">
        <is>
          <t>prior_constrained_harmonic_fit</t>
        </is>
      </c>
      <c r="G15" t="inlineStr">
        <is>
          <t>prior_constrained_harmonic_fit</t>
        </is>
      </c>
      <c r="H15" t="n">
        <v>1</v>
      </c>
      <c r="I15" t="inlineStr">
        <is>
          <t>fit_accepted_acoustically_verified</t>
        </is>
      </c>
      <c r="J15" t="n">
        <v>0.001001949344422129</v>
      </c>
      <c r="K15" s="15" t="n">
        <v>0.5238386061383187</v>
      </c>
      <c r="L15" s="15" t="n">
        <v>-1.428849166609181</v>
      </c>
      <c r="M15" t="inlineStr">
        <is>
          <t>excellent</t>
        </is>
      </c>
      <c r="N15" s="19" t="n">
        <v>0.868421052631579</v>
      </c>
      <c r="O15" s="19" t="n">
        <v>0.144698205686023</v>
      </c>
      <c r="P15" s="15" t="n">
        <v>1.177370779773601</v>
      </c>
      <c r="Q15" s="15" t="n">
        <v>16.26615472690664</v>
      </c>
      <c r="R15" s="15" t="n">
        <v>2.974354600658353</v>
      </c>
      <c r="S15" t="inlineStr">
        <is>
          <t>passed</t>
        </is>
      </c>
      <c r="T15" t="inlineStr">
        <is>
          <t>passed</t>
        </is>
      </c>
      <c r="U15" t="inlineStr">
        <is>
          <t>passed</t>
        </is>
      </c>
      <c r="V15" t="inlineStr">
        <is>
          <t>passed</t>
        </is>
      </c>
    </row>
    <row r="16">
      <c r="A16" t="inlineStr">
        <is>
          <t>C#5</t>
        </is>
      </c>
      <c r="B16" t="n">
        <v>73</v>
      </c>
      <c r="C16" t="inlineStr">
        <is>
          <t>Very high</t>
        </is>
      </c>
      <c r="D16" s="15" t="n">
        <v>554.365261953744</v>
      </c>
      <c r="E16" s="15" t="n">
        <v>554.8388189059065</v>
      </c>
      <c r="F16" t="inlineStr">
        <is>
          <t>prior_constrained_harmonic_fit</t>
        </is>
      </c>
      <c r="G16" t="inlineStr">
        <is>
          <t>prior_constrained_harmonic_fit</t>
        </is>
      </c>
      <c r="H16" t="n">
        <v>1</v>
      </c>
      <c r="I16" t="inlineStr">
        <is>
          <t>fit_accepted_acoustically_verified</t>
        </is>
      </c>
      <c r="J16" t="n">
        <v>0.002034744146400971</v>
      </c>
      <c r="K16" s="15" t="n">
        <v>1.128955038964822</v>
      </c>
      <c r="L16" s="15" t="n">
        <v>1.478245498216774</v>
      </c>
      <c r="M16" t="inlineStr">
        <is>
          <t>excellent</t>
        </is>
      </c>
      <c r="N16" s="19" t="n">
        <v>0.8888888888888888</v>
      </c>
      <c r="O16" s="19" t="n">
        <v>0.1863591086754383</v>
      </c>
      <c r="P16" s="15" t="n">
        <v>2.421343021175132</v>
      </c>
      <c r="Q16" s="15" t="n">
        <v>14.2747714786741</v>
      </c>
      <c r="R16" s="15" t="n">
        <v>4.375188269536899</v>
      </c>
      <c r="S16" t="inlineStr">
        <is>
          <t>passed</t>
        </is>
      </c>
      <c r="T16" t="inlineStr">
        <is>
          <t>passed</t>
        </is>
      </c>
      <c r="U16" t="inlineStr">
        <is>
          <t>passed</t>
        </is>
      </c>
      <c r="V16" t="inlineStr">
        <is>
          <t>passed</t>
        </is>
      </c>
    </row>
    <row r="17">
      <c r="A17" t="inlineStr">
        <is>
          <t>D5</t>
        </is>
      </c>
      <c r="B17" t="n">
        <v>74</v>
      </c>
      <c r="C17" t="inlineStr">
        <is>
          <t>Very high</t>
        </is>
      </c>
      <c r="D17" s="15" t="n">
        <v>587.3295358348153</v>
      </c>
      <c r="E17" s="15" t="n">
        <v>587.7859424242033</v>
      </c>
      <c r="F17" t="inlineStr">
        <is>
          <t>prior_constrained_harmonic_fit</t>
        </is>
      </c>
      <c r="G17" t="inlineStr">
        <is>
          <t>prior_constrained_harmonic_fit</t>
        </is>
      </c>
      <c r="H17" t="n">
        <v>1</v>
      </c>
      <c r="I17" t="inlineStr">
        <is>
          <t>fit_accepted_acoustically_verified</t>
        </is>
      </c>
      <c r="J17" t="n">
        <v>0.002105981744918439</v>
      </c>
      <c r="K17" s="15" t="n">
        <v>1.237866464665053</v>
      </c>
      <c r="L17" s="15" t="n">
        <v>1.34479833193704</v>
      </c>
      <c r="M17" t="inlineStr">
        <is>
          <t>excellent</t>
        </is>
      </c>
      <c r="N17" s="19" t="n">
        <v>0.8529411764705882</v>
      </c>
      <c r="O17" s="19" t="n">
        <v>0.1057729915435376</v>
      </c>
      <c r="P17" s="15" t="n">
        <v>1.143596453260621</v>
      </c>
      <c r="Q17" s="15" t="n">
        <v>12.84444406675685</v>
      </c>
      <c r="R17" s="15" t="n">
        <v>2.526071374745975</v>
      </c>
      <c r="S17" t="inlineStr">
        <is>
          <t>passed</t>
        </is>
      </c>
      <c r="T17" t="inlineStr">
        <is>
          <t>passed</t>
        </is>
      </c>
      <c r="U17" t="inlineStr">
        <is>
          <t>passed</t>
        </is>
      </c>
      <c r="V17" t="inlineStr">
        <is>
          <t>passed</t>
        </is>
      </c>
    </row>
    <row r="18">
      <c r="A18" t="inlineStr">
        <is>
          <t>D#5</t>
        </is>
      </c>
      <c r="B18" t="n">
        <v>75</v>
      </c>
      <c r="C18" t="inlineStr">
        <is>
          <t>Very high</t>
        </is>
      </c>
      <c r="D18" s="15" t="n">
        <v>622.2539674441617</v>
      </c>
      <c r="E18" s="15" t="n">
        <v>621.0148968930504</v>
      </c>
      <c r="F18" t="inlineStr">
        <is>
          <t>prior_constrained_harmonic_fit</t>
        </is>
      </c>
      <c r="G18" t="inlineStr">
        <is>
          <t>prior_constrained_harmonic_fit</t>
        </is>
      </c>
      <c r="H18" t="n">
        <v>1</v>
      </c>
      <c r="I18" t="inlineStr">
        <is>
          <t>fit_accepted_acoustically_verified</t>
        </is>
      </c>
      <c r="J18" t="n">
        <v>0.001042095806296117</v>
      </c>
      <c r="K18" s="15" t="n">
        <v>0.647157019699663</v>
      </c>
      <c r="L18" s="15" t="n">
        <v>-3.450777058819416</v>
      </c>
      <c r="M18" t="inlineStr">
        <is>
          <t>good</t>
        </is>
      </c>
      <c r="N18" s="19" t="n">
        <v>0.84375</v>
      </c>
      <c r="O18" s="19" t="n">
        <v>0.08433556999069369</v>
      </c>
      <c r="P18" s="15" t="n">
        <v>2.048135633343352</v>
      </c>
      <c r="Q18" s="15" t="n">
        <v>17.52701189841819</v>
      </c>
      <c r="R18" s="15" t="n">
        <v>4.208698922363843</v>
      </c>
      <c r="S18" t="inlineStr">
        <is>
          <t>passed</t>
        </is>
      </c>
      <c r="T18" t="inlineStr">
        <is>
          <t>passed</t>
        </is>
      </c>
      <c r="U18" t="inlineStr">
        <is>
          <t>passed</t>
        </is>
      </c>
      <c r="V18" t="inlineStr">
        <is>
          <t>passed</t>
        </is>
      </c>
    </row>
    <row r="19">
      <c r="A19" t="inlineStr">
        <is>
          <t>E5</t>
        </is>
      </c>
      <c r="B19" t="n">
        <v>76</v>
      </c>
      <c r="C19" t="inlineStr">
        <is>
          <t>Very high</t>
        </is>
      </c>
      <c r="D19" s="15" t="n">
        <v>659.2551138257397</v>
      </c>
      <c r="E19" s="15" t="n">
        <v>658.8862061485206</v>
      </c>
      <c r="F19" t="inlineStr">
        <is>
          <t>prior_constrained_harmonic_fit</t>
        </is>
      </c>
      <c r="G19" t="inlineStr">
        <is>
          <t>prior_constrained_harmonic_fit</t>
        </is>
      </c>
      <c r="H19" t="n">
        <v>1</v>
      </c>
      <c r="I19" t="inlineStr">
        <is>
          <t>fit_accepted_acoustically_verified</t>
        </is>
      </c>
      <c r="J19" t="n">
        <v>0.0004172634581565045</v>
      </c>
      <c r="K19" s="15" t="n">
        <v>0.2749291369091512</v>
      </c>
      <c r="L19" s="15" t="n">
        <v>-0.9690395692189484</v>
      </c>
      <c r="M19" t="inlineStr">
        <is>
          <t>excellent</t>
        </is>
      </c>
      <c r="N19" s="19" t="n">
        <v>0.8666666666666667</v>
      </c>
      <c r="O19" s="19" t="n">
        <v>0.1097860765063689</v>
      </c>
      <c r="P19" s="15" t="n">
        <v>4.815316951383836</v>
      </c>
      <c r="Q19" s="15" t="n">
        <v>15.90103550584931</v>
      </c>
      <c r="R19" s="15" t="n">
        <v>6.826561689074588</v>
      </c>
      <c r="S19" t="inlineStr">
        <is>
          <t>passed</t>
        </is>
      </c>
      <c r="T19" t="inlineStr">
        <is>
          <t>passed</t>
        </is>
      </c>
      <c r="U19" t="inlineStr">
        <is>
          <t>passed</t>
        </is>
      </c>
      <c r="V19" t="inlineStr">
        <is>
          <t>passed</t>
        </is>
      </c>
    </row>
    <row r="20">
      <c r="A20" t="inlineStr">
        <is>
          <t>F5</t>
        </is>
      </c>
      <c r="B20" t="n">
        <v>77</v>
      </c>
      <c r="C20" t="inlineStr">
        <is>
          <t>Very high</t>
        </is>
      </c>
      <c r="D20" s="15" t="n">
        <v>698.4564628660079</v>
      </c>
      <c r="E20" s="15" t="n">
        <v>702.5515072212726</v>
      </c>
      <c r="F20" t="inlineStr">
        <is>
          <t>prior_constrained_harmonic_fit</t>
        </is>
      </c>
      <c r="G20" t="inlineStr">
        <is>
          <t>prior_constrained_harmonic_fit</t>
        </is>
      </c>
      <c r="H20" t="n">
        <v>1</v>
      </c>
      <c r="I20" t="inlineStr">
        <is>
          <t>fit_accepted_acoustically_verified</t>
        </is>
      </c>
      <c r="J20" t="n">
        <v>0.001730024976417388</v>
      </c>
      <c r="K20" s="15" t="n">
        <v>1.215431654712483</v>
      </c>
      <c r="L20" s="15" t="n">
        <v>10.12057113365505</v>
      </c>
      <c r="M20" t="inlineStr">
        <is>
          <t>excellent</t>
        </is>
      </c>
      <c r="N20" s="19" t="n">
        <v>0.8571428571428571</v>
      </c>
      <c r="O20" s="19" t="n">
        <v>0.09035169313067624</v>
      </c>
      <c r="P20" s="15" t="n">
        <v>6.838980546916173</v>
      </c>
      <c r="Q20" s="15" t="n">
        <v>17.11052892746543</v>
      </c>
      <c r="R20" s="15" t="n">
        <v>8.474693446210532</v>
      </c>
      <c r="S20" t="inlineStr">
        <is>
          <t>passed</t>
        </is>
      </c>
      <c r="T20" t="inlineStr">
        <is>
          <t>passed</t>
        </is>
      </c>
      <c r="U20" t="inlineStr">
        <is>
          <t>passed</t>
        </is>
      </c>
      <c r="V20" t="inlineStr">
        <is>
          <t>passed</t>
        </is>
      </c>
    </row>
    <row r="21">
      <c r="A21" t="inlineStr">
        <is>
          <t>F#5</t>
        </is>
      </c>
      <c r="B21" t="n">
        <v>78</v>
      </c>
      <c r="C21" t="inlineStr">
        <is>
          <t>Very high</t>
        </is>
      </c>
      <c r="D21" s="15" t="n">
        <v>739.9888454232688</v>
      </c>
      <c r="E21" s="15" t="n">
        <v>739.9867507417462</v>
      </c>
      <c r="F21" t="inlineStr">
        <is>
          <t>prior_constrained_harmonic_fit</t>
        </is>
      </c>
      <c r="G21" t="inlineStr">
        <is>
          <t>prior_constrained_harmonic_fit</t>
        </is>
      </c>
      <c r="H21" t="n">
        <v>1</v>
      </c>
      <c r="I21" t="inlineStr">
        <is>
          <t>fit_accepted_acoustically_verified</t>
        </is>
      </c>
      <c r="J21" t="n">
        <v>0.0001415394544366216</v>
      </c>
      <c r="K21" s="15" t="n">
        <v>0.104737320990315</v>
      </c>
      <c r="L21" s="15" t="n">
        <v>-0.004900599690144936</v>
      </c>
      <c r="M21" t="inlineStr">
        <is>
          <t>excellent</t>
        </is>
      </c>
      <c r="N21" s="19" t="n">
        <v>0.8518518518518519</v>
      </c>
      <c r="O21" s="19" t="n">
        <v>0.1252701786105923</v>
      </c>
      <c r="P21" s="15" t="n">
        <v>1.910379484826551</v>
      </c>
      <c r="Q21" s="15" t="n">
        <v>16.79899599787108</v>
      </c>
      <c r="R21" s="15" t="n">
        <v>3.99406592005247</v>
      </c>
      <c r="S21" t="inlineStr">
        <is>
          <t>passed</t>
        </is>
      </c>
      <c r="T21" t="inlineStr">
        <is>
          <t>passed</t>
        </is>
      </c>
      <c r="U21" t="inlineStr">
        <is>
          <t>passed</t>
        </is>
      </c>
      <c r="V21" t="inlineStr">
        <is>
          <t>passed</t>
        </is>
      </c>
    </row>
    <row r="22">
      <c r="A22" t="inlineStr">
        <is>
          <t>G5</t>
        </is>
      </c>
      <c r="B22" t="n">
        <v>79</v>
      </c>
      <c r="C22" t="inlineStr">
        <is>
          <t>Very high</t>
        </is>
      </c>
      <c r="D22" s="15" t="n">
        <v>783.9908719634984</v>
      </c>
      <c r="E22" s="15" t="n">
        <v>784.4321875977005</v>
      </c>
      <c r="F22" t="inlineStr">
        <is>
          <t>prior_constrained_harmonic_fit</t>
        </is>
      </c>
      <c r="G22" t="inlineStr">
        <is>
          <t>prior_constrained_harmonic_fit</t>
        </is>
      </c>
      <c r="H22" t="n">
        <v>1</v>
      </c>
      <c r="I22" t="inlineStr">
        <is>
          <t>fit_accepted_acoustically_verified</t>
        </is>
      </c>
      <c r="J22" t="n">
        <v>0.001215404309691669</v>
      </c>
      <c r="K22" s="15" t="n">
        <v>0.9534022614671088</v>
      </c>
      <c r="L22" s="15" t="n">
        <v>0.9742533021578548</v>
      </c>
      <c r="M22" t="inlineStr">
        <is>
          <t>excellent</t>
        </is>
      </c>
      <c r="N22" s="19" t="n">
        <v>0.88</v>
      </c>
      <c r="O22" s="19" t="n">
        <v>0.1545018789186549</v>
      </c>
      <c r="P22" s="15" t="n">
        <v>2.073220150861447</v>
      </c>
      <c r="Q22" s="15" t="n">
        <v>8.525759115133434</v>
      </c>
      <c r="R22" s="15" t="n">
        <v>2.821231532522853</v>
      </c>
      <c r="S22" t="inlineStr">
        <is>
          <t>passed</t>
        </is>
      </c>
      <c r="T22" t="inlineStr">
        <is>
          <t>passed</t>
        </is>
      </c>
      <c r="U22" t="inlineStr">
        <is>
          <t>passed</t>
        </is>
      </c>
      <c r="V22" t="inlineStr">
        <is>
          <t>passed</t>
        </is>
      </c>
    </row>
    <row r="23">
      <c r="A23" t="inlineStr">
        <is>
          <t>G#5</t>
        </is>
      </c>
      <c r="B23" t="n">
        <v>80</v>
      </c>
      <c r="C23" t="inlineStr">
        <is>
          <t>Very high</t>
        </is>
      </c>
      <c r="D23" s="15" t="n">
        <v>830.6093951598904</v>
      </c>
      <c r="E23" s="15" t="n">
        <v>831.4971896904758</v>
      </c>
      <c r="F23" t="inlineStr">
        <is>
          <t>prior_constrained_harmonic_fit</t>
        </is>
      </c>
      <c r="G23" t="inlineStr">
        <is>
          <t>prior_constrained_harmonic_fit</t>
        </is>
      </c>
      <c r="H23" t="n">
        <v>1</v>
      </c>
      <c r="I23" t="inlineStr">
        <is>
          <t>fit_accepted_acoustically_verified</t>
        </is>
      </c>
      <c r="J23" t="n">
        <v>0.0008650362577310103</v>
      </c>
      <c r="K23" s="15" t="n">
        <v>0.7192752172837011</v>
      </c>
      <c r="L23" s="15" t="n">
        <v>1.849436468277821</v>
      </c>
      <c r="M23" t="inlineStr">
        <is>
          <t>good</t>
        </is>
      </c>
      <c r="N23" s="19" t="n">
        <v>0.8333333333333334</v>
      </c>
      <c r="O23" s="19" t="n">
        <v>0.1032484168765275</v>
      </c>
      <c r="P23" s="15" t="n">
        <v>1.936951201448567</v>
      </c>
      <c r="Q23" s="15" t="n">
        <v>17.02208127206818</v>
      </c>
      <c r="R23" s="15" t="n">
        <v>4.106604844614974</v>
      </c>
      <c r="S23" t="inlineStr">
        <is>
          <t>passed</t>
        </is>
      </c>
      <c r="T23" t="inlineStr">
        <is>
          <t>passed</t>
        </is>
      </c>
      <c r="U23" t="inlineStr">
        <is>
          <t>passed</t>
        </is>
      </c>
      <c r="V23" t="inlineStr">
        <is>
          <t>passed</t>
        </is>
      </c>
    </row>
    <row r="24">
      <c r="A24" t="inlineStr">
        <is>
          <t>A5</t>
        </is>
      </c>
      <c r="B24" t="n">
        <v>81</v>
      </c>
      <c r="C24" t="inlineStr">
        <is>
          <t>Very high</t>
        </is>
      </c>
      <c r="D24" s="15" t="n">
        <v>879.9999999999999</v>
      </c>
      <c r="E24" s="15" t="n">
        <v>878.7667450653453</v>
      </c>
      <c r="F24" t="inlineStr">
        <is>
          <t>prior_constrained_harmonic_fit</t>
        </is>
      </c>
      <c r="G24" t="inlineStr">
        <is>
          <t>prior_constrained_harmonic_fit</t>
        </is>
      </c>
      <c r="H24" t="n">
        <v>1</v>
      </c>
      <c r="I24" t="inlineStr">
        <is>
          <t>fit_accepted_acoustically_verified</t>
        </is>
      </c>
      <c r="J24" t="n">
        <v>0.0005725679689935018</v>
      </c>
      <c r="K24" s="15" t="n">
        <v>0.5031536904410951</v>
      </c>
      <c r="L24" s="15" t="n">
        <v>-2.427898173501915</v>
      </c>
      <c r="M24" t="inlineStr">
        <is>
          <t>excellent</t>
        </is>
      </c>
      <c r="N24" s="19" t="n">
        <v>0.8636363636363636</v>
      </c>
      <c r="O24" s="19" t="n">
        <v>0.1254324998856731</v>
      </c>
      <c r="P24" s="15" t="n">
        <v>1.121669007504129</v>
      </c>
      <c r="Q24" s="15" t="n">
        <v>8.925128900018393</v>
      </c>
      <c r="R24" s="15" t="n">
        <v>2.257494165371689</v>
      </c>
      <c r="S24" t="inlineStr">
        <is>
          <t>passed</t>
        </is>
      </c>
      <c r="T24" t="inlineStr">
        <is>
          <t>passed</t>
        </is>
      </c>
      <c r="U24" t="inlineStr">
        <is>
          <t>passed</t>
        </is>
      </c>
      <c r="V24" t="inlineStr">
        <is>
          <t>passed</t>
        </is>
      </c>
    </row>
    <row r="25">
      <c r="A25" t="inlineStr">
        <is>
          <t>A#5</t>
        </is>
      </c>
      <c r="B25" t="n">
        <v>82</v>
      </c>
      <c r="C25" t="inlineStr">
        <is>
          <t>Very high</t>
        </is>
      </c>
      <c r="D25" s="15" t="n">
        <v>932.3275230361796</v>
      </c>
      <c r="E25" s="15" t="n">
        <v>933.3958643516489</v>
      </c>
      <c r="F25" t="inlineStr">
        <is>
          <t>prior_constrained_harmonic_fit</t>
        </is>
      </c>
      <c r="G25" t="inlineStr">
        <is>
          <t>prior_constrained_harmonic_fit</t>
        </is>
      </c>
      <c r="H25" t="n">
        <v>1</v>
      </c>
      <c r="I25" t="inlineStr">
        <is>
          <t>fit_accepted_acoustically_verified</t>
        </is>
      </c>
      <c r="J25" t="n">
        <v>0.001010483462163336</v>
      </c>
      <c r="K25" s="15" t="n">
        <v>0.943181084578994</v>
      </c>
      <c r="L25" s="15" t="n">
        <v>1.982661605698065</v>
      </c>
      <c r="M25" t="inlineStr">
        <is>
          <t>excellent</t>
        </is>
      </c>
      <c r="N25" s="19" t="n">
        <v>0.8571428571428571</v>
      </c>
      <c r="O25" s="19" t="n">
        <v>0.1095819199799394</v>
      </c>
      <c r="P25" s="15" t="n">
        <v>1.081510750974868</v>
      </c>
      <c r="Q25" s="15" t="n">
        <v>6.10711958187875</v>
      </c>
      <c r="R25" s="15" t="n">
        <v>1.69546547860991</v>
      </c>
      <c r="S25" t="inlineStr">
        <is>
          <t>passed</t>
        </is>
      </c>
      <c r="T25" t="inlineStr">
        <is>
          <t>passed</t>
        </is>
      </c>
      <c r="U25" t="inlineStr">
        <is>
          <t>passed</t>
        </is>
      </c>
      <c r="V25" t="inlineStr">
        <is>
          <t>passed</t>
        </is>
      </c>
    </row>
    <row r="26">
      <c r="A26" t="inlineStr">
        <is>
          <t>B5</t>
        </is>
      </c>
      <c r="B26" t="n">
        <v>83</v>
      </c>
      <c r="C26" t="inlineStr">
        <is>
          <t>Very high</t>
        </is>
      </c>
      <c r="D26" s="15" t="n">
        <v>987.7666025122484</v>
      </c>
      <c r="E26" s="15" t="n">
        <v>991.0466905009614</v>
      </c>
      <c r="F26" t="inlineStr">
        <is>
          <t>prior_constrained_harmonic_fit</t>
        </is>
      </c>
      <c r="G26" t="inlineStr">
        <is>
          <t>prior_constrained_harmonic_fit</t>
        </is>
      </c>
      <c r="H26" t="n">
        <v>1</v>
      </c>
      <c r="I26" t="inlineStr">
        <is>
          <t>fit_accepted_acoustically_verified</t>
        </is>
      </c>
      <c r="J26" t="n">
        <v>0.0007175447219438089</v>
      </c>
      <c r="K26" s="15" t="n">
        <v>0.7111203219688443</v>
      </c>
      <c r="L26" s="15" t="n">
        <v>5.739404754342305</v>
      </c>
      <c r="M26" t="inlineStr">
        <is>
          <t>excellent</t>
        </is>
      </c>
      <c r="N26" s="19" t="n">
        <v>0.9</v>
      </c>
      <c r="O26" s="19" t="n">
        <v>0.1238695167627912</v>
      </c>
      <c r="P26" s="15" t="n">
        <v>2.309778577086571</v>
      </c>
      <c r="Q26" s="15" t="n">
        <v>17.808754744398</v>
      </c>
      <c r="R26" s="15" t="n">
        <v>4.530664285674042</v>
      </c>
      <c r="S26" t="inlineStr">
        <is>
          <t>passed</t>
        </is>
      </c>
      <c r="T26" t="inlineStr">
        <is>
          <t>passed</t>
        </is>
      </c>
      <c r="U26" t="inlineStr">
        <is>
          <t>passed</t>
        </is>
      </c>
      <c r="V26" t="inlineStr">
        <is>
          <t>passed</t>
        </is>
      </c>
    </row>
    <row r="27">
      <c r="A27" t="inlineStr">
        <is>
          <t>C6</t>
        </is>
      </c>
      <c r="B27" t="n">
        <v>84</v>
      </c>
      <c r="C27" t="inlineStr">
        <is>
          <t>Very high</t>
        </is>
      </c>
      <c r="D27" s="15" t="n">
        <v>1046.502261202394</v>
      </c>
      <c r="E27" s="15" t="n">
        <v>1048.295072261561</v>
      </c>
      <c r="F27" t="inlineStr">
        <is>
          <t>prior_constrained_harmonic_fit</t>
        </is>
      </c>
      <c r="G27" t="inlineStr">
        <is>
          <t>prior_constrained_harmonic_fit</t>
        </is>
      </c>
      <c r="H27" t="n">
        <v>1</v>
      </c>
      <c r="I27" t="inlineStr">
        <is>
          <t>fit_accepted_acoustically_verified</t>
        </is>
      </c>
      <c r="J27" t="n">
        <v>0.0005057374360463942</v>
      </c>
      <c r="K27" s="15" t="n">
        <v>0.5301620620656312</v>
      </c>
      <c r="L27" s="15" t="n">
        <v>2.963318940108505</v>
      </c>
      <c r="M27" t="inlineStr">
        <is>
          <t>good</t>
        </is>
      </c>
      <c r="N27" s="19" t="n">
        <v>0.8421052631578947</v>
      </c>
      <c r="O27" s="19" t="n">
        <v>0.1217282581184692</v>
      </c>
      <c r="P27" s="15" t="n">
        <v>1.352780162707556</v>
      </c>
      <c r="Q27" s="15" t="n">
        <v>15.45728804930903</v>
      </c>
      <c r="R27" s="15" t="n">
        <v>3.894454069967883</v>
      </c>
      <c r="S27" t="inlineStr">
        <is>
          <t>passed</t>
        </is>
      </c>
      <c r="T27" t="inlineStr">
        <is>
          <t>passed</t>
        </is>
      </c>
      <c r="U27" t="inlineStr">
        <is>
          <t>passed</t>
        </is>
      </c>
      <c r="V27" t="inlineStr">
        <is>
          <t>passed</t>
        </is>
      </c>
    </row>
    <row r="28">
      <c r="A28" t="inlineStr">
        <is>
          <t>C#6</t>
        </is>
      </c>
      <c r="B28" t="n">
        <v>85</v>
      </c>
      <c r="C28" t="inlineStr">
        <is>
          <t>Very high</t>
        </is>
      </c>
      <c r="D28" s="15" t="n">
        <v>1108.730523907488</v>
      </c>
      <c r="E28" s="15" t="n">
        <v>1108.705557640411</v>
      </c>
      <c r="F28" t="inlineStr">
        <is>
          <t>prior_constrained_harmonic_fit</t>
        </is>
      </c>
      <c r="G28" t="inlineStr">
        <is>
          <t>prior_constrained_harmonic_fit</t>
        </is>
      </c>
      <c r="H28" t="n">
        <v>1</v>
      </c>
      <c r="I28" t="inlineStr">
        <is>
          <t>fit_accepted_acoustically_verified</t>
        </is>
      </c>
      <c r="J28" t="n">
        <v>0.0002812429578060445</v>
      </c>
      <c r="K28" s="15" t="n">
        <v>0.3118156303667892</v>
      </c>
      <c r="L28" s="15" t="n">
        <v>-0.03898416915173967</v>
      </c>
      <c r="M28" t="inlineStr">
        <is>
          <t>good</t>
        </is>
      </c>
      <c r="N28" s="19" t="n">
        <v>0.8333333333333334</v>
      </c>
      <c r="O28" s="19" t="n">
        <v>0.1107512597249876</v>
      </c>
      <c r="P28" s="15" t="n">
        <v>1.875600806132395</v>
      </c>
      <c r="Q28" s="15" t="n">
        <v>12.25499013164644</v>
      </c>
      <c r="R28" s="15" t="n">
        <v>3.457452329202229</v>
      </c>
      <c r="S28" t="inlineStr">
        <is>
          <t>passed</t>
        </is>
      </c>
      <c r="T28" t="inlineStr">
        <is>
          <t>passed</t>
        </is>
      </c>
      <c r="U28" t="inlineStr">
        <is>
          <t>passed</t>
        </is>
      </c>
      <c r="V28" t="inlineStr">
        <is>
          <t>passed</t>
        </is>
      </c>
    </row>
    <row r="29">
      <c r="A29" t="inlineStr">
        <is>
          <t>D6</t>
        </is>
      </c>
      <c r="B29" t="n">
        <v>86</v>
      </c>
      <c r="C29" t="inlineStr">
        <is>
          <t>Very high</t>
        </is>
      </c>
      <c r="D29" s="15" t="n">
        <v>1174.659071669631</v>
      </c>
      <c r="E29" s="15" t="n">
        <v>1175.394439136516</v>
      </c>
      <c r="F29" t="inlineStr">
        <is>
          <t>prior_constrained_harmonic_fit</t>
        </is>
      </c>
      <c r="G29" t="inlineStr">
        <is>
          <t>prior_constrained_harmonic_fit</t>
        </is>
      </c>
      <c r="H29" t="n">
        <v>1</v>
      </c>
      <c r="I29" t="inlineStr">
        <is>
          <t>fit_accepted_acoustically_verified</t>
        </is>
      </c>
      <c r="J29" t="n">
        <v>0.000133158541574266</v>
      </c>
      <c r="K29" s="15" t="n">
        <v>0.1565138092899209</v>
      </c>
      <c r="L29" s="15" t="n">
        <v>1.083458936527936</v>
      </c>
      <c r="M29" t="inlineStr">
        <is>
          <t>excellent</t>
        </is>
      </c>
      <c r="N29" s="19" t="n">
        <v>0.8823529411764706</v>
      </c>
      <c r="O29" s="19" t="n">
        <v>0.1539662563978096</v>
      </c>
      <c r="P29" s="15" t="n">
        <v>1.847561416733926</v>
      </c>
      <c r="Q29" s="15" t="n">
        <v>13.10578346216606</v>
      </c>
      <c r="R29" s="15" t="n">
        <v>4.15531108909811</v>
      </c>
      <c r="S29" t="inlineStr">
        <is>
          <t>passed</t>
        </is>
      </c>
      <c r="T29" t="inlineStr">
        <is>
          <t>passed</t>
        </is>
      </c>
      <c r="U29" t="inlineStr">
        <is>
          <t>passed</t>
        </is>
      </c>
      <c r="V29" t="inlineStr">
        <is>
          <t>passed</t>
        </is>
      </c>
    </row>
    <row r="30">
      <c r="A30" t="inlineStr">
        <is>
          <t>D#6</t>
        </is>
      </c>
      <c r="B30" t="n">
        <v>87</v>
      </c>
      <c r="C30" t="inlineStr">
        <is>
          <t>Very high</t>
        </is>
      </c>
      <c r="D30" s="15" t="n">
        <v>1244.507934888323</v>
      </c>
      <c r="E30" s="15" t="n">
        <v>1245.053057264586</v>
      </c>
      <c r="F30" t="inlineStr">
        <is>
          <t>prior_constrained_harmonic_fit</t>
        </is>
      </c>
      <c r="G30" t="inlineStr">
        <is>
          <t>prior_constrained_harmonic_fit</t>
        </is>
      </c>
      <c r="H30" t="n">
        <v>1</v>
      </c>
      <c r="I30" t="inlineStr">
        <is>
          <t>fit_accepted_acoustically_verified</t>
        </is>
      </c>
      <c r="J30" t="n">
        <v>0.00135875493497818</v>
      </c>
      <c r="K30" s="15" t="n">
        <v>1.691721985867928</v>
      </c>
      <c r="L30" s="15" t="n">
        <v>0.7581532942966935</v>
      </c>
      <c r="M30" t="inlineStr">
        <is>
          <t>good</t>
        </is>
      </c>
      <c r="N30" s="19" t="n">
        <v>0.8125</v>
      </c>
      <c r="O30" s="19" t="n">
        <v>0.1536462559404951</v>
      </c>
      <c r="P30" s="15" t="n">
        <v>2.750189852910917</v>
      </c>
      <c r="Q30" s="15" t="n">
        <v>12.82280645994277</v>
      </c>
      <c r="R30" s="15" t="n">
        <v>4.295755972033075</v>
      </c>
      <c r="S30" t="inlineStr">
        <is>
          <t>passed</t>
        </is>
      </c>
      <c r="T30" t="inlineStr">
        <is>
          <t>passed</t>
        </is>
      </c>
      <c r="U30" t="inlineStr">
        <is>
          <t>passed</t>
        </is>
      </c>
      <c r="V30" t="inlineStr">
        <is>
          <t>passed</t>
        </is>
      </c>
    </row>
    <row r="31">
      <c r="A31" t="inlineStr">
        <is>
          <t>E6</t>
        </is>
      </c>
      <c r="B31" t="n">
        <v>88</v>
      </c>
      <c r="C31" t="inlineStr">
        <is>
          <t>Very high</t>
        </is>
      </c>
      <c r="D31" s="15" t="n">
        <v>1318.510227651479</v>
      </c>
      <c r="E31" s="15" t="n">
        <v>1319.384384628971</v>
      </c>
      <c r="F31" t="inlineStr">
        <is>
          <t>prior_constrained_harmonic_fit</t>
        </is>
      </c>
      <c r="G31" t="inlineStr">
        <is>
          <t>prior_constrained_harmonic_fit</t>
        </is>
      </c>
      <c r="H31" t="n">
        <v>1</v>
      </c>
      <c r="I31" t="inlineStr">
        <is>
          <t>fit_accepted_acoustically_verified</t>
        </is>
      </c>
      <c r="J31" t="n">
        <v>0.0001317635620150725</v>
      </c>
      <c r="K31" s="15" t="n">
        <v>0.1738467861857776</v>
      </c>
      <c r="L31" s="15" t="n">
        <v>1.14740776376324</v>
      </c>
      <c r="M31" t="inlineStr">
        <is>
          <t>excellent</t>
        </is>
      </c>
      <c r="N31" s="19" t="n">
        <v>0.8666666666666667</v>
      </c>
      <c r="O31" s="19" t="n">
        <v>0.1860775050875826</v>
      </c>
      <c r="P31" s="15" t="n">
        <v>1.355600382285042</v>
      </c>
      <c r="Q31" s="15" t="n">
        <v>11.11293015952705</v>
      </c>
      <c r="R31" s="15" t="n">
        <v>3.156439577037935</v>
      </c>
      <c r="S31" t="inlineStr">
        <is>
          <t>passed</t>
        </is>
      </c>
      <c r="T31" t="inlineStr">
        <is>
          <t>passed</t>
        </is>
      </c>
      <c r="U31" t="inlineStr">
        <is>
          <t>passed</t>
        </is>
      </c>
      <c r="V31" t="inlineStr">
        <is>
          <t>passed</t>
        </is>
      </c>
    </row>
    <row r="32">
      <c r="A32" t="inlineStr">
        <is>
          <t>F6</t>
        </is>
      </c>
      <c r="B32" t="n">
        <v>89</v>
      </c>
      <c r="C32" t="inlineStr">
        <is>
          <t>Very high</t>
        </is>
      </c>
      <c r="D32" s="15" t="n">
        <v>1396.912925732016</v>
      </c>
      <c r="E32" s="15" t="n">
        <v>1397.064680462639</v>
      </c>
      <c r="F32" t="inlineStr">
        <is>
          <t>prior_constrained_harmonic_fit</t>
        </is>
      </c>
      <c r="G32" t="inlineStr">
        <is>
          <t>prior_constrained_harmonic_fit</t>
        </is>
      </c>
      <c r="H32" t="n">
        <v>1</v>
      </c>
      <c r="I32" t="inlineStr">
        <is>
          <t>fit_accepted_acoustically_verified</t>
        </is>
      </c>
      <c r="J32" t="n">
        <v>0.0003673379769273632</v>
      </c>
      <c r="K32" s="15" t="n">
        <v>0.5131949133578189</v>
      </c>
      <c r="L32" s="15" t="n">
        <v>0.1880637528642516</v>
      </c>
      <c r="M32" t="inlineStr">
        <is>
          <t>excellent</t>
        </is>
      </c>
      <c r="N32" s="19" t="n">
        <v>0.8571428571428571</v>
      </c>
      <c r="O32" s="19" t="n">
        <v>0.1588313399581642</v>
      </c>
      <c r="P32" s="15" t="n">
        <v>1.365362134886623</v>
      </c>
      <c r="Q32" s="15" t="n">
        <v>3.210898050383571</v>
      </c>
      <c r="R32" s="15" t="n">
        <v>1.705311413156928</v>
      </c>
      <c r="S32" t="inlineStr">
        <is>
          <t>passed</t>
        </is>
      </c>
      <c r="T32" t="inlineStr">
        <is>
          <t>passed</t>
        </is>
      </c>
      <c r="U32" t="inlineStr">
        <is>
          <t>passed</t>
        </is>
      </c>
      <c r="V32" t="inlineStr">
        <is>
          <t>passed</t>
        </is>
      </c>
    </row>
    <row r="33">
      <c r="A33" t="inlineStr">
        <is>
          <t>F#6</t>
        </is>
      </c>
      <c r="B33" t="n">
        <v>90</v>
      </c>
      <c r="C33" t="inlineStr">
        <is>
          <t>Very high</t>
        </is>
      </c>
      <c r="D33" s="15" t="n">
        <v>1479.977690846538</v>
      </c>
      <c r="E33" s="15" t="n">
        <v>1478.502360863797</v>
      </c>
      <c r="F33" t="inlineStr">
        <is>
          <t>prior_constrained_harmonic_fit</t>
        </is>
      </c>
      <c r="G33" t="inlineStr">
        <is>
          <t>prior_constrained_harmonic_fit</t>
        </is>
      </c>
      <c r="H33" t="n">
        <v>1</v>
      </c>
      <c r="I33" t="inlineStr">
        <is>
          <t>fit_accepted_acoustically_verified</t>
        </is>
      </c>
      <c r="J33" t="n">
        <v>0.001953349360879995</v>
      </c>
      <c r="K33" s="15" t="n">
        <v>2.888031641652862</v>
      </c>
      <c r="L33" s="15" t="n">
        <v>-1.72665805873806</v>
      </c>
      <c r="M33" t="inlineStr">
        <is>
          <t>good</t>
        </is>
      </c>
      <c r="N33" s="19" t="n">
        <v>0.8461538461538461</v>
      </c>
      <c r="O33" s="19" t="n">
        <v>0.2106700581736758</v>
      </c>
      <c r="P33" s="15" t="n">
        <v>1.627076365887866</v>
      </c>
      <c r="Q33" s="15" t="n">
        <v>8.513592361643799</v>
      </c>
      <c r="R33" s="15" t="n">
        <v>2.795140195453407</v>
      </c>
      <c r="S33" t="inlineStr">
        <is>
          <t>passed</t>
        </is>
      </c>
      <c r="T33" t="inlineStr">
        <is>
          <t>passed</t>
        </is>
      </c>
      <c r="U33" t="inlineStr">
        <is>
          <t>passed</t>
        </is>
      </c>
      <c r="V33" t="inlineStr">
        <is>
          <t>passed</t>
        </is>
      </c>
    </row>
    <row r="34">
      <c r="A34" t="inlineStr">
        <is>
          <t>G6</t>
        </is>
      </c>
      <c r="B34" t="n">
        <v>91</v>
      </c>
      <c r="C34" t="inlineStr">
        <is>
          <t>Very high</t>
        </is>
      </c>
      <c r="D34" s="15" t="n">
        <v>1567.981743926997</v>
      </c>
      <c r="E34" s="15" t="n">
        <v>1568.842370032107</v>
      </c>
      <c r="F34" t="inlineStr">
        <is>
          <t>prior_constrained_harmonic_fit</t>
        </is>
      </c>
      <c r="G34" t="inlineStr">
        <is>
          <t>prior_constrained_harmonic_fit</t>
        </is>
      </c>
      <c r="H34" t="n">
        <v>1</v>
      </c>
      <c r="I34" t="inlineStr">
        <is>
          <t>fit_accepted_acoustically_verified</t>
        </is>
      </c>
      <c r="J34" t="n">
        <v>0.0004945294081681711</v>
      </c>
      <c r="K34" s="15" t="n">
        <v>0.7758386887611287</v>
      </c>
      <c r="L34" s="15" t="n">
        <v>0.9499705434152009</v>
      </c>
      <c r="M34" t="inlineStr">
        <is>
          <t>excellent</t>
        </is>
      </c>
      <c r="N34" s="19" t="n">
        <v>0.9166666666666666</v>
      </c>
      <c r="O34" s="19" t="n">
        <v>0.2137313132715398</v>
      </c>
      <c r="P34" s="15" t="n">
        <v>1.388033397869683</v>
      </c>
      <c r="Q34" s="15" t="n">
        <v>3.397086281708809</v>
      </c>
      <c r="R34" s="15" t="n">
        <v>1.792578329841979</v>
      </c>
      <c r="S34" t="inlineStr">
        <is>
          <t>passed</t>
        </is>
      </c>
      <c r="T34" t="inlineStr">
        <is>
          <t>passed</t>
        </is>
      </c>
      <c r="U34" t="inlineStr">
        <is>
          <t>passed</t>
        </is>
      </c>
      <c r="V34" t="inlineStr">
        <is>
          <t>passed</t>
        </is>
      </c>
    </row>
    <row r="35">
      <c r="A35" t="inlineStr">
        <is>
          <t>G#6</t>
        </is>
      </c>
      <c r="B35" t="n">
        <v>92</v>
      </c>
      <c r="C35" t="inlineStr">
        <is>
          <t>Very high</t>
        </is>
      </c>
      <c r="D35" s="15" t="n">
        <v>1661.218790319781</v>
      </c>
      <c r="E35" s="15" t="n">
        <v>1661.528284337554</v>
      </c>
      <c r="F35" t="inlineStr">
        <is>
          <t>prior_constrained_harmonic_fit</t>
        </is>
      </c>
      <c r="G35" t="inlineStr">
        <is>
          <t>prior_constrained_harmonic_fit</t>
        </is>
      </c>
      <c r="H35" t="n">
        <v>1</v>
      </c>
      <c r="I35" t="inlineStr">
        <is>
          <t>fit_accepted_acoustically_verified</t>
        </is>
      </c>
      <c r="J35" t="n">
        <v>0.0002322713654124375</v>
      </c>
      <c r="K35" s="15" t="n">
        <v>0.3859254432744684</v>
      </c>
      <c r="L35" s="15" t="n">
        <v>0.3225081964183523</v>
      </c>
      <c r="M35" t="inlineStr">
        <is>
          <t>good</t>
        </is>
      </c>
      <c r="N35" s="19" t="n">
        <v>0.75</v>
      </c>
      <c r="O35" s="19" t="n">
        <v>0.05943728095953547</v>
      </c>
      <c r="P35" s="15" t="n">
        <v>0.7810808317968561</v>
      </c>
      <c r="Q35" s="15" t="n">
        <v>1.990711457933772</v>
      </c>
      <c r="R35" s="15" t="n">
        <v>0.9673366338218697</v>
      </c>
      <c r="S35" t="inlineStr">
        <is>
          <t>passed</t>
        </is>
      </c>
      <c r="T35" t="inlineStr">
        <is>
          <t>passed</t>
        </is>
      </c>
      <c r="U35" t="inlineStr">
        <is>
          <t>passed</t>
        </is>
      </c>
      <c r="V35" t="inlineStr">
        <is>
          <t>passed</t>
        </is>
      </c>
    </row>
    <row r="36">
      <c r="A36" t="inlineStr">
        <is>
          <t>A6</t>
        </is>
      </c>
      <c r="B36" t="n">
        <v>93</v>
      </c>
      <c r="C36" t="inlineStr">
        <is>
          <t>Very high</t>
        </is>
      </c>
      <c r="D36" s="15" t="n">
        <v>1760</v>
      </c>
      <c r="E36" s="15" t="n">
        <v>1766.519323209072</v>
      </c>
      <c r="F36" t="inlineStr">
        <is>
          <t>prior_constrained_harmonic_fit</t>
        </is>
      </c>
      <c r="G36" t="inlineStr">
        <is>
          <t>prior_constrained_harmonic_fit</t>
        </is>
      </c>
      <c r="H36" t="n">
        <v>1</v>
      </c>
      <c r="I36" t="inlineStr">
        <is>
          <t>fit_accepted_acoustically_verified</t>
        </is>
      </c>
      <c r="J36" t="n">
        <v>0.001243967329751607</v>
      </c>
      <c r="K36" s="15" t="n">
        <v>2.197492325447005</v>
      </c>
      <c r="L36" s="15" t="n">
        <v>6.400921781120469</v>
      </c>
      <c r="M36" t="inlineStr">
        <is>
          <t>good</t>
        </is>
      </c>
      <c r="N36" s="19" t="n">
        <v>0.8181818181818182</v>
      </c>
      <c r="O36" s="19" t="n">
        <v>0.153844847750048</v>
      </c>
      <c r="P36" s="15" t="n">
        <v>0.7809300703170383</v>
      </c>
      <c r="Q36" s="15" t="n">
        <v>0.7809300703170597</v>
      </c>
      <c r="R36" s="15" t="n">
        <v>0.7809300703170383</v>
      </c>
      <c r="S36" t="inlineStr">
        <is>
          <t>passed</t>
        </is>
      </c>
      <c r="T36" t="inlineStr">
        <is>
          <t>passed</t>
        </is>
      </c>
      <c r="U36" t="inlineStr">
        <is>
          <t>passed</t>
        </is>
      </c>
      <c r="V36" t="inlineStr">
        <is>
          <t>passed</t>
        </is>
      </c>
    </row>
    <row r="37">
      <c r="A37" t="inlineStr">
        <is>
          <t>A#6</t>
        </is>
      </c>
      <c r="B37" t="n">
        <v>94</v>
      </c>
      <c r="C37" t="inlineStr">
        <is>
          <t>Very high</t>
        </is>
      </c>
      <c r="D37" s="15" t="n">
        <v>1864.655046072359</v>
      </c>
      <c r="E37" s="15" t="n">
        <v>1867.596399896791</v>
      </c>
      <c r="F37" t="inlineStr">
        <is>
          <t>prior_constrained_harmonic_fit</t>
        </is>
      </c>
      <c r="G37" t="inlineStr">
        <is>
          <t>prior_constrained_harmonic_fit</t>
        </is>
      </c>
      <c r="H37" t="n">
        <v>1</v>
      </c>
      <c r="I37" t="inlineStr">
        <is>
          <t>fit_accepted_acoustically_verified</t>
        </is>
      </c>
      <c r="J37" t="n">
        <v>0.0007282670440341174</v>
      </c>
      <c r="K37" s="15" t="n">
        <v>1.360108909601595</v>
      </c>
      <c r="L37" s="15" t="n">
        <v>2.728740557357714</v>
      </c>
      <c r="M37" t="inlineStr">
        <is>
          <t>good</t>
        </is>
      </c>
      <c r="N37" s="19" t="n">
        <v>0.7</v>
      </c>
      <c r="O37" s="19" t="n">
        <v>0.09241353857702153</v>
      </c>
      <c r="P37" s="15" t="n">
        <v>0.757959871413337</v>
      </c>
      <c r="Q37" s="15" t="n">
        <v>1.376610680285989</v>
      </c>
      <c r="R37" s="15" t="n">
        <v>0.8617969846590458</v>
      </c>
      <c r="S37" t="inlineStr">
        <is>
          <t>passed</t>
        </is>
      </c>
      <c r="T37" t="inlineStr">
        <is>
          <t>passed</t>
        </is>
      </c>
      <c r="U37" t="inlineStr">
        <is>
          <t>passed</t>
        </is>
      </c>
      <c r="V37" t="inlineStr">
        <is>
          <t>passed</t>
        </is>
      </c>
    </row>
    <row r="38">
      <c r="A38" t="inlineStr">
        <is>
          <t>B6</t>
        </is>
      </c>
      <c r="B38" t="n">
        <v>95</v>
      </c>
      <c r="C38" t="inlineStr">
        <is>
          <t>Very high</t>
        </is>
      </c>
      <c r="D38" s="15" t="n">
        <v>1975.533205024497</v>
      </c>
      <c r="E38" s="15" t="n">
        <v>1972.771711398326</v>
      </c>
      <c r="F38" t="inlineStr">
        <is>
          <t>prior_constrained_harmonic_fit</t>
        </is>
      </c>
      <c r="G38" t="inlineStr">
        <is>
          <t>prior_constrained_harmonic_fit</t>
        </is>
      </c>
      <c r="H38" t="n">
        <v>1</v>
      </c>
      <c r="I38" t="inlineStr">
        <is>
          <t>fit_accepted_acoustically_verified</t>
        </is>
      </c>
      <c r="J38" t="n">
        <v>0.001458804849946781</v>
      </c>
      <c r="K38" s="15" t="n">
        <v>2.877888940425688</v>
      </c>
      <c r="L38" s="15" t="n">
        <v>-2.42169370028914</v>
      </c>
      <c r="M38" t="inlineStr">
        <is>
          <t>good</t>
        </is>
      </c>
      <c r="N38" s="19" t="n">
        <v>0.8</v>
      </c>
      <c r="O38" s="19" t="n">
        <v>0.173475310085754</v>
      </c>
      <c r="P38" s="15" t="n">
        <v>2.042025770508134</v>
      </c>
      <c r="Q38" s="15" t="n">
        <v>7.253627137806905</v>
      </c>
      <c r="R38" s="15" t="n">
        <v>2.937224246163424</v>
      </c>
      <c r="S38" t="inlineStr">
        <is>
          <t>passed</t>
        </is>
      </c>
      <c r="T38" t="inlineStr">
        <is>
          <t>passed</t>
        </is>
      </c>
      <c r="U38" t="inlineStr">
        <is>
          <t>passed</t>
        </is>
      </c>
      <c r="V38" t="inlineStr">
        <is>
          <t>passed</t>
        </is>
      </c>
    </row>
    <row r="39">
      <c r="A39" t="inlineStr">
        <is>
          <t>C7</t>
        </is>
      </c>
      <c r="B39" t="n">
        <v>96</v>
      </c>
      <c r="C39" t="inlineStr">
        <is>
          <t>Very high</t>
        </is>
      </c>
      <c r="D39" s="15" t="n">
        <v>2093.004522404789</v>
      </c>
      <c r="E39" s="15" t="n">
        <v>2094.597929620281</v>
      </c>
      <c r="F39" t="inlineStr">
        <is>
          <t>prior_constrained_harmonic_fit</t>
        </is>
      </c>
      <c r="G39" t="inlineStr">
        <is>
          <t>prior_constrained_harmonic_fit</t>
        </is>
      </c>
      <c r="H39" t="n">
        <v>1</v>
      </c>
      <c r="I39" t="inlineStr">
        <is>
          <t>fit_accepted_acoustically_verified</t>
        </is>
      </c>
      <c r="J39" t="n">
        <v>0.0001639836764978841</v>
      </c>
      <c r="K39" s="15" t="n">
        <v>0.34347986928399</v>
      </c>
      <c r="L39" s="15" t="n">
        <v>1.317489417977973</v>
      </c>
      <c r="M39" t="inlineStr">
        <is>
          <t>warning</t>
        </is>
      </c>
      <c r="N39" s="19" t="n">
        <v>0.6666666666666666</v>
      </c>
      <c r="O39" s="19" t="n">
        <v>0.0840804435971175</v>
      </c>
      <c r="P39" s="15" t="n">
        <v>0.7199984453210009</v>
      </c>
      <c r="Q39" s="15" t="n">
        <v>1.298612786772634</v>
      </c>
      <c r="R39" s="15" t="n">
        <v>0.8207048881194209</v>
      </c>
      <c r="S39" t="inlineStr">
        <is>
          <t>passed</t>
        </is>
      </c>
      <c r="T39" t="inlineStr">
        <is>
          <t>passed</t>
        </is>
      </c>
      <c r="U39" t="inlineStr">
        <is>
          <t>warning_harmonic_alignment</t>
        </is>
      </c>
      <c r="V39" t="inlineStr">
        <is>
          <t>warning</t>
        </is>
      </c>
    </row>
    <row r="40">
      <c r="A40" t="inlineStr">
        <is>
          <t>C#7</t>
        </is>
      </c>
      <c r="B40" t="n">
        <v>97</v>
      </c>
      <c r="C40" t="inlineStr">
        <is>
          <t>Very high</t>
        </is>
      </c>
      <c r="D40" s="15" t="n">
        <v>2217.461047814976</v>
      </c>
      <c r="E40" s="15" t="n">
        <v>2215.301825040167</v>
      </c>
      <c r="F40" t="inlineStr">
        <is>
          <t>prior_constrained_harmonic_fit</t>
        </is>
      </c>
      <c r="G40" t="inlineStr">
        <is>
          <t>prior_constrained_harmonic_fit</t>
        </is>
      </c>
      <c r="H40" t="n">
        <v>1</v>
      </c>
      <c r="I40" t="inlineStr">
        <is>
          <t>fit_accepted_acoustically_verified</t>
        </is>
      </c>
      <c r="J40" t="n">
        <v>0.0004760984409871958</v>
      </c>
      <c r="K40" s="15" t="n">
        <v>1.054701745217713</v>
      </c>
      <c r="L40" s="15" t="n">
        <v>-1.68658707453591</v>
      </c>
      <c r="M40" t="inlineStr">
        <is>
          <t>good</t>
        </is>
      </c>
      <c r="N40" s="19" t="n">
        <v>0.7777777777777778</v>
      </c>
      <c r="O40" s="19" t="n">
        <v>0.1487172523350604</v>
      </c>
      <c r="P40" s="15" t="n">
        <v>1.182623977286197</v>
      </c>
      <c r="Q40" s="15" t="n">
        <v>2.04480586350148</v>
      </c>
      <c r="R40" s="15" t="n">
        <v>1.398122082052533</v>
      </c>
      <c r="S40" t="inlineStr">
        <is>
          <t>passed</t>
        </is>
      </c>
      <c r="T40" t="inlineStr">
        <is>
          <t>passed</t>
        </is>
      </c>
      <c r="U40" t="inlineStr">
        <is>
          <t>passed</t>
        </is>
      </c>
      <c r="V40" t="inlineStr">
        <is>
          <t>passed</t>
        </is>
      </c>
    </row>
  </sheetData>
  <autoFilter ref="A1:V4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A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1" customWidth="1" min="3" max="3"/>
    <col width="33" customWidth="1" min="4" max="4"/>
    <col width="22" customWidth="1" min="5" max="5"/>
    <col width="34" customWidth="1" min="6" max="6"/>
    <col width="28" customWidth="1" min="7" max="7"/>
    <col width="21" customWidth="1" min="8" max="8"/>
    <col width="48" customWidth="1" min="9" max="9"/>
    <col width="48" customWidth="1" min="10" max="10"/>
    <col width="46" customWidth="1" min="11" max="11"/>
    <col width="48" customWidth="1" min="12" max="12"/>
    <col width="48" customWidth="1" min="13" max="13"/>
    <col width="48" customWidth="1" min="14" max="14"/>
    <col width="48" customWidth="1" min="15" max="15"/>
    <col width="32" customWidth="1" min="16" max="16"/>
    <col width="32" customWidth="1" min="17" max="17"/>
    <col width="38" customWidth="1" min="18" max="18"/>
    <col width="48" customWidth="1" min="19" max="19"/>
    <col width="28" customWidth="1" min="20" max="20"/>
    <col width="30" customWidth="1" min="21" max="21"/>
    <col width="27" customWidth="1" min="22" max="22"/>
    <col width="25" customWidth="1" min="23" max="23"/>
    <col width="27" customWidth="1" min="24" max="24"/>
    <col width="24" customWidth="1" min="25" max="25"/>
    <col width="24" customWidth="1" min="26" max="26"/>
    <col width="31" customWidth="1" min="27" max="27"/>
    <col width="30" customWidth="1" min="28" max="28"/>
    <col width="26" customWidth="1" min="29" max="29"/>
    <col width="34" customWidth="1" min="30" max="30"/>
    <col width="34" customWidth="1" min="31" max="31"/>
    <col width="27" customWidth="1" min="32" max="32"/>
    <col width="46" customWidth="1" min="33" max="33"/>
    <col width="48" customWidth="1" min="34" max="34"/>
    <col width="37" customWidth="1" min="35" max="35"/>
    <col width="48" customWidth="1" min="36" max="36"/>
    <col width="43" customWidth="1" min="37" max="37"/>
    <col width="33" customWidth="1" min="38" max="38"/>
    <col width="41" customWidth="1" min="39" max="39"/>
    <col width="48" customWidth="1" min="40" max="40"/>
    <col width="42" customWidth="1" min="41" max="41"/>
    <col width="20" customWidth="1" min="42" max="42"/>
    <col width="35" customWidth="1" min="43" max="43"/>
    <col width="22" customWidth="1" min="44" max="44"/>
    <col width="37" customWidth="1" min="45" max="45"/>
    <col width="40" customWidth="1" min="46" max="46"/>
    <col width="42" customWidth="1" min="47" max="47"/>
    <col width="39" customWidth="1" min="48" max="48"/>
    <col width="28" customWidth="1" min="49" max="49"/>
    <col width="27" customWidth="1" min="50" max="50"/>
    <col width="33" customWidth="1" min="51" max="51"/>
    <col width="35" customWidth="1" min="52" max="52"/>
    <col width="32" customWidth="1" min="53" max="53"/>
  </cols>
  <sheetData>
    <row r="1">
      <c r="A1" s="11" t="inlineStr">
        <is>
          <t>Note</t>
        </is>
      </c>
      <c r="B1" s="11" t="inlineStr">
        <is>
          <t>MIDI</t>
        </is>
      </c>
      <c r="C1" s="11" t="inlineStr">
        <is>
          <t>spectral_body_thickness_index</t>
        </is>
      </c>
      <c r="D1" s="11" t="inlineStr">
        <is>
          <t>body_weighted_effective_density</t>
        </is>
      </c>
      <c r="E1" s="11" t="inlineStr">
        <is>
          <t>low_mid_energy_ratio</t>
        </is>
      </c>
      <c r="F1" s="11" t="inlineStr">
        <is>
          <t>harmonic_body_density_normalized</t>
        </is>
      </c>
      <c r="G1" s="11" t="inlineStr">
        <is>
          <t>core_residual_energy_ratio</t>
        </is>
      </c>
      <c r="H1" s="11" t="inlineStr">
        <is>
          <t>spectral_entropy</t>
        </is>
      </c>
      <c r="I1" s="11" t="inlineStr">
        <is>
          <t>salient_harmonic_order_count_up_to_body_ceiling</t>
        </is>
      </c>
      <c r="J1" s="11" t="inlineStr">
        <is>
          <t>expected_harmonic_order_count_up_to_body_ceiling</t>
        </is>
      </c>
      <c r="K1" s="11" t="inlineStr">
        <is>
          <t>salient_harmonic_coverage_up_to_body_ceiling</t>
        </is>
      </c>
      <c r="L1" s="11" t="inlineStr">
        <is>
          <t>salient_harmonic_order_count_up_to_density_ceiling_hz</t>
        </is>
      </c>
      <c r="M1" s="11" t="inlineStr">
        <is>
          <t>expected_harmonic_order_count_up_to_density_ceiling_hz</t>
        </is>
      </c>
      <c r="N1" s="11" t="inlineStr">
        <is>
          <t>salient_harmonic_coverage_up_to_density_ceiling_hz</t>
        </is>
      </c>
      <c r="O1" s="11" t="inlineStr">
        <is>
          <t>salient_inharmonic_log_bin_count_up_to_body_ceiling</t>
        </is>
      </c>
      <c r="P1" s="11" t="inlineStr">
        <is>
          <t>salient_subbass_particle_count</t>
        </is>
      </c>
      <c r="Q1" s="11" t="inlineStr">
        <is>
          <t>final_note_density_count_based</t>
        </is>
      </c>
      <c r="R1" s="11" t="inlineStr">
        <is>
          <t>final_note_density_salience_weighted</t>
        </is>
      </c>
      <c r="S1" s="11" t="inlineStr">
        <is>
          <t>final_note_density_salience_weighted_norm_for_chart</t>
        </is>
      </c>
      <c r="T1" s="11" t="inlineStr">
        <is>
          <t>harmonic_density_component</t>
        </is>
      </c>
      <c r="U1" s="11" t="inlineStr">
        <is>
          <t>inharmonic_density_component</t>
        </is>
      </c>
      <c r="V1" s="11" t="inlineStr">
        <is>
          <t>subbass_density_component</t>
        </is>
      </c>
      <c r="W1" s="11" t="inlineStr">
        <is>
          <t>harmonic_density_weight</t>
        </is>
      </c>
      <c r="X1" s="11" t="inlineStr">
        <is>
          <t>inharmonic_density_weight</t>
        </is>
      </c>
      <c r="Y1" s="11" t="inlineStr">
        <is>
          <t>subbass_density_weight</t>
        </is>
      </c>
      <c r="Z1" s="11" t="inlineStr">
        <is>
          <t>density_summation_mode</t>
        </is>
      </c>
      <c r="AA1" s="11" t="inlineStr">
        <is>
          <t>density_salience_threshold_db</t>
        </is>
      </c>
      <c r="AB1" s="11" t="inlineStr">
        <is>
          <t>density_frequency_ceiling_hz</t>
        </is>
      </c>
      <c r="AC1" s="11" t="inlineStr">
        <is>
          <t>harmonic_occupancy_ratio</t>
        </is>
      </c>
      <c r="AD1" s="11" t="inlineStr">
        <is>
          <t>residual_log_frequency_occupancy</t>
        </is>
      </c>
      <c r="AE1" s="11" t="inlineStr">
        <is>
          <t>note_effective_component_density</t>
        </is>
      </c>
      <c r="AF1" s="11" t="inlineStr">
        <is>
          <t>effective_partial_density</t>
        </is>
      </c>
      <c r="AG1" s="11" t="inlineStr">
        <is>
          <t>spectral_body_thickness_index_norm_for_chart</t>
        </is>
      </c>
      <c r="AH1" s="11" t="inlineStr">
        <is>
          <t>body_weighted_effective_density_norm_for_chart</t>
        </is>
      </c>
      <c r="AI1" s="11" t="inlineStr">
        <is>
          <t>low_mid_energy_ratio_norm_for_chart</t>
        </is>
      </c>
      <c r="AJ1" s="11" t="inlineStr">
        <is>
          <t>harmonic_body_density_normalized_norm_for_chart</t>
        </is>
      </c>
      <c r="AK1" s="11" t="inlineStr">
        <is>
          <t>core_residual_energy_ratio_norm_for_chart</t>
        </is>
      </c>
      <c r="AL1" s="11" t="inlineStr">
        <is>
          <t>spectral_entropy_norm_for_chart</t>
        </is>
      </c>
      <c r="AM1" s="11" t="inlineStr">
        <is>
          <t>harmonic_occupancy_ratio_norm_for_chart</t>
        </is>
      </c>
      <c r="AN1" s="11" t="inlineStr">
        <is>
          <t>residual_log_frequency_occupancy_norm_for_chart</t>
        </is>
      </c>
      <c r="AO1" s="11" t="inlineStr">
        <is>
          <t>effective_partial_density_norm_for_chart</t>
        </is>
      </c>
      <c r="AP1" s="11" t="inlineStr">
        <is>
          <t>density_metric_raw</t>
        </is>
      </c>
      <c r="AQ1" s="11" t="inlineStr">
        <is>
          <t>density_metric_raw_norm_for_chart</t>
        </is>
      </c>
      <c r="AR1" s="11" t="inlineStr">
        <is>
          <t>density_weighted_sum</t>
        </is>
      </c>
      <c r="AS1" s="11" t="inlineStr">
        <is>
          <t>density_weighted_sum_norm_for_chart</t>
        </is>
      </c>
      <c r="AT1" s="11" t="inlineStr">
        <is>
          <t>weighted_harmonic_density_contribution</t>
        </is>
      </c>
      <c r="AU1" s="11" t="inlineStr">
        <is>
          <t>weighted_inharmonic_density_contribution</t>
        </is>
      </c>
      <c r="AV1" s="11" t="inlineStr">
        <is>
          <t>weighted_subbass_density_contribution</t>
        </is>
      </c>
      <c r="AW1" s="11" t="inlineStr">
        <is>
          <t>core_harmonic_energy_ratio</t>
        </is>
      </c>
      <c r="AX1" s="11" t="inlineStr">
        <is>
          <t>core_subbass_energy_ratio</t>
        </is>
      </c>
      <c r="AY1" s="11" t="inlineStr">
        <is>
          <t>component_harmonic_energy_ratio</t>
        </is>
      </c>
      <c r="AZ1" s="11" t="inlineStr">
        <is>
          <t>component_inharmonic_energy_ratio</t>
        </is>
      </c>
      <c r="BA1" s="11" t="inlineStr">
        <is>
          <t>component_subbass_energy_ratio</t>
        </is>
      </c>
    </row>
    <row r="2">
      <c r="A2" t="inlineStr">
        <is>
          <t>B3</t>
        </is>
      </c>
      <c r="B2" t="n">
        <v>59</v>
      </c>
      <c r="C2" s="15" t="n">
        <v>1.095135843803019</v>
      </c>
      <c r="D2" s="15" t="n">
        <v>45.14847090632604</v>
      </c>
      <c r="E2" s="15" t="n">
        <v>0.9064292303623215</v>
      </c>
      <c r="F2" s="15" t="n">
        <v>0.3394537630303986</v>
      </c>
      <c r="G2" s="19" t="n">
        <v>0.2050428854301057</v>
      </c>
      <c r="H2" s="15" t="n">
        <v>0.5795885790659325</v>
      </c>
      <c r="I2" s="15" t="n">
        <v>25</v>
      </c>
      <c r="J2" s="15" t="n">
        <v>81</v>
      </c>
      <c r="K2" s="15" t="n">
        <v>0.308641975308642</v>
      </c>
      <c r="L2" t="n">
        <v>25</v>
      </c>
      <c r="M2" t="n">
        <v>81</v>
      </c>
      <c r="N2" t="n">
        <v>0.308641975308642</v>
      </c>
      <c r="O2" t="n">
        <v>71</v>
      </c>
      <c r="P2" t="n">
        <v>0</v>
      </c>
      <c r="Q2" s="15" t="n">
        <v>44.96753861082763</v>
      </c>
      <c r="R2" s="15" t="n">
        <v>24.95246876768071</v>
      </c>
      <c r="S2" s="15" t="n">
        <v>1</v>
      </c>
      <c r="T2" s="15" t="n">
        <v>16.13317438737292</v>
      </c>
      <c r="U2" s="15" t="n">
        <v>36.45052793810898</v>
      </c>
      <c r="V2" s="15" t="n">
        <v>0</v>
      </c>
      <c r="W2" t="n">
        <v>1</v>
      </c>
      <c r="X2" t="n">
        <v>0.5</v>
      </c>
      <c r="Y2" t="n">
        <v>0.25</v>
      </c>
      <c r="Z2" t="inlineStr">
        <is>
          <t>his_note_adaptive</t>
        </is>
      </c>
      <c r="AA2" t="n">
        <v>-90</v>
      </c>
      <c r="AB2" t="n">
        <v>20000</v>
      </c>
      <c r="AC2" s="15" t="n">
        <v>0.308641975308642</v>
      </c>
      <c r="AD2" s="15" t="n">
        <v>0.5916666666666667</v>
      </c>
      <c r="AE2" t="n">
        <v>4.16222409960857</v>
      </c>
      <c r="AF2" s="15" t="n">
        <v>4.071538264027229</v>
      </c>
      <c r="AG2" s="15" t="n">
        <v>0.8837265117010397</v>
      </c>
      <c r="AH2" s="15" t="n">
        <v>0.8764477548744717</v>
      </c>
      <c r="AI2" s="15" t="n">
        <v>0.9716560261436111</v>
      </c>
      <c r="AJ2" s="15" t="n">
        <v>0.3459793687988094</v>
      </c>
      <c r="AK2" s="15" t="n">
        <v>0.6073512976000875</v>
      </c>
      <c r="AL2" s="15" t="n">
        <v>0.9940834244273026</v>
      </c>
      <c r="AM2" s="15" t="n">
        <v>0</v>
      </c>
      <c r="AN2" s="15" t="n">
        <v>1</v>
      </c>
      <c r="AO2" s="15" t="n">
        <v>0.7696336545426131</v>
      </c>
      <c r="AP2" s="15" t="n">
        <v>2.42988674501041</v>
      </c>
      <c r="AQ2" s="15" t="n">
        <v>0.8058546265364284</v>
      </c>
      <c r="AR2" s="15" t="n">
        <v>417.7905106024004</v>
      </c>
      <c r="AS2" s="15" t="n">
        <v>0.559537269254413</v>
      </c>
      <c r="AT2" s="15" t="n">
        <v>2.010500893200044</v>
      </c>
      <c r="AU2" s="15" t="n">
        <v>0.3407701903953635</v>
      </c>
      <c r="AV2" s="15" t="n">
        <v>0.07861566141500267</v>
      </c>
      <c r="AW2" s="19" t="n">
        <v>0.7949571145698945</v>
      </c>
      <c r="AX2" s="19" t="n">
        <v>0</v>
      </c>
      <c r="AY2" s="19" t="n">
        <v>1</v>
      </c>
      <c r="AZ2" s="19" t="n">
        <v>0</v>
      </c>
      <c r="BA2" s="19" t="n">
        <v>0</v>
      </c>
    </row>
    <row r="3">
      <c r="A3" t="inlineStr">
        <is>
          <t>C4</t>
        </is>
      </c>
      <c r="B3" t="n">
        <v>60</v>
      </c>
      <c r="C3" s="15" t="n">
        <v>1.168108520804401</v>
      </c>
      <c r="D3" s="15" t="n">
        <v>50.30652784874547</v>
      </c>
      <c r="E3" s="15" t="n">
        <v>0.7771341565385738</v>
      </c>
      <c r="F3" s="15" t="n">
        <v>0.431971929197831</v>
      </c>
      <c r="G3" s="19" t="n">
        <v>0.1683754088276012</v>
      </c>
      <c r="H3" s="15" t="n">
        <v>0.5224538373083832</v>
      </c>
      <c r="I3" s="15" t="n">
        <v>29</v>
      </c>
      <c r="J3" s="15" t="n">
        <v>76</v>
      </c>
      <c r="K3" s="15" t="n">
        <v>0.3815789473684211</v>
      </c>
      <c r="L3" t="n">
        <v>29</v>
      </c>
      <c r="M3" t="n">
        <v>76</v>
      </c>
      <c r="N3" t="n">
        <v>0.3815789473684211</v>
      </c>
      <c r="O3" t="n">
        <v>66</v>
      </c>
      <c r="P3" t="n">
        <v>0</v>
      </c>
      <c r="Q3" s="15" t="n">
        <v>39.9671461969225</v>
      </c>
      <c r="R3" s="15" t="n">
        <v>22.41150110964138</v>
      </c>
      <c r="S3" s="15" t="n">
        <v>0.8659987048501377</v>
      </c>
      <c r="T3" s="15" t="n">
        <v>18.09360887399598</v>
      </c>
      <c r="U3" s="15" t="n">
        <v>32.66093658625997</v>
      </c>
      <c r="V3" s="15" t="n">
        <v>0</v>
      </c>
      <c r="W3" t="n">
        <v>1</v>
      </c>
      <c r="X3" t="n">
        <v>0.5</v>
      </c>
      <c r="Y3" t="n">
        <v>0.25</v>
      </c>
      <c r="Z3" t="inlineStr">
        <is>
          <t>his_note_adaptive</t>
        </is>
      </c>
      <c r="AA3" t="n">
        <v>-90</v>
      </c>
      <c r="AB3" t="n">
        <v>20000</v>
      </c>
      <c r="AC3" s="15" t="n">
        <v>0.3815789473684211</v>
      </c>
      <c r="AD3" s="15" t="n">
        <v>0.55</v>
      </c>
      <c r="AE3" t="n">
        <v>3.955892595778071</v>
      </c>
      <c r="AF3" s="15" t="n">
        <v>3.884784127283139</v>
      </c>
      <c r="AG3" s="15" t="n">
        <v>0.9184056622046625</v>
      </c>
      <c r="AH3" s="15" t="n">
        <v>1</v>
      </c>
      <c r="AI3" s="15" t="n">
        <v>0.826378767179154</v>
      </c>
      <c r="AJ3" s="15" t="n">
        <v>0.5817029404176258</v>
      </c>
      <c r="AK3" s="15" t="n">
        <v>0.3442224459870016</v>
      </c>
      <c r="AL3" s="15" t="n">
        <v>0.8926489099101995</v>
      </c>
      <c r="AM3" s="15" t="n">
        <v>0.1054981203007519</v>
      </c>
      <c r="AN3" s="15" t="n">
        <v>0.9090909090909092</v>
      </c>
      <c r="AO3" s="15" t="n">
        <v>0.7227747939911378</v>
      </c>
      <c r="AP3" s="15" t="n">
        <v>2.511034614036971</v>
      </c>
      <c r="AQ3" s="15" t="n">
        <v>1</v>
      </c>
      <c r="AR3" s="15" t="n">
        <v>509.5565345090764</v>
      </c>
      <c r="AS3" s="15" t="n">
        <v>0.6981188539229598</v>
      </c>
      <c r="AT3" s="15" t="n">
        <v>2.071032880314655</v>
      </c>
      <c r="AU3" s="15" t="n">
        <v>0.3664662973473271</v>
      </c>
      <c r="AV3" s="15" t="n">
        <v>0.07353543637498859</v>
      </c>
      <c r="AW3" s="19" t="n">
        <v>0.8316245911723987</v>
      </c>
      <c r="AX3" s="19" t="n">
        <v>0</v>
      </c>
      <c r="AY3" s="19" t="n">
        <v>1</v>
      </c>
      <c r="AZ3" s="19" t="n">
        <v>0</v>
      </c>
      <c r="BA3" s="19" t="n">
        <v>0</v>
      </c>
    </row>
    <row r="4">
      <c r="A4" t="inlineStr">
        <is>
          <t>C#4</t>
        </is>
      </c>
      <c r="B4" t="n">
        <v>61</v>
      </c>
      <c r="C4" s="15" t="n">
        <v>1.339801228688317</v>
      </c>
      <c r="D4" s="15" t="n">
        <v>49.9473054578489</v>
      </c>
      <c r="E4" s="15" t="n">
        <v>0.8751723220679283</v>
      </c>
      <c r="F4" s="15" t="n">
        <v>0.4782259022521831</v>
      </c>
      <c r="G4" s="19" t="n">
        <v>0.1537618824204815</v>
      </c>
      <c r="H4" s="15" t="n">
        <v>0.5829211924179498</v>
      </c>
      <c r="I4" s="15" t="n">
        <v>38</v>
      </c>
      <c r="J4" s="15" t="n">
        <v>72</v>
      </c>
      <c r="K4" s="15" t="n">
        <v>0.5277777777777778</v>
      </c>
      <c r="L4" t="n">
        <v>38</v>
      </c>
      <c r="M4" t="n">
        <v>72</v>
      </c>
      <c r="N4" t="n">
        <v>0.5277777777777778</v>
      </c>
      <c r="O4" t="n">
        <v>65</v>
      </c>
      <c r="P4" t="n">
        <v>0</v>
      </c>
      <c r="Q4" s="15" t="n">
        <v>43.75475773309295</v>
      </c>
      <c r="R4" s="15" t="n">
        <v>23.55262955105518</v>
      </c>
      <c r="S4" s="15" t="n">
        <v>0.926177624718714</v>
      </c>
      <c r="T4" s="15" t="n">
        <v>21.38650121981428</v>
      </c>
      <c r="U4" s="15" t="n">
        <v>31.54947725739469</v>
      </c>
      <c r="V4" s="15" t="n">
        <v>0</v>
      </c>
      <c r="W4" t="n">
        <v>1</v>
      </c>
      <c r="X4" t="n">
        <v>0.5</v>
      </c>
      <c r="Y4" t="n">
        <v>0.25</v>
      </c>
      <c r="Z4" t="inlineStr">
        <is>
          <t>his_note_adaptive</t>
        </is>
      </c>
      <c r="AA4" t="n">
        <v>-90</v>
      </c>
      <c r="AB4" t="n">
        <v>20000</v>
      </c>
      <c r="AC4" s="15" t="n">
        <v>0.5277777777777778</v>
      </c>
      <c r="AD4" s="15" t="n">
        <v>0.5416666666666666</v>
      </c>
      <c r="AE4" t="n">
        <v>4.940773000900113</v>
      </c>
      <c r="AF4" s="15" t="n">
        <v>4.86795621180283</v>
      </c>
      <c r="AG4" s="15" t="n">
        <v>1</v>
      </c>
      <c r="AH4" s="15" t="n">
        <v>0.9913954550346988</v>
      </c>
      <c r="AI4" s="15" t="n">
        <v>0.9365354463224269</v>
      </c>
      <c r="AJ4" s="15" t="n">
        <v>0.6995517065745411</v>
      </c>
      <c r="AK4" s="15" t="n">
        <v>0.2393545691159686</v>
      </c>
      <c r="AL4" s="15" t="n">
        <v>1</v>
      </c>
      <c r="AM4" s="15" t="n">
        <v>0.3169642857142857</v>
      </c>
      <c r="AN4" s="15" t="n">
        <v>0.8909090909090909</v>
      </c>
      <c r="AO4" s="15" t="n">
        <v>0.9694645027698081</v>
      </c>
      <c r="AP4" s="15" t="n">
        <v>2.480182785424226</v>
      </c>
      <c r="AQ4" s="15" t="n">
        <v>0.9261873434274052</v>
      </c>
      <c r="AR4" s="15" t="n">
        <v>664.4164061283924</v>
      </c>
      <c r="AS4" s="15" t="n">
        <v>0.93198238529267</v>
      </c>
      <c r="AT4" s="15" t="n">
        <v>2.059588966619569</v>
      </c>
      <c r="AU4" s="15" t="n">
        <v>0.3518116370736454</v>
      </c>
      <c r="AV4" s="15" t="n">
        <v>0.06878218173101107</v>
      </c>
      <c r="AW4" s="19" t="n">
        <v>0.8462381175795185</v>
      </c>
      <c r="AX4" s="19" t="n">
        <v>0</v>
      </c>
      <c r="AY4" s="19" t="n">
        <v>1</v>
      </c>
      <c r="AZ4" s="19" t="n">
        <v>0</v>
      </c>
      <c r="BA4" s="19" t="n">
        <v>0</v>
      </c>
    </row>
    <row r="5">
      <c r="A5" t="inlineStr">
        <is>
          <t>D4</t>
        </is>
      </c>
      <c r="B5" t="n">
        <v>62</v>
      </c>
      <c r="C5" s="15" t="n">
        <v>0.9955996049906863</v>
      </c>
      <c r="D5" s="15" t="n">
        <v>45.15285130455499</v>
      </c>
      <c r="E5" s="15" t="n">
        <v>0.869755198570906</v>
      </c>
      <c r="F5" s="15" t="n">
        <v>0.458384690584716</v>
      </c>
      <c r="G5" s="19" t="n">
        <v>0.1204073946516236</v>
      </c>
      <c r="H5" s="15" t="n">
        <v>0.5224344485333301</v>
      </c>
      <c r="I5" s="15" t="n">
        <v>29</v>
      </c>
      <c r="J5" s="15" t="n">
        <v>68</v>
      </c>
      <c r="K5" s="15" t="n">
        <v>0.4264705882352941</v>
      </c>
      <c r="L5" t="n">
        <v>29</v>
      </c>
      <c r="M5" t="n">
        <v>68</v>
      </c>
      <c r="N5" t="n">
        <v>0.4264705882352941</v>
      </c>
      <c r="O5" t="n">
        <v>48</v>
      </c>
      <c r="P5" t="n">
        <v>0</v>
      </c>
      <c r="Q5" s="15" t="n">
        <v>31.847503981096</v>
      </c>
      <c r="R5" s="15" t="n">
        <v>17.88211748209845</v>
      </c>
      <c r="S5" s="15" t="n">
        <v>0.627135659741698</v>
      </c>
      <c r="T5" s="15" t="n">
        <v>16.82551344926906</v>
      </c>
      <c r="U5" s="15" t="n">
        <v>23.87571487375708</v>
      </c>
      <c r="V5" s="15" t="n">
        <v>0</v>
      </c>
      <c r="W5" t="n">
        <v>1</v>
      </c>
      <c r="X5" t="n">
        <v>0.5</v>
      </c>
      <c r="Y5" t="n">
        <v>0.25</v>
      </c>
      <c r="Z5" t="inlineStr">
        <is>
          <t>his_note_adaptive</t>
        </is>
      </c>
      <c r="AA5" t="n">
        <v>-90</v>
      </c>
      <c r="AB5" t="n">
        <v>20000</v>
      </c>
      <c r="AC5" s="15" t="n">
        <v>0.4264705882352941</v>
      </c>
      <c r="AD5" s="15" t="n">
        <v>0.4</v>
      </c>
      <c r="AE5" t="n">
        <v>3.740264986775492</v>
      </c>
      <c r="AF5" s="15" t="n">
        <v>3.689808578912679</v>
      </c>
      <c r="AG5" s="15" t="n">
        <v>0.8364234340536072</v>
      </c>
      <c r="AH5" s="15" t="n">
        <v>0.8765526796633551</v>
      </c>
      <c r="AI5" s="15" t="n">
        <v>0.9304487113073546</v>
      </c>
      <c r="AJ5" s="15" t="n">
        <v>0.6489990262389179</v>
      </c>
      <c r="AK5" s="15" t="n">
        <v>0</v>
      </c>
      <c r="AL5" s="15" t="n">
        <v>0.8926144879293855</v>
      </c>
      <c r="AM5" s="15" t="n">
        <v>0.1704306722689075</v>
      </c>
      <c r="AN5" s="15" t="n">
        <v>0.5818181818181819</v>
      </c>
      <c r="AO5" s="15" t="n">
        <v>0.6738530823154366</v>
      </c>
      <c r="AP5" s="15" t="n">
        <v>2.458673544441766</v>
      </c>
      <c r="AQ5" s="15" t="n">
        <v>0.8747267237764954</v>
      </c>
      <c r="AR5" s="15" t="n">
        <v>564.3562015680677</v>
      </c>
      <c r="AS5" s="15" t="n">
        <v>0.7808752421485946</v>
      </c>
      <c r="AT5" s="15" t="n">
        <v>2.043771843091218</v>
      </c>
      <c r="AU5" s="15" t="n">
        <v>0.345044414270469</v>
      </c>
      <c r="AV5" s="15" t="n">
        <v>0.06985728708007928</v>
      </c>
      <c r="AW5" s="19" t="n">
        <v>0.8795926053483764</v>
      </c>
      <c r="AX5" s="19" t="n">
        <v>0</v>
      </c>
      <c r="AY5" s="19" t="n">
        <v>1</v>
      </c>
      <c r="AZ5" s="19" t="n">
        <v>0</v>
      </c>
      <c r="BA5" s="19" t="n">
        <v>0</v>
      </c>
    </row>
    <row r="6">
      <c r="A6" t="inlineStr">
        <is>
          <t>D#4</t>
        </is>
      </c>
      <c r="B6" t="n">
        <v>63</v>
      </c>
      <c r="C6" s="15" t="n">
        <v>1.29042632393049</v>
      </c>
      <c r="D6" s="15" t="n">
        <v>47.55576748146424</v>
      </c>
      <c r="E6" s="15" t="n">
        <v>0.878053876183755</v>
      </c>
      <c r="F6" s="15" t="n">
        <v>0.4858952154975311</v>
      </c>
      <c r="G6" s="19" t="n">
        <v>0.1852790622976566</v>
      </c>
      <c r="H6" s="15" t="n">
        <v>0.5792100200362814</v>
      </c>
      <c r="I6" s="15" t="n">
        <v>34</v>
      </c>
      <c r="J6" s="15" t="n">
        <v>64</v>
      </c>
      <c r="K6" s="15" t="n">
        <v>0.53125</v>
      </c>
      <c r="L6" t="n">
        <v>34</v>
      </c>
      <c r="M6" t="n">
        <v>64</v>
      </c>
      <c r="N6" t="n">
        <v>0.53125</v>
      </c>
      <c r="O6" t="n">
        <v>54</v>
      </c>
      <c r="P6" t="n">
        <v>0</v>
      </c>
      <c r="Q6" s="15" t="n">
        <v>38.58535106805172</v>
      </c>
      <c r="R6" s="15" t="n">
        <v>21.34187422953395</v>
      </c>
      <c r="S6" s="15" t="n">
        <v>0.8095905145262592</v>
      </c>
      <c r="T6" s="15" t="n">
        <v>19.59645789611627</v>
      </c>
      <c r="U6" s="15" t="n">
        <v>27.20946857954599</v>
      </c>
      <c r="V6" s="15" t="n">
        <v>0</v>
      </c>
      <c r="W6" t="n">
        <v>1</v>
      </c>
      <c r="X6" t="n">
        <v>0.5</v>
      </c>
      <c r="Y6" t="n">
        <v>0.25</v>
      </c>
      <c r="Z6" t="inlineStr">
        <is>
          <t>his_note_adaptive</t>
        </is>
      </c>
      <c r="AA6" t="n">
        <v>-90</v>
      </c>
      <c r="AB6" t="n">
        <v>20000</v>
      </c>
      <c r="AC6" s="15" t="n">
        <v>0.53125</v>
      </c>
      <c r="AD6" s="15" t="n">
        <v>0.45</v>
      </c>
      <c r="AE6" t="n">
        <v>5.092182701257737</v>
      </c>
      <c r="AF6" s="15" t="n">
        <v>4.989654229171639</v>
      </c>
      <c r="AG6" s="15" t="n">
        <v>0.9765353304337967</v>
      </c>
      <c r="AH6" s="15" t="n">
        <v>0.9341103398093734</v>
      </c>
      <c r="AI6" s="15" t="n">
        <v>0.9397731898119871</v>
      </c>
      <c r="AJ6" s="15" t="n">
        <v>0.7190920626467232</v>
      </c>
      <c r="AK6" s="15" t="n">
        <v>0.4655244644994353</v>
      </c>
      <c r="AL6" s="15" t="n">
        <v>0.9934113473301194</v>
      </c>
      <c r="AM6" s="15" t="n">
        <v>0.3219866071428571</v>
      </c>
      <c r="AN6" s="15" t="n">
        <v>0.6909090909090909</v>
      </c>
      <c r="AO6" s="15" t="n">
        <v>1</v>
      </c>
      <c r="AP6" s="15" t="n">
        <v>2.4726535477193</v>
      </c>
      <c r="AQ6" s="15" t="n">
        <v>0.9081737260194057</v>
      </c>
      <c r="AR6" s="15" t="n">
        <v>709.4563446760469</v>
      </c>
      <c r="AS6" s="15" t="n">
        <v>1</v>
      </c>
      <c r="AT6" s="15" t="n">
        <v>2.039731545904319</v>
      </c>
      <c r="AU6" s="15" t="n">
        <v>0.3621673091851997</v>
      </c>
      <c r="AV6" s="15" t="n">
        <v>0.07075469262978215</v>
      </c>
      <c r="AW6" s="19" t="n">
        <v>0.8147209377023434</v>
      </c>
      <c r="AX6" s="19" t="n">
        <v>0</v>
      </c>
      <c r="AY6" s="19" t="n">
        <v>1</v>
      </c>
      <c r="AZ6" s="19" t="n">
        <v>0</v>
      </c>
      <c r="BA6" s="19" t="n">
        <v>0</v>
      </c>
    </row>
    <row r="7">
      <c r="A7" t="inlineStr">
        <is>
          <t>E4</t>
        </is>
      </c>
      <c r="B7" t="n">
        <v>64</v>
      </c>
      <c r="C7" s="15" t="n">
        <v>0.8977046297145023</v>
      </c>
      <c r="D7" s="15" t="n">
        <v>41.4729735677988</v>
      </c>
      <c r="E7" s="15" t="n">
        <v>0.8589468737506635</v>
      </c>
      <c r="F7" s="15" t="n">
        <v>0.447040561703422</v>
      </c>
      <c r="G7" s="19" t="n">
        <v>0.1681696133455048</v>
      </c>
      <c r="H7" s="15" t="n">
        <v>0.544646969102481</v>
      </c>
      <c r="I7" s="15" t="n">
        <v>35</v>
      </c>
      <c r="J7" s="15" t="n">
        <v>60</v>
      </c>
      <c r="K7" s="15" t="n">
        <v>0.5833333333333334</v>
      </c>
      <c r="L7" t="n">
        <v>35</v>
      </c>
      <c r="M7" t="n">
        <v>60</v>
      </c>
      <c r="N7" t="n">
        <v>0.5833333333333334</v>
      </c>
      <c r="O7" t="n">
        <v>45</v>
      </c>
      <c r="P7" t="n">
        <v>0</v>
      </c>
      <c r="Q7" s="15" t="n">
        <v>36.63292108742471</v>
      </c>
      <c r="R7" s="15" t="n">
        <v>20.47687689925603</v>
      </c>
      <c r="S7" s="15" t="n">
        <v>0.7639737345599003</v>
      </c>
      <c r="T7" s="15" t="n">
        <v>20.02534700788695</v>
      </c>
      <c r="U7" s="15" t="n">
        <v>22.79051364604453</v>
      </c>
      <c r="V7" s="15" t="n">
        <v>0</v>
      </c>
      <c r="W7" t="n">
        <v>1</v>
      </c>
      <c r="X7" t="n">
        <v>0.5</v>
      </c>
      <c r="Y7" t="n">
        <v>0.25</v>
      </c>
      <c r="Z7" t="inlineStr">
        <is>
          <t>his_note_adaptive</t>
        </is>
      </c>
      <c r="AA7" t="n">
        <v>-90</v>
      </c>
      <c r="AB7" t="n">
        <v>20000</v>
      </c>
      <c r="AC7" s="15" t="n">
        <v>0.5833333333333334</v>
      </c>
      <c r="AD7" s="15" t="n">
        <v>0.375</v>
      </c>
      <c r="AE7" t="n">
        <v>4.359008990295781</v>
      </c>
      <c r="AF7" s="15" t="n">
        <v>4.326628734045584</v>
      </c>
      <c r="AG7" s="15" t="n">
        <v>0.7899003418407932</v>
      </c>
      <c r="AH7" s="15" t="n">
        <v>0.7884076356595534</v>
      </c>
      <c r="AI7" s="15" t="n">
        <v>0.9183043676951393</v>
      </c>
      <c r="AJ7" s="15" t="n">
        <v>0.6200957449961462</v>
      </c>
      <c r="AK7" s="15" t="n">
        <v>0.3427456405482682</v>
      </c>
      <c r="AL7" s="15" t="n">
        <v>0.9320496226796932</v>
      </c>
      <c r="AM7" s="15" t="n">
        <v>0.3973214285714286</v>
      </c>
      <c r="AN7" s="15" t="n">
        <v>0.5272727272727273</v>
      </c>
      <c r="AO7" s="15" t="n">
        <v>0.8336389235609909</v>
      </c>
      <c r="AP7" s="15" t="n">
        <v>2.402314771080618</v>
      </c>
      <c r="AQ7" s="15" t="n">
        <v>0.7398889857877452</v>
      </c>
      <c r="AR7" s="15" t="n">
        <v>655.641110044553</v>
      </c>
      <c r="AS7" s="15" t="n">
        <v>0.9187302644590279</v>
      </c>
      <c r="AT7" s="15" t="n">
        <v>2.023049076691419</v>
      </c>
      <c r="AU7" s="15" t="n">
        <v>0.3162137475145166</v>
      </c>
      <c r="AV7" s="15" t="n">
        <v>0.06305194687468178</v>
      </c>
      <c r="AW7" s="19" t="n">
        <v>0.8318303866544954</v>
      </c>
      <c r="AX7" s="19" t="n">
        <v>0</v>
      </c>
      <c r="AY7" s="19" t="n">
        <v>1</v>
      </c>
      <c r="AZ7" s="19" t="n">
        <v>0</v>
      </c>
      <c r="BA7" s="19" t="n">
        <v>0</v>
      </c>
    </row>
    <row r="8">
      <c r="A8" t="inlineStr">
        <is>
          <t>F4</t>
        </is>
      </c>
      <c r="B8" t="n">
        <v>65</v>
      </c>
      <c r="C8" s="15" t="n">
        <v>0.700910223533079</v>
      </c>
      <c r="D8" s="15" t="n">
        <v>37.56712991786592</v>
      </c>
      <c r="E8" s="15" t="n">
        <v>0.8611098223748695</v>
      </c>
      <c r="F8" s="15" t="n">
        <v>0.4467774436155969</v>
      </c>
      <c r="G8" s="19" t="n">
        <v>0.1728618120513899</v>
      </c>
      <c r="H8" s="15" t="n">
        <v>0.4967770018063536</v>
      </c>
      <c r="I8" s="15" t="n">
        <v>28</v>
      </c>
      <c r="J8" s="15" t="n">
        <v>57</v>
      </c>
      <c r="K8" s="15" t="n">
        <v>0.4912280701754386</v>
      </c>
      <c r="L8" t="n">
        <v>28</v>
      </c>
      <c r="M8" t="n">
        <v>57</v>
      </c>
      <c r="N8" t="n">
        <v>0.4912280701754386</v>
      </c>
      <c r="O8" t="n">
        <v>31</v>
      </c>
      <c r="P8" t="n">
        <v>0</v>
      </c>
      <c r="Q8" s="15" t="n">
        <v>28.43380535505248</v>
      </c>
      <c r="R8" s="15" t="n">
        <v>16.43900868236866</v>
      </c>
      <c r="S8" s="15" t="n">
        <v>0.551031405681585</v>
      </c>
      <c r="T8" s="15" t="n">
        <v>16.37572305850492</v>
      </c>
      <c r="U8" s="15" t="n">
        <v>16.81337757194044</v>
      </c>
      <c r="V8" s="15" t="n">
        <v>0</v>
      </c>
      <c r="W8" t="n">
        <v>1</v>
      </c>
      <c r="X8" t="n">
        <v>0.5</v>
      </c>
      <c r="Y8" t="n">
        <v>0.25</v>
      </c>
      <c r="Z8" t="inlineStr">
        <is>
          <t>his_note_adaptive</t>
        </is>
      </c>
      <c r="AA8" t="n">
        <v>-90</v>
      </c>
      <c r="AB8" t="n">
        <v>20000</v>
      </c>
      <c r="AC8" s="15" t="n">
        <v>0.4912280701754386</v>
      </c>
      <c r="AD8" s="15" t="n">
        <v>0.2583333333333334</v>
      </c>
      <c r="AE8" t="n">
        <v>3.63368734118469</v>
      </c>
      <c r="AF8" s="15" t="n">
        <v>3.595577525535511</v>
      </c>
      <c r="AG8" s="15" t="n">
        <v>0.6963768052147852</v>
      </c>
      <c r="AH8" s="15" t="n">
        <v>0.69484997287188</v>
      </c>
      <c r="AI8" s="15" t="n">
        <v>0.9207346787511812</v>
      </c>
      <c r="AJ8" s="15" t="n">
        <v>0.6194253562715426</v>
      </c>
      <c r="AK8" s="15" t="n">
        <v>0.376417247416782</v>
      </c>
      <c r="AL8" s="15" t="n">
        <v>0.8470633823771246</v>
      </c>
      <c r="AM8" s="15" t="n">
        <v>0.2640977443609023</v>
      </c>
      <c r="AN8" s="15" t="n">
        <v>0.2727272727272729</v>
      </c>
      <c r="AO8" s="15" t="n">
        <v>0.6502093769239464</v>
      </c>
      <c r="AP8" s="15" t="n">
        <v>2.381833398741051</v>
      </c>
      <c r="AQ8" s="15" t="n">
        <v>0.6908875304246948</v>
      </c>
      <c r="AR8" s="15" t="n">
        <v>554.4245713615593</v>
      </c>
      <c r="AS8" s="15" t="n">
        <v>0.7658768691804071</v>
      </c>
      <c r="AT8" s="15" t="n">
        <v>1.992884110764172</v>
      </c>
      <c r="AU8" s="15" t="n">
        <v>0.3323484402554316</v>
      </c>
      <c r="AV8" s="15" t="n">
        <v>0.05660084772144711</v>
      </c>
      <c r="AW8" s="19" t="n">
        <v>0.8271381879486103</v>
      </c>
      <c r="AX8" s="19" t="n">
        <v>0</v>
      </c>
      <c r="AY8" s="19" t="n">
        <v>1</v>
      </c>
      <c r="AZ8" s="19" t="n">
        <v>0</v>
      </c>
      <c r="BA8" s="19" t="n">
        <v>0</v>
      </c>
    </row>
    <row r="9">
      <c r="A9" t="inlineStr">
        <is>
          <t>F#4</t>
        </is>
      </c>
      <c r="B9" t="n">
        <v>66</v>
      </c>
      <c r="C9" s="15" t="n">
        <v>0.5489374982944296</v>
      </c>
      <c r="D9" s="15" t="n">
        <v>34.08485256175376</v>
      </c>
      <c r="E9" s="15" t="n">
        <v>0.8795337281395262</v>
      </c>
      <c r="F9" s="15" t="n">
        <v>0.4357991137473753</v>
      </c>
      <c r="G9" s="19" t="n">
        <v>0.1374835441840808</v>
      </c>
      <c r="H9" s="15" t="n">
        <v>0.4430038479052468</v>
      </c>
      <c r="I9" s="15" t="n">
        <v>27</v>
      </c>
      <c r="J9" s="15" t="n">
        <v>54</v>
      </c>
      <c r="K9" s="15" t="n">
        <v>0.5</v>
      </c>
      <c r="L9" t="n">
        <v>27</v>
      </c>
      <c r="M9" t="n">
        <v>54</v>
      </c>
      <c r="N9" t="n">
        <v>0.5</v>
      </c>
      <c r="O9" t="n">
        <v>32</v>
      </c>
      <c r="P9" t="n">
        <v>0</v>
      </c>
      <c r="Q9" s="15" t="n">
        <v>27.53907865680179</v>
      </c>
      <c r="R9" s="15" t="n">
        <v>15.62389078639423</v>
      </c>
      <c r="S9" s="15" t="n">
        <v>0.5080450837522905</v>
      </c>
      <c r="T9" s="15" t="n">
        <v>15.55377997758272</v>
      </c>
      <c r="U9" s="15" t="n">
        <v>16.20406364144968</v>
      </c>
      <c r="V9" s="15" t="n">
        <v>0</v>
      </c>
      <c r="W9" t="n">
        <v>1</v>
      </c>
      <c r="X9" t="n">
        <v>0.5</v>
      </c>
      <c r="Y9" t="n">
        <v>0.25</v>
      </c>
      <c r="Z9" t="inlineStr">
        <is>
          <t>his_note_adaptive</t>
        </is>
      </c>
      <c r="AA9" t="n">
        <v>-90</v>
      </c>
      <c r="AB9" t="n">
        <v>20000</v>
      </c>
      <c r="AC9" s="15" t="n">
        <v>0.5</v>
      </c>
      <c r="AD9" s="15" t="n">
        <v>0.2666666666666667</v>
      </c>
      <c r="AE9" t="n">
        <v>3.20999815292391</v>
      </c>
      <c r="AF9" s="15" t="n">
        <v>3.175904418265844</v>
      </c>
      <c r="AG9" s="15" t="n">
        <v>0.6241540880613912</v>
      </c>
      <c r="AH9" s="15" t="n">
        <v>0.6114381008626432</v>
      </c>
      <c r="AI9" s="15" t="n">
        <v>0.9414359665091157</v>
      </c>
      <c r="AJ9" s="15" t="n">
        <v>0.5914540806383504</v>
      </c>
      <c r="AK9" s="15" t="n">
        <v>0.1225398645551162</v>
      </c>
      <c r="AL9" s="15" t="n">
        <v>0.7515968834970185</v>
      </c>
      <c r="AM9" s="15" t="n">
        <v>0.2767857142857142</v>
      </c>
      <c r="AN9" s="15" t="n">
        <v>0.2909090909090911</v>
      </c>
      <c r="AO9" s="15" t="n">
        <v>0.5449083434175171</v>
      </c>
      <c r="AP9" s="15" t="n">
        <v>2.390066394724947</v>
      </c>
      <c r="AQ9" s="15" t="n">
        <v>0.7105848816822411</v>
      </c>
      <c r="AR9" s="15" t="n">
        <v>566.9854890301073</v>
      </c>
      <c r="AS9" s="15" t="n">
        <v>0.7848458928047584</v>
      </c>
      <c r="AT9" s="15" t="n">
        <v>1.994354938990176</v>
      </c>
      <c r="AU9" s="15" t="n">
        <v>0.33985731045402</v>
      </c>
      <c r="AV9" s="15" t="n">
        <v>0.05585414528075066</v>
      </c>
      <c r="AW9" s="19" t="n">
        <v>0.8625164558159193</v>
      </c>
      <c r="AX9" s="19" t="n">
        <v>0</v>
      </c>
      <c r="AY9" s="19" t="n">
        <v>1</v>
      </c>
      <c r="AZ9" s="19" t="n">
        <v>0</v>
      </c>
      <c r="BA9" s="19" t="n">
        <v>0</v>
      </c>
    </row>
    <row r="10">
      <c r="A10" t="inlineStr">
        <is>
          <t>G4</t>
        </is>
      </c>
      <c r="B10" t="n">
        <v>67</v>
      </c>
      <c r="C10" s="15" t="n">
        <v>0.5101372002425455</v>
      </c>
      <c r="D10" s="15" t="n">
        <v>33.1849636737162</v>
      </c>
      <c r="E10" s="15" t="n">
        <v>0.8752979488669956</v>
      </c>
      <c r="F10" s="15" t="n">
        <v>0.4447158795994719</v>
      </c>
      <c r="G10" s="19" t="n">
        <v>0.1363643664223549</v>
      </c>
      <c r="H10" s="15" t="n">
        <v>0.4258215878118743</v>
      </c>
      <c r="I10" s="15" t="n">
        <v>26</v>
      </c>
      <c r="J10" s="15" t="n">
        <v>51</v>
      </c>
      <c r="K10" s="15" t="n">
        <v>0.5098039215686274</v>
      </c>
      <c r="L10" t="n">
        <v>26</v>
      </c>
      <c r="M10" t="n">
        <v>51</v>
      </c>
      <c r="N10" t="n">
        <v>0.5098039215686274</v>
      </c>
      <c r="O10" t="n">
        <v>27</v>
      </c>
      <c r="P10" t="n">
        <v>0</v>
      </c>
      <c r="Q10" s="15" t="n">
        <v>26.091557277094</v>
      </c>
      <c r="R10" s="15" t="n">
        <v>14.78497190909185</v>
      </c>
      <c r="S10" s="15" t="n">
        <v>0.4638035855464729</v>
      </c>
      <c r="T10" s="15" t="n">
        <v>14.83283984048252</v>
      </c>
      <c r="U10" s="15" t="n">
        <v>14.31002032345464</v>
      </c>
      <c r="V10" s="15" t="n">
        <v>0</v>
      </c>
      <c r="W10" t="n">
        <v>1</v>
      </c>
      <c r="X10" t="n">
        <v>0.5</v>
      </c>
      <c r="Y10" t="n">
        <v>0.25</v>
      </c>
      <c r="Z10" t="inlineStr">
        <is>
          <t>his_note_adaptive</t>
        </is>
      </c>
      <c r="AA10" t="n">
        <v>-90</v>
      </c>
      <c r="AB10" t="n">
        <v>20000</v>
      </c>
      <c r="AC10" s="15" t="n">
        <v>0.5098039215686274</v>
      </c>
      <c r="AD10" s="15" t="n">
        <v>0.225</v>
      </c>
      <c r="AE10" t="n">
        <v>2.923370511668342</v>
      </c>
      <c r="AF10" s="15" t="n">
        <v>2.893426582551411</v>
      </c>
      <c r="AG10" s="15" t="n">
        <v>0.6057148388654048</v>
      </c>
      <c r="AH10" s="15" t="n">
        <v>0.5898828342725839</v>
      </c>
      <c r="AI10" s="15" t="n">
        <v>0.9366766018705946</v>
      </c>
      <c r="AJ10" s="15" t="n">
        <v>0.6141727745015758</v>
      </c>
      <c r="AK10" s="15" t="n">
        <v>0.1145085521638586</v>
      </c>
      <c r="AL10" s="15" t="n">
        <v>0.7210922525620664</v>
      </c>
      <c r="AM10" s="15" t="n">
        <v>0.2909663865546218</v>
      </c>
      <c r="AN10" s="15" t="n">
        <v>0.2000000000000001</v>
      </c>
      <c r="AO10" s="15" t="n">
        <v>0.4740312547307839</v>
      </c>
      <c r="AP10" s="15" t="n">
        <v>2.378722489888288</v>
      </c>
      <c r="AQ10" s="15" t="n">
        <v>0.6834447156191309</v>
      </c>
      <c r="AR10" s="15" t="n">
        <v>553.661093542088</v>
      </c>
      <c r="AS10" s="15" t="n">
        <v>0.7647238938026222</v>
      </c>
      <c r="AT10" s="15" t="n">
        <v>1.988144509827687</v>
      </c>
      <c r="AU10" s="15" t="n">
        <v>0.3382862092882107</v>
      </c>
      <c r="AV10" s="15" t="n">
        <v>0.05229177077239067</v>
      </c>
      <c r="AW10" s="19" t="n">
        <v>0.8636356335776452</v>
      </c>
      <c r="AX10" s="19" t="n">
        <v>0</v>
      </c>
      <c r="AY10" s="19" t="n">
        <v>1</v>
      </c>
      <c r="AZ10" s="19" t="n">
        <v>0</v>
      </c>
      <c r="BA10" s="19" t="n">
        <v>0</v>
      </c>
    </row>
    <row r="11">
      <c r="A11" t="inlineStr">
        <is>
          <t>G#4</t>
        </is>
      </c>
      <c r="B11" t="n">
        <v>68</v>
      </c>
      <c r="C11" s="15" t="n">
        <v>0.5369363564526748</v>
      </c>
      <c r="D11" s="15" t="n">
        <v>32.44739735642864</v>
      </c>
      <c r="E11" s="15" t="n">
        <v>0.8073797263413305</v>
      </c>
      <c r="F11" s="15" t="n">
        <v>0.4477884984186318</v>
      </c>
      <c r="G11" s="19" t="n">
        <v>0.1712668772462456</v>
      </c>
      <c r="H11" s="15" t="n">
        <v>0.4533013764774951</v>
      </c>
      <c r="I11" s="15" t="n">
        <v>26</v>
      </c>
      <c r="J11" s="15" t="n">
        <v>48</v>
      </c>
      <c r="K11" s="15" t="n">
        <v>0.5416666666666666</v>
      </c>
      <c r="L11" t="n">
        <v>26</v>
      </c>
      <c r="M11" t="n">
        <v>48</v>
      </c>
      <c r="N11" t="n">
        <v>0.5416666666666666</v>
      </c>
      <c r="O11" t="n">
        <v>46</v>
      </c>
      <c r="P11" t="n">
        <v>0</v>
      </c>
      <c r="Q11" s="15" t="n">
        <v>29.54512815852045</v>
      </c>
      <c r="R11" s="15" t="n">
        <v>16.01907665763938</v>
      </c>
      <c r="S11" s="15" t="n">
        <v>0.5288857341258725</v>
      </c>
      <c r="T11" s="15" t="n">
        <v>14.8313112067252</v>
      </c>
      <c r="U11" s="15" t="n">
        <v>21.53214343508615</v>
      </c>
      <c r="V11" s="15" t="n">
        <v>0</v>
      </c>
      <c r="W11" t="n">
        <v>1</v>
      </c>
      <c r="X11" t="n">
        <v>0.5</v>
      </c>
      <c r="Y11" t="n">
        <v>0.25</v>
      </c>
      <c r="Z11" t="inlineStr">
        <is>
          <t>his_note_adaptive</t>
        </is>
      </c>
      <c r="AA11" t="n">
        <v>-90</v>
      </c>
      <c r="AB11" t="n">
        <v>20000</v>
      </c>
      <c r="AC11" s="15" t="n">
        <v>0.5416666666666666</v>
      </c>
      <c r="AD11" s="15" t="n">
        <v>0.3833333333333334</v>
      </c>
      <c r="AE11" t="n">
        <v>3.287298852156045</v>
      </c>
      <c r="AF11" s="15" t="n">
        <v>3.250784388921009</v>
      </c>
      <c r="AG11" s="15" t="n">
        <v>0.6184507286500643</v>
      </c>
      <c r="AH11" s="15" t="n">
        <v>0.5722157213563971</v>
      </c>
      <c r="AI11" s="15" t="n">
        <v>0.8603629967929787</v>
      </c>
      <c r="AJ11" s="15" t="n">
        <v>0.6220013849494396</v>
      </c>
      <c r="AK11" s="15" t="n">
        <v>0.3649718630445536</v>
      </c>
      <c r="AL11" s="15" t="n">
        <v>0.7698786640620631</v>
      </c>
      <c r="AM11" s="15" t="n">
        <v>0.3370535714285713</v>
      </c>
      <c r="AN11" s="15" t="n">
        <v>0.5454545454545456</v>
      </c>
      <c r="AO11" s="15" t="n">
        <v>0.5636966292579377</v>
      </c>
      <c r="AP11" s="15" t="n">
        <v>2.372941144595964</v>
      </c>
      <c r="AQ11" s="15" t="n">
        <v>0.669612911354096</v>
      </c>
      <c r="AR11" s="15" t="n">
        <v>643.4962655153979</v>
      </c>
      <c r="AS11" s="15" t="n">
        <v>0.9003895787809052</v>
      </c>
      <c r="AT11" s="15" t="n">
        <v>1.979550786274685</v>
      </c>
      <c r="AU11" s="15" t="n">
        <v>0.3362005130036328</v>
      </c>
      <c r="AV11" s="15" t="n">
        <v>0.05718984531764566</v>
      </c>
      <c r="AW11" s="19" t="n">
        <v>0.8287331227537544</v>
      </c>
      <c r="AX11" s="19" t="n">
        <v>0</v>
      </c>
      <c r="AY11" s="19" t="n">
        <v>1</v>
      </c>
      <c r="AZ11" s="19" t="n">
        <v>0</v>
      </c>
      <c r="BA11" s="19" t="n">
        <v>0</v>
      </c>
    </row>
    <row r="12">
      <c r="A12" t="inlineStr">
        <is>
          <t>A4</t>
        </is>
      </c>
      <c r="B12" t="n">
        <v>69</v>
      </c>
      <c r="C12" s="15" t="n">
        <v>0.4958420153231913</v>
      </c>
      <c r="D12" s="15" t="n">
        <v>30.93566188660431</v>
      </c>
      <c r="E12" s="15" t="n">
        <v>0.8695635788792011</v>
      </c>
      <c r="F12" s="15" t="n">
        <v>0.4603856983118521</v>
      </c>
      <c r="G12" s="19" t="n">
        <v>0.1554816799786486</v>
      </c>
      <c r="H12" s="15" t="n">
        <v>0.4105388075289589</v>
      </c>
      <c r="I12" s="15" t="n">
        <v>18</v>
      </c>
      <c r="J12" s="15" t="n">
        <v>45</v>
      </c>
      <c r="K12" s="15" t="n">
        <v>0.4</v>
      </c>
      <c r="L12" t="n">
        <v>18</v>
      </c>
      <c r="M12" t="n">
        <v>45</v>
      </c>
      <c r="N12" t="n">
        <v>0.4</v>
      </c>
      <c r="O12" t="n">
        <v>31</v>
      </c>
      <c r="P12" t="n">
        <v>0</v>
      </c>
      <c r="Q12" s="15" t="n">
        <v>19.8728274539505</v>
      </c>
      <c r="R12" s="15" t="n">
        <v>11.74987889453718</v>
      </c>
      <c r="S12" s="15" t="n">
        <v>0.3037439352145005</v>
      </c>
      <c r="T12" s="15" t="n">
        <v>11.14120754660527</v>
      </c>
      <c r="U12" s="15" t="n">
        <v>15.36622438220533</v>
      </c>
      <c r="V12" s="15" t="n">
        <v>0</v>
      </c>
      <c r="W12" t="n">
        <v>1</v>
      </c>
      <c r="X12" t="n">
        <v>0.5</v>
      </c>
      <c r="Y12" t="n">
        <v>0.25</v>
      </c>
      <c r="Z12" t="inlineStr">
        <is>
          <t>his_note_adaptive</t>
        </is>
      </c>
      <c r="AA12" t="n">
        <v>-90</v>
      </c>
      <c r="AB12" t="n">
        <v>20000</v>
      </c>
      <c r="AC12" s="15" t="n">
        <v>0.4</v>
      </c>
      <c r="AD12" s="15" t="n">
        <v>0.2583333333333334</v>
      </c>
      <c r="AE12" t="n">
        <v>2.814232446050394</v>
      </c>
      <c r="AF12" s="15" t="n">
        <v>2.785529021261345</v>
      </c>
      <c r="AG12" s="15" t="n">
        <v>0.598921270509868</v>
      </c>
      <c r="AH12" s="15" t="n">
        <v>0.536004738535203</v>
      </c>
      <c r="AI12" s="15" t="n">
        <v>0.9302334054743385</v>
      </c>
      <c r="AJ12" s="15" t="n">
        <v>0.654097318907449</v>
      </c>
      <c r="AK12" s="15" t="n">
        <v>0.251695978954261</v>
      </c>
      <c r="AL12" s="15" t="n">
        <v>0.6939598747691057</v>
      </c>
      <c r="AM12" s="15" t="n">
        <v>0.1321428571428571</v>
      </c>
      <c r="AN12" s="15" t="n">
        <v>0.2727272727272729</v>
      </c>
      <c r="AO12" s="15" t="n">
        <v>0.4469584580234015</v>
      </c>
      <c r="AP12" s="15" t="n">
        <v>2.346632461777321</v>
      </c>
      <c r="AQ12" s="15" t="n">
        <v>0.6066696805283019</v>
      </c>
      <c r="AR12" s="15" t="n">
        <v>573.7325601647595</v>
      </c>
      <c r="AS12" s="15" t="n">
        <v>0.7950350648959718</v>
      </c>
      <c r="AT12" s="15" t="n">
        <v>1.959070974854541</v>
      </c>
      <c r="AU12" s="15" t="n">
        <v>0.3339697336215777</v>
      </c>
      <c r="AV12" s="15" t="n">
        <v>0.05359175330120198</v>
      </c>
      <c r="AW12" s="19" t="n">
        <v>0.8445183200213514</v>
      </c>
      <c r="AX12" s="19" t="n">
        <v>0</v>
      </c>
      <c r="AY12" s="19" t="n">
        <v>1</v>
      </c>
      <c r="AZ12" s="19" t="n">
        <v>0</v>
      </c>
      <c r="BA12" s="19" t="n">
        <v>0</v>
      </c>
    </row>
    <row r="13">
      <c r="A13" t="inlineStr">
        <is>
          <t>A#4</t>
        </is>
      </c>
      <c r="B13" t="n">
        <v>70</v>
      </c>
      <c r="C13" s="15" t="n">
        <v>0.4514227656400376</v>
      </c>
      <c r="D13" s="15" t="n">
        <v>27.9790683377925</v>
      </c>
      <c r="E13" s="15" t="n">
        <v>0.9307114064367656</v>
      </c>
      <c r="F13" s="15" t="n">
        <v>0.4831100601475528</v>
      </c>
      <c r="G13" s="19" t="n">
        <v>0.1222875017401381</v>
      </c>
      <c r="H13" s="15" t="n">
        <v>0.3746505532012498</v>
      </c>
      <c r="I13" s="15" t="n">
        <v>22</v>
      </c>
      <c r="J13" s="15" t="n">
        <v>42</v>
      </c>
      <c r="K13" s="15" t="n">
        <v>0.5238095238095238</v>
      </c>
      <c r="L13" t="n">
        <v>22</v>
      </c>
      <c r="M13" t="n">
        <v>42</v>
      </c>
      <c r="N13" t="n">
        <v>0.5238095238095238</v>
      </c>
      <c r="O13" t="n">
        <v>21</v>
      </c>
      <c r="P13" t="n">
        <v>1</v>
      </c>
      <c r="Q13" s="15" t="n">
        <v>21.93831530387453</v>
      </c>
      <c r="R13" s="15" t="n">
        <v>12.54388650245929</v>
      </c>
      <c r="S13" s="15" t="n">
        <v>0.3456169781411887</v>
      </c>
      <c r="T13" s="15" t="n">
        <v>12.63894102997199</v>
      </c>
      <c r="U13" s="15" t="n">
        <v>11.09640180127012</v>
      </c>
      <c r="V13" s="15" t="n">
        <v>0.4134018329805077</v>
      </c>
      <c r="W13" t="n">
        <v>1</v>
      </c>
      <c r="X13" t="n">
        <v>0.5</v>
      </c>
      <c r="Y13" t="n">
        <v>0.25</v>
      </c>
      <c r="Z13" t="inlineStr">
        <is>
          <t>his_note_adaptive</t>
        </is>
      </c>
      <c r="AA13" t="n">
        <v>-90</v>
      </c>
      <c r="AB13" t="n">
        <v>20000</v>
      </c>
      <c r="AC13" s="15" t="n">
        <v>0.5238095238095238</v>
      </c>
      <c r="AD13" s="15" t="n">
        <v>0.175</v>
      </c>
      <c r="AE13" t="n">
        <v>2.884514195351118</v>
      </c>
      <c r="AF13" s="15" t="n">
        <v>2.86114049725835</v>
      </c>
      <c r="AG13" s="15" t="n">
        <v>0.5778117003485471</v>
      </c>
      <c r="AH13" s="15" t="n">
        <v>0.4651847039839738</v>
      </c>
      <c r="AI13" s="15" t="n">
        <v>0.9989397259587827</v>
      </c>
      <c r="AJ13" s="15" t="n">
        <v>0.7119958696091091</v>
      </c>
      <c r="AK13" s="15" t="n">
        <v>0.01349180431676207</v>
      </c>
      <c r="AL13" s="15" t="n">
        <v>0.6302454421381662</v>
      </c>
      <c r="AM13" s="15" t="n">
        <v>0.3112244897959184</v>
      </c>
      <c r="AN13" s="15" t="n">
        <v>0.09090909090909094</v>
      </c>
      <c r="AO13" s="15" t="n">
        <v>0.465930287357977</v>
      </c>
      <c r="AP13" s="15" t="n">
        <v>2.332212169745419</v>
      </c>
      <c r="AQ13" s="15" t="n">
        <v>0.5721692923410159</v>
      </c>
      <c r="AR13" s="15" t="n">
        <v>678.015321200738</v>
      </c>
      <c r="AS13" s="15" t="n">
        <v>0.9525189534065417</v>
      </c>
      <c r="AT13" s="15" t="n">
        <v>1.951893943800794</v>
      </c>
      <c r="AU13" s="15" t="n">
        <v>0.3335808486629355</v>
      </c>
      <c r="AV13" s="15" t="n">
        <v>0.04673737728168972</v>
      </c>
      <c r="AW13" s="19" t="n">
        <v>0.8777045053115221</v>
      </c>
      <c r="AX13" s="19" t="n">
        <v>7.992948339601755e-06</v>
      </c>
      <c r="AY13" s="19" t="n">
        <v>0.9999908934322395</v>
      </c>
      <c r="AZ13" s="19" t="n">
        <v>0</v>
      </c>
      <c r="BA13" s="19" t="n">
        <v>9.106567760455094e-06</v>
      </c>
    </row>
    <row r="14">
      <c r="A14" t="inlineStr">
        <is>
          <t>B4</t>
        </is>
      </c>
      <c r="B14" t="n">
        <v>71</v>
      </c>
      <c r="C14" s="15" t="n">
        <v>0.2805181624122491</v>
      </c>
      <c r="D14" s="15" t="n">
        <v>24.67520367289897</v>
      </c>
      <c r="E14" s="15" t="n">
        <v>0.9316550380237723</v>
      </c>
      <c r="F14" s="15" t="n">
        <v>0.436449552576783</v>
      </c>
      <c r="G14" s="19" t="n">
        <v>0.1792664917337126</v>
      </c>
      <c r="H14" s="15" t="n">
        <v>0.3575327260880512</v>
      </c>
      <c r="I14" s="15" t="n">
        <v>19</v>
      </c>
      <c r="J14" s="15" t="n">
        <v>40</v>
      </c>
      <c r="K14" s="15" t="n">
        <v>0.475</v>
      </c>
      <c r="L14" t="n">
        <v>19</v>
      </c>
      <c r="M14" t="n">
        <v>40</v>
      </c>
      <c r="N14" t="n">
        <v>0.475</v>
      </c>
      <c r="O14" t="n">
        <v>20</v>
      </c>
      <c r="P14" t="n">
        <v>0</v>
      </c>
      <c r="Q14" s="15" t="n">
        <v>19.10660060168259</v>
      </c>
      <c r="R14" s="15" t="n">
        <v>10.86720610776281</v>
      </c>
      <c r="S14" s="15" t="n">
        <v>0.2571950166373271</v>
      </c>
      <c r="T14" s="15" t="n">
        <v>10.89515041028248</v>
      </c>
      <c r="U14" s="15" t="n">
        <v>10.6330102152123</v>
      </c>
      <c r="V14" s="15" t="n">
        <v>0</v>
      </c>
      <c r="W14" t="n">
        <v>1</v>
      </c>
      <c r="X14" t="n">
        <v>0.5</v>
      </c>
      <c r="Y14" t="n">
        <v>0.25</v>
      </c>
      <c r="Z14" t="inlineStr">
        <is>
          <t>his_note_adaptive</t>
        </is>
      </c>
      <c r="AA14" t="n">
        <v>-90</v>
      </c>
      <c r="AB14" t="n">
        <v>20000</v>
      </c>
      <c r="AC14" s="15" t="n">
        <v>0.475</v>
      </c>
      <c r="AD14" s="15" t="n">
        <v>0.1666666666666667</v>
      </c>
      <c r="AE14" t="n">
        <v>2.597691367025536</v>
      </c>
      <c r="AF14" s="15" t="n">
        <v>2.572093539797861</v>
      </c>
      <c r="AG14" s="15" t="n">
        <v>0.4965918972572324</v>
      </c>
      <c r="AH14" s="15" t="n">
        <v>0.3860463963818427</v>
      </c>
      <c r="AI14" s="15" t="n">
        <v>1</v>
      </c>
      <c r="AJ14" s="15" t="n">
        <v>0.5931113093788127</v>
      </c>
      <c r="AK14" s="15" t="n">
        <v>0.4223777597265968</v>
      </c>
      <c r="AL14" s="15" t="n">
        <v>0.5998552026901062</v>
      </c>
      <c r="AM14" s="15" t="n">
        <v>0.2406249999999999</v>
      </c>
      <c r="AN14" s="15" t="n">
        <v>0.07272727272727289</v>
      </c>
      <c r="AO14" s="15" t="n">
        <v>0.3934049269637961</v>
      </c>
      <c r="AP14" s="15" t="n">
        <v>2.322685861931125</v>
      </c>
      <c r="AQ14" s="15" t="n">
        <v>0.5493777069239099</v>
      </c>
      <c r="AR14" s="15" t="n">
        <v>651.4037697979435</v>
      </c>
      <c r="AS14" s="15" t="n">
        <v>0.9123311931997986</v>
      </c>
      <c r="AT14" s="15" t="n">
        <v>1.944403085875725</v>
      </c>
      <c r="AU14" s="15" t="n">
        <v>0.3386497506030844</v>
      </c>
      <c r="AV14" s="15" t="n">
        <v>0.03963302545231535</v>
      </c>
      <c r="AW14" s="19" t="n">
        <v>0.8207335082662873</v>
      </c>
      <c r="AX14" s="19" t="n">
        <v>0</v>
      </c>
      <c r="AY14" s="19" t="n">
        <v>1</v>
      </c>
      <c r="AZ14" s="19" t="n">
        <v>0</v>
      </c>
      <c r="BA14" s="19" t="n">
        <v>0</v>
      </c>
    </row>
    <row r="15">
      <c r="A15" t="inlineStr">
        <is>
          <t>C5</t>
        </is>
      </c>
      <c r="B15" t="n">
        <v>72</v>
      </c>
      <c r="C15" s="15" t="n">
        <v>-0.231154641327954</v>
      </c>
      <c r="D15" s="15" t="n">
        <v>20.60382474850518</v>
      </c>
      <c r="E15" s="15" t="n">
        <v>0.8715378853244606</v>
      </c>
      <c r="F15" s="15" t="n">
        <v>0.2585990544694994</v>
      </c>
      <c r="G15" s="19" t="n">
        <v>0.2401174437022072</v>
      </c>
      <c r="H15" s="15" t="n">
        <v>0.3423178847164109</v>
      </c>
      <c r="I15" s="15" t="n">
        <v>21</v>
      </c>
      <c r="J15" s="15" t="n">
        <v>38</v>
      </c>
      <c r="K15" s="15" t="n">
        <v>0.5526315789473685</v>
      </c>
      <c r="L15" t="n">
        <v>21</v>
      </c>
      <c r="M15" t="n">
        <v>38</v>
      </c>
      <c r="N15" t="n">
        <v>0.5526315789473685</v>
      </c>
      <c r="O15" t="n">
        <v>23</v>
      </c>
      <c r="P15" t="n">
        <v>0</v>
      </c>
      <c r="Q15" s="15" t="n">
        <v>21.33874825712945</v>
      </c>
      <c r="R15" s="15" t="n">
        <v>12.07031883022884</v>
      </c>
      <c r="S15" s="15" t="n">
        <v>0.3206427596700445</v>
      </c>
      <c r="T15" s="15" t="n">
        <v>11.7704597638978</v>
      </c>
      <c r="U15" s="15" t="n">
        <v>13.54085450406293</v>
      </c>
      <c r="V15" s="15" t="n">
        <v>0</v>
      </c>
      <c r="W15" t="n">
        <v>1</v>
      </c>
      <c r="X15" t="n">
        <v>0.5</v>
      </c>
      <c r="Y15" t="n">
        <v>0.25</v>
      </c>
      <c r="Z15" t="inlineStr">
        <is>
          <t>his_note_adaptive</t>
        </is>
      </c>
      <c r="AA15" t="n">
        <v>-90</v>
      </c>
      <c r="AB15" t="n">
        <v>20000</v>
      </c>
      <c r="AC15" s="15" t="n">
        <v>0.5526315789473685</v>
      </c>
      <c r="AD15" s="15" t="n">
        <v>0.1916666666666667</v>
      </c>
      <c r="AE15" t="n">
        <v>2.106398394074783</v>
      </c>
      <c r="AF15" s="15" t="n">
        <v>2.068281025860648</v>
      </c>
      <c r="AG15" s="15" t="n">
        <v>0.2534272101623494</v>
      </c>
      <c r="AH15" s="15" t="n">
        <v>0.2885236252141283</v>
      </c>
      <c r="AI15" s="15" t="n">
        <v>0.9324517562609598</v>
      </c>
      <c r="AJ15" s="15" t="n">
        <v>0.1399726841258614</v>
      </c>
      <c r="AK15" s="15" t="n">
        <v>0.8590492352308431</v>
      </c>
      <c r="AL15" s="15" t="n">
        <v>0.57284344066034</v>
      </c>
      <c r="AM15" s="15" t="n">
        <v>0.3529135338345865</v>
      </c>
      <c r="AN15" s="15" t="n">
        <v>0.1272727272727274</v>
      </c>
      <c r="AO15" s="15" t="n">
        <v>0.2669923036813339</v>
      </c>
      <c r="AP15" s="15" t="n">
        <v>2.335278593200961</v>
      </c>
      <c r="AQ15" s="15" t="n">
        <v>0.5795056763288546</v>
      </c>
      <c r="AR15" s="15" t="n">
        <v>136.3120990315769</v>
      </c>
      <c r="AS15" s="15" t="n">
        <v>0.1344591993454444</v>
      </c>
      <c r="AT15" s="15" t="n">
        <v>1.941859350863002</v>
      </c>
      <c r="AU15" s="15" t="n">
        <v>0.3522416966467741</v>
      </c>
      <c r="AV15" s="15" t="n">
        <v>0.04117754569118461</v>
      </c>
      <c r="AW15" s="19" t="n">
        <v>0.7598825562977928</v>
      </c>
      <c r="AX15" s="19" t="n">
        <v>0</v>
      </c>
      <c r="AY15" s="19" t="n">
        <v>1</v>
      </c>
      <c r="AZ15" s="19" t="n">
        <v>0</v>
      </c>
      <c r="BA15" s="19" t="n">
        <v>0</v>
      </c>
    </row>
    <row r="16">
      <c r="A16" t="inlineStr">
        <is>
          <t>C#5</t>
        </is>
      </c>
      <c r="B16" t="n">
        <v>73</v>
      </c>
      <c r="C16" s="15" t="n">
        <v>-0.05081533467954824</v>
      </c>
      <c r="D16" s="15" t="n">
        <v>22.08006710383551</v>
      </c>
      <c r="E16" s="15" t="n">
        <v>0.9160587112519607</v>
      </c>
      <c r="F16" s="15" t="n">
        <v>0.2827512578830751</v>
      </c>
      <c r="G16" s="19" t="n">
        <v>0.2385242902454047</v>
      </c>
      <c r="H16" s="15" t="n">
        <v>0.3795540533537543</v>
      </c>
      <c r="I16" s="15" t="n">
        <v>21</v>
      </c>
      <c r="J16" s="15" t="n">
        <v>36</v>
      </c>
      <c r="K16" s="15" t="n">
        <v>0.5833333333333334</v>
      </c>
      <c r="L16" t="n">
        <v>21</v>
      </c>
      <c r="M16" t="n">
        <v>36</v>
      </c>
      <c r="N16" t="n">
        <v>0.5833333333333334</v>
      </c>
      <c r="O16" t="n">
        <v>26</v>
      </c>
      <c r="P16" t="n">
        <v>0</v>
      </c>
      <c r="Q16" s="15" t="n">
        <v>21.87420317331052</v>
      </c>
      <c r="R16" s="15" t="n">
        <v>12.31292622032359</v>
      </c>
      <c r="S16" s="15" t="n">
        <v>0.3334369817384629</v>
      </c>
      <c r="T16" s="15" t="n">
        <v>11.81732578418503</v>
      </c>
      <c r="U16" s="15" t="n">
        <v>14.65190961589184</v>
      </c>
      <c r="V16" s="15" t="n">
        <v>0</v>
      </c>
      <c r="W16" t="n">
        <v>1</v>
      </c>
      <c r="X16" t="n">
        <v>0.5</v>
      </c>
      <c r="Y16" t="n">
        <v>0.25</v>
      </c>
      <c r="Z16" t="inlineStr">
        <is>
          <t>his_note_adaptive</t>
        </is>
      </c>
      <c r="AA16" t="n">
        <v>-90</v>
      </c>
      <c r="AB16" t="n">
        <v>20000</v>
      </c>
      <c r="AC16" s="15" t="n">
        <v>0.5833333333333334</v>
      </c>
      <c r="AD16" s="15" t="n">
        <v>0.2166666666666667</v>
      </c>
      <c r="AE16" t="n">
        <v>2.617110924780019</v>
      </c>
      <c r="AF16" s="15" t="n">
        <v>2.579385917174525</v>
      </c>
      <c r="AG16" s="15" t="n">
        <v>0.339130711993049</v>
      </c>
      <c r="AH16" s="15" t="n">
        <v>0.3238844324689832</v>
      </c>
      <c r="AI16" s="15" t="n">
        <v>0.9824758087348986</v>
      </c>
      <c r="AJ16" s="15" t="n">
        <v>0.2015091789241806</v>
      </c>
      <c r="AK16" s="15" t="n">
        <v>0.8476166339619782</v>
      </c>
      <c r="AL16" s="15" t="n">
        <v>0.6389509012354434</v>
      </c>
      <c r="AM16" s="15" t="n">
        <v>0.3973214285714286</v>
      </c>
      <c r="AN16" s="15" t="n">
        <v>0.1818181818181819</v>
      </c>
      <c r="AO16" s="15" t="n">
        <v>0.3952346722135631</v>
      </c>
      <c r="AP16" s="15" t="n">
        <v>2.321073045940981</v>
      </c>
      <c r="AQ16" s="15" t="n">
        <v>0.5455190626182652</v>
      </c>
      <c r="AR16" s="15" t="n">
        <v>178.4887053102515</v>
      </c>
      <c r="AS16" s="15" t="n">
        <v>0.1981527177655542</v>
      </c>
      <c r="AT16" s="15" t="n">
        <v>1.936946559271679</v>
      </c>
      <c r="AU16" s="15" t="n">
        <v>0.338729097913633</v>
      </c>
      <c r="AV16" s="15" t="n">
        <v>0.04539738875566903</v>
      </c>
      <c r="AW16" s="19" t="n">
        <v>0.7614757097545953</v>
      </c>
      <c r="AX16" s="19" t="n">
        <v>0</v>
      </c>
      <c r="AY16" s="19" t="n">
        <v>1</v>
      </c>
      <c r="AZ16" s="19" t="n">
        <v>0</v>
      </c>
      <c r="BA16" s="19" t="n">
        <v>0</v>
      </c>
    </row>
    <row r="17">
      <c r="A17" t="inlineStr">
        <is>
          <t>D5</t>
        </is>
      </c>
      <c r="B17" t="n">
        <v>74</v>
      </c>
      <c r="C17" s="15" t="n">
        <v>-0.09796967641999425</v>
      </c>
      <c r="D17" s="15" t="n">
        <v>20.05284944169062</v>
      </c>
      <c r="E17" s="15" t="n">
        <v>0.8906068352680641</v>
      </c>
      <c r="F17" s="15" t="n">
        <v>0.3016334650471685</v>
      </c>
      <c r="G17" s="19" t="n">
        <v>0.2257326625372099</v>
      </c>
      <c r="H17" s="15" t="n">
        <v>0.240141364343897</v>
      </c>
      <c r="I17" s="15" t="n">
        <v>19</v>
      </c>
      <c r="J17" s="15" t="n">
        <v>34</v>
      </c>
      <c r="K17" s="15" t="n">
        <v>0.5588235294117647</v>
      </c>
      <c r="L17" t="n">
        <v>19</v>
      </c>
      <c r="M17" t="n">
        <v>34</v>
      </c>
      <c r="N17" t="n">
        <v>0.5588235294117647</v>
      </c>
      <c r="O17" t="n">
        <v>30</v>
      </c>
      <c r="P17" t="n">
        <v>0</v>
      </c>
      <c r="Q17" s="15" t="n">
        <v>21.01483657717458</v>
      </c>
      <c r="R17" s="15" t="n">
        <v>11.39626513335122</v>
      </c>
      <c r="S17" s="15" t="n">
        <v>0.2850956451302828</v>
      </c>
      <c r="T17" s="15" t="n">
        <v>10.50116696452195</v>
      </c>
      <c r="U17" s="15" t="n">
        <v>15.38795528704152</v>
      </c>
      <c r="V17" s="15" t="n">
        <v>0</v>
      </c>
      <c r="W17" t="n">
        <v>1</v>
      </c>
      <c r="X17" t="n">
        <v>0.5</v>
      </c>
      <c r="Y17" t="n">
        <v>0.25</v>
      </c>
      <c r="Z17" t="inlineStr">
        <is>
          <t>his_note_adaptive</t>
        </is>
      </c>
      <c r="AA17" t="n">
        <v>-90</v>
      </c>
      <c r="AB17" t="n">
        <v>20000</v>
      </c>
      <c r="AC17" s="15" t="n">
        <v>0.5588235294117647</v>
      </c>
      <c r="AD17" s="15" t="n">
        <v>0.25</v>
      </c>
      <c r="AE17" t="n">
        <v>1.609968647529099</v>
      </c>
      <c r="AF17" s="15" t="n">
        <v>1.586452715309102</v>
      </c>
      <c r="AG17" s="15" t="n">
        <v>0.3167213310944257</v>
      </c>
      <c r="AH17" s="15" t="n">
        <v>0.2753259740587428</v>
      </c>
      <c r="AI17" s="15" t="n">
        <v>0.9538778222138943</v>
      </c>
      <c r="AJ17" s="15" t="n">
        <v>0.2496184475916058</v>
      </c>
      <c r="AK17" s="15" t="n">
        <v>0.7558228531788872</v>
      </c>
      <c r="AL17" s="15" t="n">
        <v>0.3914437279774101</v>
      </c>
      <c r="AM17" s="15" t="n">
        <v>0.3618697478991597</v>
      </c>
      <c r="AN17" s="15" t="n">
        <v>0.2545454545454546</v>
      </c>
      <c r="AO17" s="15" t="n">
        <v>0.1460957816148562</v>
      </c>
      <c r="AP17" s="15" t="n">
        <v>2.291740231968536</v>
      </c>
      <c r="AQ17" s="15" t="n">
        <v>0.4753406316658291</v>
      </c>
      <c r="AR17" s="15" t="n">
        <v>113.9267552485286</v>
      </c>
      <c r="AS17" s="15" t="n">
        <v>0.100653698325155</v>
      </c>
      <c r="AT17" s="15" t="n">
        <v>1.908763616871275</v>
      </c>
      <c r="AU17" s="15" t="n">
        <v>0.343037098148672</v>
      </c>
      <c r="AV17" s="15" t="n">
        <v>0.0399395169485887</v>
      </c>
      <c r="AW17" s="19" t="n">
        <v>0.7742673374627901</v>
      </c>
      <c r="AX17" s="19" t="n">
        <v>0</v>
      </c>
      <c r="AY17" s="19" t="n">
        <v>1</v>
      </c>
      <c r="AZ17" s="19" t="n">
        <v>0</v>
      </c>
      <c r="BA17" s="19" t="n">
        <v>0</v>
      </c>
    </row>
    <row r="18">
      <c r="A18" t="inlineStr">
        <is>
          <t>D#5</t>
        </is>
      </c>
      <c r="B18" t="n">
        <v>75</v>
      </c>
      <c r="C18" s="15" t="n">
        <v>-0.4786250051603576</v>
      </c>
      <c r="D18" s="15" t="n">
        <v>13.35147658714792</v>
      </c>
      <c r="E18" s="15" t="n">
        <v>0.8678102758710314</v>
      </c>
      <c r="F18" s="15" t="n">
        <v>0.2036617566849606</v>
      </c>
      <c r="G18" s="19" t="n">
        <v>0.2480209339818246</v>
      </c>
      <c r="H18" s="15" t="n">
        <v>0.08508056694340901</v>
      </c>
      <c r="I18" s="15" t="n">
        <v>17</v>
      </c>
      <c r="J18" s="15" t="n">
        <v>32</v>
      </c>
      <c r="K18" s="15" t="n">
        <v>0.53125</v>
      </c>
      <c r="L18" t="n">
        <v>17</v>
      </c>
      <c r="M18" t="n">
        <v>32</v>
      </c>
      <c r="N18" t="n">
        <v>0.53125</v>
      </c>
      <c r="O18" t="n">
        <v>36</v>
      </c>
      <c r="P18" t="n">
        <v>0</v>
      </c>
      <c r="Q18" s="15" t="n">
        <v>21.74400083946027</v>
      </c>
      <c r="R18" s="15" t="n">
        <v>11.35418791019197</v>
      </c>
      <c r="S18" s="15" t="n">
        <v>0.2828766470325266</v>
      </c>
      <c r="T18" s="15" t="n">
        <v>9.32931776534736</v>
      </c>
      <c r="U18" s="15" t="n">
        <v>17.43904077214699</v>
      </c>
      <c r="V18" s="15" t="n">
        <v>0</v>
      </c>
      <c r="W18" t="n">
        <v>1</v>
      </c>
      <c r="X18" t="n">
        <v>0.5</v>
      </c>
      <c r="Y18" t="n">
        <v>0.25</v>
      </c>
      <c r="Z18" t="inlineStr">
        <is>
          <t>his_note_adaptive</t>
        </is>
      </c>
      <c r="AA18" t="n">
        <v>-90</v>
      </c>
      <c r="AB18" t="n">
        <v>20000</v>
      </c>
      <c r="AC18" s="15" t="n">
        <v>0.53125</v>
      </c>
      <c r="AD18" s="15" t="n">
        <v>0.3</v>
      </c>
      <c r="AE18" t="n">
        <v>1.088346439504291</v>
      </c>
      <c r="AF18" s="15" t="n">
        <v>1.069966286189483</v>
      </c>
      <c r="AG18" s="15" t="n">
        <v>0.1358206984488266</v>
      </c>
      <c r="AH18" s="15" t="n">
        <v>0.114806291774341</v>
      </c>
      <c r="AI18" s="15" t="n">
        <v>0.9282633763956727</v>
      </c>
      <c r="AJ18" s="15" t="n">
        <v>0</v>
      </c>
      <c r="AK18" s="15" t="n">
        <v>0.9157653366292384</v>
      </c>
      <c r="AL18" s="15" t="n">
        <v>0.1161555894277133</v>
      </c>
      <c r="AM18" s="15" t="n">
        <v>0.3219866071428571</v>
      </c>
      <c r="AN18" s="15" t="n">
        <v>0.3636363636363636</v>
      </c>
      <c r="AO18" s="15" t="n">
        <v>0.01650312047873504</v>
      </c>
      <c r="AP18" s="15" t="n">
        <v>2.22925220576748</v>
      </c>
      <c r="AQ18" s="15" t="n">
        <v>0.3258387244766893</v>
      </c>
      <c r="AR18" s="15" t="n">
        <v>83.26930936618284</v>
      </c>
      <c r="AS18" s="15" t="n">
        <v>0.05435598102854016</v>
      </c>
      <c r="AT18" s="15" t="n">
        <v>1.841998191540231</v>
      </c>
      <c r="AU18" s="15" t="n">
        <v>0.3390379301317215</v>
      </c>
      <c r="AV18" s="15" t="n">
        <v>0.04821608409552649</v>
      </c>
      <c r="AW18" s="19" t="n">
        <v>0.7519790660181753</v>
      </c>
      <c r="AX18" s="19" t="n">
        <v>0</v>
      </c>
      <c r="AY18" s="19" t="n">
        <v>0.999578286689649</v>
      </c>
      <c r="AZ18" s="19" t="n">
        <v>0.0004217133103510661</v>
      </c>
      <c r="BA18" s="19" t="n">
        <v>0</v>
      </c>
    </row>
    <row r="19">
      <c r="A19" t="inlineStr">
        <is>
          <t>E5</t>
        </is>
      </c>
      <c r="B19" t="n">
        <v>76</v>
      </c>
      <c r="C19" s="15" t="n">
        <v>-0.1095757574347539</v>
      </c>
      <c r="D19" s="15" t="n">
        <v>17.84294545004114</v>
      </c>
      <c r="E19" s="15" t="n">
        <v>0.7959055078611171</v>
      </c>
      <c r="F19" s="15" t="n">
        <v>0.336108780729644</v>
      </c>
      <c r="G19" s="19" t="n">
        <v>0.2504440256269383</v>
      </c>
      <c r="H19" s="15" t="n">
        <v>0.1803683179482619</v>
      </c>
      <c r="I19" s="15" t="n">
        <v>19</v>
      </c>
      <c r="J19" s="15" t="n">
        <v>30</v>
      </c>
      <c r="K19" s="15" t="n">
        <v>0.6333333333333333</v>
      </c>
      <c r="L19" t="n">
        <v>19</v>
      </c>
      <c r="M19" t="n">
        <v>30</v>
      </c>
      <c r="N19" t="n">
        <v>0.6333333333333333</v>
      </c>
      <c r="O19" t="n">
        <v>40</v>
      </c>
      <c r="P19" t="n">
        <v>0</v>
      </c>
      <c r="Q19" s="15" t="n">
        <v>24.04275823427854</v>
      </c>
      <c r="R19" s="15" t="n">
        <v>13.03768170140724</v>
      </c>
      <c r="S19" s="15" t="n">
        <v>0.3716579220266638</v>
      </c>
      <c r="T19" s="15" t="n">
        <v>10.65496976144168</v>
      </c>
      <c r="U19" s="15" t="n">
        <v>20.57750588445997</v>
      </c>
      <c r="V19" s="15" t="n">
        <v>0</v>
      </c>
      <c r="W19" t="n">
        <v>1</v>
      </c>
      <c r="X19" t="n">
        <v>0.5</v>
      </c>
      <c r="Y19" t="n">
        <v>0.25</v>
      </c>
      <c r="Z19" t="inlineStr">
        <is>
          <t>his_note_adaptive</t>
        </is>
      </c>
      <c r="AA19" t="n">
        <v>-90</v>
      </c>
      <c r="AB19" t="n">
        <v>20000</v>
      </c>
      <c r="AC19" s="15" t="n">
        <v>0.6333333333333333</v>
      </c>
      <c r="AD19" s="15" t="n">
        <v>0.3333333333333333</v>
      </c>
      <c r="AE19" t="n">
        <v>1.284402077358564</v>
      </c>
      <c r="AF19" s="15" t="n">
        <v>1.236983489860308</v>
      </c>
      <c r="AG19" s="15" t="n">
        <v>0.3112057183088284</v>
      </c>
      <c r="AH19" s="15" t="n">
        <v>0.2223915837004835</v>
      </c>
      <c r="AI19" s="15" t="n">
        <v>0.847470448296993</v>
      </c>
      <c r="AJ19" s="15" t="n">
        <v>0.3374568136337119</v>
      </c>
      <c r="AK19" s="15" t="n">
        <v>0.9331536431343139</v>
      </c>
      <c r="AL19" s="15" t="n">
        <v>0.2853252831250991</v>
      </c>
      <c r="AM19" s="15" t="n">
        <v>0.4696428571428571</v>
      </c>
      <c r="AN19" s="15" t="n">
        <v>0.4363636363636363</v>
      </c>
      <c r="AO19" s="15" t="n">
        <v>0.05840974698218367</v>
      </c>
      <c r="AP19" s="15" t="n">
        <v>2.317415370536799</v>
      </c>
      <c r="AQ19" s="15" t="n">
        <v>0.5367681149239888</v>
      </c>
      <c r="AR19" s="15" t="n">
        <v>99.39303226051229</v>
      </c>
      <c r="AS19" s="15" t="n">
        <v>0.07870541859080273</v>
      </c>
      <c r="AT19" s="15" t="n">
        <v>1.884649078960054</v>
      </c>
      <c r="AU19" s="15" t="n">
        <v>0.3815879043926268</v>
      </c>
      <c r="AV19" s="15" t="n">
        <v>0.05117838718411762</v>
      </c>
      <c r="AW19" s="19" t="n">
        <v>0.7495559743730617</v>
      </c>
      <c r="AX19" s="19" t="n">
        <v>0</v>
      </c>
      <c r="AY19" s="19" t="n">
        <v>0.9909495986549869</v>
      </c>
      <c r="AZ19" s="19" t="n">
        <v>0.009050401345013129</v>
      </c>
      <c r="BA19" s="19" t="n">
        <v>0</v>
      </c>
    </row>
    <row r="20">
      <c r="A20" t="inlineStr">
        <is>
          <t>F5</t>
        </is>
      </c>
      <c r="B20" t="n">
        <v>77</v>
      </c>
      <c r="C20" s="15" t="n">
        <v>-0.2440995613237511</v>
      </c>
      <c r="D20" s="15" t="n">
        <v>18.03499995361064</v>
      </c>
      <c r="E20" s="15" t="n">
        <v>0.6318721690508659</v>
      </c>
      <c r="F20" s="15" t="n">
        <v>0.3031038800375789</v>
      </c>
      <c r="G20" s="19" t="n">
        <v>0.2326722189705626</v>
      </c>
      <c r="H20" s="15" t="n">
        <v>0.3397713093070012</v>
      </c>
      <c r="I20" s="15" t="n">
        <v>22</v>
      </c>
      <c r="J20" s="15" t="n">
        <v>28</v>
      </c>
      <c r="K20" s="15" t="n">
        <v>0.7857142857142857</v>
      </c>
      <c r="L20" t="n">
        <v>22</v>
      </c>
      <c r="M20" t="n">
        <v>28</v>
      </c>
      <c r="N20" t="n">
        <v>0.7857142857142857</v>
      </c>
      <c r="O20" t="n">
        <v>62</v>
      </c>
      <c r="P20" t="n">
        <v>0</v>
      </c>
      <c r="Q20" s="15" t="n">
        <v>32.24818092952624</v>
      </c>
      <c r="R20" s="15" t="n">
        <v>16.80000587975834</v>
      </c>
      <c r="S20" s="15" t="n">
        <v>0.5700690710539238</v>
      </c>
      <c r="T20" s="15" t="n">
        <v>12.03524890126091</v>
      </c>
      <c r="U20" s="15" t="n">
        <v>30.63272297500447</v>
      </c>
      <c r="V20" s="15" t="n">
        <v>0</v>
      </c>
      <c r="W20" t="n">
        <v>1</v>
      </c>
      <c r="X20" t="n">
        <v>0.5</v>
      </c>
      <c r="Y20" t="n">
        <v>0.25</v>
      </c>
      <c r="Z20" t="inlineStr">
        <is>
          <t>his_note_adaptive</t>
        </is>
      </c>
      <c r="AA20" t="n">
        <v>-90</v>
      </c>
      <c r="AB20" t="n">
        <v>20000</v>
      </c>
      <c r="AC20" s="15" t="n">
        <v>0.7857142857142857</v>
      </c>
      <c r="AD20" s="15" t="n">
        <v>0.5166666666666667</v>
      </c>
      <c r="AE20" t="n">
        <v>1.514272822669709</v>
      </c>
      <c r="AF20" s="15" t="n">
        <v>1.471278362640504</v>
      </c>
      <c r="AG20" s="15" t="n">
        <v>0.2472753345941405</v>
      </c>
      <c r="AH20" s="15" t="n">
        <v>0.2269919138960145</v>
      </c>
      <c r="AI20" s="15" t="n">
        <v>0.6631609217513307</v>
      </c>
      <c r="AJ20" s="15" t="n">
        <v>0.253364862892079</v>
      </c>
      <c r="AK20" s="15" t="n">
        <v>0.8056216853921621</v>
      </c>
      <c r="AL20" s="15" t="n">
        <v>0.5683223623743682</v>
      </c>
      <c r="AM20" s="15" t="n">
        <v>0.6900510204081632</v>
      </c>
      <c r="AN20" s="15" t="n">
        <v>0.8363636363636364</v>
      </c>
      <c r="AO20" s="15" t="n">
        <v>0.1171971503722202</v>
      </c>
      <c r="AP20" s="15" t="n">
        <v>2.308060267458341</v>
      </c>
      <c r="AQ20" s="15" t="n">
        <v>0.5143861349318469</v>
      </c>
      <c r="AR20" s="15" t="n">
        <v>130.9493105385812</v>
      </c>
      <c r="AS20" s="15" t="n">
        <v>0.1263605186359326</v>
      </c>
      <c r="AT20" s="15" t="n">
        <v>1.913949946196108</v>
      </c>
      <c r="AU20" s="15" t="n">
        <v>0.3394724571132166</v>
      </c>
      <c r="AV20" s="15" t="n">
        <v>0.05463786414901558</v>
      </c>
      <c r="AW20" s="19" t="n">
        <v>0.7673277810294374</v>
      </c>
      <c r="AX20" s="19" t="n">
        <v>0</v>
      </c>
      <c r="AY20" s="19" t="n">
        <v>0.9978801166514818</v>
      </c>
      <c r="AZ20" s="19" t="n">
        <v>0.002119883348518291</v>
      </c>
      <c r="BA20" s="19" t="n">
        <v>0</v>
      </c>
    </row>
    <row r="21">
      <c r="A21" t="inlineStr">
        <is>
          <t>F#5</t>
        </is>
      </c>
      <c r="B21" t="n">
        <v>78</v>
      </c>
      <c r="C21" s="15" t="n">
        <v>-0.5083809381927</v>
      </c>
      <c r="D21" s="15" t="n">
        <v>14.86651655019241</v>
      </c>
      <c r="E21" s="15" t="n">
        <v>0.7094944133992859</v>
      </c>
      <c r="F21" s="15" t="n">
        <v>0.2765410503613198</v>
      </c>
      <c r="G21" s="19" t="n">
        <v>0.231469651470806</v>
      </c>
      <c r="H21" s="15" t="n">
        <v>0.2350009995648577</v>
      </c>
      <c r="I21" s="15" t="n">
        <v>17</v>
      </c>
      <c r="J21" s="15" t="n">
        <v>27</v>
      </c>
      <c r="K21" s="15" t="n">
        <v>0.6296296296296297</v>
      </c>
      <c r="L21" t="n">
        <v>17</v>
      </c>
      <c r="M21" t="n">
        <v>27</v>
      </c>
      <c r="N21" t="n">
        <v>0.6296296296296297</v>
      </c>
      <c r="O21" t="n">
        <v>36</v>
      </c>
      <c r="P21" t="n">
        <v>0</v>
      </c>
      <c r="Q21" s="15" t="n">
        <v>20.72534749865315</v>
      </c>
      <c r="R21" s="15" t="n">
        <v>11.2554148476291</v>
      </c>
      <c r="S21" s="15" t="n">
        <v>0.2776677187459085</v>
      </c>
      <c r="T21" s="15" t="n">
        <v>9.649340396051452</v>
      </c>
      <c r="U21" s="15" t="n">
        <v>17.8406338501541</v>
      </c>
      <c r="V21" s="15" t="n">
        <v>0</v>
      </c>
      <c r="W21" t="n">
        <v>1</v>
      </c>
      <c r="X21" t="n">
        <v>0.5</v>
      </c>
      <c r="Y21" t="n">
        <v>0.25</v>
      </c>
      <c r="Z21" t="inlineStr">
        <is>
          <t>his_note_adaptive</t>
        </is>
      </c>
      <c r="AA21" t="n">
        <v>-90</v>
      </c>
      <c r="AB21" t="n">
        <v>20000</v>
      </c>
      <c r="AC21" s="15" t="n">
        <v>0.6296296296296297</v>
      </c>
      <c r="AD21" s="15" t="n">
        <v>0.3</v>
      </c>
      <c r="AE21" t="n">
        <v>1.339140592859221</v>
      </c>
      <c r="AF21" s="15" t="n">
        <v>1.305150755345643</v>
      </c>
      <c r="AG21" s="15" t="n">
        <v>0.1216796456273058</v>
      </c>
      <c r="AH21" s="15" t="n">
        <v>0.1510964279590808</v>
      </c>
      <c r="AI21" s="15" t="n">
        <v>0.7503780643702367</v>
      </c>
      <c r="AJ21" s="15" t="n">
        <v>0.1856864236949757</v>
      </c>
      <c r="AK21" s="15" t="n">
        <v>0.7969919613282876</v>
      </c>
      <c r="AL21" s="15" t="n">
        <v>0.3823177498113537</v>
      </c>
      <c r="AM21" s="15" t="n">
        <v>0.4642857142857143</v>
      </c>
      <c r="AN21" s="15" t="n">
        <v>0.3636363636363636</v>
      </c>
      <c r="AO21" s="15" t="n">
        <v>0.07551373430606174</v>
      </c>
      <c r="AP21" s="15" t="n">
        <v>2.29982881375696</v>
      </c>
      <c r="AQ21" s="15" t="n">
        <v>0.494692473568051</v>
      </c>
      <c r="AR21" s="15" t="n">
        <v>123.8616803212509</v>
      </c>
      <c r="AS21" s="15" t="n">
        <v>0.1156570470759008</v>
      </c>
      <c r="AT21" s="15" t="n">
        <v>1.902504949832147</v>
      </c>
      <c r="AU21" s="15" t="n">
        <v>0.3563135146106515</v>
      </c>
      <c r="AV21" s="15" t="n">
        <v>0.04101034931416178</v>
      </c>
      <c r="AW21" s="19" t="n">
        <v>0.768530348529194</v>
      </c>
      <c r="AX21" s="19" t="n">
        <v>0</v>
      </c>
      <c r="AY21" s="19" t="n">
        <v>0.997092795371665</v>
      </c>
      <c r="AZ21" s="19" t="n">
        <v>0.002907204628335088</v>
      </c>
      <c r="BA21" s="19" t="n">
        <v>0</v>
      </c>
    </row>
    <row r="22">
      <c r="A22" t="inlineStr">
        <is>
          <t>G5</t>
        </is>
      </c>
      <c r="B22" t="n">
        <v>79</v>
      </c>
      <c r="C22" s="15" t="n">
        <v>-0.4417628107883841</v>
      </c>
      <c r="D22" s="15" t="n">
        <v>13.95278281760007</v>
      </c>
      <c r="E22" s="15" t="n">
        <v>0.8417154324589757</v>
      </c>
      <c r="F22" s="15" t="n">
        <v>0.2758873275784519</v>
      </c>
      <c r="G22" s="19" t="n">
        <v>0.2276930237699017</v>
      </c>
      <c r="H22" s="15" t="n">
        <v>0.2332817843270725</v>
      </c>
      <c r="I22" s="15" t="n">
        <v>15</v>
      </c>
      <c r="J22" s="15" t="n">
        <v>25</v>
      </c>
      <c r="K22" s="15" t="n">
        <v>0.6</v>
      </c>
      <c r="L22" t="n">
        <v>15</v>
      </c>
      <c r="M22" t="n">
        <v>25</v>
      </c>
      <c r="N22" t="n">
        <v>0.6</v>
      </c>
      <c r="O22" t="n">
        <v>27</v>
      </c>
      <c r="P22" t="n">
        <v>0</v>
      </c>
      <c r="Q22" s="15" t="n">
        <v>16.90561090860362</v>
      </c>
      <c r="R22" s="15" t="n">
        <v>9.074072560338442</v>
      </c>
      <c r="S22" s="15" t="n">
        <v>0.1626317438733834</v>
      </c>
      <c r="T22" s="15" t="n">
        <v>8.263437749400532</v>
      </c>
      <c r="U22" s="15" t="n">
        <v>13.36816174491073</v>
      </c>
      <c r="V22" s="15" t="n">
        <v>0</v>
      </c>
      <c r="W22" t="n">
        <v>1</v>
      </c>
      <c r="X22" t="n">
        <v>0.5</v>
      </c>
      <c r="Y22" t="n">
        <v>0.25</v>
      </c>
      <c r="Z22" t="inlineStr">
        <is>
          <t>his_note_adaptive</t>
        </is>
      </c>
      <c r="AA22" t="n">
        <v>-90</v>
      </c>
      <c r="AB22" t="n">
        <v>20000</v>
      </c>
      <c r="AC22" s="15" t="n">
        <v>0.6</v>
      </c>
      <c r="AD22" s="15" t="n">
        <v>0.225</v>
      </c>
      <c r="AE22" t="n">
        <v>1.348120647114394</v>
      </c>
      <c r="AF22" s="15" t="n">
        <v>1.33630865240793</v>
      </c>
      <c r="AG22" s="15" t="n">
        <v>0.1533388934644109</v>
      </c>
      <c r="AH22" s="15" t="n">
        <v>0.1292095322987629</v>
      </c>
      <c r="AI22" s="15" t="n">
        <v>0.8989429451379594</v>
      </c>
      <c r="AJ22" s="15" t="n">
        <v>0.1840208278924461</v>
      </c>
      <c r="AK22" s="15" t="n">
        <v>0.7698905678868514</v>
      </c>
      <c r="AL22" s="15" t="n">
        <v>0.3792655304850607</v>
      </c>
      <c r="AM22" s="15" t="n">
        <v>0.4214285714285714</v>
      </c>
      <c r="AN22" s="15" t="n">
        <v>0.2000000000000001</v>
      </c>
      <c r="AO22" s="15" t="n">
        <v>0.08333162567368164</v>
      </c>
      <c r="AP22" s="15" t="n">
        <v>2.244364166551945</v>
      </c>
      <c r="AQ22" s="15" t="n">
        <v>0.3619939224561518</v>
      </c>
      <c r="AR22" s="15" t="n">
        <v>135.6629343722935</v>
      </c>
      <c r="AS22" s="15" t="n">
        <v>0.1334788553862706</v>
      </c>
      <c r="AT22" s="15" t="n">
        <v>1.876791926297589</v>
      </c>
      <c r="AU22" s="15" t="n">
        <v>0.3319852685904391</v>
      </c>
      <c r="AV22" s="15" t="n">
        <v>0.03558697166391707</v>
      </c>
      <c r="AW22" s="19" t="n">
        <v>0.7723069762300983</v>
      </c>
      <c r="AX22" s="19" t="n">
        <v>0</v>
      </c>
      <c r="AY22" s="19" t="n">
        <v>0.9994319469431131</v>
      </c>
      <c r="AZ22" s="19" t="n">
        <v>0.0005680530568868949</v>
      </c>
      <c r="BA22" s="19" t="n">
        <v>0</v>
      </c>
    </row>
    <row r="23">
      <c r="A23" t="inlineStr">
        <is>
          <t>G#5</t>
        </is>
      </c>
      <c r="B23" t="n">
        <v>80</v>
      </c>
      <c r="C23" s="15" t="n">
        <v>-0.5908356778091012</v>
      </c>
      <c r="D23" s="15" t="n">
        <v>13.04305189475327</v>
      </c>
      <c r="E23" s="15" t="n">
        <v>0.770488681137485</v>
      </c>
      <c r="F23" s="15" t="n">
        <v>0.257057610153952</v>
      </c>
      <c r="G23" s="19" t="n">
        <v>0.232457760583645</v>
      </c>
      <c r="H23" s="15" t="n">
        <v>0.1748455217790458</v>
      </c>
      <c r="I23" s="15" t="n">
        <v>13</v>
      </c>
      <c r="J23" s="15" t="n">
        <v>24</v>
      </c>
      <c r="K23" s="15" t="n">
        <v>0.5416666666666666</v>
      </c>
      <c r="L23" t="n">
        <v>13</v>
      </c>
      <c r="M23" t="n">
        <v>24</v>
      </c>
      <c r="N23" t="n">
        <v>0.5416666666666666</v>
      </c>
      <c r="O23" t="n">
        <v>28</v>
      </c>
      <c r="P23" t="n">
        <v>0</v>
      </c>
      <c r="Q23" s="15" t="n">
        <v>15.7113822448659</v>
      </c>
      <c r="R23" s="15" t="n">
        <v>8.771271846950725</v>
      </c>
      <c r="S23" s="15" t="n">
        <v>0.1466631471705172</v>
      </c>
      <c r="T23" s="15" t="n">
        <v>7.635490633051865</v>
      </c>
      <c r="U23" s="15" t="n">
        <v>13.91889764463888</v>
      </c>
      <c r="V23" s="15" t="n">
        <v>0</v>
      </c>
      <c r="W23" t="n">
        <v>1</v>
      </c>
      <c r="X23" t="n">
        <v>0.5</v>
      </c>
      <c r="Y23" t="n">
        <v>0.25</v>
      </c>
      <c r="Z23" t="inlineStr">
        <is>
          <t>his_note_adaptive</t>
        </is>
      </c>
      <c r="AA23" t="n">
        <v>-90</v>
      </c>
      <c r="AB23" t="n">
        <v>20000</v>
      </c>
      <c r="AC23" s="15" t="n">
        <v>0.5416666666666666</v>
      </c>
      <c r="AD23" s="15" t="n">
        <v>0.2333333333333333</v>
      </c>
      <c r="AE23" t="n">
        <v>1.226231128796758</v>
      </c>
      <c r="AF23" s="15" t="n">
        <v>1.196966371074917</v>
      </c>
      <c r="AG23" s="15" t="n">
        <v>0.08249428965030052</v>
      </c>
      <c r="AH23" s="15" t="n">
        <v>0.1074185169546945</v>
      </c>
      <c r="AI23" s="15" t="n">
        <v>0.818911843481025</v>
      </c>
      <c r="AJ23" s="15" t="n">
        <v>0.1360452958672704</v>
      </c>
      <c r="AK23" s="15" t="n">
        <v>0.8040827142303288</v>
      </c>
      <c r="AL23" s="15" t="n">
        <v>0.2755203530428286</v>
      </c>
      <c r="AM23" s="15" t="n">
        <v>0.3370535714285713</v>
      </c>
      <c r="AN23" s="15" t="n">
        <v>0.2181818181818182</v>
      </c>
      <c r="AO23" s="15" t="n">
        <v>0.0483689702608305</v>
      </c>
      <c r="AP23" s="15" t="n">
        <v>2.270999369690954</v>
      </c>
      <c r="AQ23" s="15" t="n">
        <v>0.4257183495142227</v>
      </c>
      <c r="AR23" s="15" t="n">
        <v>126.9265706849393</v>
      </c>
      <c r="AS23" s="15" t="n">
        <v>0.120285528787904</v>
      </c>
      <c r="AT23" s="15" t="n">
        <v>1.871046357243405</v>
      </c>
      <c r="AU23" s="15" t="n">
        <v>0.3537438388642989</v>
      </c>
      <c r="AV23" s="15" t="n">
        <v>0.0462091735832498</v>
      </c>
      <c r="AW23" s="19" t="n">
        <v>0.767542239416355</v>
      </c>
      <c r="AX23" s="19" t="n">
        <v>0</v>
      </c>
      <c r="AY23" s="19" t="n">
        <v>1</v>
      </c>
      <c r="AZ23" s="19" t="n">
        <v>0</v>
      </c>
      <c r="BA23" s="19" t="n">
        <v>0</v>
      </c>
    </row>
    <row r="24">
      <c r="A24" t="inlineStr">
        <is>
          <t>A5</t>
        </is>
      </c>
      <c r="B24" t="n">
        <v>81</v>
      </c>
      <c r="C24" s="15" t="n">
        <v>-0.184753956659642</v>
      </c>
      <c r="D24" s="15" t="n">
        <v>14.33509552269555</v>
      </c>
      <c r="E24" s="15" t="n">
        <v>0.8549050143263389</v>
      </c>
      <c r="F24" s="15" t="n">
        <v>0.3663460202733473</v>
      </c>
      <c r="G24" s="19" t="n">
        <v>0.2342856011479456</v>
      </c>
      <c r="H24" s="15" t="n">
        <v>0.2125063419067472</v>
      </c>
      <c r="I24" s="15" t="n">
        <v>14</v>
      </c>
      <c r="J24" s="15" t="n">
        <v>22</v>
      </c>
      <c r="K24" s="15" t="n">
        <v>0.6363636363636364</v>
      </c>
      <c r="L24" t="n">
        <v>14</v>
      </c>
      <c r="M24" t="n">
        <v>22</v>
      </c>
      <c r="N24" t="n">
        <v>0.6363636363636364</v>
      </c>
      <c r="O24" t="n">
        <v>31</v>
      </c>
      <c r="P24" t="n">
        <v>0</v>
      </c>
      <c r="Q24" s="15" t="n">
        <v>16.93590080244519</v>
      </c>
      <c r="R24" s="15" t="n">
        <v>9.37044628090422</v>
      </c>
      <c r="S24" s="15" t="n">
        <v>0.1782614045967482</v>
      </c>
      <c r="T24" s="15" t="n">
        <v>8.216118827232066</v>
      </c>
      <c r="U24" s="15" t="n">
        <v>14.90012078536464</v>
      </c>
      <c r="V24" s="15" t="n">
        <v>0</v>
      </c>
      <c r="W24" t="n">
        <v>1</v>
      </c>
      <c r="X24" t="n">
        <v>0.5</v>
      </c>
      <c r="Y24" t="n">
        <v>0.25</v>
      </c>
      <c r="Z24" t="inlineStr">
        <is>
          <t>his_note_adaptive</t>
        </is>
      </c>
      <c r="AA24" t="n">
        <v>-90</v>
      </c>
      <c r="AB24" t="n">
        <v>20000</v>
      </c>
      <c r="AC24" s="15" t="n">
        <v>0.6363636363636364</v>
      </c>
      <c r="AD24" s="15" t="n">
        <v>0.2583333333333334</v>
      </c>
      <c r="AE24" t="n">
        <v>1.454416937029631</v>
      </c>
      <c r="AF24" s="15" t="n">
        <v>1.406390688961544</v>
      </c>
      <c r="AG24" s="15" t="n">
        <v>0.2754784270452527</v>
      </c>
      <c r="AH24" s="15" t="n">
        <v>0.1383671654117476</v>
      </c>
      <c r="AI24" s="15" t="n">
        <v>0.9137628933688554</v>
      </c>
      <c r="AJ24" s="15" t="n">
        <v>0.4144971441590317</v>
      </c>
      <c r="AK24" s="15" t="n">
        <v>0.8171994496367518</v>
      </c>
      <c r="AL24" s="15" t="n">
        <v>0.3423817212481828</v>
      </c>
      <c r="AM24" s="15" t="n">
        <v>0.474025974025974</v>
      </c>
      <c r="AN24" s="15" t="n">
        <v>0.2727272727272729</v>
      </c>
      <c r="AO24" s="15" t="n">
        <v>0.1009160521034385</v>
      </c>
      <c r="AP24" s="15" t="n">
        <v>2.293032923591514</v>
      </c>
      <c r="AQ24" s="15" t="n">
        <v>0.4784333819860403</v>
      </c>
      <c r="AR24" s="15" t="n">
        <v>154.3218494894026</v>
      </c>
      <c r="AS24" s="15" t="n">
        <v>0.1616568445269417</v>
      </c>
      <c r="AT24" s="15" t="n">
        <v>1.871306081417892</v>
      </c>
      <c r="AU24" s="15" t="n">
        <v>0.3760756437480354</v>
      </c>
      <c r="AV24" s="15" t="n">
        <v>0.04565119842558696</v>
      </c>
      <c r="AW24" s="19" t="n">
        <v>0.7657143988520544</v>
      </c>
      <c r="AX24" s="19" t="n">
        <v>0</v>
      </c>
      <c r="AY24" s="19" t="n">
        <v>1</v>
      </c>
      <c r="AZ24" s="19" t="n">
        <v>0</v>
      </c>
      <c r="BA24" s="19" t="n">
        <v>0</v>
      </c>
    </row>
    <row r="25">
      <c r="A25" t="inlineStr">
        <is>
          <t>A#5</t>
        </is>
      </c>
      <c r="B25" t="n">
        <v>82</v>
      </c>
      <c r="C25" s="15" t="n">
        <v>-0.04856805179999314</v>
      </c>
      <c r="D25" s="15" t="n">
        <v>14.8882521581376</v>
      </c>
      <c r="E25" s="15" t="n">
        <v>0.8827089089417567</v>
      </c>
      <c r="F25" s="15" t="n">
        <v>0.3740941508524613</v>
      </c>
      <c r="G25" s="19" t="n">
        <v>0.2270809890252928</v>
      </c>
      <c r="H25" s="15" t="n">
        <v>0.2237309060045259</v>
      </c>
      <c r="I25" s="15" t="n">
        <v>16</v>
      </c>
      <c r="J25" s="15" t="n">
        <v>21</v>
      </c>
      <c r="K25" s="15" t="n">
        <v>0.7619047619047619</v>
      </c>
      <c r="L25" t="n">
        <v>16</v>
      </c>
      <c r="M25" t="n">
        <v>21</v>
      </c>
      <c r="N25" t="n">
        <v>0.7619047619047619</v>
      </c>
      <c r="O25" t="n">
        <v>41</v>
      </c>
      <c r="P25" t="n">
        <v>0</v>
      </c>
      <c r="Q25" s="15" t="n">
        <v>20.51131889125816</v>
      </c>
      <c r="R25" s="15" t="n">
        <v>10.72187262047108</v>
      </c>
      <c r="S25" s="15" t="n">
        <v>0.2495306626798411</v>
      </c>
      <c r="T25" s="15" t="n">
        <v>8.864498051797074</v>
      </c>
      <c r="U25" s="15" t="n">
        <v>19.15735593573623</v>
      </c>
      <c r="V25" s="15" t="n">
        <v>0</v>
      </c>
      <c r="W25" t="n">
        <v>1</v>
      </c>
      <c r="X25" t="n">
        <v>0.5</v>
      </c>
      <c r="Y25" t="n">
        <v>0.25</v>
      </c>
      <c r="Z25" t="inlineStr">
        <is>
          <t>his_note_adaptive</t>
        </is>
      </c>
      <c r="AA25" t="n">
        <v>-90</v>
      </c>
      <c r="AB25" t="n">
        <v>20000</v>
      </c>
      <c r="AC25" s="15" t="n">
        <v>0.7619047619047619</v>
      </c>
      <c r="AD25" s="15" t="n">
        <v>0.3416666666666667</v>
      </c>
      <c r="AE25" t="n">
        <v>1.51121927164941</v>
      </c>
      <c r="AF25" s="15" t="n">
        <v>1.467495328886245</v>
      </c>
      <c r="AG25" s="15" t="n">
        <v>0.3401986988671338</v>
      </c>
      <c r="AH25" s="15" t="n">
        <v>0.1516170664845518</v>
      </c>
      <c r="AI25" s="15" t="n">
        <v>0.945003631927625</v>
      </c>
      <c r="AJ25" s="15" t="n">
        <v>0.4342383159649277</v>
      </c>
      <c r="AK25" s="15" t="n">
        <v>0.7654985558255346</v>
      </c>
      <c r="AL25" s="15" t="n">
        <v>0.3623093200243487</v>
      </c>
      <c r="AM25" s="15" t="n">
        <v>0.6556122448979591</v>
      </c>
      <c r="AN25" s="15" t="n">
        <v>0.4545454545454546</v>
      </c>
      <c r="AO25" s="15" t="n">
        <v>0.1162479416733239</v>
      </c>
      <c r="AP25" s="15" t="n">
        <v>2.277365937652137</v>
      </c>
      <c r="AQ25" s="15" t="n">
        <v>0.4409502925009261</v>
      </c>
      <c r="AR25" s="15" t="n">
        <v>175.5624187615022</v>
      </c>
      <c r="AS25" s="15" t="n">
        <v>0.1937335503018712</v>
      </c>
      <c r="AT25" s="15" t="n">
        <v>1.868846752018236</v>
      </c>
      <c r="AU25" s="15" t="n">
        <v>0.3674765766960051</v>
      </c>
      <c r="AV25" s="15" t="n">
        <v>0.04104260893789594</v>
      </c>
      <c r="AW25" s="19" t="n">
        <v>0.7729190109747073</v>
      </c>
      <c r="AX25" s="19" t="n">
        <v>0</v>
      </c>
      <c r="AY25" s="19" t="n">
        <v>1</v>
      </c>
      <c r="AZ25" s="19" t="n">
        <v>0</v>
      </c>
      <c r="BA25" s="19" t="n">
        <v>0</v>
      </c>
    </row>
    <row r="26">
      <c r="A26" t="inlineStr">
        <is>
          <t>B5</t>
        </is>
      </c>
      <c r="B26" t="n">
        <v>83</v>
      </c>
      <c r="C26" s="15" t="n">
        <v>-0.6029863805161051</v>
      </c>
      <c r="D26" s="15" t="n">
        <v>10.68607744450855</v>
      </c>
      <c r="E26" s="15" t="n">
        <v>0.8861792166385657</v>
      </c>
      <c r="F26" s="15" t="n">
        <v>0.2183892111015984</v>
      </c>
      <c r="G26" s="19" t="n">
        <v>0.2371750009573849</v>
      </c>
      <c r="H26" s="15" t="n">
        <v>0.0673064602921145</v>
      </c>
      <c r="I26" s="15" t="n">
        <v>12</v>
      </c>
      <c r="J26" s="15" t="n">
        <v>20</v>
      </c>
      <c r="K26" s="15" t="n">
        <v>0.6</v>
      </c>
      <c r="L26" t="n">
        <v>12</v>
      </c>
      <c r="M26" t="n">
        <v>20</v>
      </c>
      <c r="N26" t="n">
        <v>0.6</v>
      </c>
      <c r="O26" t="n">
        <v>27</v>
      </c>
      <c r="P26" t="n">
        <v>0</v>
      </c>
      <c r="Q26" s="15" t="n">
        <v>14.51004791604477</v>
      </c>
      <c r="R26" s="15" t="n">
        <v>7.670498866182493</v>
      </c>
      <c r="S26" s="15" t="n">
        <v>0.0886124259729338</v>
      </c>
      <c r="T26" s="15" t="n">
        <v>6.632720665073929</v>
      </c>
      <c r="U26" s="15" t="n">
        <v>12.83446403304827</v>
      </c>
      <c r="V26" s="15" t="n">
        <v>0</v>
      </c>
      <c r="W26" t="n">
        <v>1</v>
      </c>
      <c r="X26" t="n">
        <v>0.5</v>
      </c>
      <c r="Y26" t="n">
        <v>0.25</v>
      </c>
      <c r="Z26" t="inlineStr">
        <is>
          <t>his_note_adaptive</t>
        </is>
      </c>
      <c r="AA26" t="n">
        <v>-90</v>
      </c>
      <c r="AB26" t="n">
        <v>20000</v>
      </c>
      <c r="AC26" s="15" t="n">
        <v>0.6</v>
      </c>
      <c r="AD26" s="15" t="n">
        <v>0.225</v>
      </c>
      <c r="AE26" t="n">
        <v>1.082095232284227</v>
      </c>
      <c r="AF26" s="15" t="n">
        <v>1.059082093744897</v>
      </c>
      <c r="AG26" s="15" t="n">
        <v>0.07671985372145304</v>
      </c>
      <c r="AH26" s="15" t="n">
        <v>0.05096131063028183</v>
      </c>
      <c r="AI26" s="15" t="n">
        <v>0.9489029049242353</v>
      </c>
      <c r="AJ26" s="15" t="n">
        <v>0.03752352969967564</v>
      </c>
      <c r="AK26" s="15" t="n">
        <v>0.8379340221831727</v>
      </c>
      <c r="AL26" s="15" t="n">
        <v>0.08460022007293626</v>
      </c>
      <c r="AM26" s="15" t="n">
        <v>0.4214285714285714</v>
      </c>
      <c r="AN26" s="15" t="n">
        <v>0.2000000000000001</v>
      </c>
      <c r="AO26" s="15" t="n">
        <v>0.01377214559984838</v>
      </c>
      <c r="AP26" s="15" t="n">
        <v>2.177633630734796</v>
      </c>
      <c r="AQ26" s="15" t="n">
        <v>0.2023418582299904</v>
      </c>
      <c r="AR26" s="15" t="n">
        <v>133.476159618219</v>
      </c>
      <c r="AS26" s="15" t="n">
        <v>0.1301764707145645</v>
      </c>
      <c r="AT26" s="15" t="n">
        <v>1.810524613653807</v>
      </c>
      <c r="AU26" s="15" t="n">
        <v>0.3339063277518382</v>
      </c>
      <c r="AV26" s="15" t="n">
        <v>0.03320268932914992</v>
      </c>
      <c r="AW26" s="19" t="n">
        <v>0.7628249990426151</v>
      </c>
      <c r="AX26" s="19" t="n">
        <v>0</v>
      </c>
      <c r="AY26" s="19" t="n">
        <v>1</v>
      </c>
      <c r="AZ26" s="19" t="n">
        <v>0</v>
      </c>
      <c r="BA26" s="19" t="n">
        <v>0</v>
      </c>
    </row>
    <row r="27">
      <c r="A27" t="inlineStr">
        <is>
          <t>C6</t>
        </is>
      </c>
      <c r="B27" t="n">
        <v>84</v>
      </c>
      <c r="C27" s="15" t="n">
        <v>-0.5063008807278466</v>
      </c>
      <c r="D27" s="15" t="n">
        <v>13.17687723936092</v>
      </c>
      <c r="E27" s="15" t="n">
        <v>0.6186464214489151</v>
      </c>
      <c r="F27" s="15" t="n">
        <v>0.398638005417163</v>
      </c>
      <c r="G27" s="19" t="n">
        <v>0.2310458470845959</v>
      </c>
      <c r="H27" s="15" t="n">
        <v>0.1849150687852584</v>
      </c>
      <c r="I27" s="15" t="n">
        <v>13</v>
      </c>
      <c r="J27" s="15" t="n">
        <v>19</v>
      </c>
      <c r="K27" s="15" t="n">
        <v>0.6842105263157895</v>
      </c>
      <c r="L27" t="n">
        <v>13</v>
      </c>
      <c r="M27" t="n">
        <v>19</v>
      </c>
      <c r="N27" t="n">
        <v>0.6842105263157895</v>
      </c>
      <c r="O27" t="n">
        <v>26</v>
      </c>
      <c r="P27" t="n">
        <v>0</v>
      </c>
      <c r="Q27" s="15" t="n">
        <v>14.79158325243976</v>
      </c>
      <c r="R27" s="15" t="n">
        <v>8.228814484628217</v>
      </c>
      <c r="S27" s="15" t="n">
        <v>0.1180559396427821</v>
      </c>
      <c r="T27" s="15" t="n">
        <v>7.529905088566358</v>
      </c>
      <c r="U27" s="15" t="n">
        <v>12.60129774443717</v>
      </c>
      <c r="V27" s="15" t="n">
        <v>0</v>
      </c>
      <c r="W27" t="n">
        <v>1</v>
      </c>
      <c r="X27" t="n">
        <v>0.5</v>
      </c>
      <c r="Y27" t="n">
        <v>0.25</v>
      </c>
      <c r="Z27" t="inlineStr">
        <is>
          <t>his_note_adaptive</t>
        </is>
      </c>
      <c r="AA27" t="n">
        <v>-90</v>
      </c>
      <c r="AB27" t="n">
        <v>20000</v>
      </c>
      <c r="AC27" s="15" t="n">
        <v>0.6842105263157895</v>
      </c>
      <c r="AD27" s="15" t="n">
        <v>0.2166666666666667</v>
      </c>
      <c r="AE27" t="n">
        <v>1.418977405992257</v>
      </c>
      <c r="AF27" s="15" t="n">
        <v>1.399257788336561</v>
      </c>
      <c r="AG27" s="15" t="n">
        <v>0.1226681611764677</v>
      </c>
      <c r="AH27" s="15" t="n">
        <v>0.1106240693488518</v>
      </c>
      <c r="AI27" s="15" t="n">
        <v>0.6483003373335025</v>
      </c>
      <c r="AJ27" s="15" t="n">
        <v>0.4967726840674471</v>
      </c>
      <c r="AK27" s="15" t="n">
        <v>0.7939507059220068</v>
      </c>
      <c r="AL27" s="15" t="n">
        <v>0.2933973851350821</v>
      </c>
      <c r="AM27" s="15" t="n">
        <v>0.543233082706767</v>
      </c>
      <c r="AN27" s="15" t="n">
        <v>0.1818181818181819</v>
      </c>
      <c r="AO27" s="15" t="n">
        <v>0.09912632149001907</v>
      </c>
      <c r="AP27" s="15" t="n">
        <v>2.240678173743127</v>
      </c>
      <c r="AQ27" s="15" t="n">
        <v>0.3531752256864581</v>
      </c>
      <c r="AR27" s="15" t="n">
        <v>186.0780013173648</v>
      </c>
      <c r="AS27" s="15" t="n">
        <v>0.2096137860608747</v>
      </c>
      <c r="AT27" s="15" t="n">
        <v>1.870337158505558</v>
      </c>
      <c r="AU27" s="15" t="n">
        <v>0.3393156089000199</v>
      </c>
      <c r="AV27" s="15" t="n">
        <v>0.03102540633754952</v>
      </c>
      <c r="AW27" s="19" t="n">
        <v>0.7689541529154041</v>
      </c>
      <c r="AX27" s="19" t="n">
        <v>0</v>
      </c>
      <c r="AY27" s="19" t="n">
        <v>1</v>
      </c>
      <c r="AZ27" s="19" t="n">
        <v>0</v>
      </c>
      <c r="BA27" s="19" t="n">
        <v>0</v>
      </c>
    </row>
    <row r="28">
      <c r="A28" t="inlineStr">
        <is>
          <t>C#6</t>
        </is>
      </c>
      <c r="B28" t="n">
        <v>85</v>
      </c>
      <c r="C28" s="15" t="n">
        <v>-0.5549829686134733</v>
      </c>
      <c r="D28" s="15" t="n">
        <v>9.669753394937072</v>
      </c>
      <c r="E28" s="15" t="n">
        <v>0.8036344910405244</v>
      </c>
      <c r="F28" s="15" t="n">
        <v>0.3374315302549172</v>
      </c>
      <c r="G28" s="19" t="n">
        <v>0.2345614707036399</v>
      </c>
      <c r="H28" s="15" t="n">
        <v>0.04622619782805036</v>
      </c>
      <c r="I28" s="15" t="n">
        <v>11</v>
      </c>
      <c r="J28" s="15" t="n">
        <v>18</v>
      </c>
      <c r="K28" s="15" t="n">
        <v>0.6111111111111112</v>
      </c>
      <c r="L28" t="n">
        <v>11</v>
      </c>
      <c r="M28" t="n">
        <v>18</v>
      </c>
      <c r="N28" t="n">
        <v>0.6111111111111112</v>
      </c>
      <c r="O28" t="n">
        <v>20</v>
      </c>
      <c r="P28" t="n">
        <v>0</v>
      </c>
      <c r="Q28" s="15" t="n">
        <v>12.11702127073776</v>
      </c>
      <c r="R28" s="15" t="n">
        <v>6.690404371787309</v>
      </c>
      <c r="S28" s="15" t="n">
        <v>0.03692584460198298</v>
      </c>
      <c r="T28" s="15" t="n">
        <v>6.283498366471325</v>
      </c>
      <c r="U28" s="15" t="n">
        <v>9.561998197924943</v>
      </c>
      <c r="V28" s="15" t="n">
        <v>0</v>
      </c>
      <c r="W28" t="n">
        <v>1</v>
      </c>
      <c r="X28" t="n">
        <v>0.5</v>
      </c>
      <c r="Y28" t="n">
        <v>0.25</v>
      </c>
      <c r="Z28" t="inlineStr">
        <is>
          <t>his_note_adaptive</t>
        </is>
      </c>
      <c r="AA28" t="n">
        <v>-90</v>
      </c>
      <c r="AB28" t="n">
        <v>20000</v>
      </c>
      <c r="AC28" s="15" t="n">
        <v>0.6111111111111112</v>
      </c>
      <c r="AD28" s="15" t="n">
        <v>0.1666666666666667</v>
      </c>
      <c r="AE28" t="n">
        <v>1.044655345328051</v>
      </c>
      <c r="AF28" s="15" t="n">
        <v>1.033739569572885</v>
      </c>
      <c r="AG28" s="15" t="n">
        <v>0.0995327422499529</v>
      </c>
      <c r="AH28" s="15" t="n">
        <v>0.02661704310834836</v>
      </c>
      <c r="AI28" s="15" t="n">
        <v>0.8561548123464489</v>
      </c>
      <c r="AJ28" s="15" t="n">
        <v>0.3408269976242831</v>
      </c>
      <c r="AK28" s="15" t="n">
        <v>0.8191791124363423</v>
      </c>
      <c r="AL28" s="15" t="n">
        <v>0.04717524670018228</v>
      </c>
      <c r="AM28" s="15" t="n">
        <v>0.4375000000000001</v>
      </c>
      <c r="AN28" s="15" t="n">
        <v>0.07272727272727289</v>
      </c>
      <c r="AO28" s="15" t="n">
        <v>0.007413401280165819</v>
      </c>
      <c r="AP28" s="15" t="n">
        <v>2.144915706266748</v>
      </c>
      <c r="AQ28" s="15" t="n">
        <v>0.124064588093383</v>
      </c>
      <c r="AR28" s="15" t="n">
        <v>148.7128488154557</v>
      </c>
      <c r="AS28" s="15" t="n">
        <v>0.1531863434775226</v>
      </c>
      <c r="AT28" s="15" t="n">
        <v>1.810388786510945</v>
      </c>
      <c r="AU28" s="15" t="n">
        <v>0.3034539591479533</v>
      </c>
      <c r="AV28" s="15" t="n">
        <v>0.03107296060785023</v>
      </c>
      <c r="AW28" s="19" t="n">
        <v>0.7654385292963601</v>
      </c>
      <c r="AX28" s="19" t="n">
        <v>0</v>
      </c>
      <c r="AY28" s="19" t="n">
        <v>1</v>
      </c>
      <c r="AZ28" s="19" t="n">
        <v>0</v>
      </c>
      <c r="BA28" s="19" t="n">
        <v>0</v>
      </c>
    </row>
    <row r="29">
      <c r="A29" t="inlineStr">
        <is>
          <t>D6</t>
        </is>
      </c>
      <c r="B29" t="n">
        <v>86</v>
      </c>
      <c r="C29" s="15" t="n">
        <v>-0.3450616490792643</v>
      </c>
      <c r="D29" s="15" t="n">
        <v>11.12894300200082</v>
      </c>
      <c r="E29" s="15" t="n">
        <v>0.7307440318674303</v>
      </c>
      <c r="F29" s="15" t="n">
        <v>0.403616428905948</v>
      </c>
      <c r="G29" s="19" t="n">
        <v>0.2348835159563185</v>
      </c>
      <c r="H29" s="15" t="n">
        <v>0.1037984224149119</v>
      </c>
      <c r="I29" s="15" t="n">
        <v>12</v>
      </c>
      <c r="J29" s="15" t="n">
        <v>17</v>
      </c>
      <c r="K29" s="15" t="n">
        <v>0.7058823529411765</v>
      </c>
      <c r="L29" t="n">
        <v>12</v>
      </c>
      <c r="M29" t="n">
        <v>17</v>
      </c>
      <c r="N29" t="n">
        <v>0.7058823529411765</v>
      </c>
      <c r="O29" t="n">
        <v>35</v>
      </c>
      <c r="P29" t="n">
        <v>0</v>
      </c>
      <c r="Q29" s="15" t="n">
        <v>16.03795113197243</v>
      </c>
      <c r="R29" s="15" t="n">
        <v>8.324418102682735</v>
      </c>
      <c r="S29" s="15" t="n">
        <v>0.1230977230750842</v>
      </c>
      <c r="T29" s="15" t="n">
        <v>6.725513539913594</v>
      </c>
      <c r="U29" s="15" t="n">
        <v>15.83280675416475</v>
      </c>
      <c r="V29" s="15" t="n">
        <v>0</v>
      </c>
      <c r="W29" t="n">
        <v>1</v>
      </c>
      <c r="X29" t="n">
        <v>0.5</v>
      </c>
      <c r="Y29" t="n">
        <v>0.25</v>
      </c>
      <c r="Z29" t="inlineStr">
        <is>
          <t>his_note_adaptive</t>
        </is>
      </c>
      <c r="AA29" t="n">
        <v>-90</v>
      </c>
      <c r="AB29" t="n">
        <v>20000</v>
      </c>
      <c r="AC29" s="15" t="n">
        <v>0.7058823529411765</v>
      </c>
      <c r="AD29" s="15" t="n">
        <v>0.2916666666666667</v>
      </c>
      <c r="AE29" t="n">
        <v>1.145466525321765</v>
      </c>
      <c r="AF29" s="15" t="n">
        <v>1.131942211368405</v>
      </c>
      <c r="AG29" s="15" t="n">
        <v>0.1992946440081685</v>
      </c>
      <c r="AH29" s="15" t="n">
        <v>0.06156938156237068</v>
      </c>
      <c r="AI29" s="15" t="n">
        <v>0.7742543516393153</v>
      </c>
      <c r="AJ29" s="15" t="n">
        <v>0.5094570228780937</v>
      </c>
      <c r="AK29" s="15" t="n">
        <v>0.8214901358651805</v>
      </c>
      <c r="AL29" s="15" t="n">
        <v>0.1493864490439174</v>
      </c>
      <c r="AM29" s="15" t="n">
        <v>0.5745798319327732</v>
      </c>
      <c r="AN29" s="15" t="n">
        <v>0.3454545454545455</v>
      </c>
      <c r="AO29" s="15" t="n">
        <v>0.03205362600508549</v>
      </c>
      <c r="AP29" s="15" t="n">
        <v>2.170825311552833</v>
      </c>
      <c r="AQ29" s="15" t="n">
        <v>0.186053030364298</v>
      </c>
      <c r="AR29" s="15" t="n">
        <v>166.4514906068576</v>
      </c>
      <c r="AS29" s="15" t="n">
        <v>0.1799745705867212</v>
      </c>
      <c r="AT29" s="15" t="n">
        <v>1.826733663820792</v>
      </c>
      <c r="AU29" s="15" t="n">
        <v>0.3188329198247578</v>
      </c>
      <c r="AV29" s="15" t="n">
        <v>0.02525872790728308</v>
      </c>
      <c r="AW29" s="19" t="n">
        <v>0.7651164840436815</v>
      </c>
      <c r="AX29" s="19" t="n">
        <v>0</v>
      </c>
      <c r="AY29" s="19" t="n">
        <v>1</v>
      </c>
      <c r="AZ29" s="19" t="n">
        <v>0</v>
      </c>
      <c r="BA29" s="19" t="n">
        <v>0</v>
      </c>
    </row>
    <row r="30">
      <c r="A30" t="inlineStr">
        <is>
          <t>D#6</t>
        </is>
      </c>
      <c r="B30" t="n">
        <v>87</v>
      </c>
      <c r="C30" s="15" t="n">
        <v>-0.1958300361873611</v>
      </c>
      <c r="D30" s="15" t="n">
        <v>12.87105695107921</v>
      </c>
      <c r="E30" s="15" t="n">
        <v>0.5907408371997199</v>
      </c>
      <c r="F30" s="15" t="n">
        <v>0.4716614087371646</v>
      </c>
      <c r="G30" s="19" t="n">
        <v>0.2373371550993937</v>
      </c>
      <c r="H30" s="15" t="n">
        <v>0.1779145448618064</v>
      </c>
      <c r="I30" s="15" t="n">
        <v>14</v>
      </c>
      <c r="J30" s="15" t="n">
        <v>16</v>
      </c>
      <c r="K30" s="15" t="n">
        <v>0.875</v>
      </c>
      <c r="L30" t="n">
        <v>14</v>
      </c>
      <c r="M30" t="n">
        <v>16</v>
      </c>
      <c r="N30" t="n">
        <v>0.875</v>
      </c>
      <c r="O30" t="n">
        <v>51</v>
      </c>
      <c r="P30" t="n">
        <v>0</v>
      </c>
      <c r="Q30" s="15" t="n">
        <v>21.28685576690079</v>
      </c>
      <c r="R30" s="15" t="n">
        <v>11.60388612702271</v>
      </c>
      <c r="S30" s="15" t="n">
        <v>0.296044813241202</v>
      </c>
      <c r="T30" s="15" t="n">
        <v>8.77076337243671</v>
      </c>
      <c r="U30" s="15" t="n">
        <v>23.15632900910444</v>
      </c>
      <c r="V30" s="15" t="n">
        <v>0</v>
      </c>
      <c r="W30" t="n">
        <v>1</v>
      </c>
      <c r="X30" t="n">
        <v>0.5</v>
      </c>
      <c r="Y30" t="n">
        <v>0.25</v>
      </c>
      <c r="Z30" t="inlineStr">
        <is>
          <t>his_note_adaptive</t>
        </is>
      </c>
      <c r="AA30" t="n">
        <v>-90</v>
      </c>
      <c r="AB30" t="n">
        <v>20000</v>
      </c>
      <c r="AC30" s="15" t="n">
        <v>0.875</v>
      </c>
      <c r="AD30" s="15" t="n">
        <v>0.425</v>
      </c>
      <c r="AE30" t="n">
        <v>1.219228074104327</v>
      </c>
      <c r="AF30" s="15" t="n">
        <v>1.198660629735031</v>
      </c>
      <c r="AG30" s="15" t="n">
        <v>0.2702146893736226</v>
      </c>
      <c r="AH30" s="15" t="n">
        <v>0.1032986784809452</v>
      </c>
      <c r="AI30" s="15" t="n">
        <v>0.6169453392687564</v>
      </c>
      <c r="AJ30" s="15" t="n">
        <v>0.682826279327871</v>
      </c>
      <c r="AK30" s="15" t="n">
        <v>0.839097653747832</v>
      </c>
      <c r="AL30" s="15" t="n">
        <v>0.2809689620128774</v>
      </c>
      <c r="AM30" s="15" t="n">
        <v>0.8191964285714286</v>
      </c>
      <c r="AN30" s="15" t="n">
        <v>0.6363636363636364</v>
      </c>
      <c r="AO30" s="15" t="n">
        <v>0.04879408014956729</v>
      </c>
      <c r="AP30" s="15" t="n">
        <v>2.227250646453936</v>
      </c>
      <c r="AQ30" s="15" t="n">
        <v>0.3210500160965548</v>
      </c>
      <c r="AR30" s="15" t="n">
        <v>160.1518632881215</v>
      </c>
      <c r="AS30" s="15" t="n">
        <v>0.1704611112530189</v>
      </c>
      <c r="AT30" s="15" t="n">
        <v>1.849178986278203</v>
      </c>
      <c r="AU30" s="15" t="n">
        <v>0.3310350336771392</v>
      </c>
      <c r="AV30" s="15" t="n">
        <v>0.0470366264985933</v>
      </c>
      <c r="AW30" s="19" t="n">
        <v>0.7626628449006063</v>
      </c>
      <c r="AX30" s="19" t="n">
        <v>0</v>
      </c>
      <c r="AY30" s="19" t="n">
        <v>1</v>
      </c>
      <c r="AZ30" s="19" t="n">
        <v>0</v>
      </c>
      <c r="BA30" s="19" t="n">
        <v>0</v>
      </c>
    </row>
    <row r="31">
      <c r="A31" t="inlineStr">
        <is>
          <t>E6</t>
        </is>
      </c>
      <c r="B31" t="n">
        <v>88</v>
      </c>
      <c r="C31" s="15" t="n">
        <v>-0.4498056832822828</v>
      </c>
      <c r="D31" s="15" t="n">
        <v>8.908205290066473</v>
      </c>
      <c r="E31" s="15" t="n">
        <v>0.885101414526658</v>
      </c>
      <c r="F31" s="15" t="n">
        <v>0.3558617115543669</v>
      </c>
      <c r="G31" s="19" t="n">
        <v>0.2597591851440686</v>
      </c>
      <c r="H31" s="15" t="n">
        <v>0.01965392555568564</v>
      </c>
      <c r="I31" s="15" t="n">
        <v>10</v>
      </c>
      <c r="J31" s="15" t="n">
        <v>15</v>
      </c>
      <c r="K31" s="15" t="n">
        <v>0.6666666666666666</v>
      </c>
      <c r="L31" t="n">
        <v>10</v>
      </c>
      <c r="M31" t="n">
        <v>15</v>
      </c>
      <c r="N31" t="n">
        <v>0.6666666666666666</v>
      </c>
      <c r="O31" t="n">
        <v>16</v>
      </c>
      <c r="P31" t="n">
        <v>0</v>
      </c>
      <c r="Q31" s="15" t="n">
        <v>10.68665102466081</v>
      </c>
      <c r="R31" s="15" t="n">
        <v>5.990206834334469</v>
      </c>
      <c r="S31" s="15" t="n">
        <v>0</v>
      </c>
      <c r="T31" s="15" t="n">
        <v>5.723422658648422</v>
      </c>
      <c r="U31" s="15" t="n">
        <v>8.054599627192221</v>
      </c>
      <c r="V31" s="15" t="n">
        <v>0</v>
      </c>
      <c r="W31" t="n">
        <v>1</v>
      </c>
      <c r="X31" t="n">
        <v>0.5</v>
      </c>
      <c r="Y31" t="n">
        <v>0.25</v>
      </c>
      <c r="Z31" t="inlineStr">
        <is>
          <t>his_note_adaptive</t>
        </is>
      </c>
      <c r="AA31" t="n">
        <v>-90</v>
      </c>
      <c r="AB31" t="n">
        <v>20000</v>
      </c>
      <c r="AC31" s="15" t="n">
        <v>0.6666666666666666</v>
      </c>
      <c r="AD31" s="15" t="n">
        <v>0.1333333333333333</v>
      </c>
      <c r="AE31" t="n">
        <v>1.014450348667132</v>
      </c>
      <c r="AF31" s="15" t="n">
        <v>1.008013808072554</v>
      </c>
      <c r="AG31" s="15" t="n">
        <v>0.1495166411206731</v>
      </c>
      <c r="AH31" s="15" t="n">
        <v>0.008375488356585681</v>
      </c>
      <c r="AI31" s="15" t="n">
        <v>0.9476918755176742</v>
      </c>
      <c r="AJ31" s="15" t="n">
        <v>0.3877845665154174</v>
      </c>
      <c r="AK31" s="15" t="n">
        <v>1</v>
      </c>
      <c r="AL31" s="15" t="n">
        <v>0</v>
      </c>
      <c r="AM31" s="15" t="n">
        <v>0.5178571428571428</v>
      </c>
      <c r="AN31" s="15" t="n">
        <v>0</v>
      </c>
      <c r="AO31" s="15" t="n">
        <v>0.0009584981024311337</v>
      </c>
      <c r="AP31" s="15" t="n">
        <v>2.093059837822244</v>
      </c>
      <c r="AQ31" s="15" t="n">
        <v>0</v>
      </c>
      <c r="AR31" s="15" t="n">
        <v>166.4316504862004</v>
      </c>
      <c r="AS31" s="15" t="n">
        <v>0.1799446087855704</v>
      </c>
      <c r="AT31" s="15" t="n">
        <v>1.776739914525849</v>
      </c>
      <c r="AU31" s="15" t="n">
        <v>0.2908026762845324</v>
      </c>
      <c r="AV31" s="15" t="n">
        <v>0.0255172470118628</v>
      </c>
      <c r="AW31" s="19" t="n">
        <v>0.7402408148559313</v>
      </c>
      <c r="AX31" s="19" t="n">
        <v>0</v>
      </c>
      <c r="AY31" s="19" t="n">
        <v>1</v>
      </c>
      <c r="AZ31" s="19" t="n">
        <v>0</v>
      </c>
      <c r="BA31" s="19" t="n">
        <v>0</v>
      </c>
    </row>
    <row r="32">
      <c r="A32" t="inlineStr">
        <is>
          <t>F6</t>
        </is>
      </c>
      <c r="B32" t="n">
        <v>89</v>
      </c>
      <c r="C32" s="15" t="n">
        <v>-0.6255277885324901</v>
      </c>
      <c r="D32" s="15" t="n">
        <v>9.421853751828923</v>
      </c>
      <c r="E32" s="15" t="n">
        <v>0.8221826241221158</v>
      </c>
      <c r="F32" s="15" t="n">
        <v>0.2652295153468909</v>
      </c>
      <c r="G32" s="19" t="n">
        <v>0.2356539129965995</v>
      </c>
      <c r="H32" s="15" t="n">
        <v>0.0692707325743098</v>
      </c>
      <c r="I32" s="15" t="n">
        <v>11</v>
      </c>
      <c r="J32" s="15" t="n">
        <v>14</v>
      </c>
      <c r="K32" s="15" t="n">
        <v>0.7857142857142857</v>
      </c>
      <c r="L32" t="n">
        <v>11</v>
      </c>
      <c r="M32" t="n">
        <v>14</v>
      </c>
      <c r="N32" t="n">
        <v>0.7857142857142857</v>
      </c>
      <c r="O32" t="n">
        <v>28</v>
      </c>
      <c r="P32" t="n">
        <v>0</v>
      </c>
      <c r="Q32" s="15" t="n">
        <v>13.31903461875918</v>
      </c>
      <c r="R32" s="15" t="n">
        <v>7.240308105925933</v>
      </c>
      <c r="S32" s="15" t="n">
        <v>0.0659257464107216</v>
      </c>
      <c r="T32" s="15" t="n">
        <v>6.203266010580546</v>
      </c>
      <c r="U32" s="15" t="n">
        <v>13.80544472678465</v>
      </c>
      <c r="V32" s="15" t="n">
        <v>0</v>
      </c>
      <c r="W32" t="n">
        <v>1</v>
      </c>
      <c r="X32" t="n">
        <v>0.5</v>
      </c>
      <c r="Y32" t="n">
        <v>0.25</v>
      </c>
      <c r="Z32" t="inlineStr">
        <is>
          <t>his_note_adaptive</t>
        </is>
      </c>
      <c r="AA32" t="n">
        <v>-90</v>
      </c>
      <c r="AB32" t="n">
        <v>20000</v>
      </c>
      <c r="AC32" s="15" t="n">
        <v>0.7857142857142857</v>
      </c>
      <c r="AD32" s="15" t="n">
        <v>0.2333333333333333</v>
      </c>
      <c r="AE32" t="n">
        <v>1.080878207410888</v>
      </c>
      <c r="AF32" s="15" t="n">
        <v>1.038593421954304</v>
      </c>
      <c r="AG32" s="15" t="n">
        <v>0.06600739375306</v>
      </c>
      <c r="AH32" s="15" t="n">
        <v>0.02067904013285924</v>
      </c>
      <c r="AI32" s="15" t="n">
        <v>0.876995683180204</v>
      </c>
      <c r="AJ32" s="15" t="n">
        <v>0.1568661871452472</v>
      </c>
      <c r="AK32" s="15" t="n">
        <v>0.8270185688875236</v>
      </c>
      <c r="AL32" s="15" t="n">
        <v>0.08808750292737491</v>
      </c>
      <c r="AM32" s="15" t="n">
        <v>0.6900510204081632</v>
      </c>
      <c r="AN32" s="15" t="n">
        <v>0.2181818181818182</v>
      </c>
      <c r="AO32" s="15" t="n">
        <v>0.00863129126024176</v>
      </c>
      <c r="AP32" s="15" t="n">
        <v>2.184308700116403</v>
      </c>
      <c r="AQ32" s="15" t="n">
        <v>0.2183118874314126</v>
      </c>
      <c r="AR32" s="15" t="n">
        <v>47.27583832552474</v>
      </c>
      <c r="AS32" s="15" t="n">
        <v>0</v>
      </c>
      <c r="AT32" s="15" t="n">
        <v>1.804069033544549</v>
      </c>
      <c r="AU32" s="15" t="n">
        <v>0.3608478803026445</v>
      </c>
      <c r="AV32" s="15" t="n">
        <v>0.01939178626920929</v>
      </c>
      <c r="AW32" s="19" t="n">
        <v>0.7643460870034005</v>
      </c>
      <c r="AX32" s="19" t="n">
        <v>0</v>
      </c>
      <c r="AY32" s="19" t="n">
        <v>1</v>
      </c>
      <c r="AZ32" s="19" t="n">
        <v>0</v>
      </c>
      <c r="BA32" s="19" t="n">
        <v>0</v>
      </c>
    </row>
    <row r="33">
      <c r="A33" t="inlineStr">
        <is>
          <t>F#6</t>
        </is>
      </c>
      <c r="B33" t="n">
        <v>90</v>
      </c>
      <c r="C33" s="15" t="n">
        <v>-0.6185044799001226</v>
      </c>
      <c r="D33" s="15" t="n">
        <v>8.978913974768197</v>
      </c>
      <c r="E33" s="15" t="n">
        <v>0.8476007745404643</v>
      </c>
      <c r="F33" s="15" t="n">
        <v>0.2720241258383375</v>
      </c>
      <c r="G33" s="19" t="n">
        <v>0.249537073734991</v>
      </c>
      <c r="H33" s="15" t="n">
        <v>0.06187380191193783</v>
      </c>
      <c r="I33" s="15" t="n">
        <v>12</v>
      </c>
      <c r="J33" s="15" t="n">
        <v>13</v>
      </c>
      <c r="K33" s="15" t="n">
        <v>0.9230769230769231</v>
      </c>
      <c r="L33" t="n">
        <v>12</v>
      </c>
      <c r="M33" t="n">
        <v>13</v>
      </c>
      <c r="N33" t="n">
        <v>0.9230769230769231</v>
      </c>
      <c r="O33" t="n">
        <v>23</v>
      </c>
      <c r="P33" t="n">
        <v>0</v>
      </c>
      <c r="Q33" s="15" t="n">
        <v>13.22228170832212</v>
      </c>
      <c r="R33" s="15" t="n">
        <v>7.147273930369965</v>
      </c>
      <c r="S33" s="15" t="n">
        <v>0.0610194659320008</v>
      </c>
      <c r="T33" s="15" t="n">
        <v>6.605842289687414</v>
      </c>
      <c r="U33" s="15" t="n">
        <v>11.47848990190096</v>
      </c>
      <c r="V33" s="15" t="n">
        <v>0</v>
      </c>
      <c r="W33" t="n">
        <v>1</v>
      </c>
      <c r="X33" t="n">
        <v>0.5</v>
      </c>
      <c r="Y33" t="n">
        <v>0.25</v>
      </c>
      <c r="Z33" t="inlineStr">
        <is>
          <t>his_note_adaptive</t>
        </is>
      </c>
      <c r="AA33" t="n">
        <v>-90</v>
      </c>
      <c r="AB33" t="n">
        <v>20000</v>
      </c>
      <c r="AC33" s="15" t="n">
        <v>0.9230769230769231</v>
      </c>
      <c r="AD33" s="15" t="n">
        <v>0.1916666666666667</v>
      </c>
      <c r="AE33" t="n">
        <v>1.06416484542223</v>
      </c>
      <c r="AF33" s="15" t="n">
        <v>1.018587367848955</v>
      </c>
      <c r="AG33" s="15" t="n">
        <v>0.0693451139396259</v>
      </c>
      <c r="AH33" s="15" t="n">
        <v>0.01006919140063803</v>
      </c>
      <c r="AI33" s="15" t="n">
        <v>0.9055557753130081</v>
      </c>
      <c r="AJ33" s="15" t="n">
        <v>0.1741779208203823</v>
      </c>
      <c r="AK33" s="15" t="n">
        <v>0.9266452811768371</v>
      </c>
      <c r="AL33" s="15" t="n">
        <v>0.07495531666777332</v>
      </c>
      <c r="AM33" s="15" t="n">
        <v>0.8887362637362638</v>
      </c>
      <c r="AN33" s="15" t="n">
        <v>0.1272727272727274</v>
      </c>
      <c r="AO33" s="15" t="n">
        <v>0.003611531506312297</v>
      </c>
      <c r="AP33" s="15" t="n">
        <v>2.159907824098583</v>
      </c>
      <c r="AQ33" s="15" t="n">
        <v>0.1599330631425409</v>
      </c>
      <c r="AR33" s="15" t="n">
        <v>47.29256415652407</v>
      </c>
      <c r="AS33" s="15" t="n">
        <v>2.525871848978984e-05</v>
      </c>
      <c r="AT33" s="15" t="n">
        <v>1.786403520167491</v>
      </c>
      <c r="AU33" s="15" t="n">
        <v>0.3571528118239364</v>
      </c>
      <c r="AV33" s="15" t="n">
        <v>0.01635149210715521</v>
      </c>
      <c r="AW33" s="19" t="n">
        <v>0.7504629262650089</v>
      </c>
      <c r="AX33" s="19" t="n">
        <v>0</v>
      </c>
      <c r="AY33" s="19" t="n">
        <v>1</v>
      </c>
      <c r="AZ33" s="19" t="n">
        <v>0</v>
      </c>
      <c r="BA33" s="19" t="n">
        <v>0</v>
      </c>
    </row>
    <row r="34">
      <c r="A34" t="inlineStr">
        <is>
          <t>G6</t>
        </is>
      </c>
      <c r="B34" t="n">
        <v>91</v>
      </c>
      <c r="C34" s="15" t="n">
        <v>-0.5758351730583283</v>
      </c>
      <c r="D34" s="15" t="n">
        <v>8.558545550415868</v>
      </c>
      <c r="E34" s="15" t="n">
        <v>0.9089545459756415</v>
      </c>
      <c r="F34" s="15" t="n">
        <v>0.2703863381760235</v>
      </c>
      <c r="G34" s="19" t="n">
        <v>0.2384427392335738</v>
      </c>
      <c r="H34" s="15" t="n">
        <v>0.0418863065310835</v>
      </c>
      <c r="I34" s="15" t="n">
        <v>10</v>
      </c>
      <c r="J34" s="15" t="n">
        <v>12</v>
      </c>
      <c r="K34" s="15" t="n">
        <v>0.8333333333333334</v>
      </c>
      <c r="L34" t="n">
        <v>10</v>
      </c>
      <c r="M34" t="n">
        <v>12</v>
      </c>
      <c r="N34" t="n">
        <v>0.8333333333333334</v>
      </c>
      <c r="O34" t="n">
        <v>22</v>
      </c>
      <c r="P34" t="n">
        <v>0</v>
      </c>
      <c r="Q34" s="15" t="n">
        <v>11.27771771231049</v>
      </c>
      <c r="R34" s="15" t="n">
        <v>6.080457510093735</v>
      </c>
      <c r="S34" s="15" t="n">
        <v>0.004759488929986534</v>
      </c>
      <c r="T34" s="15" t="n">
        <v>5.550934868811616</v>
      </c>
      <c r="U34" s="15" t="n">
        <v>10.52407692841025</v>
      </c>
      <c r="V34" s="15" t="n">
        <v>0</v>
      </c>
      <c r="W34" t="n">
        <v>1</v>
      </c>
      <c r="X34" t="n">
        <v>0.5</v>
      </c>
      <c r="Y34" t="n">
        <v>0.25</v>
      </c>
      <c r="Z34" t="inlineStr">
        <is>
          <t>his_note_adaptive</t>
        </is>
      </c>
      <c r="AA34" t="n">
        <v>-90</v>
      </c>
      <c r="AB34" t="n">
        <v>20000</v>
      </c>
      <c r="AC34" s="15" t="n">
        <v>0.8333333333333334</v>
      </c>
      <c r="AD34" s="15" t="n">
        <v>0.1833333333333333</v>
      </c>
      <c r="AE34" t="n">
        <v>1.022630188337376</v>
      </c>
      <c r="AF34" s="15" t="n">
        <v>1.004193751767648</v>
      </c>
      <c r="AG34" s="15" t="n">
        <v>0.08962305048598296</v>
      </c>
      <c r="AH34" s="15" t="n">
        <v>0</v>
      </c>
      <c r="AI34" s="15" t="n">
        <v>0.9744934964313299</v>
      </c>
      <c r="AJ34" s="15" t="n">
        <v>0.1700050629557417</v>
      </c>
      <c r="AK34" s="15" t="n">
        <v>0.8470314171409911</v>
      </c>
      <c r="AL34" s="15" t="n">
        <v>0.03947039404445696</v>
      </c>
      <c r="AM34" s="15" t="n">
        <v>0.7589285714285715</v>
      </c>
      <c r="AN34" s="15" t="n">
        <v>0.1090909090909091</v>
      </c>
      <c r="AO34" s="15" t="n">
        <v>0</v>
      </c>
      <c r="AP34" s="15" t="n">
        <v>2.107052199529246</v>
      </c>
      <c r="AQ34" s="15" t="n">
        <v>0.03347656964786268</v>
      </c>
      <c r="AR34" s="15" t="n">
        <v>50.77117278591101</v>
      </c>
      <c r="AS34" s="15" t="n">
        <v>0.005278522135376839</v>
      </c>
      <c r="AT34" s="15" t="n">
        <v>1.765444063980745</v>
      </c>
      <c r="AU34" s="15" t="n">
        <v>0.323801230662837</v>
      </c>
      <c r="AV34" s="15" t="n">
        <v>0.01780690488566377</v>
      </c>
      <c r="AW34" s="19" t="n">
        <v>0.7615572607664263</v>
      </c>
      <c r="AX34" s="19" t="n">
        <v>0</v>
      </c>
      <c r="AY34" s="19" t="n">
        <v>1</v>
      </c>
      <c r="AZ34" s="19" t="n">
        <v>0</v>
      </c>
      <c r="BA34" s="19" t="n">
        <v>0</v>
      </c>
    </row>
    <row r="35">
      <c r="A35" t="inlineStr">
        <is>
          <t>G#6</t>
        </is>
      </c>
      <c r="B35" t="n">
        <v>92</v>
      </c>
      <c r="C35" s="15" t="n">
        <v>-0.4572315313787665</v>
      </c>
      <c r="D35" s="15" t="n">
        <v>9.772840030370062</v>
      </c>
      <c r="E35" s="15" t="n">
        <v>0.7725100120540948</v>
      </c>
      <c r="F35" s="15" t="n">
        <v>0.3185925908560888</v>
      </c>
      <c r="G35" s="19" t="n">
        <v>0.2356790630950589</v>
      </c>
      <c r="H35" s="15" t="n">
        <v>0.06431860710808329</v>
      </c>
      <c r="I35" s="15" t="n">
        <v>11</v>
      </c>
      <c r="J35" s="15" t="n">
        <v>12</v>
      </c>
      <c r="K35" s="15" t="n">
        <v>0.9166666666666666</v>
      </c>
      <c r="L35" t="n">
        <v>11</v>
      </c>
      <c r="M35" t="n">
        <v>12</v>
      </c>
      <c r="N35" t="n">
        <v>0.9166666666666666</v>
      </c>
      <c r="O35" t="n">
        <v>42</v>
      </c>
      <c r="P35" t="n">
        <v>0</v>
      </c>
      <c r="Q35" s="15" t="n">
        <v>16.00590969684913</v>
      </c>
      <c r="R35" s="15" t="n">
        <v>8.478291332651374</v>
      </c>
      <c r="S35" s="15" t="n">
        <v>0.1312124316741698</v>
      </c>
      <c r="T35" s="15" t="n">
        <v>6.531975752267994</v>
      </c>
      <c r="U35" s="15" t="n">
        <v>18.58488654086293</v>
      </c>
      <c r="V35" s="15" t="n">
        <v>0</v>
      </c>
      <c r="W35" t="n">
        <v>1</v>
      </c>
      <c r="X35" t="n">
        <v>0.5</v>
      </c>
      <c r="Y35" t="n">
        <v>0.25</v>
      </c>
      <c r="Z35" t="inlineStr">
        <is>
          <t>his_note_adaptive</t>
        </is>
      </c>
      <c r="AA35" t="n">
        <v>-90</v>
      </c>
      <c r="AB35" t="n">
        <v>20000</v>
      </c>
      <c r="AC35" s="15" t="n">
        <v>0.9166666666666666</v>
      </c>
      <c r="AD35" s="15" t="n">
        <v>0.35</v>
      </c>
      <c r="AE35" t="n">
        <v>1.095247562580242</v>
      </c>
      <c r="AF35" s="15" t="n">
        <v>1.048944460534195</v>
      </c>
      <c r="AG35" s="15" t="n">
        <v>0.1459876202002795</v>
      </c>
      <c r="AH35" s="15" t="n">
        <v>0.02908630341166883</v>
      </c>
      <c r="AI35" s="15" t="n">
        <v>0.8211830314415615</v>
      </c>
      <c r="AJ35" s="15" t="n">
        <v>0.2928279692759946</v>
      </c>
      <c r="AK35" s="15" t="n">
        <v>0.8271990480788604</v>
      </c>
      <c r="AL35" s="15" t="n">
        <v>0.07929571658088116</v>
      </c>
      <c r="AM35" s="15" t="n">
        <v>0.8794642857142857</v>
      </c>
      <c r="AN35" s="15" t="n">
        <v>0.4727272727272727</v>
      </c>
      <c r="AO35" s="15" t="n">
        <v>0.01122849141780885</v>
      </c>
      <c r="AP35" s="15" t="n">
        <v>2.20327891790321</v>
      </c>
      <c r="AQ35" s="15" t="n">
        <v>0.2636979223462591</v>
      </c>
      <c r="AR35" s="15" t="n">
        <v>55.00224164501638</v>
      </c>
      <c r="AS35" s="15" t="n">
        <v>0.01166812258197421</v>
      </c>
      <c r="AT35" s="15" t="n">
        <v>1.815270658873162</v>
      </c>
      <c r="AU35" s="15" t="n">
        <v>0.3631008094324216</v>
      </c>
      <c r="AV35" s="15" t="n">
        <v>0.02490744959762585</v>
      </c>
      <c r="AW35" s="19" t="n">
        <v>0.764320936904941</v>
      </c>
      <c r="AX35" s="19" t="n">
        <v>0</v>
      </c>
      <c r="AY35" s="19" t="n">
        <v>1</v>
      </c>
      <c r="AZ35" s="19" t="n">
        <v>0</v>
      </c>
      <c r="BA35" s="19" t="n">
        <v>0</v>
      </c>
    </row>
    <row r="36">
      <c r="A36" t="inlineStr">
        <is>
          <t>A6</t>
        </is>
      </c>
      <c r="B36" t="n">
        <v>93</v>
      </c>
      <c r="C36" s="15" t="n">
        <v>-0.4704961397749018</v>
      </c>
      <c r="D36" s="15" t="n">
        <v>9.26971407166895</v>
      </c>
      <c r="E36" s="15" t="n">
        <v>0.8273228140369046</v>
      </c>
      <c r="F36" s="15" t="n">
        <v>0.3369635206808134</v>
      </c>
      <c r="G36" s="19" t="n">
        <v>0.2329577240612065</v>
      </c>
      <c r="H36" s="15" t="n">
        <v>0.05606169607218201</v>
      </c>
      <c r="I36" s="15" t="n">
        <v>10</v>
      </c>
      <c r="J36" s="15" t="n">
        <v>11</v>
      </c>
      <c r="K36" s="15" t="n">
        <v>0.9090909090909091</v>
      </c>
      <c r="L36" t="n">
        <v>10</v>
      </c>
      <c r="M36" t="n">
        <v>11</v>
      </c>
      <c r="N36" t="n">
        <v>0.9090909090909091</v>
      </c>
      <c r="O36" t="n">
        <v>29</v>
      </c>
      <c r="P36" t="n">
        <v>0</v>
      </c>
      <c r="Q36" s="15" t="n">
        <v>12.22114040793598</v>
      </c>
      <c r="R36" s="15" t="n">
        <v>6.684635312177707</v>
      </c>
      <c r="S36" s="15" t="n">
        <v>0.03662160560191637</v>
      </c>
      <c r="T36" s="15" t="n">
        <v>5.850833928875501</v>
      </c>
      <c r="U36" s="15" t="n">
        <v>12.98330796164657</v>
      </c>
      <c r="V36" s="15" t="n">
        <v>0</v>
      </c>
      <c r="W36" t="n">
        <v>1</v>
      </c>
      <c r="X36" t="n">
        <v>0.5</v>
      </c>
      <c r="Y36" t="n">
        <v>0.25</v>
      </c>
      <c r="Z36" t="inlineStr">
        <is>
          <t>his_note_adaptive</t>
        </is>
      </c>
      <c r="AA36" t="n">
        <v>-90</v>
      </c>
      <c r="AB36" t="n">
        <v>20000</v>
      </c>
      <c r="AC36" s="15" t="n">
        <v>0.9090909090909091</v>
      </c>
      <c r="AD36" s="15" t="n">
        <v>0.2416666666666667</v>
      </c>
      <c r="AE36" t="n">
        <v>1.078450979006551</v>
      </c>
      <c r="AF36" s="15" t="n">
        <v>1.039356950420531</v>
      </c>
      <c r="AG36" s="15" t="n">
        <v>0.1396838176012262</v>
      </c>
      <c r="AH36" s="15" t="n">
        <v>0.01703479981789532</v>
      </c>
      <c r="AI36" s="15" t="n">
        <v>0.8827712528078234</v>
      </c>
      <c r="AJ36" s="15" t="n">
        <v>0.3396345735531024</v>
      </c>
      <c r="AK36" s="15" t="n">
        <v>0.807670493589279</v>
      </c>
      <c r="AL36" s="15" t="n">
        <v>0.06463675888590056</v>
      </c>
      <c r="AM36" s="15" t="n">
        <v>0.8685064935064934</v>
      </c>
      <c r="AN36" s="15" t="n">
        <v>0.2363636363636365</v>
      </c>
      <c r="AO36" s="15" t="n">
        <v>0.008822869741713538</v>
      </c>
      <c r="AP36" s="15" t="n">
        <v>2.162484760747818</v>
      </c>
      <c r="AQ36" s="15" t="n">
        <v>0.1660983553943181</v>
      </c>
      <c r="AR36" s="15" t="n">
        <v>57.57384378902258</v>
      </c>
      <c r="AS36" s="15" t="n">
        <v>0.0155516590487589</v>
      </c>
      <c r="AT36" s="15" t="n">
        <v>1.795806611411368</v>
      </c>
      <c r="AU36" s="15" t="n">
        <v>0.3532224817521756</v>
      </c>
      <c r="AV36" s="15" t="n">
        <v>0.01345566758427374</v>
      </c>
      <c r="AW36" s="19" t="n">
        <v>0.7670422759387934</v>
      </c>
      <c r="AX36" s="19" t="n">
        <v>0</v>
      </c>
      <c r="AY36" s="19" t="n">
        <v>1</v>
      </c>
      <c r="AZ36" s="19" t="n">
        <v>0</v>
      </c>
      <c r="BA36" s="19" t="n">
        <v>0</v>
      </c>
    </row>
    <row r="37">
      <c r="A37" t="inlineStr">
        <is>
          <t>A#6</t>
        </is>
      </c>
      <c r="B37" t="n">
        <v>94</v>
      </c>
      <c r="C37" s="15" t="n">
        <v>-0.1297881589431872</v>
      </c>
      <c r="D37" s="15" t="n">
        <v>10.20824451692164</v>
      </c>
      <c r="E37" s="15" t="n">
        <v>0.7475188224956778</v>
      </c>
      <c r="F37" s="15" t="n">
        <v>0.4994848324346416</v>
      </c>
      <c r="G37" s="19" t="n">
        <v>0.2361004782246083</v>
      </c>
      <c r="H37" s="15" t="n">
        <v>0.08566763127293245</v>
      </c>
      <c r="I37" s="15" t="n">
        <v>10</v>
      </c>
      <c r="J37" s="15" t="n">
        <v>10</v>
      </c>
      <c r="K37" s="15" t="n">
        <v>1</v>
      </c>
      <c r="L37" t="n">
        <v>10</v>
      </c>
      <c r="M37" t="n">
        <v>10</v>
      </c>
      <c r="N37" t="n">
        <v>1</v>
      </c>
      <c r="O37" t="n">
        <v>38</v>
      </c>
      <c r="P37" t="n">
        <v>0</v>
      </c>
      <c r="Q37" s="15" t="n">
        <v>13.84811328673569</v>
      </c>
      <c r="R37" s="15" t="n">
        <v>7.796206362318751</v>
      </c>
      <c r="S37" s="15" t="n">
        <v>0.09524177729073169</v>
      </c>
      <c r="T37" s="15" t="n">
        <v>6.243487595505968</v>
      </c>
      <c r="U37" s="15" t="n">
        <v>17.54152438164181</v>
      </c>
      <c r="V37" s="15" t="n">
        <v>0</v>
      </c>
      <c r="W37" t="n">
        <v>1</v>
      </c>
      <c r="X37" t="n">
        <v>0.5</v>
      </c>
      <c r="Y37" t="n">
        <v>0.25</v>
      </c>
      <c r="Z37" t="inlineStr">
        <is>
          <t>his_note_adaptive</t>
        </is>
      </c>
      <c r="AA37" t="n">
        <v>-90</v>
      </c>
      <c r="AB37" t="n">
        <v>20000</v>
      </c>
      <c r="AC37" s="15" t="n">
        <v>1</v>
      </c>
      <c r="AD37" s="15" t="n">
        <v>0.3166666666666667</v>
      </c>
      <c r="AE37" t="n">
        <v>1.099977446468951</v>
      </c>
      <c r="AF37" s="15" t="n">
        <v>1.068136714231959</v>
      </c>
      <c r="AG37" s="15" t="n">
        <v>0.3016000831210536</v>
      </c>
      <c r="AH37" s="15" t="n">
        <v>0.03951565742068879</v>
      </c>
      <c r="AI37" s="15" t="n">
        <v>0.7931026768701475</v>
      </c>
      <c r="AJ37" s="15" t="n">
        <v>0.7537165388339184</v>
      </c>
      <c r="AK37" s="15" t="n">
        <v>0.8302231579812887</v>
      </c>
      <c r="AL37" s="15" t="n">
        <v>0.1171978376889938</v>
      </c>
      <c r="AM37" s="15" t="n">
        <v>1</v>
      </c>
      <c r="AN37" s="15" t="n">
        <v>0.4000000000000001</v>
      </c>
      <c r="AO37" s="15" t="n">
        <v>0.01604405885514178</v>
      </c>
      <c r="AP37" s="15" t="n">
        <v>2.185299773716511</v>
      </c>
      <c r="AQ37" s="15" t="n">
        <v>0.2206830199889395</v>
      </c>
      <c r="AR37" s="15" t="n">
        <v>66.61583838255768</v>
      </c>
      <c r="AS37" s="15" t="n">
        <v>0.02920653790251477</v>
      </c>
      <c r="AT37" s="15" t="n">
        <v>1.822504100507977</v>
      </c>
      <c r="AU37" s="15" t="n">
        <v>0.346911809867922</v>
      </c>
      <c r="AV37" s="15" t="n">
        <v>0.01588386334061188</v>
      </c>
      <c r="AW37" s="19" t="n">
        <v>0.7638995217753917</v>
      </c>
      <c r="AX37" s="19" t="n">
        <v>0</v>
      </c>
      <c r="AY37" s="19" t="n">
        <v>1</v>
      </c>
      <c r="AZ37" s="19" t="n">
        <v>0</v>
      </c>
      <c r="BA37" s="19" t="n">
        <v>0</v>
      </c>
    </row>
    <row r="38">
      <c r="A38" t="inlineStr">
        <is>
          <t>B6</t>
        </is>
      </c>
      <c r="B38" t="n">
        <v>95</v>
      </c>
      <c r="C38" s="15" t="n">
        <v>-0.4674933532807185</v>
      </c>
      <c r="D38" s="15" t="n">
        <v>9.739071952509008</v>
      </c>
      <c r="E38" s="15" t="n">
        <v>0.5507280838047932</v>
      </c>
      <c r="F38" s="15" t="n">
        <v>0.4512243338780122</v>
      </c>
      <c r="G38" s="19" t="n">
        <v>0.2511409258278737</v>
      </c>
      <c r="H38" s="15" t="n">
        <v>0.06692938134057416</v>
      </c>
      <c r="I38" s="15" t="n">
        <v>10</v>
      </c>
      <c r="J38" s="15" t="n">
        <v>10</v>
      </c>
      <c r="K38" s="15" t="n">
        <v>1</v>
      </c>
      <c r="L38" t="n">
        <v>10</v>
      </c>
      <c r="M38" t="n">
        <v>10</v>
      </c>
      <c r="N38" t="n">
        <v>1</v>
      </c>
      <c r="O38" t="n">
        <v>39</v>
      </c>
      <c r="P38" t="n">
        <v>0</v>
      </c>
      <c r="Q38" s="15" t="n">
        <v>14.5706453539056</v>
      </c>
      <c r="R38" s="15" t="n">
        <v>7.930280473484594</v>
      </c>
      <c r="S38" s="15" t="n">
        <v>0.1023123531343269</v>
      </c>
      <c r="T38" s="15" t="n">
        <v>6.032969778969568</v>
      </c>
      <c r="U38" s="15" t="n">
        <v>18.07109697558517</v>
      </c>
      <c r="V38" s="15" t="n">
        <v>0</v>
      </c>
      <c r="W38" t="n">
        <v>1</v>
      </c>
      <c r="X38" t="n">
        <v>0.5</v>
      </c>
      <c r="Y38" t="n">
        <v>0.25</v>
      </c>
      <c r="Z38" t="inlineStr">
        <is>
          <t>his_note_adaptive</t>
        </is>
      </c>
      <c r="AA38" t="n">
        <v>-90</v>
      </c>
      <c r="AB38" t="n">
        <v>20000</v>
      </c>
      <c r="AC38" s="15" t="n">
        <v>1</v>
      </c>
      <c r="AD38" s="15" t="n">
        <v>0.325</v>
      </c>
      <c r="AE38" t="n">
        <v>1.063111630032948</v>
      </c>
      <c r="AF38" s="15" t="n">
        <v>1.02300573227921</v>
      </c>
      <c r="AG38" s="15" t="n">
        <v>0.141110846032156</v>
      </c>
      <c r="AH38" s="15" t="n">
        <v>0.02827744808496707</v>
      </c>
      <c r="AI38" s="15" t="n">
        <v>0.5719866029076185</v>
      </c>
      <c r="AJ38" s="15" t="n">
        <v>0.6307554214757799</v>
      </c>
      <c r="AK38" s="15" t="n">
        <v>0.9381546567450659</v>
      </c>
      <c r="AL38" s="15" t="n">
        <v>0.08393077064151289</v>
      </c>
      <c r="AM38" s="15" t="n">
        <v>1</v>
      </c>
      <c r="AN38" s="15" t="n">
        <v>0.4181818181818182</v>
      </c>
      <c r="AO38" s="15" t="n">
        <v>0.004720152318212332</v>
      </c>
      <c r="AP38" s="15" t="n">
        <v>2.164594102593518</v>
      </c>
      <c r="AQ38" s="15" t="n">
        <v>0.1711449322830058</v>
      </c>
      <c r="AR38" s="15" t="n">
        <v>61.70875097299106</v>
      </c>
      <c r="AS38" s="15" t="n">
        <v>0.0217960397641581</v>
      </c>
      <c r="AT38" s="15" t="n">
        <v>1.792648546544493</v>
      </c>
      <c r="AU38" s="15" t="n">
        <v>0.3579078148125221</v>
      </c>
      <c r="AV38" s="15" t="n">
        <v>0.01403774123650305</v>
      </c>
      <c r="AW38" s="19" t="n">
        <v>0.7488590741721264</v>
      </c>
      <c r="AX38" s="19" t="n">
        <v>0</v>
      </c>
      <c r="AY38" s="19" t="n">
        <v>1</v>
      </c>
      <c r="AZ38" s="19" t="n">
        <v>0</v>
      </c>
      <c r="BA38" s="19" t="n">
        <v>0</v>
      </c>
    </row>
    <row r="39">
      <c r="A39" t="inlineStr">
        <is>
          <t>C7</t>
        </is>
      </c>
      <c r="B39" t="n">
        <v>96</v>
      </c>
      <c r="C39" s="15" t="n">
        <v>-0.5606726535908384</v>
      </c>
      <c r="D39" s="15" t="n">
        <v>12.77954403235384</v>
      </c>
      <c r="E39" s="15" t="n">
        <v>0.06486471392705866</v>
      </c>
      <c r="F39" s="15" t="n">
        <v>0.5961476058177811</v>
      </c>
      <c r="G39" s="19" t="n">
        <v>0.2369529476567354</v>
      </c>
      <c r="H39" s="15" t="n">
        <v>0.1771561496041621</v>
      </c>
      <c r="I39" s="15" t="n">
        <v>9</v>
      </c>
      <c r="J39" s="15" t="n">
        <v>9</v>
      </c>
      <c r="K39" s="15" t="n">
        <v>1</v>
      </c>
      <c r="L39" t="n">
        <v>9</v>
      </c>
      <c r="M39" t="n">
        <v>9</v>
      </c>
      <c r="N39" t="n">
        <v>1</v>
      </c>
      <c r="O39" t="n">
        <v>59</v>
      </c>
      <c r="P39" t="n">
        <v>0</v>
      </c>
      <c r="Q39" s="15" t="n">
        <v>19.30120608564142</v>
      </c>
      <c r="R39" s="15" t="n">
        <v>10.09567834153983</v>
      </c>
      <c r="S39" s="15" t="n">
        <v>0.2165074779388872</v>
      </c>
      <c r="T39" s="15" t="n">
        <v>5.270052078423662</v>
      </c>
      <c r="U39" s="15" t="n">
        <v>28.69267959891605</v>
      </c>
      <c r="V39" s="15" t="n">
        <v>0</v>
      </c>
      <c r="W39" t="n">
        <v>1</v>
      </c>
      <c r="X39" t="n">
        <v>0.5</v>
      </c>
      <c r="Y39" t="n">
        <v>0.25</v>
      </c>
      <c r="Z39" t="inlineStr">
        <is>
          <t>his_note_adaptive</t>
        </is>
      </c>
      <c r="AA39" t="n">
        <v>-90</v>
      </c>
      <c r="AB39" t="n">
        <v>20000</v>
      </c>
      <c r="AC39" s="15" t="n">
        <v>1</v>
      </c>
      <c r="AD39" s="15" t="n">
        <v>0.4916666666666666</v>
      </c>
      <c r="AE39" t="n">
        <v>1.229815973351143</v>
      </c>
      <c r="AF39" s="15" t="n">
        <v>1.164691884894722</v>
      </c>
      <c r="AG39" s="15" t="n">
        <v>0.09682880634193479</v>
      </c>
      <c r="AH39" s="15" t="n">
        <v>0.1011066463469987</v>
      </c>
      <c r="AI39" s="15" t="n">
        <v>0.02606558272017294</v>
      </c>
      <c r="AJ39" s="15" t="n">
        <v>1</v>
      </c>
      <c r="AK39" s="15" t="n">
        <v>0.8363405492908271</v>
      </c>
      <c r="AL39" s="15" t="n">
        <v>0.2796225403365939</v>
      </c>
      <c r="AM39" s="15" t="n">
        <v>1</v>
      </c>
      <c r="AN39" s="15" t="n">
        <v>0.7818181818181816</v>
      </c>
      <c r="AO39" s="15" t="n">
        <v>0.04027091324504056</v>
      </c>
      <c r="AP39" s="15" t="n">
        <v>2.230227887749002</v>
      </c>
      <c r="AQ39" s="15" t="n">
        <v>0.3281730327580594</v>
      </c>
      <c r="AR39" s="15" t="n">
        <v>80.60845956421021</v>
      </c>
      <c r="AS39" s="15" t="n">
        <v>0.05033766611824873</v>
      </c>
      <c r="AT39" s="15" t="n">
        <v>1.843982962711494</v>
      </c>
      <c r="AU39" s="15" t="n">
        <v>0.3628557959258089</v>
      </c>
      <c r="AV39" s="15" t="n">
        <v>0.02338912911169926</v>
      </c>
      <c r="AW39" s="19" t="n">
        <v>0.7630470523432646</v>
      </c>
      <c r="AX39" s="19" t="n">
        <v>0</v>
      </c>
      <c r="AY39" s="19" t="n">
        <v>1</v>
      </c>
      <c r="AZ39" s="19" t="n">
        <v>0</v>
      </c>
      <c r="BA39" s="19" t="n">
        <v>0</v>
      </c>
    </row>
    <row r="40">
      <c r="A40" t="inlineStr">
        <is>
          <t>C#7</t>
        </is>
      </c>
      <c r="B40" t="n">
        <v>97</v>
      </c>
      <c r="C40" s="15" t="n">
        <v>-0.7644220853677584</v>
      </c>
      <c r="D40" s="15" t="n">
        <v>11.37125298613688</v>
      </c>
      <c r="E40" s="15" t="n">
        <v>0.04166664792494411</v>
      </c>
      <c r="F40" s="15" t="n">
        <v>0.5706234737225457</v>
      </c>
      <c r="G40" s="19" t="n">
        <v>0.2326357328582548</v>
      </c>
      <c r="H40" s="15" t="n">
        <v>0.1910463220194008</v>
      </c>
      <c r="I40" s="15" t="n">
        <v>9</v>
      </c>
      <c r="J40" s="15" t="n">
        <v>9</v>
      </c>
      <c r="K40" s="15" t="n">
        <v>1</v>
      </c>
      <c r="L40" t="n">
        <v>9</v>
      </c>
      <c r="M40" t="n">
        <v>9</v>
      </c>
      <c r="N40" t="n">
        <v>1</v>
      </c>
      <c r="O40" t="n">
        <v>51</v>
      </c>
      <c r="P40" t="n">
        <v>0</v>
      </c>
      <c r="Q40" s="15" t="n">
        <v>16.30981610287924</v>
      </c>
      <c r="R40" s="15" t="n">
        <v>8.537371206540286</v>
      </c>
      <c r="S40" s="15" t="n">
        <v>0.134328087079447</v>
      </c>
      <c r="T40" s="15" t="n">
        <v>5.4031297607902</v>
      </c>
      <c r="U40" s="15" t="n">
        <v>23.41153638399555</v>
      </c>
      <c r="V40" s="15" t="n">
        <v>0</v>
      </c>
      <c r="W40" t="n">
        <v>1</v>
      </c>
      <c r="X40" t="n">
        <v>0.5</v>
      </c>
      <c r="Y40" t="n">
        <v>0.25</v>
      </c>
      <c r="Z40" t="inlineStr">
        <is>
          <t>his_note_adaptive</t>
        </is>
      </c>
      <c r="AA40" t="n">
        <v>-90</v>
      </c>
      <c r="AB40" t="n">
        <v>20000</v>
      </c>
      <c r="AC40" s="15" t="n">
        <v>1</v>
      </c>
      <c r="AD40" s="15" t="n">
        <v>0.425</v>
      </c>
      <c r="AE40" t="n">
        <v>1.176219011038638</v>
      </c>
      <c r="AF40" s="15" t="n">
        <v>1.121399981962002</v>
      </c>
      <c r="AG40" s="15" t="n">
        <v>0</v>
      </c>
      <c r="AH40" s="15" t="n">
        <v>0.06737349401993861</v>
      </c>
      <c r="AI40" s="15" t="n">
        <v>0</v>
      </c>
      <c r="AJ40" s="15" t="n">
        <v>0.934968019479862</v>
      </c>
      <c r="AK40" s="15" t="n">
        <v>0.8053598580257615</v>
      </c>
      <c r="AL40" s="15" t="n">
        <v>0.304282543202756</v>
      </c>
      <c r="AM40" s="15" t="n">
        <v>1</v>
      </c>
      <c r="AN40" s="15" t="n">
        <v>0.6363636363636364</v>
      </c>
      <c r="AO40" s="15" t="n">
        <v>0.02940845376810726</v>
      </c>
      <c r="AP40" s="15" t="n">
        <v>2.179383954111985</v>
      </c>
      <c r="AQ40" s="15" t="n">
        <v>0.2065294874286714</v>
      </c>
      <c r="AR40" s="15" t="n">
        <v>73.48226035427308</v>
      </c>
      <c r="AS40" s="15" t="n">
        <v>0.03957594912175819</v>
      </c>
      <c r="AT40" s="15" t="n">
        <v>1.813522536171797</v>
      </c>
      <c r="AU40" s="15" t="n">
        <v>0.3466056446691523</v>
      </c>
      <c r="AV40" s="15" t="n">
        <v>0.01925577327103589</v>
      </c>
      <c r="AW40" s="19" t="n">
        <v>0.7673642671417451</v>
      </c>
      <c r="AX40" s="19" t="n">
        <v>0</v>
      </c>
      <c r="AY40" s="19" t="n">
        <v>1</v>
      </c>
      <c r="AZ40" s="19" t="n">
        <v>0</v>
      </c>
      <c r="BA40" s="19" t="n">
        <v>0</v>
      </c>
    </row>
  </sheetData>
  <autoFilter ref="A1:BA4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26" customWidth="1" min="4" max="4"/>
  </cols>
  <sheetData>
    <row r="1">
      <c r="A1" s="11" t="inlineStr">
        <is>
          <t>Note</t>
        </is>
      </c>
      <c r="B1" s="11" t="inlineStr">
        <is>
          <t>MIDI</t>
        </is>
      </c>
      <c r="C1" s="11" t="inlineStr">
        <is>
          <t>Combined Density Metric</t>
        </is>
      </c>
      <c r="D1" s="11" t="inlineStr">
        <is>
          <t>Weighted Combined Metric</t>
        </is>
      </c>
    </row>
    <row r="2">
      <c r="A2" t="inlineStr">
        <is>
          <t>B3</t>
        </is>
      </c>
      <c r="B2" t="n">
        <v>59</v>
      </c>
      <c r="C2" s="15" t="n">
        <v>17.76588937444305</v>
      </c>
      <c r="D2" s="15" t="n">
        <v>4.045041265338378</v>
      </c>
    </row>
    <row r="3">
      <c r="A3" t="inlineStr">
        <is>
          <t>C4</t>
        </is>
      </c>
      <c r="B3" t="n">
        <v>60</v>
      </c>
      <c r="C3" s="15" t="n">
        <v>27.80678340451162</v>
      </c>
      <c r="D3" s="15" t="n">
        <v>3.983203342332405</v>
      </c>
    </row>
    <row r="4">
      <c r="A4" t="inlineStr">
        <is>
          <t>C#4</t>
        </is>
      </c>
      <c r="B4" t="n">
        <v>61</v>
      </c>
      <c r="C4" s="15" t="n">
        <v>24.80914254322684</v>
      </c>
      <c r="D4" s="15" t="n">
        <v>3.951198915274153</v>
      </c>
    </row>
    <row r="5">
      <c r="A5" t="inlineStr">
        <is>
          <t>D4</t>
        </is>
      </c>
      <c r="B5" t="n">
        <v>62</v>
      </c>
      <c r="C5" s="15" t="n">
        <v>19.01912703082785</v>
      </c>
      <c r="D5" s="15" t="n">
        <v>3.860386148459636</v>
      </c>
    </row>
    <row r="6">
      <c r="A6" t="inlineStr">
        <is>
          <t>D#4</t>
        </is>
      </c>
      <c r="B6" t="n">
        <v>63</v>
      </c>
      <c r="C6" s="15" t="n">
        <v>21.83246425087215</v>
      </c>
      <c r="D6" s="15" t="n">
        <v>3.928198516586288</v>
      </c>
    </row>
    <row r="7">
      <c r="A7" t="inlineStr">
        <is>
          <t>E4</t>
        </is>
      </c>
      <c r="B7" t="n">
        <v>64</v>
      </c>
      <c r="C7" s="15" t="n">
        <v>21.69809561498593</v>
      </c>
      <c r="D7" s="15" t="n">
        <v>3.949651733423453</v>
      </c>
    </row>
    <row r="8">
      <c r="A8" t="inlineStr">
        <is>
          <t>F4</t>
        </is>
      </c>
      <c r="B8" t="n">
        <v>65</v>
      </c>
      <c r="C8" s="15" t="n">
        <v>17.00709505489963</v>
      </c>
      <c r="D8" s="15" t="n">
        <v>3.733644303636906</v>
      </c>
    </row>
    <row r="9">
      <c r="A9" t="inlineStr">
        <is>
          <t>F#4</t>
        </is>
      </c>
      <c r="B9" t="n">
        <v>66</v>
      </c>
      <c r="C9" s="15" t="n">
        <v>16.63027652739586</v>
      </c>
      <c r="D9" s="15" t="n">
        <v>3.819800533083674</v>
      </c>
    </row>
    <row r="10">
      <c r="A10" t="inlineStr">
        <is>
          <t>G4</t>
        </is>
      </c>
      <c r="B10" t="n">
        <v>67</v>
      </c>
      <c r="C10" s="15" t="n">
        <v>14.5188650836249</v>
      </c>
      <c r="D10" s="15" t="n">
        <v>3.827588514496004</v>
      </c>
    </row>
    <row r="11">
      <c r="A11" t="inlineStr">
        <is>
          <t>G#4</t>
        </is>
      </c>
      <c r="B11" t="n">
        <v>68</v>
      </c>
      <c r="C11" s="15" t="n">
        <v>13.79714953305075</v>
      </c>
      <c r="D11" s="15" t="n">
        <v>3.925628070717408</v>
      </c>
    </row>
    <row r="12">
      <c r="A12" t="inlineStr">
        <is>
          <t>A4</t>
        </is>
      </c>
      <c r="B12" t="n">
        <v>69</v>
      </c>
      <c r="C12" s="15" t="n">
        <v>11.4033948589632</v>
      </c>
      <c r="D12" s="15" t="n">
        <v>3.712278041578294</v>
      </c>
    </row>
    <row r="13">
      <c r="A13" t="inlineStr">
        <is>
          <t>A#4</t>
        </is>
      </c>
      <c r="B13" t="n">
        <v>70</v>
      </c>
      <c r="C13" s="15" t="n">
        <v>11.41503316344048</v>
      </c>
      <c r="D13" s="15" t="n">
        <v>3.49595853723913</v>
      </c>
    </row>
    <row r="14">
      <c r="A14" t="inlineStr">
        <is>
          <t>B4</t>
        </is>
      </c>
      <c r="B14" t="n">
        <v>71</v>
      </c>
      <c r="C14" s="15" t="n">
        <v>8.937482931326512</v>
      </c>
      <c r="D14" s="15" t="n">
        <v>3.541759651887845</v>
      </c>
    </row>
    <row r="15">
      <c r="A15" t="inlineStr">
        <is>
          <t>C5</t>
        </is>
      </c>
      <c r="B15" t="n">
        <v>72</v>
      </c>
      <c r="C15" s="15" t="n">
        <v>9.986871893422443</v>
      </c>
      <c r="D15" s="15" t="n">
        <v>2.644655493883375</v>
      </c>
    </row>
    <row r="16">
      <c r="A16" t="inlineStr">
        <is>
          <t>C#5</t>
        </is>
      </c>
      <c r="B16" t="n">
        <v>73</v>
      </c>
      <c r="C16" s="15" t="n">
        <v>9.488328625665272</v>
      </c>
      <c r="D16" s="15" t="n">
        <v>2.590796190487911</v>
      </c>
    </row>
    <row r="17">
      <c r="A17" t="inlineStr">
        <is>
          <t>D5</t>
        </is>
      </c>
      <c r="B17" t="n">
        <v>74</v>
      </c>
      <c r="C17" s="15" t="n">
        <v>8.447941064230907</v>
      </c>
      <c r="D17" s="15" t="n">
        <v>2.550264825269262</v>
      </c>
    </row>
    <row r="18">
      <c r="A18" t="inlineStr">
        <is>
          <t>D#5</t>
        </is>
      </c>
      <c r="B18" t="n">
        <v>75</v>
      </c>
      <c r="C18" s="15" t="n">
        <v>4.924379805463719</v>
      </c>
      <c r="D18" s="15" t="n">
        <v>2.955834373424019</v>
      </c>
    </row>
    <row r="19">
      <c r="A19" t="inlineStr">
        <is>
          <t>E5</t>
        </is>
      </c>
      <c r="B19" t="n">
        <v>76</v>
      </c>
      <c r="C19" s="15" t="n">
        <v>7.01900897296248</v>
      </c>
      <c r="D19" s="15" t="n">
        <v>3.108806760060317</v>
      </c>
    </row>
    <row r="20">
      <c r="A20" t="inlineStr">
        <is>
          <t>F5</t>
        </is>
      </c>
      <c r="B20" t="n">
        <v>77</v>
      </c>
      <c r="C20" s="15" t="n">
        <v>3.497587830202114</v>
      </c>
      <c r="D20" s="15" t="n">
        <v>3.525007450733017</v>
      </c>
    </row>
    <row r="21">
      <c r="A21" t="inlineStr">
        <is>
          <t>F#5</t>
        </is>
      </c>
      <c r="B21" t="n">
        <v>78</v>
      </c>
      <c r="C21" s="15" t="n">
        <v>5.265330500739739</v>
      </c>
      <c r="D21" s="15" t="n">
        <v>3.070328407108344</v>
      </c>
    </row>
    <row r="22">
      <c r="A22" t="inlineStr">
        <is>
          <t>G5</t>
        </is>
      </c>
      <c r="B22" t="n">
        <v>79</v>
      </c>
      <c r="C22" s="15" t="n">
        <v>4.051788700232699</v>
      </c>
      <c r="D22" s="15" t="n">
        <v>2.639180064355299</v>
      </c>
    </row>
    <row r="23">
      <c r="A23" t="inlineStr">
        <is>
          <t>G#5</t>
        </is>
      </c>
      <c r="B23" t="n">
        <v>80</v>
      </c>
      <c r="C23" s="15" t="n">
        <v>4.24049438963623</v>
      </c>
      <c r="D23" s="15" t="n">
        <v>2.872002032348576</v>
      </c>
    </row>
    <row r="24">
      <c r="A24" t="inlineStr">
        <is>
          <t>A5</t>
        </is>
      </c>
      <c r="B24" t="n">
        <v>81</v>
      </c>
      <c r="C24" s="15" t="n">
        <v>5.190670427772006</v>
      </c>
      <c r="D24" s="15" t="n">
        <v>2.990043394969208</v>
      </c>
    </row>
    <row r="25">
      <c r="A25" t="inlineStr">
        <is>
          <t>A#5</t>
        </is>
      </c>
      <c r="B25" t="n">
        <v>82</v>
      </c>
      <c r="C25" s="15" t="n">
        <v>4.91953271431484</v>
      </c>
      <c r="D25" s="15" t="n">
        <v>2.978629357144674</v>
      </c>
    </row>
    <row r="26">
      <c r="A26" t="inlineStr">
        <is>
          <t>B5</t>
        </is>
      </c>
      <c r="B26" t="n">
        <v>83</v>
      </c>
      <c r="C26" s="15" t="n">
        <v>2.009261548113833</v>
      </c>
      <c r="D26" s="15" t="n">
        <v>2.846828811755726</v>
      </c>
    </row>
    <row r="27">
      <c r="A27" t="inlineStr">
        <is>
          <t>C6</t>
        </is>
      </c>
      <c r="B27" t="n">
        <v>84</v>
      </c>
      <c r="C27" s="15" t="n">
        <v>4.114059759472046</v>
      </c>
      <c r="D27" s="15" t="n">
        <v>2.693036117060538</v>
      </c>
    </row>
    <row r="28">
      <c r="A28" t="inlineStr">
        <is>
          <t>C#6</t>
        </is>
      </c>
      <c r="B28" t="n">
        <v>85</v>
      </c>
      <c r="C28" s="15" t="n">
        <v>2.228273217702524</v>
      </c>
      <c r="D28" s="15" t="n">
        <v>2.660048602024963</v>
      </c>
    </row>
    <row r="29">
      <c r="A29" t="inlineStr">
        <is>
          <t>D6</t>
        </is>
      </c>
      <c r="B29" t="n">
        <v>86</v>
      </c>
      <c r="C29" s="15" t="n">
        <v>3.044228266340491</v>
      </c>
      <c r="D29" s="15" t="n">
        <v>2.864696611163184</v>
      </c>
    </row>
    <row r="30">
      <c r="A30" t="inlineStr">
        <is>
          <t>D#6</t>
        </is>
      </c>
      <c r="B30" t="n">
        <v>87</v>
      </c>
      <c r="C30" s="15" t="n">
        <v>6.359954039703789</v>
      </c>
      <c r="D30" s="15" t="n">
        <v>3.362767622375121</v>
      </c>
    </row>
    <row r="31">
      <c r="A31" t="inlineStr">
        <is>
          <t>E6</t>
        </is>
      </c>
      <c r="B31" t="n">
        <v>88</v>
      </c>
      <c r="C31" s="15" t="n">
        <v>2.356386180198056</v>
      </c>
      <c r="D31" s="15" t="n">
        <v>2.565900986982026</v>
      </c>
    </row>
    <row r="32">
      <c r="A32" t="inlineStr">
        <is>
          <t>F6</t>
        </is>
      </c>
      <c r="B32" t="n">
        <v>89</v>
      </c>
      <c r="C32" s="15" t="n">
        <v>2.963276121274695</v>
      </c>
      <c r="D32" s="15" t="n">
        <v>1.946834320567688</v>
      </c>
    </row>
    <row r="33">
      <c r="A33" t="inlineStr">
        <is>
          <t>F#6</t>
        </is>
      </c>
      <c r="B33" t="n">
        <v>90</v>
      </c>
      <c r="C33" s="15" t="n">
        <v>2.726698807386051</v>
      </c>
      <c r="D33" s="15" t="n">
        <v>1.853559085269805</v>
      </c>
    </row>
    <row r="34">
      <c r="A34" t="inlineStr">
        <is>
          <t>G6</t>
        </is>
      </c>
      <c r="B34" t="n">
        <v>91</v>
      </c>
      <c r="C34" s="15" t="n">
        <v>2.489933762648161</v>
      </c>
      <c r="D34" s="15" t="n">
        <v>1.72368328123634</v>
      </c>
    </row>
    <row r="35">
      <c r="A35" t="inlineStr">
        <is>
          <t>G#6</t>
        </is>
      </c>
      <c r="B35" t="n">
        <v>92</v>
      </c>
      <c r="C35" s="15" t="n">
        <v>3.510049326698728</v>
      </c>
      <c r="D35" s="15" t="n">
        <v>2.032211894172191</v>
      </c>
    </row>
    <row r="36">
      <c r="A36" t="inlineStr">
        <is>
          <t>A6</t>
        </is>
      </c>
      <c r="B36" t="n">
        <v>93</v>
      </c>
      <c r="C36" s="15" t="n">
        <v>2.32052618714241</v>
      </c>
      <c r="D36" s="15" t="n">
        <v>1.999132171810936</v>
      </c>
    </row>
    <row r="37">
      <c r="A37" t="inlineStr">
        <is>
          <t>A#6</t>
        </is>
      </c>
      <c r="B37" t="n">
        <v>94</v>
      </c>
      <c r="C37" s="15" t="n">
        <v>3.452246490017099</v>
      </c>
      <c r="D37" s="15" t="n">
        <v>2.103413820318704</v>
      </c>
    </row>
    <row r="38">
      <c r="A38" t="inlineStr">
        <is>
          <t>B6</t>
        </is>
      </c>
      <c r="B38" t="n">
        <v>95</v>
      </c>
      <c r="C38" s="15" t="n">
        <v>3.08948403782492</v>
      </c>
      <c r="D38" s="15" t="n">
        <v>2.069397027491656</v>
      </c>
    </row>
    <row r="39">
      <c r="A39" t="inlineStr">
        <is>
          <t>C7</t>
        </is>
      </c>
      <c r="B39" t="n">
        <v>96</v>
      </c>
      <c r="C39" s="15" t="n">
        <v>3.379214400152449</v>
      </c>
      <c r="D39" s="15" t="n">
        <v>2.459143987803665</v>
      </c>
    </row>
    <row r="40">
      <c r="A40" t="inlineStr">
        <is>
          <t>C#7</t>
        </is>
      </c>
      <c r="B40" t="n">
        <v>97</v>
      </c>
      <c r="C40" s="15" t="n">
        <v>2.52719353545012</v>
      </c>
      <c r="D40" s="15" t="n">
        <v>2.259530190613573</v>
      </c>
    </row>
  </sheetData>
  <autoFilter ref="A1:D4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32" customWidth="1" min="4" max="4"/>
    <col width="36" customWidth="1" min="5" max="5"/>
    <col width="11" customWidth="1" min="6" max="6"/>
    <col width="15" customWidth="1" min="7" max="7"/>
    <col width="10" customWidth="1" min="8" max="8"/>
    <col width="12" customWidth="1" min="9" max="9"/>
    <col width="14" customWidth="1" min="10" max="10"/>
    <col width="16" customWidth="1" min="11" max="11"/>
    <col width="23" customWidth="1" min="12" max="12"/>
    <col width="19" customWidth="1" min="13" max="13"/>
    <col width="18" customWidth="1" min="14" max="14"/>
    <col width="18" customWidth="1" min="15" max="15"/>
    <col width="18" customWidth="1" min="16" max="16"/>
    <col width="24" customWidth="1" min="17" max="17"/>
    <col width="25" customWidth="1" min="18" max="18"/>
    <col width="27" customWidth="1" min="19" max="19"/>
    <col width="24" customWidth="1" min="20" max="20"/>
    <col width="31" customWidth="1" min="21" max="21"/>
    <col width="30" customWidth="1" min="22" max="22"/>
  </cols>
  <sheetData>
    <row r="1">
      <c r="A1" s="11" t="inlineStr">
        <is>
          <t>Note</t>
        </is>
      </c>
      <c r="B1" s="11" t="inlineStr">
        <is>
          <t>MIDI</t>
        </is>
      </c>
      <c r="C1" s="11" t="inlineStr">
        <is>
          <t>f0_used_for_density_hz</t>
        </is>
      </c>
      <c r="D1" s="11" t="inlineStr">
        <is>
          <t>f0_used_for_density_source</t>
        </is>
      </c>
      <c r="E1" s="11" t="inlineStr">
        <is>
          <t>acoustic_f0_status</t>
        </is>
      </c>
      <c r="F1" s="11" t="inlineStr">
        <is>
          <t>tier_name</t>
        </is>
      </c>
      <c r="G1" s="11" t="inlineStr">
        <is>
          <t>fft_policy</t>
        </is>
      </c>
      <c r="H1" s="11" t="inlineStr">
        <is>
          <t>n_fft</t>
        </is>
      </c>
      <c r="I1" s="11" t="inlineStr">
        <is>
          <t>hop_length</t>
        </is>
      </c>
      <c r="J1" s="11" t="inlineStr">
        <is>
          <t>zero_padding</t>
        </is>
      </c>
      <c r="K1" s="11" t="inlineStr">
        <is>
          <t>window_type</t>
        </is>
      </c>
      <c r="L1" s="11" t="inlineStr">
        <is>
          <t>harmonic_tolerance_hz</t>
        </is>
      </c>
      <c r="M1" s="11" t="inlineStr">
        <is>
          <t>frequency_min_hz</t>
        </is>
      </c>
      <c r="N1" s="11" t="inlineStr">
        <is>
          <t>frequency_max_hz</t>
        </is>
      </c>
      <c r="O1" s="11" t="inlineStr">
        <is>
          <t>magnitude_min_db</t>
        </is>
      </c>
      <c r="P1" s="11" t="inlineStr">
        <is>
          <t>magnitude_max_db</t>
        </is>
      </c>
      <c r="Q1" s="11" t="inlineStr">
        <is>
          <t>density_summation_mode</t>
        </is>
      </c>
      <c r="R1" s="11" t="inlineStr">
        <is>
          <t>harmonic_density_weight</t>
        </is>
      </c>
      <c r="S1" s="11" t="inlineStr">
        <is>
          <t>inharmonic_density_weight</t>
        </is>
      </c>
      <c r="T1" s="11" t="inlineStr">
        <is>
          <t>subbass_density_weight</t>
        </is>
      </c>
      <c r="U1" s="11" t="inlineStr">
        <is>
          <t>density_salience_threshold_db</t>
        </is>
      </c>
      <c r="V1" s="11" t="inlineStr">
        <is>
          <t>density_frequency_ceiling_hz</t>
        </is>
      </c>
    </row>
    <row r="2">
      <c r="A2" t="inlineStr">
        <is>
          <t>B3</t>
        </is>
      </c>
      <c r="B2" t="n">
        <v>59</v>
      </c>
      <c r="C2" s="15" t="n">
        <v>246.7215633054352</v>
      </c>
      <c r="D2" s="15" t="inlineStr">
        <is>
          <t>prior_constrained_harmonic_fit</t>
        </is>
      </c>
      <c r="E2" s="15" t="inlineStr">
        <is>
          <t>fit_accepted_acoustically_verified</t>
        </is>
      </c>
      <c r="F2" t="inlineStr">
        <is>
          <t>Tier_30</t>
        </is>
      </c>
      <c r="G2" t="inlineStr">
        <is>
          <t>adaptive_tier</t>
        </is>
      </c>
      <c r="H2" t="n">
        <v>4096</v>
      </c>
      <c r="I2" t="n">
        <v>512</v>
      </c>
      <c r="J2" t="n">
        <v>2</v>
      </c>
      <c r="K2" t="inlineStr">
        <is>
          <t>blackmanharris</t>
        </is>
      </c>
      <c r="L2" s="15" t="n">
        <v>8.199999999999999</v>
      </c>
      <c r="M2" t="n">
        <v>219.6248271597629</v>
      </c>
      <c r="N2" t="n">
        <v>20000</v>
      </c>
      <c r="O2" t="n">
        <v>-90</v>
      </c>
      <c r="P2" t="n">
        <v>0</v>
      </c>
      <c r="Q2" t="inlineStr">
        <is>
          <t>his_note_adaptive</t>
        </is>
      </c>
      <c r="R2" t="n">
        <v>1</v>
      </c>
      <c r="S2" t="n">
        <v>0.5</v>
      </c>
      <c r="T2" t="n">
        <v>0.25</v>
      </c>
      <c r="U2" t="n">
        <v>-90</v>
      </c>
      <c r="V2" s="15" t="n">
        <v>20000</v>
      </c>
    </row>
    <row r="3">
      <c r="A3" t="inlineStr">
        <is>
          <t>C4</t>
        </is>
      </c>
      <c r="B3" t="n">
        <v>60</v>
      </c>
      <c r="C3" s="15" t="n">
        <v>262.0161825401063</v>
      </c>
      <c r="D3" s="15" t="inlineStr">
        <is>
          <t>prior_constrained_harmonic_fit</t>
        </is>
      </c>
      <c r="E3" s="15" t="inlineStr">
        <is>
          <t>fit_accepted_acoustically_verified</t>
        </is>
      </c>
      <c r="F3" t="inlineStr">
        <is>
          <t>Tier_31</t>
        </is>
      </c>
      <c r="G3" t="inlineStr">
        <is>
          <t>adaptive_tier</t>
        </is>
      </c>
      <c r="H3" t="n">
        <v>4096</v>
      </c>
      <c r="I3" t="n">
        <v>512</v>
      </c>
      <c r="J3" t="n">
        <v>2</v>
      </c>
      <c r="K3" t="inlineStr">
        <is>
          <t>blackmanharris</t>
        </is>
      </c>
      <c r="L3" s="15" t="n">
        <v>8.4</v>
      </c>
      <c r="M3" t="n">
        <v>233.5090327307839</v>
      </c>
      <c r="N3" t="n">
        <v>20000</v>
      </c>
      <c r="O3" t="n">
        <v>-90</v>
      </c>
      <c r="P3" t="n">
        <v>0</v>
      </c>
      <c r="Q3" t="inlineStr">
        <is>
          <t>his_note_adaptive</t>
        </is>
      </c>
      <c r="R3" t="n">
        <v>1</v>
      </c>
      <c r="S3" t="n">
        <v>0.5</v>
      </c>
      <c r="T3" t="n">
        <v>0.25</v>
      </c>
      <c r="U3" t="n">
        <v>-90</v>
      </c>
      <c r="V3" s="15" t="n">
        <v>20000</v>
      </c>
    </row>
    <row r="4">
      <c r="A4" t="inlineStr">
        <is>
          <t>C#4</t>
        </is>
      </c>
      <c r="B4" t="n">
        <v>61</v>
      </c>
      <c r="C4" s="15" t="n">
        <v>277.3992541831122</v>
      </c>
      <c r="D4" s="15" t="inlineStr">
        <is>
          <t>prior_constrained_harmonic_fit</t>
        </is>
      </c>
      <c r="E4" s="15" t="inlineStr">
        <is>
          <t>fit_accepted_acoustically_verified</t>
        </is>
      </c>
      <c r="F4" t="inlineStr">
        <is>
          <t>Tier_32</t>
        </is>
      </c>
      <c r="G4" t="inlineStr">
        <is>
          <t>adaptive_tier</t>
        </is>
      </c>
      <c r="H4" t="n">
        <v>4096</v>
      </c>
      <c r="I4" t="n">
        <v>512</v>
      </c>
      <c r="J4" t="n">
        <v>2</v>
      </c>
      <c r="K4" t="inlineStr">
        <is>
          <t>blackmanharris</t>
        </is>
      </c>
      <c r="L4" s="15" t="n">
        <v>8.6</v>
      </c>
      <c r="M4" t="n">
        <v>248.2678714022651</v>
      </c>
      <c r="N4" t="n">
        <v>20000</v>
      </c>
      <c r="O4" t="n">
        <v>-90</v>
      </c>
      <c r="P4" t="n">
        <v>0</v>
      </c>
      <c r="Q4" t="inlineStr">
        <is>
          <t>his_note_adaptive</t>
        </is>
      </c>
      <c r="R4" t="n">
        <v>1</v>
      </c>
      <c r="S4" t="n">
        <v>0.5</v>
      </c>
      <c r="T4" t="n">
        <v>0.25</v>
      </c>
      <c r="U4" t="n">
        <v>-90</v>
      </c>
      <c r="V4" s="15" t="n">
        <v>20000</v>
      </c>
    </row>
    <row r="5">
      <c r="A5" t="inlineStr">
        <is>
          <t>D4</t>
        </is>
      </c>
      <c r="B5" t="n">
        <v>62</v>
      </c>
      <c r="C5" s="15" t="n">
        <v>293.8184491369294</v>
      </c>
      <c r="D5" s="15" t="inlineStr">
        <is>
          <t>prior_constrained_harmonic_fit</t>
        </is>
      </c>
      <c r="E5" s="15" t="inlineStr">
        <is>
          <t>fit_accepted_acoustically_verified</t>
        </is>
      </c>
      <c r="F5" t="inlineStr">
        <is>
          <t>Tier_33</t>
        </is>
      </c>
      <c r="G5" t="inlineStr">
        <is>
          <t>adaptive_tier</t>
        </is>
      </c>
      <c r="H5" t="n">
        <v>4096</v>
      </c>
      <c r="I5" t="n">
        <v>512</v>
      </c>
      <c r="J5" t="n">
        <v>2</v>
      </c>
      <c r="K5" t="inlineStr">
        <is>
          <t>blackmanharris</t>
        </is>
      </c>
      <c r="L5" s="15" t="n">
        <v>8.800000000000001</v>
      </c>
      <c r="M5" t="n">
        <v>263.9562673539427</v>
      </c>
      <c r="N5" t="n">
        <v>20000</v>
      </c>
      <c r="O5" t="n">
        <v>-90</v>
      </c>
      <c r="P5" t="n">
        <v>0</v>
      </c>
      <c r="Q5" t="inlineStr">
        <is>
          <t>his_note_adaptive</t>
        </is>
      </c>
      <c r="R5" t="n">
        <v>1</v>
      </c>
      <c r="S5" t="n">
        <v>0.5</v>
      </c>
      <c r="T5" t="n">
        <v>0.25</v>
      </c>
      <c r="U5" t="n">
        <v>-90</v>
      </c>
      <c r="V5" s="15" t="n">
        <v>20000</v>
      </c>
    </row>
    <row r="6">
      <c r="A6" t="inlineStr">
        <is>
          <t>D#4</t>
        </is>
      </c>
      <c r="B6" t="n">
        <v>63</v>
      </c>
      <c r="C6" s="15" t="n">
        <v>310.7728948286763</v>
      </c>
      <c r="D6" s="15" t="inlineStr">
        <is>
          <t>prior_constrained_harmonic_fit</t>
        </is>
      </c>
      <c r="E6" s="15" t="inlineStr">
        <is>
          <t>fit_accepted_acoustically_verified</t>
        </is>
      </c>
      <c r="F6" t="inlineStr">
        <is>
          <t>Tier_34</t>
        </is>
      </c>
      <c r="G6" t="inlineStr">
        <is>
          <t>adaptive_tier</t>
        </is>
      </c>
      <c r="H6" t="n">
        <v>4096</v>
      </c>
      <c r="I6" t="n">
        <v>512</v>
      </c>
      <c r="J6" t="n">
        <v>2</v>
      </c>
      <c r="K6" t="inlineStr">
        <is>
          <t>blackmanharris</t>
        </is>
      </c>
      <c r="L6" s="15" t="n">
        <v>9</v>
      </c>
      <c r="M6" t="n">
        <v>280.0142853498729</v>
      </c>
      <c r="N6" t="n">
        <v>20000</v>
      </c>
      <c r="O6" t="n">
        <v>-90</v>
      </c>
      <c r="P6" t="n">
        <v>0</v>
      </c>
      <c r="Q6" t="inlineStr">
        <is>
          <t>his_note_adaptive</t>
        </is>
      </c>
      <c r="R6" t="n">
        <v>1</v>
      </c>
      <c r="S6" t="n">
        <v>0.5</v>
      </c>
      <c r="T6" t="n">
        <v>0.25</v>
      </c>
      <c r="U6" t="n">
        <v>-90</v>
      </c>
      <c r="V6" s="15" t="n">
        <v>20000</v>
      </c>
    </row>
    <row r="7">
      <c r="A7" t="inlineStr">
        <is>
          <t>E4</t>
        </is>
      </c>
      <c r="B7" t="n">
        <v>64</v>
      </c>
      <c r="C7" s="15" t="n">
        <v>329.6573157708623</v>
      </c>
      <c r="D7" s="15" t="inlineStr">
        <is>
          <t>prior_constrained_harmonic_fit</t>
        </is>
      </c>
      <c r="E7" s="15" t="inlineStr">
        <is>
          <t>fit_accepted_acoustically_verified</t>
        </is>
      </c>
      <c r="F7" t="inlineStr">
        <is>
          <t>Tier_35</t>
        </is>
      </c>
      <c r="G7" t="inlineStr">
        <is>
          <t>adaptive_tier</t>
        </is>
      </c>
      <c r="H7" t="n">
        <v>4096</v>
      </c>
      <c r="I7" t="n">
        <v>512</v>
      </c>
      <c r="J7" t="n">
        <v>2</v>
      </c>
      <c r="K7" t="inlineStr">
        <is>
          <t>blackmanharris</t>
        </is>
      </c>
      <c r="L7" s="15" t="n">
        <v>9.199999999999999</v>
      </c>
      <c r="M7" t="n">
        <v>296.6648012215829</v>
      </c>
      <c r="N7" t="n">
        <v>20000</v>
      </c>
      <c r="O7" t="n">
        <v>-90</v>
      </c>
      <c r="P7" t="n">
        <v>0</v>
      </c>
      <c r="Q7" t="inlineStr">
        <is>
          <t>his_note_adaptive</t>
        </is>
      </c>
      <c r="R7" t="n">
        <v>1</v>
      </c>
      <c r="S7" t="n">
        <v>0.5</v>
      </c>
      <c r="T7" t="n">
        <v>0.25</v>
      </c>
      <c r="U7" t="n">
        <v>-90</v>
      </c>
      <c r="V7" s="15" t="n">
        <v>20000</v>
      </c>
    </row>
    <row r="8">
      <c r="A8" t="inlineStr">
        <is>
          <t>F4</t>
        </is>
      </c>
      <c r="B8" t="n">
        <v>65</v>
      </c>
      <c r="C8" s="15" t="n">
        <v>349.004371296592</v>
      </c>
      <c r="D8" s="15" t="inlineStr">
        <is>
          <t>prior_constrained_harmonic_fit</t>
        </is>
      </c>
      <c r="E8" s="15" t="inlineStr">
        <is>
          <t>fit_accepted_acoustically_verified</t>
        </is>
      </c>
      <c r="F8" t="inlineStr">
        <is>
          <t>Tier_36</t>
        </is>
      </c>
      <c r="G8" t="inlineStr">
        <is>
          <t>adaptive_tier</t>
        </is>
      </c>
      <c r="H8" t="n">
        <v>4096</v>
      </c>
      <c r="I8" t="n">
        <v>512</v>
      </c>
      <c r="J8" t="n">
        <v>2</v>
      </c>
      <c r="K8" t="inlineStr">
        <is>
          <t>blackmanharris</t>
        </is>
      </c>
      <c r="L8" s="15" t="n">
        <v>9.4</v>
      </c>
      <c r="M8" t="n">
        <v>314.3054082897035</v>
      </c>
      <c r="N8" t="n">
        <v>20000</v>
      </c>
      <c r="O8" t="n">
        <v>-90</v>
      </c>
      <c r="P8" t="n">
        <v>0</v>
      </c>
      <c r="Q8" t="inlineStr">
        <is>
          <t>his_note_adaptive</t>
        </is>
      </c>
      <c r="R8" t="n">
        <v>1</v>
      </c>
      <c r="S8" t="n">
        <v>0.5</v>
      </c>
      <c r="T8" t="n">
        <v>0.25</v>
      </c>
      <c r="U8" t="n">
        <v>-90</v>
      </c>
      <c r="V8" s="15" t="n">
        <v>20000</v>
      </c>
    </row>
    <row r="9">
      <c r="A9" t="inlineStr">
        <is>
          <t>F#4</t>
        </is>
      </c>
      <c r="B9" t="n">
        <v>66</v>
      </c>
      <c r="C9" s="15" t="n">
        <v>369.8973726855696</v>
      </c>
      <c r="D9" s="15" t="inlineStr">
        <is>
          <t>prior_constrained_harmonic_fit</t>
        </is>
      </c>
      <c r="E9" s="15" t="inlineStr">
        <is>
          <t>fit_accepted_acoustically_verified</t>
        </is>
      </c>
      <c r="F9" t="inlineStr">
        <is>
          <t>Tier_37</t>
        </is>
      </c>
      <c r="G9" t="inlineStr">
        <is>
          <t>adaptive_tier</t>
        </is>
      </c>
      <c r="H9" t="n">
        <v>4096</v>
      </c>
      <c r="I9" t="n">
        <v>512</v>
      </c>
      <c r="J9" t="n">
        <v>2</v>
      </c>
      <c r="K9" t="inlineStr">
        <is>
          <t>blackmanharris</t>
        </is>
      </c>
      <c r="L9" s="15" t="n">
        <v>9.6</v>
      </c>
      <c r="M9" t="n">
        <v>332.994980440471</v>
      </c>
      <c r="N9" t="n">
        <v>20000</v>
      </c>
      <c r="O9" t="n">
        <v>-90</v>
      </c>
      <c r="P9" t="n">
        <v>0</v>
      </c>
      <c r="Q9" t="inlineStr">
        <is>
          <t>his_note_adaptive</t>
        </is>
      </c>
      <c r="R9" t="n">
        <v>1</v>
      </c>
      <c r="S9" t="n">
        <v>0.5</v>
      </c>
      <c r="T9" t="n">
        <v>0.25</v>
      </c>
      <c r="U9" t="n">
        <v>-90</v>
      </c>
      <c r="V9" s="15" t="n">
        <v>20000</v>
      </c>
    </row>
    <row r="10">
      <c r="A10" t="inlineStr">
        <is>
          <t>G4</t>
        </is>
      </c>
      <c r="B10" t="n">
        <v>67</v>
      </c>
      <c r="C10" s="15" t="n">
        <v>392.021373878421</v>
      </c>
      <c r="D10" s="15" t="inlineStr">
        <is>
          <t>prior_constrained_harmonic_fit</t>
        </is>
      </c>
      <c r="E10" s="15" t="inlineStr">
        <is>
          <t>fit_accepted_acoustically_verified</t>
        </is>
      </c>
      <c r="F10" t="inlineStr">
        <is>
          <t>Tier_38</t>
        </is>
      </c>
      <c r="G10" t="inlineStr">
        <is>
          <t>adaptive_tier</t>
        </is>
      </c>
      <c r="H10" t="n">
        <v>4096</v>
      </c>
      <c r="I10" t="n">
        <v>512</v>
      </c>
      <c r="J10" t="n">
        <v>2</v>
      </c>
      <c r="K10" t="inlineStr">
        <is>
          <t>blackmanharris</t>
        </is>
      </c>
      <c r="L10" s="15" t="n">
        <v>9.800000000000001</v>
      </c>
      <c r="M10" t="n">
        <v>352.7958923835744</v>
      </c>
      <c r="N10" t="n">
        <v>20000</v>
      </c>
      <c r="O10" t="n">
        <v>-90</v>
      </c>
      <c r="P10" t="n">
        <v>0</v>
      </c>
      <c r="Q10" t="inlineStr">
        <is>
          <t>his_note_adaptive</t>
        </is>
      </c>
      <c r="R10" t="n">
        <v>1</v>
      </c>
      <c r="S10" t="n">
        <v>0.5</v>
      </c>
      <c r="T10" t="n">
        <v>0.25</v>
      </c>
      <c r="U10" t="n">
        <v>-90</v>
      </c>
      <c r="V10" s="15" t="n">
        <v>20000</v>
      </c>
    </row>
    <row r="11">
      <c r="A11" t="inlineStr">
        <is>
          <t>G#4</t>
        </is>
      </c>
      <c r="B11" t="n">
        <v>68</v>
      </c>
      <c r="C11" s="15" t="n">
        <v>415.1043136302681</v>
      </c>
      <c r="D11" s="15" t="inlineStr">
        <is>
          <t>prior_constrained_harmonic_fit</t>
        </is>
      </c>
      <c r="E11" s="15" t="inlineStr">
        <is>
          <t>fit_accepted_acoustically_verified</t>
        </is>
      </c>
      <c r="F11" t="inlineStr">
        <is>
          <t>Tier_39</t>
        </is>
      </c>
      <c r="G11" t="inlineStr">
        <is>
          <t>adaptive_tier</t>
        </is>
      </c>
      <c r="H11" t="n">
        <v>4096</v>
      </c>
      <c r="I11" t="n">
        <v>512</v>
      </c>
      <c r="J11" t="n">
        <v>2</v>
      </c>
      <c r="K11" t="inlineStr">
        <is>
          <t>blackmanharris</t>
        </is>
      </c>
      <c r="L11" s="15" t="n">
        <v>10</v>
      </c>
      <c r="M11" t="n">
        <v>373.7742278219506</v>
      </c>
      <c r="N11" t="n">
        <v>20000</v>
      </c>
      <c r="O11" t="n">
        <v>-90</v>
      </c>
      <c r="P11" t="n">
        <v>0</v>
      </c>
      <c r="Q11" t="inlineStr">
        <is>
          <t>his_note_adaptive</t>
        </is>
      </c>
      <c r="R11" t="n">
        <v>1</v>
      </c>
      <c r="S11" t="n">
        <v>0.5</v>
      </c>
      <c r="T11" t="n">
        <v>0.25</v>
      </c>
      <c r="U11" t="n">
        <v>-90</v>
      </c>
      <c r="V11" s="15" t="n">
        <v>20000</v>
      </c>
    </row>
    <row r="12">
      <c r="A12" t="inlineStr">
        <is>
          <t>A4</t>
        </is>
      </c>
      <c r="B12" t="n">
        <v>69</v>
      </c>
      <c r="C12" s="15" t="n">
        <v>440.2913267740533</v>
      </c>
      <c r="D12" s="15" t="inlineStr">
        <is>
          <t>prior_constrained_harmonic_fit</t>
        </is>
      </c>
      <c r="E12" s="15" t="inlineStr">
        <is>
          <t>fit_accepted_acoustically_verified</t>
        </is>
      </c>
      <c r="F12" t="inlineStr">
        <is>
          <t>Tier_40</t>
        </is>
      </c>
      <c r="G12" t="inlineStr">
        <is>
          <t>adaptive_tier</t>
        </is>
      </c>
      <c r="H12" t="n">
        <v>4096</v>
      </c>
      <c r="I12" t="n">
        <v>512</v>
      </c>
      <c r="J12" t="n">
        <v>2</v>
      </c>
      <c r="K12" t="inlineStr">
        <is>
          <t>blackmanharris</t>
        </is>
      </c>
      <c r="L12" s="15" t="n">
        <v>10.2</v>
      </c>
      <c r="M12" t="n">
        <v>396</v>
      </c>
      <c r="N12" t="n">
        <v>20000</v>
      </c>
      <c r="O12" t="n">
        <v>-90</v>
      </c>
      <c r="P12" t="n">
        <v>0</v>
      </c>
      <c r="Q12" t="inlineStr">
        <is>
          <t>his_note_adaptive</t>
        </is>
      </c>
      <c r="R12" t="n">
        <v>1</v>
      </c>
      <c r="S12" t="n">
        <v>0.5</v>
      </c>
      <c r="T12" t="n">
        <v>0.25</v>
      </c>
      <c r="U12" t="n">
        <v>-90</v>
      </c>
      <c r="V12" s="15" t="n">
        <v>20000</v>
      </c>
    </row>
    <row r="13">
      <c r="A13" t="inlineStr">
        <is>
          <t>A#4</t>
        </is>
      </c>
      <c r="B13" t="n">
        <v>70</v>
      </c>
      <c r="C13" s="15" t="n">
        <v>465.9880257075461</v>
      </c>
      <c r="D13" s="15" t="inlineStr">
        <is>
          <t>prior_constrained_harmonic_fit</t>
        </is>
      </c>
      <c r="E13" s="15" t="inlineStr">
        <is>
          <t>fit_accepted_acoustically_verified</t>
        </is>
      </c>
      <c r="F13" t="inlineStr">
        <is>
          <t>Tier_41</t>
        </is>
      </c>
      <c r="G13" t="inlineStr">
        <is>
          <t>adaptive_tier</t>
        </is>
      </c>
      <c r="H13" t="n">
        <v>4096</v>
      </c>
      <c r="I13" t="n">
        <v>512</v>
      </c>
      <c r="J13" t="n">
        <v>2</v>
      </c>
      <c r="K13" t="inlineStr">
        <is>
          <t>blackmanharris</t>
        </is>
      </c>
      <c r="L13" s="15" t="n">
        <v>10.4</v>
      </c>
      <c r="M13" t="n">
        <v>419.5473853662809</v>
      </c>
      <c r="N13" t="n">
        <v>20000</v>
      </c>
      <c r="O13" t="n">
        <v>-90</v>
      </c>
      <c r="P13" t="n">
        <v>0</v>
      </c>
      <c r="Q13" t="inlineStr">
        <is>
          <t>his_note_adaptive</t>
        </is>
      </c>
      <c r="R13" t="n">
        <v>1</v>
      </c>
      <c r="S13" t="n">
        <v>0.5</v>
      </c>
      <c r="T13" t="n">
        <v>0.25</v>
      </c>
      <c r="U13" t="n">
        <v>-90</v>
      </c>
      <c r="V13" s="15" t="n">
        <v>20000</v>
      </c>
    </row>
    <row r="14">
      <c r="A14" t="inlineStr">
        <is>
          <t>B4</t>
        </is>
      </c>
      <c r="B14" t="n">
        <v>71</v>
      </c>
      <c r="C14" s="15" t="n">
        <v>493.6230154221545</v>
      </c>
      <c r="D14" s="15" t="inlineStr">
        <is>
          <t>prior_constrained_harmonic_fit</t>
        </is>
      </c>
      <c r="E14" s="15" t="inlineStr">
        <is>
          <t>fit_accepted_acoustically_verified</t>
        </is>
      </c>
      <c r="F14" t="inlineStr">
        <is>
          <t>Tier_42</t>
        </is>
      </c>
      <c r="G14" t="inlineStr">
        <is>
          <t>adaptive_tier</t>
        </is>
      </c>
      <c r="H14" t="n">
        <v>4096</v>
      </c>
      <c r="I14" t="n">
        <v>512</v>
      </c>
      <c r="J14" t="n">
        <v>2</v>
      </c>
      <c r="K14" t="inlineStr">
        <is>
          <t>blackmanharris</t>
        </is>
      </c>
      <c r="L14" s="15" t="n">
        <v>10.6</v>
      </c>
      <c r="M14" t="n">
        <v>444.4949711305117</v>
      </c>
      <c r="N14" t="n">
        <v>20000</v>
      </c>
      <c r="O14" t="n">
        <v>-90</v>
      </c>
      <c r="P14" t="n">
        <v>0</v>
      </c>
      <c r="Q14" t="inlineStr">
        <is>
          <t>his_note_adaptive</t>
        </is>
      </c>
      <c r="R14" t="n">
        <v>1</v>
      </c>
      <c r="S14" t="n">
        <v>0.5</v>
      </c>
      <c r="T14" t="n">
        <v>0.25</v>
      </c>
      <c r="U14" t="n">
        <v>-90</v>
      </c>
      <c r="V14" s="15" t="n">
        <v>20000</v>
      </c>
    </row>
    <row r="15">
      <c r="A15" t="inlineStr">
        <is>
          <t>C5</t>
        </is>
      </c>
      <c r="B15" t="n">
        <v>72</v>
      </c>
      <c r="C15" s="15" t="n">
        <v>522.8194509578135</v>
      </c>
      <c r="D15" s="15" t="inlineStr">
        <is>
          <t>prior_constrained_harmonic_fit</t>
        </is>
      </c>
      <c r="E15" s="15" t="inlineStr">
        <is>
          <t>fit_accepted_acoustically_verified</t>
        </is>
      </c>
      <c r="F15" t="inlineStr">
        <is>
          <t>Tier_43</t>
        </is>
      </c>
      <c r="G15" t="inlineStr">
        <is>
          <t>adaptive_tier</t>
        </is>
      </c>
      <c r="H15" t="n">
        <v>2048</v>
      </c>
      <c r="I15" t="n">
        <v>256</v>
      </c>
      <c r="J15" t="n">
        <v>2</v>
      </c>
      <c r="K15" t="inlineStr">
        <is>
          <t>blackmanharris</t>
        </is>
      </c>
      <c r="L15" s="15" t="n">
        <v>10.8</v>
      </c>
      <c r="M15" t="n">
        <v>470.9260175410776</v>
      </c>
      <c r="N15" t="n">
        <v>20000</v>
      </c>
      <c r="O15" t="n">
        <v>-90</v>
      </c>
      <c r="P15" t="n">
        <v>0</v>
      </c>
      <c r="Q15" t="inlineStr">
        <is>
          <t>his_note_adaptive</t>
        </is>
      </c>
      <c r="R15" t="n">
        <v>1</v>
      </c>
      <c r="S15" t="n">
        <v>0.5</v>
      </c>
      <c r="T15" t="n">
        <v>0.25</v>
      </c>
      <c r="U15" t="n">
        <v>-90</v>
      </c>
      <c r="V15" s="15" t="n">
        <v>20000</v>
      </c>
    </row>
    <row r="16">
      <c r="A16" t="inlineStr">
        <is>
          <t>C#5</t>
        </is>
      </c>
      <c r="B16" t="n">
        <v>73</v>
      </c>
      <c r="C16" s="15" t="n">
        <v>554.8388189059065</v>
      </c>
      <c r="D16" s="15" t="inlineStr">
        <is>
          <t>prior_constrained_harmonic_fit</t>
        </is>
      </c>
      <c r="E16" s="15" t="inlineStr">
        <is>
          <t>fit_accepted_acoustically_verified</t>
        </is>
      </c>
      <c r="F16" t="inlineStr">
        <is>
          <t>Tier_44</t>
        </is>
      </c>
      <c r="G16" t="inlineStr">
        <is>
          <t>adaptive_tier</t>
        </is>
      </c>
      <c r="H16" t="n">
        <v>2048</v>
      </c>
      <c r="I16" t="n">
        <v>256</v>
      </c>
      <c r="J16" t="n">
        <v>2</v>
      </c>
      <c r="K16" t="inlineStr">
        <is>
          <t>blackmanharris</t>
        </is>
      </c>
      <c r="L16" s="15" t="n">
        <v>11</v>
      </c>
      <c r="M16" t="n">
        <v>498.9287357583697</v>
      </c>
      <c r="N16" t="n">
        <v>20000</v>
      </c>
      <c r="O16" t="n">
        <v>-90</v>
      </c>
      <c r="P16" t="n">
        <v>0</v>
      </c>
      <c r="Q16" t="inlineStr">
        <is>
          <t>his_note_adaptive</t>
        </is>
      </c>
      <c r="R16" t="n">
        <v>1</v>
      </c>
      <c r="S16" t="n">
        <v>0.5</v>
      </c>
      <c r="T16" t="n">
        <v>0.25</v>
      </c>
      <c r="U16" t="n">
        <v>-90</v>
      </c>
      <c r="V16" s="15" t="n">
        <v>20000</v>
      </c>
    </row>
    <row r="17">
      <c r="A17" t="inlineStr">
        <is>
          <t>D5</t>
        </is>
      </c>
      <c r="B17" t="n">
        <v>74</v>
      </c>
      <c r="C17" s="15" t="n">
        <v>587.7859424242033</v>
      </c>
      <c r="D17" s="15" t="inlineStr">
        <is>
          <t>prior_constrained_harmonic_fit</t>
        </is>
      </c>
      <c r="E17" s="15" t="inlineStr">
        <is>
          <t>fit_accepted_acoustically_verified</t>
        </is>
      </c>
      <c r="F17" t="inlineStr">
        <is>
          <t>Tier_45</t>
        </is>
      </c>
      <c r="G17" t="inlineStr">
        <is>
          <t>adaptive_tier</t>
        </is>
      </c>
      <c r="H17" t="n">
        <v>2048</v>
      </c>
      <c r="I17" t="n">
        <v>256</v>
      </c>
      <c r="J17" t="n">
        <v>2</v>
      </c>
      <c r="K17" t="inlineStr">
        <is>
          <t>blackmanharris</t>
        </is>
      </c>
      <c r="L17" s="15" t="n">
        <v>11.2</v>
      </c>
      <c r="M17" t="n">
        <v>528.5965822513336</v>
      </c>
      <c r="N17" t="n">
        <v>20000</v>
      </c>
      <c r="O17" t="n">
        <v>-90</v>
      </c>
      <c r="P17" t="n">
        <v>0</v>
      </c>
      <c r="Q17" t="inlineStr">
        <is>
          <t>his_note_adaptive</t>
        </is>
      </c>
      <c r="R17" t="n">
        <v>1</v>
      </c>
      <c r="S17" t="n">
        <v>0.5</v>
      </c>
      <c r="T17" t="n">
        <v>0.25</v>
      </c>
      <c r="U17" t="n">
        <v>-90</v>
      </c>
      <c r="V17" s="15" t="n">
        <v>20000</v>
      </c>
    </row>
    <row r="18">
      <c r="A18" t="inlineStr">
        <is>
          <t>D#5</t>
        </is>
      </c>
      <c r="B18" t="n">
        <v>75</v>
      </c>
      <c r="C18" s="15" t="n">
        <v>621.0148968930504</v>
      </c>
      <c r="D18" s="15" t="inlineStr">
        <is>
          <t>prior_constrained_harmonic_fit</t>
        </is>
      </c>
      <c r="E18" s="15" t="inlineStr">
        <is>
          <t>fit_accepted_acoustically_verified</t>
        </is>
      </c>
      <c r="F18" t="inlineStr">
        <is>
          <t>Tier_47</t>
        </is>
      </c>
      <c r="G18" t="inlineStr">
        <is>
          <t>adaptive_tier</t>
        </is>
      </c>
      <c r="H18" t="n">
        <v>2048</v>
      </c>
      <c r="I18" t="n">
        <v>256</v>
      </c>
      <c r="J18" t="n">
        <v>2</v>
      </c>
      <c r="K18" t="inlineStr">
        <is>
          <t>blackmanharris</t>
        </is>
      </c>
      <c r="L18" s="15" t="n">
        <v>11.6</v>
      </c>
      <c r="M18" t="n">
        <v>560.0285706997457</v>
      </c>
      <c r="N18" t="n">
        <v>20000</v>
      </c>
      <c r="O18" t="n">
        <v>-90</v>
      </c>
      <c r="P18" t="n">
        <v>0</v>
      </c>
      <c r="Q18" t="inlineStr">
        <is>
          <t>his_note_adaptive</t>
        </is>
      </c>
      <c r="R18" t="n">
        <v>1</v>
      </c>
      <c r="S18" t="n">
        <v>0.5</v>
      </c>
      <c r="T18" t="n">
        <v>0.25</v>
      </c>
      <c r="U18" t="n">
        <v>-90</v>
      </c>
      <c r="V18" s="15" t="n">
        <v>20000</v>
      </c>
    </row>
    <row r="19">
      <c r="A19" t="inlineStr">
        <is>
          <t>E5</t>
        </is>
      </c>
      <c r="B19" t="n">
        <v>76</v>
      </c>
      <c r="C19" s="15" t="n">
        <v>658.8862061485206</v>
      </c>
      <c r="D19" s="15" t="inlineStr">
        <is>
          <t>prior_constrained_harmonic_fit</t>
        </is>
      </c>
      <c r="E19" s="15" t="inlineStr">
        <is>
          <t>fit_accepted_acoustically_verified</t>
        </is>
      </c>
      <c r="F19" t="inlineStr">
        <is>
          <t>Tier_47</t>
        </is>
      </c>
      <c r="G19" t="inlineStr">
        <is>
          <t>adaptive_tier</t>
        </is>
      </c>
      <c r="H19" t="n">
        <v>2048</v>
      </c>
      <c r="I19" t="n">
        <v>256</v>
      </c>
      <c r="J19" t="n">
        <v>2</v>
      </c>
      <c r="K19" t="inlineStr">
        <is>
          <t>blackmanharris</t>
        </is>
      </c>
      <c r="L19" s="15" t="n">
        <v>11.6</v>
      </c>
      <c r="M19" t="n">
        <v>593.3296024431659</v>
      </c>
      <c r="N19" t="n">
        <v>20000</v>
      </c>
      <c r="O19" t="n">
        <v>-90</v>
      </c>
      <c r="P19" t="n">
        <v>0</v>
      </c>
      <c r="Q19" t="inlineStr">
        <is>
          <t>his_note_adaptive</t>
        </is>
      </c>
      <c r="R19" t="n">
        <v>1</v>
      </c>
      <c r="S19" t="n">
        <v>0.5</v>
      </c>
      <c r="T19" t="n">
        <v>0.25</v>
      </c>
      <c r="U19" t="n">
        <v>-90</v>
      </c>
      <c r="V19" s="15" t="n">
        <v>20000</v>
      </c>
    </row>
    <row r="20">
      <c r="A20" t="inlineStr">
        <is>
          <t>F5</t>
        </is>
      </c>
      <c r="B20" t="n">
        <v>77</v>
      </c>
      <c r="C20" s="15" t="n">
        <v>702.5515072212726</v>
      </c>
      <c r="D20" s="15" t="inlineStr">
        <is>
          <t>prior_constrained_harmonic_fit</t>
        </is>
      </c>
      <c r="E20" s="15" t="inlineStr">
        <is>
          <t>fit_accepted_acoustically_verified</t>
        </is>
      </c>
      <c r="F20" t="inlineStr">
        <is>
          <t>Tier_48</t>
        </is>
      </c>
      <c r="G20" t="inlineStr">
        <is>
          <t>adaptive_tier</t>
        </is>
      </c>
      <c r="H20" t="n">
        <v>2048</v>
      </c>
      <c r="I20" t="n">
        <v>256</v>
      </c>
      <c r="J20" t="n">
        <v>2</v>
      </c>
      <c r="K20" t="inlineStr">
        <is>
          <t>blackmanharris</t>
        </is>
      </c>
      <c r="L20" s="15" t="n">
        <v>11.8</v>
      </c>
      <c r="M20" t="n">
        <v>628.610816579407</v>
      </c>
      <c r="N20" t="n">
        <v>20000</v>
      </c>
      <c r="O20" t="n">
        <v>-90</v>
      </c>
      <c r="P20" t="n">
        <v>0</v>
      </c>
      <c r="Q20" t="inlineStr">
        <is>
          <t>his_note_adaptive</t>
        </is>
      </c>
      <c r="R20" t="n">
        <v>1</v>
      </c>
      <c r="S20" t="n">
        <v>0.5</v>
      </c>
      <c r="T20" t="n">
        <v>0.25</v>
      </c>
      <c r="U20" t="n">
        <v>-90</v>
      </c>
      <c r="V20" s="15" t="n">
        <v>20000</v>
      </c>
    </row>
    <row r="21">
      <c r="A21" t="inlineStr">
        <is>
          <t>F#5</t>
        </is>
      </c>
      <c r="B21" t="n">
        <v>78</v>
      </c>
      <c r="C21" s="15" t="n">
        <v>739.9867507417462</v>
      </c>
      <c r="D21" s="15" t="inlineStr">
        <is>
          <t>prior_constrained_harmonic_fit</t>
        </is>
      </c>
      <c r="E21" s="15" t="inlineStr">
        <is>
          <t>fit_accepted_acoustically_verified</t>
        </is>
      </c>
      <c r="F21" t="inlineStr">
        <is>
          <t>Tier_49</t>
        </is>
      </c>
      <c r="G21" t="inlineStr">
        <is>
          <t>adaptive_tier</t>
        </is>
      </c>
      <c r="H21" t="n">
        <v>2048</v>
      </c>
      <c r="I21" t="n">
        <v>256</v>
      </c>
      <c r="J21" t="n">
        <v>2</v>
      </c>
      <c r="K21" t="inlineStr">
        <is>
          <t>blackmanharris</t>
        </is>
      </c>
      <c r="L21" s="15" t="n">
        <v>12</v>
      </c>
      <c r="M21" t="n">
        <v>665.9899608809419</v>
      </c>
      <c r="N21" t="n">
        <v>20000</v>
      </c>
      <c r="O21" t="n">
        <v>-90</v>
      </c>
      <c r="P21" t="n">
        <v>0</v>
      </c>
      <c r="Q21" t="inlineStr">
        <is>
          <t>his_note_adaptive</t>
        </is>
      </c>
      <c r="R21" t="n">
        <v>1</v>
      </c>
      <c r="S21" t="n">
        <v>0.5</v>
      </c>
      <c r="T21" t="n">
        <v>0.25</v>
      </c>
      <c r="U21" t="n">
        <v>-90</v>
      </c>
      <c r="V21" s="15" t="n">
        <v>20000</v>
      </c>
    </row>
    <row r="22">
      <c r="A22" t="inlineStr">
        <is>
          <t>G5</t>
        </is>
      </c>
      <c r="B22" t="n">
        <v>79</v>
      </c>
      <c r="C22" s="15" t="n">
        <v>784.4321875977005</v>
      </c>
      <c r="D22" s="15" t="inlineStr">
        <is>
          <t>prior_constrained_harmonic_fit</t>
        </is>
      </c>
      <c r="E22" s="15" t="inlineStr">
        <is>
          <t>fit_accepted_acoustically_verified</t>
        </is>
      </c>
      <c r="F22" t="inlineStr">
        <is>
          <t>Tier_50</t>
        </is>
      </c>
      <c r="G22" t="inlineStr">
        <is>
          <t>adaptive_tier</t>
        </is>
      </c>
      <c r="H22" t="n">
        <v>2048</v>
      </c>
      <c r="I22" t="n">
        <v>256</v>
      </c>
      <c r="J22" t="n">
        <v>2</v>
      </c>
      <c r="K22" t="inlineStr">
        <is>
          <t>blackmanharris</t>
        </is>
      </c>
      <c r="L22" s="15" t="n">
        <v>12.2</v>
      </c>
      <c r="M22" t="n">
        <v>705.5917847671487</v>
      </c>
      <c r="N22" t="n">
        <v>20000</v>
      </c>
      <c r="O22" t="n">
        <v>-90</v>
      </c>
      <c r="P22" t="n">
        <v>0</v>
      </c>
      <c r="Q22" t="inlineStr">
        <is>
          <t>his_note_adaptive</t>
        </is>
      </c>
      <c r="R22" t="n">
        <v>1</v>
      </c>
      <c r="S22" t="n">
        <v>0.5</v>
      </c>
      <c r="T22" t="n">
        <v>0.25</v>
      </c>
      <c r="U22" t="n">
        <v>-90</v>
      </c>
      <c r="V22" s="15" t="n">
        <v>20000</v>
      </c>
    </row>
    <row r="23">
      <c r="A23" t="inlineStr">
        <is>
          <t>G#5</t>
        </is>
      </c>
      <c r="B23" t="n">
        <v>80</v>
      </c>
      <c r="C23" s="15" t="n">
        <v>831.4971896904758</v>
      </c>
      <c r="D23" s="15" t="inlineStr">
        <is>
          <t>prior_constrained_harmonic_fit</t>
        </is>
      </c>
      <c r="E23" s="15" t="inlineStr">
        <is>
          <t>fit_accepted_acoustically_verified</t>
        </is>
      </c>
      <c r="F23" t="inlineStr">
        <is>
          <t>Tier_51</t>
        </is>
      </c>
      <c r="G23" t="inlineStr">
        <is>
          <t>adaptive_tier</t>
        </is>
      </c>
      <c r="H23" t="n">
        <v>2048</v>
      </c>
      <c r="I23" t="n">
        <v>256</v>
      </c>
      <c r="J23" t="n">
        <v>2</v>
      </c>
      <c r="K23" t="inlineStr">
        <is>
          <t>blackmanharris</t>
        </is>
      </c>
      <c r="L23" s="15" t="n">
        <v>12.4</v>
      </c>
      <c r="M23" t="n">
        <v>747.5484556439012</v>
      </c>
      <c r="N23" t="n">
        <v>20000</v>
      </c>
      <c r="O23" t="n">
        <v>-90</v>
      </c>
      <c r="P23" t="n">
        <v>0</v>
      </c>
      <c r="Q23" t="inlineStr">
        <is>
          <t>his_note_adaptive</t>
        </is>
      </c>
      <c r="R23" t="n">
        <v>1</v>
      </c>
      <c r="S23" t="n">
        <v>0.5</v>
      </c>
      <c r="T23" t="n">
        <v>0.25</v>
      </c>
      <c r="U23" t="n">
        <v>-90</v>
      </c>
      <c r="V23" s="15" t="n">
        <v>20000</v>
      </c>
    </row>
    <row r="24">
      <c r="A24" t="inlineStr">
        <is>
          <t>A5</t>
        </is>
      </c>
      <c r="B24" t="n">
        <v>81</v>
      </c>
      <c r="C24" s="15" t="n">
        <v>878.7667450653453</v>
      </c>
      <c r="D24" s="15" t="inlineStr">
        <is>
          <t>prior_constrained_harmonic_fit</t>
        </is>
      </c>
      <c r="E24" s="15" t="inlineStr">
        <is>
          <t>fit_accepted_acoustically_verified</t>
        </is>
      </c>
      <c r="F24" t="inlineStr">
        <is>
          <t>Tier_52</t>
        </is>
      </c>
      <c r="G24" t="inlineStr">
        <is>
          <t>adaptive_tier</t>
        </is>
      </c>
      <c r="H24" t="n">
        <v>2048</v>
      </c>
      <c r="I24" t="n">
        <v>256</v>
      </c>
      <c r="J24" t="n">
        <v>2</v>
      </c>
      <c r="K24" t="inlineStr">
        <is>
          <t>blackmanharris</t>
        </is>
      </c>
      <c r="L24" s="15" t="n">
        <v>12.975</v>
      </c>
      <c r="M24" t="n">
        <v>792</v>
      </c>
      <c r="N24" t="n">
        <v>20000</v>
      </c>
      <c r="O24" t="n">
        <v>-90</v>
      </c>
      <c r="P24" t="n">
        <v>0</v>
      </c>
      <c r="Q24" t="inlineStr">
        <is>
          <t>his_note_adaptive</t>
        </is>
      </c>
      <c r="R24" t="n">
        <v>1</v>
      </c>
      <c r="S24" t="n">
        <v>0.5</v>
      </c>
      <c r="T24" t="n">
        <v>0.25</v>
      </c>
      <c r="U24" t="n">
        <v>-90</v>
      </c>
      <c r="V24" s="15" t="n">
        <v>20000</v>
      </c>
    </row>
    <row r="25">
      <c r="A25" t="inlineStr">
        <is>
          <t>A#5</t>
        </is>
      </c>
      <c r="B25" t="n">
        <v>82</v>
      </c>
      <c r="C25" s="15" t="n">
        <v>933.3958643516489</v>
      </c>
      <c r="D25" s="15" t="inlineStr">
        <is>
          <t>prior_constrained_harmonic_fit</t>
        </is>
      </c>
      <c r="E25" s="15" t="inlineStr">
        <is>
          <t>fit_accepted_acoustically_verified</t>
        </is>
      </c>
      <c r="F25" t="inlineStr">
        <is>
          <t>Tier_53</t>
        </is>
      </c>
      <c r="G25" t="inlineStr">
        <is>
          <t>adaptive_tier</t>
        </is>
      </c>
      <c r="H25" t="n">
        <v>2048</v>
      </c>
      <c r="I25" t="n">
        <v>256</v>
      </c>
      <c r="J25" t="n">
        <v>2</v>
      </c>
      <c r="K25" t="inlineStr">
        <is>
          <t>blackmanharris</t>
        </is>
      </c>
      <c r="L25" s="15" t="n">
        <v>13.8</v>
      </c>
      <c r="M25" t="n">
        <v>839.0947707325619</v>
      </c>
      <c r="N25" t="n">
        <v>20000</v>
      </c>
      <c r="O25" t="n">
        <v>-90</v>
      </c>
      <c r="P25" t="n">
        <v>0</v>
      </c>
      <c r="Q25" t="inlineStr">
        <is>
          <t>his_note_adaptive</t>
        </is>
      </c>
      <c r="R25" t="n">
        <v>1</v>
      </c>
      <c r="S25" t="n">
        <v>0.5</v>
      </c>
      <c r="T25" t="n">
        <v>0.25</v>
      </c>
      <c r="U25" t="n">
        <v>-90</v>
      </c>
      <c r="V25" s="15" t="n">
        <v>20000</v>
      </c>
    </row>
    <row r="26">
      <c r="A26" t="inlineStr">
        <is>
          <t>B5</t>
        </is>
      </c>
      <c r="B26" t="n">
        <v>83</v>
      </c>
      <c r="C26" s="15" t="n">
        <v>991.0466905009614</v>
      </c>
      <c r="D26" s="15" t="inlineStr">
        <is>
          <t>prior_constrained_harmonic_fit</t>
        </is>
      </c>
      <c r="E26" s="15" t="inlineStr">
        <is>
          <t>fit_accepted_acoustically_verified</t>
        </is>
      </c>
      <c r="F26" t="inlineStr">
        <is>
          <t>Tier_54</t>
        </is>
      </c>
      <c r="G26" t="inlineStr">
        <is>
          <t>adaptive_tier</t>
        </is>
      </c>
      <c r="H26" t="n">
        <v>2048</v>
      </c>
      <c r="I26" t="n">
        <v>256</v>
      </c>
      <c r="J26" t="n">
        <v>2</v>
      </c>
      <c r="K26" t="inlineStr">
        <is>
          <t>blackmanharris</t>
        </is>
      </c>
      <c r="L26" s="15" t="n">
        <v>14.625</v>
      </c>
      <c r="M26" t="n">
        <v>888.9899422610234</v>
      </c>
      <c r="N26" t="n">
        <v>20000</v>
      </c>
      <c r="O26" t="n">
        <v>-90</v>
      </c>
      <c r="P26" t="n">
        <v>0</v>
      </c>
      <c r="Q26" t="inlineStr">
        <is>
          <t>his_note_adaptive</t>
        </is>
      </c>
      <c r="R26" t="n">
        <v>1</v>
      </c>
      <c r="S26" t="n">
        <v>0.5</v>
      </c>
      <c r="T26" t="n">
        <v>0.25</v>
      </c>
      <c r="U26" t="n">
        <v>-90</v>
      </c>
      <c r="V26" s="15" t="n">
        <v>20000</v>
      </c>
    </row>
    <row r="27">
      <c r="A27" t="inlineStr">
        <is>
          <t>C6</t>
        </is>
      </c>
      <c r="B27" t="n">
        <v>84</v>
      </c>
      <c r="C27" s="15" t="n">
        <v>1048.295072261561</v>
      </c>
      <c r="D27" s="15" t="inlineStr">
        <is>
          <t>prior_constrained_harmonic_fit</t>
        </is>
      </c>
      <c r="E27" s="15" t="inlineStr">
        <is>
          <t>fit_accepted_acoustically_verified</t>
        </is>
      </c>
      <c r="F27" t="inlineStr">
        <is>
          <t>Tier_55</t>
        </is>
      </c>
      <c r="G27" t="inlineStr">
        <is>
          <t>adaptive_tier</t>
        </is>
      </c>
      <c r="H27" t="n">
        <v>2048</v>
      </c>
      <c r="I27" t="n">
        <v>256</v>
      </c>
      <c r="J27" t="n">
        <v>2</v>
      </c>
      <c r="K27" t="inlineStr">
        <is>
          <t>blackmanharris</t>
        </is>
      </c>
      <c r="L27" s="15" t="n">
        <v>15.525</v>
      </c>
      <c r="M27" t="n">
        <v>941.8520350821551</v>
      </c>
      <c r="N27" t="n">
        <v>20000</v>
      </c>
      <c r="O27" t="n">
        <v>-90</v>
      </c>
      <c r="P27" t="n">
        <v>0</v>
      </c>
      <c r="Q27" t="inlineStr">
        <is>
          <t>his_note_adaptive</t>
        </is>
      </c>
      <c r="R27" t="n">
        <v>1</v>
      </c>
      <c r="S27" t="n">
        <v>0.5</v>
      </c>
      <c r="T27" t="n">
        <v>0.25</v>
      </c>
      <c r="U27" t="n">
        <v>-90</v>
      </c>
      <c r="V27" s="15" t="n">
        <v>20000</v>
      </c>
    </row>
    <row r="28">
      <c r="A28" t="inlineStr">
        <is>
          <t>C#6</t>
        </is>
      </c>
      <c r="B28" t="n">
        <v>85</v>
      </c>
      <c r="C28" s="15" t="n">
        <v>1108.705557640411</v>
      </c>
      <c r="D28" s="15" t="inlineStr">
        <is>
          <t>prior_constrained_harmonic_fit</t>
        </is>
      </c>
      <c r="E28" s="15" t="inlineStr">
        <is>
          <t>fit_accepted_acoustically_verified</t>
        </is>
      </c>
      <c r="F28" t="inlineStr">
        <is>
          <t>Tier_56</t>
        </is>
      </c>
      <c r="G28" t="inlineStr">
        <is>
          <t>adaptive_tier</t>
        </is>
      </c>
      <c r="H28" t="n">
        <v>2048</v>
      </c>
      <c r="I28" t="n">
        <v>256</v>
      </c>
      <c r="J28" t="n">
        <v>2</v>
      </c>
      <c r="K28" t="inlineStr">
        <is>
          <t>blackmanharris</t>
        </is>
      </c>
      <c r="L28" s="15" t="n">
        <v>16.575</v>
      </c>
      <c r="M28" t="n">
        <v>997.8574715167395</v>
      </c>
      <c r="N28" t="n">
        <v>20000</v>
      </c>
      <c r="O28" t="n">
        <v>-90</v>
      </c>
      <c r="P28" t="n">
        <v>0</v>
      </c>
      <c r="Q28" t="inlineStr">
        <is>
          <t>his_note_adaptive</t>
        </is>
      </c>
      <c r="R28" t="n">
        <v>1</v>
      </c>
      <c r="S28" t="n">
        <v>0.5</v>
      </c>
      <c r="T28" t="n">
        <v>0.25</v>
      </c>
      <c r="U28" t="n">
        <v>-90</v>
      </c>
      <c r="V28" s="15" t="n">
        <v>20000</v>
      </c>
    </row>
    <row r="29">
      <c r="A29" t="inlineStr">
        <is>
          <t>D6</t>
        </is>
      </c>
      <c r="B29" t="n">
        <v>86</v>
      </c>
      <c r="C29" s="15" t="n">
        <v>1175.394439136516</v>
      </c>
      <c r="D29" s="15" t="inlineStr">
        <is>
          <t>prior_constrained_harmonic_fit</t>
        </is>
      </c>
      <c r="E29" s="15" t="inlineStr">
        <is>
          <t>fit_accepted_acoustically_verified</t>
        </is>
      </c>
      <c r="F29" t="inlineStr">
        <is>
          <t>Tier_57</t>
        </is>
      </c>
      <c r="G29" t="inlineStr">
        <is>
          <t>adaptive_tier</t>
        </is>
      </c>
      <c r="H29" t="n">
        <v>2048</v>
      </c>
      <c r="I29" t="n">
        <v>256</v>
      </c>
      <c r="J29" t="n">
        <v>2</v>
      </c>
      <c r="K29" t="inlineStr">
        <is>
          <t>blackmanharris</t>
        </is>
      </c>
      <c r="L29" s="15" t="n">
        <v>17.625</v>
      </c>
      <c r="M29" t="n">
        <v>1057.193164502667</v>
      </c>
      <c r="N29" t="n">
        <v>20000</v>
      </c>
      <c r="O29" t="n">
        <v>-90</v>
      </c>
      <c r="P29" t="n">
        <v>0</v>
      </c>
      <c r="Q29" t="inlineStr">
        <is>
          <t>his_note_adaptive</t>
        </is>
      </c>
      <c r="R29" t="n">
        <v>1</v>
      </c>
      <c r="S29" t="n">
        <v>0.5</v>
      </c>
      <c r="T29" t="n">
        <v>0.25</v>
      </c>
      <c r="U29" t="n">
        <v>-90</v>
      </c>
      <c r="V29" s="15" t="n">
        <v>20000</v>
      </c>
    </row>
    <row r="30">
      <c r="A30" t="inlineStr">
        <is>
          <t>D#6</t>
        </is>
      </c>
      <c r="B30" t="n">
        <v>87</v>
      </c>
      <c r="C30" s="15" t="n">
        <v>1245.053057264586</v>
      </c>
      <c r="D30" s="15" t="inlineStr">
        <is>
          <t>prior_constrained_harmonic_fit</t>
        </is>
      </c>
      <c r="E30" s="15" t="inlineStr">
        <is>
          <t>fit_accepted_acoustically_verified</t>
        </is>
      </c>
      <c r="F30" t="inlineStr">
        <is>
          <t>Tier_58</t>
        </is>
      </c>
      <c r="G30" t="inlineStr">
        <is>
          <t>adaptive_tier</t>
        </is>
      </c>
      <c r="H30" t="n">
        <v>2048</v>
      </c>
      <c r="I30" t="n">
        <v>256</v>
      </c>
      <c r="J30" t="n">
        <v>2</v>
      </c>
      <c r="K30" t="inlineStr">
        <is>
          <t>blackmanharris</t>
        </is>
      </c>
      <c r="L30" s="15" t="n">
        <v>18.675</v>
      </c>
      <c r="M30" t="n">
        <v>1120.057141399491</v>
      </c>
      <c r="N30" t="n">
        <v>20000</v>
      </c>
      <c r="O30" t="n">
        <v>-90</v>
      </c>
      <c r="P30" t="n">
        <v>0</v>
      </c>
      <c r="Q30" t="inlineStr">
        <is>
          <t>his_note_adaptive</t>
        </is>
      </c>
      <c r="R30" t="n">
        <v>1</v>
      </c>
      <c r="S30" t="n">
        <v>0.5</v>
      </c>
      <c r="T30" t="n">
        <v>0.25</v>
      </c>
      <c r="U30" t="n">
        <v>-90</v>
      </c>
      <c r="V30" s="15" t="n">
        <v>20000</v>
      </c>
    </row>
    <row r="31">
      <c r="A31" t="inlineStr">
        <is>
          <t>E6</t>
        </is>
      </c>
      <c r="B31" t="n">
        <v>88</v>
      </c>
      <c r="C31" s="15" t="n">
        <v>1319.384384628971</v>
      </c>
      <c r="D31" s="15" t="inlineStr">
        <is>
          <t>prior_constrained_harmonic_fit</t>
        </is>
      </c>
      <c r="E31" s="15" t="inlineStr">
        <is>
          <t>fit_accepted_acoustically_verified</t>
        </is>
      </c>
      <c r="F31" t="inlineStr">
        <is>
          <t>Tier_59</t>
        </is>
      </c>
      <c r="G31" t="inlineStr">
        <is>
          <t>adaptive_tier</t>
        </is>
      </c>
      <c r="H31" t="n">
        <v>2048</v>
      </c>
      <c r="I31" t="n">
        <v>256</v>
      </c>
      <c r="J31" t="n">
        <v>2</v>
      </c>
      <c r="K31" t="inlineStr">
        <is>
          <t>blackmanharris</t>
        </is>
      </c>
      <c r="L31" s="15" t="n">
        <v>19.8</v>
      </c>
      <c r="M31" t="n">
        <v>1186.659204886332</v>
      </c>
      <c r="N31" t="n">
        <v>20000</v>
      </c>
      <c r="O31" t="n">
        <v>-90</v>
      </c>
      <c r="P31" t="n">
        <v>0</v>
      </c>
      <c r="Q31" t="inlineStr">
        <is>
          <t>his_note_adaptive</t>
        </is>
      </c>
      <c r="R31" t="n">
        <v>1</v>
      </c>
      <c r="S31" t="n">
        <v>0.5</v>
      </c>
      <c r="T31" t="n">
        <v>0.25</v>
      </c>
      <c r="U31" t="n">
        <v>-90</v>
      </c>
      <c r="V31" s="15" t="n">
        <v>20000</v>
      </c>
    </row>
    <row r="32">
      <c r="A32" t="inlineStr">
        <is>
          <t>F6</t>
        </is>
      </c>
      <c r="B32" t="n">
        <v>89</v>
      </c>
      <c r="C32" s="15" t="n">
        <v>1397.064680462639</v>
      </c>
      <c r="D32" s="15" t="inlineStr">
        <is>
          <t>prior_constrained_harmonic_fit</t>
        </is>
      </c>
      <c r="E32" s="15" t="inlineStr">
        <is>
          <t>fit_accepted_acoustically_verified</t>
        </is>
      </c>
      <c r="F32" t="inlineStr">
        <is>
          <t>Tier_60</t>
        </is>
      </c>
      <c r="G32" t="inlineStr">
        <is>
          <t>adaptive_tier</t>
        </is>
      </c>
      <c r="H32" t="n">
        <v>1024</v>
      </c>
      <c r="I32" t="n">
        <v>128</v>
      </c>
      <c r="J32" t="n">
        <v>2</v>
      </c>
      <c r="K32" t="inlineStr">
        <is>
          <t>blackmanharris</t>
        </is>
      </c>
      <c r="L32" s="15" t="n">
        <v>21.075</v>
      </c>
      <c r="M32" t="n">
        <v>1257.221633158814</v>
      </c>
      <c r="N32" t="n">
        <v>20000</v>
      </c>
      <c r="O32" t="n">
        <v>-90</v>
      </c>
      <c r="P32" t="n">
        <v>0</v>
      </c>
      <c r="Q32" t="inlineStr">
        <is>
          <t>his_note_adaptive</t>
        </is>
      </c>
      <c r="R32" t="n">
        <v>1</v>
      </c>
      <c r="S32" t="n">
        <v>0.5</v>
      </c>
      <c r="T32" t="n">
        <v>0.25</v>
      </c>
      <c r="U32" t="n">
        <v>-90</v>
      </c>
      <c r="V32" s="15" t="n">
        <v>20000</v>
      </c>
    </row>
    <row r="33">
      <c r="A33" t="inlineStr">
        <is>
          <t>F#6</t>
        </is>
      </c>
      <c r="B33" t="n">
        <v>90</v>
      </c>
      <c r="C33" s="15" t="n">
        <v>1478.502360863797</v>
      </c>
      <c r="D33" s="15" t="inlineStr">
        <is>
          <t>prior_constrained_harmonic_fit</t>
        </is>
      </c>
      <c r="E33" s="15" t="inlineStr">
        <is>
          <t>fit_accepted_acoustically_verified</t>
        </is>
      </c>
      <c r="F33" t="inlineStr">
        <is>
          <t>Tier_61</t>
        </is>
      </c>
      <c r="G33" t="inlineStr">
        <is>
          <t>adaptive_tier</t>
        </is>
      </c>
      <c r="H33" t="n">
        <v>1024</v>
      </c>
      <c r="I33" t="n">
        <v>128</v>
      </c>
      <c r="J33" t="n">
        <v>2</v>
      </c>
      <c r="K33" t="inlineStr">
        <is>
          <t>blackmanharris</t>
        </is>
      </c>
      <c r="L33" s="15" t="n">
        <v>22.5</v>
      </c>
      <c r="M33" t="n">
        <v>1331.979921761884</v>
      </c>
      <c r="N33" t="n">
        <v>20000</v>
      </c>
      <c r="O33" t="n">
        <v>-90</v>
      </c>
      <c r="P33" t="n">
        <v>0</v>
      </c>
      <c r="Q33" t="inlineStr">
        <is>
          <t>his_note_adaptive</t>
        </is>
      </c>
      <c r="R33" t="n">
        <v>1</v>
      </c>
      <c r="S33" t="n">
        <v>0.5</v>
      </c>
      <c r="T33" t="n">
        <v>0.25</v>
      </c>
      <c r="U33" t="n">
        <v>-90</v>
      </c>
      <c r="V33" s="15" t="n">
        <v>20000</v>
      </c>
    </row>
    <row r="34">
      <c r="A34" t="inlineStr">
        <is>
          <t>G6</t>
        </is>
      </c>
      <c r="B34" t="n">
        <v>91</v>
      </c>
      <c r="C34" s="15" t="n">
        <v>1568.842370032107</v>
      </c>
      <c r="D34" s="15" t="inlineStr">
        <is>
          <t>prior_constrained_harmonic_fit</t>
        </is>
      </c>
      <c r="E34" s="15" t="inlineStr">
        <is>
          <t>fit_accepted_acoustically_verified</t>
        </is>
      </c>
      <c r="F34" t="inlineStr">
        <is>
          <t>Tier_62</t>
        </is>
      </c>
      <c r="G34" t="inlineStr">
        <is>
          <t>adaptive_tier</t>
        </is>
      </c>
      <c r="H34" t="n">
        <v>1024</v>
      </c>
      <c r="I34" t="n">
        <v>128</v>
      </c>
      <c r="J34" t="n">
        <v>2</v>
      </c>
      <c r="K34" t="inlineStr">
        <is>
          <t>blackmanharris</t>
        </is>
      </c>
      <c r="L34" s="15" t="n">
        <v>24</v>
      </c>
      <c r="M34" t="n">
        <v>1411.183569534297</v>
      </c>
      <c r="N34" t="n">
        <v>20000</v>
      </c>
      <c r="O34" t="n">
        <v>-90</v>
      </c>
      <c r="P34" t="n">
        <v>0</v>
      </c>
      <c r="Q34" t="inlineStr">
        <is>
          <t>his_note_adaptive</t>
        </is>
      </c>
      <c r="R34" t="n">
        <v>1</v>
      </c>
      <c r="S34" t="n">
        <v>0.5</v>
      </c>
      <c r="T34" t="n">
        <v>0.25</v>
      </c>
      <c r="U34" t="n">
        <v>-90</v>
      </c>
      <c r="V34" s="15" t="n">
        <v>20000</v>
      </c>
    </row>
    <row r="35">
      <c r="A35" t="inlineStr">
        <is>
          <t>G#6</t>
        </is>
      </c>
      <c r="B35" t="n">
        <v>92</v>
      </c>
      <c r="C35" s="15" t="n">
        <v>1661.528284337554</v>
      </c>
      <c r="D35" s="15" t="inlineStr">
        <is>
          <t>prior_constrained_harmonic_fit</t>
        </is>
      </c>
      <c r="E35" s="15" t="inlineStr">
        <is>
          <t>fit_accepted_acoustically_verified</t>
        </is>
      </c>
      <c r="F35" t="inlineStr">
        <is>
          <t>Tier_63</t>
        </is>
      </c>
      <c r="G35" t="inlineStr">
        <is>
          <t>adaptive_tier</t>
        </is>
      </c>
      <c r="H35" t="n">
        <v>1024</v>
      </c>
      <c r="I35" t="n">
        <v>128</v>
      </c>
      <c r="J35" t="n">
        <v>2</v>
      </c>
      <c r="K35" t="inlineStr">
        <is>
          <t>blackmanharris</t>
        </is>
      </c>
      <c r="L35" s="15" t="n">
        <v>25.575</v>
      </c>
      <c r="M35" t="n">
        <v>1495.096911287802</v>
      </c>
      <c r="N35" t="n">
        <v>20000</v>
      </c>
      <c r="O35" t="n">
        <v>-90</v>
      </c>
      <c r="P35" t="n">
        <v>0</v>
      </c>
      <c r="Q35" t="inlineStr">
        <is>
          <t>his_note_adaptive</t>
        </is>
      </c>
      <c r="R35" t="n">
        <v>1</v>
      </c>
      <c r="S35" t="n">
        <v>0.5</v>
      </c>
      <c r="T35" t="n">
        <v>0.25</v>
      </c>
      <c r="U35" t="n">
        <v>-90</v>
      </c>
      <c r="V35" s="15" t="n">
        <v>20000</v>
      </c>
    </row>
    <row r="36">
      <c r="A36" t="inlineStr">
        <is>
          <t>A6</t>
        </is>
      </c>
      <c r="B36" t="n">
        <v>93</v>
      </c>
      <c r="C36" s="15" t="n">
        <v>1766.519323209072</v>
      </c>
      <c r="D36" s="15" t="inlineStr">
        <is>
          <t>prior_constrained_harmonic_fit</t>
        </is>
      </c>
      <c r="E36" s="15" t="inlineStr">
        <is>
          <t>fit_accepted_acoustically_verified</t>
        </is>
      </c>
      <c r="F36" t="inlineStr">
        <is>
          <t>Tier_64</t>
        </is>
      </c>
      <c r="G36" t="inlineStr">
        <is>
          <t>adaptive_tier</t>
        </is>
      </c>
      <c r="H36" t="n">
        <v>1024</v>
      </c>
      <c r="I36" t="n">
        <v>128</v>
      </c>
      <c r="J36" t="n">
        <v>2</v>
      </c>
      <c r="K36" t="inlineStr">
        <is>
          <t>blackmanharris</t>
        </is>
      </c>
      <c r="L36" s="15" t="n">
        <v>27.3</v>
      </c>
      <c r="M36" t="n">
        <v>1584</v>
      </c>
      <c r="N36" t="n">
        <v>20000</v>
      </c>
      <c r="O36" t="n">
        <v>-90</v>
      </c>
      <c r="P36" t="n">
        <v>0</v>
      </c>
      <c r="Q36" t="inlineStr">
        <is>
          <t>his_note_adaptive</t>
        </is>
      </c>
      <c r="R36" t="n">
        <v>1</v>
      </c>
      <c r="S36" t="n">
        <v>0.5</v>
      </c>
      <c r="T36" t="n">
        <v>0.25</v>
      </c>
      <c r="U36" t="n">
        <v>-90</v>
      </c>
      <c r="V36" s="15" t="n">
        <v>20000</v>
      </c>
    </row>
    <row r="37">
      <c r="A37" t="inlineStr">
        <is>
          <t>A#6</t>
        </is>
      </c>
      <c r="B37" t="n">
        <v>94</v>
      </c>
      <c r="C37" s="15" t="n">
        <v>1867.596399896791</v>
      </c>
      <c r="D37" s="15" t="inlineStr">
        <is>
          <t>prior_constrained_harmonic_fit</t>
        </is>
      </c>
      <c r="E37" s="15" t="inlineStr">
        <is>
          <t>fit_accepted_acoustically_verified</t>
        </is>
      </c>
      <c r="F37" t="inlineStr">
        <is>
          <t>Tier_64</t>
        </is>
      </c>
      <c r="G37" t="inlineStr">
        <is>
          <t>adaptive_tier</t>
        </is>
      </c>
      <c r="H37" t="n">
        <v>1024</v>
      </c>
      <c r="I37" t="n">
        <v>128</v>
      </c>
      <c r="J37" t="n">
        <v>2</v>
      </c>
      <c r="K37" t="inlineStr">
        <is>
          <t>blackmanharris</t>
        </is>
      </c>
      <c r="L37" s="15" t="n">
        <v>27.3</v>
      </c>
      <c r="M37" t="n">
        <v>1678.189541465124</v>
      </c>
      <c r="N37" t="n">
        <v>20000</v>
      </c>
      <c r="O37" t="n">
        <v>-90</v>
      </c>
      <c r="P37" t="n">
        <v>0</v>
      </c>
      <c r="Q37" t="inlineStr">
        <is>
          <t>his_note_adaptive</t>
        </is>
      </c>
      <c r="R37" t="n">
        <v>1</v>
      </c>
      <c r="S37" t="n">
        <v>0.5</v>
      </c>
      <c r="T37" t="n">
        <v>0.25</v>
      </c>
      <c r="U37" t="n">
        <v>-90</v>
      </c>
      <c r="V37" s="15" t="n">
        <v>20000</v>
      </c>
    </row>
    <row r="38">
      <c r="A38" t="inlineStr">
        <is>
          <t>B6</t>
        </is>
      </c>
      <c r="B38" t="n">
        <v>95</v>
      </c>
      <c r="C38" s="15" t="n">
        <v>1972.771711398326</v>
      </c>
      <c r="D38" s="15" t="inlineStr">
        <is>
          <t>prior_constrained_harmonic_fit</t>
        </is>
      </c>
      <c r="E38" s="15" t="inlineStr">
        <is>
          <t>fit_accepted_acoustically_verified</t>
        </is>
      </c>
      <c r="F38" t="inlineStr">
        <is>
          <t>Tier_65</t>
        </is>
      </c>
      <c r="G38" t="inlineStr">
        <is>
          <t>adaptive_tier</t>
        </is>
      </c>
      <c r="H38" t="n">
        <v>1024</v>
      </c>
      <c r="I38" t="n">
        <v>128</v>
      </c>
      <c r="J38" t="n">
        <v>2</v>
      </c>
      <c r="K38" t="inlineStr">
        <is>
          <t>blackmanharris</t>
        </is>
      </c>
      <c r="L38" s="15" t="n">
        <v>29.1</v>
      </c>
      <c r="M38" t="n">
        <v>1777.979884522046</v>
      </c>
      <c r="N38" t="n">
        <v>20000</v>
      </c>
      <c r="O38" t="n">
        <v>-90</v>
      </c>
      <c r="P38" t="n">
        <v>0</v>
      </c>
      <c r="Q38" t="inlineStr">
        <is>
          <t>his_note_adaptive</t>
        </is>
      </c>
      <c r="R38" t="n">
        <v>1</v>
      </c>
      <c r="S38" t="n">
        <v>0.5</v>
      </c>
      <c r="T38" t="n">
        <v>0.25</v>
      </c>
      <c r="U38" t="n">
        <v>-90</v>
      </c>
      <c r="V38" s="15" t="n">
        <v>20000</v>
      </c>
    </row>
    <row r="39">
      <c r="A39" t="inlineStr">
        <is>
          <t>C7</t>
        </is>
      </c>
      <c r="B39" t="n">
        <v>96</v>
      </c>
      <c r="C39" s="15" t="n">
        <v>2094.597929620281</v>
      </c>
      <c r="D39" s="15" t="inlineStr">
        <is>
          <t>prior_constrained_harmonic_fit</t>
        </is>
      </c>
      <c r="E39" s="15" t="inlineStr">
        <is>
          <t>fit_accepted_acoustically_verified</t>
        </is>
      </c>
      <c r="F39" t="inlineStr">
        <is>
          <t>Tier_66</t>
        </is>
      </c>
      <c r="G39" t="inlineStr">
        <is>
          <t>adaptive_tier</t>
        </is>
      </c>
      <c r="H39" t="n">
        <v>1024</v>
      </c>
      <c r="I39" t="n">
        <v>128</v>
      </c>
      <c r="J39" t="n">
        <v>2</v>
      </c>
      <c r="K39" t="inlineStr">
        <is>
          <t>blackmanharris</t>
        </is>
      </c>
      <c r="L39" s="15" t="n">
        <v>30.9</v>
      </c>
      <c r="M39" t="n">
        <v>1883.70407016431</v>
      </c>
      <c r="N39" t="n">
        <v>20000</v>
      </c>
      <c r="O39" t="n">
        <v>-90</v>
      </c>
      <c r="P39" t="n">
        <v>0</v>
      </c>
      <c r="Q39" t="inlineStr">
        <is>
          <t>his_note_adaptive</t>
        </is>
      </c>
      <c r="R39" t="n">
        <v>1</v>
      </c>
      <c r="S39" t="n">
        <v>0.5</v>
      </c>
      <c r="T39" t="n">
        <v>0.25</v>
      </c>
      <c r="U39" t="n">
        <v>-90</v>
      </c>
      <c r="V39" s="15" t="n">
        <v>20000</v>
      </c>
    </row>
    <row r="40">
      <c r="A40" t="inlineStr">
        <is>
          <t>C#7</t>
        </is>
      </c>
      <c r="B40" t="n">
        <v>97</v>
      </c>
      <c r="C40" s="15" t="n">
        <v>2215.301825040167</v>
      </c>
      <c r="D40" s="15" t="inlineStr">
        <is>
          <t>prior_constrained_harmonic_fit</t>
        </is>
      </c>
      <c r="E40" s="15" t="inlineStr">
        <is>
          <t>fit_accepted_acoustically_verified</t>
        </is>
      </c>
      <c r="F40" t="inlineStr">
        <is>
          <t>Tier_67</t>
        </is>
      </c>
      <c r="G40" t="inlineStr">
        <is>
          <t>adaptive_tier</t>
        </is>
      </c>
      <c r="H40" t="n">
        <v>1024</v>
      </c>
      <c r="I40" t="n">
        <v>128</v>
      </c>
      <c r="J40" t="n">
        <v>2</v>
      </c>
      <c r="K40" t="inlineStr">
        <is>
          <t>blackmanharris</t>
        </is>
      </c>
      <c r="L40" s="15" t="n">
        <v>32.775</v>
      </c>
      <c r="M40" t="n">
        <v>1995.714943033479</v>
      </c>
      <c r="N40" t="n">
        <v>20000</v>
      </c>
      <c r="O40" t="n">
        <v>-90</v>
      </c>
      <c r="P40" t="n">
        <v>0</v>
      </c>
      <c r="Q40" t="inlineStr">
        <is>
          <t>his_note_adaptive</t>
        </is>
      </c>
      <c r="R40" t="n">
        <v>1</v>
      </c>
      <c r="S40" t="n">
        <v>0.5</v>
      </c>
      <c r="T40" t="n">
        <v>0.25</v>
      </c>
      <c r="U40" t="n">
        <v>-90</v>
      </c>
      <c r="V40" s="15" t="n">
        <v>20000</v>
      </c>
    </row>
  </sheetData>
  <autoFilter ref="A1:V4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>
      <c r="A1" s="11" t="inlineStr">
        <is>
          <t>Field</t>
        </is>
      </c>
      <c r="B1" s="11" t="inlineStr">
        <is>
          <t>Value</t>
        </is>
      </c>
    </row>
    <row r="2">
      <c r="A2" t="inlineStr">
        <is>
          <t>source_corpus_path</t>
        </is>
      </c>
      <c r="B2" t="inlineStr">
        <is>
          <t>D:\METAIS\TROMBONE\IOWA-flute - test\IOWA_Flute_ff\_Sustains_Stable</t>
        </is>
      </c>
    </row>
    <row r="3">
      <c r="A3" t="inlineStr">
        <is>
          <t>output_path</t>
        </is>
      </c>
      <c r="B3" t="inlineStr">
        <is>
          <t>analysis_results</t>
        </is>
      </c>
    </row>
    <row r="4">
      <c r="A4" t="inlineStr">
        <is>
          <t>source_workbook_sha256</t>
        </is>
      </c>
      <c r="B4" t="inlineStr">
        <is>
          <t>28615e75c07be071db43f386a1a81e9e977238345b429fde916df2863caa266a</t>
        </is>
      </c>
    </row>
    <row r="5">
      <c r="A5" t="inlineStr">
        <is>
          <t>git_commit</t>
        </is>
      </c>
      <c r="B5" t="inlineStr">
        <is>
          <t>unavailable_not_a_git_repository</t>
        </is>
      </c>
    </row>
    <row r="6">
      <c r="A6" t="inlineStr">
        <is>
          <t>package_version</t>
        </is>
      </c>
      <c r="B6" t="inlineStr">
        <is>
          <t>4.1.0</t>
        </is>
      </c>
    </row>
    <row r="7">
      <c r="A7" t="inlineStr">
        <is>
          <t>code_commit</t>
        </is>
      </c>
      <c r="B7" t="inlineStr">
        <is>
          <t>6b0e51a</t>
        </is>
      </c>
    </row>
    <row r="8">
      <c r="A8" t="inlineStr">
        <is>
          <t>code_dirty</t>
        </is>
      </c>
      <c r="B8" t="b">
        <v>0</v>
      </c>
    </row>
    <row r="9">
      <c r="A9" t="inlineStr">
        <is>
          <t>git_status_reason</t>
        </is>
      </c>
      <c r="B9" t="inlineStr">
        <is>
          <t>not_a_git_repository</t>
        </is>
      </c>
    </row>
    <row r="10">
      <c r="A10" t="inlineStr">
        <is>
          <t>git_branch</t>
        </is>
      </c>
      <c r="B10" t="inlineStr">
        <is>
          <t>unavailable_not_recorded</t>
        </is>
      </c>
    </row>
    <row r="11">
      <c r="A11" t="inlineStr">
        <is>
          <t>research_export_created_at</t>
        </is>
      </c>
      <c r="B11" t="inlineStr">
        <is>
          <t>2026-08-19T17:08:23Z</t>
        </is>
      </c>
    </row>
    <row r="12">
      <c r="A12" t="inlineStr">
        <is>
          <t>research_export_script</t>
        </is>
      </c>
      <c r="B12" t="inlineStr">
        <is>
          <t>export_research_density_workbook.py</t>
        </is>
      </c>
    </row>
    <row r="13">
      <c r="A13" t="inlineStr">
        <is>
          <t>research_export_version</t>
        </is>
      </c>
      <c r="B13" t="inlineStr">
        <is>
          <t>1.1.3</t>
        </is>
      </c>
    </row>
    <row r="14">
      <c r="A14" t="inlineStr">
        <is>
          <t>pipeline_contract_version</t>
        </is>
      </c>
      <c r="B14" t="inlineStr">
        <is>
          <t>SSA_CANONICAL_PIPELINE_2026_06_STAGE1_STAGE2_STAGE3_EWSD_v18_1_UQ</t>
        </is>
      </c>
    </row>
    <row r="15">
      <c r="A15" t="inlineStr">
        <is>
          <t>analysis_schema_version</t>
        </is>
      </c>
      <c r="B15" t="inlineStr">
        <is>
          <t>unavailable_not_recorded</t>
        </is>
      </c>
    </row>
    <row r="16">
      <c r="A16" t="inlineStr">
        <is>
          <t>stage1_module</t>
        </is>
      </c>
      <c r="B16" t="inlineStr">
        <is>
          <t>proc_audio</t>
        </is>
      </c>
    </row>
    <row r="17">
      <c r="A17" t="inlineStr">
        <is>
          <t>stage1_class</t>
        </is>
      </c>
      <c r="B17" t="inlineStr">
        <is>
          <t>AudioProcessor</t>
        </is>
      </c>
    </row>
    <row r="18">
      <c r="A18" t="inlineStr">
        <is>
          <t>stage2_module</t>
        </is>
      </c>
      <c r="B18" t="inlineStr">
        <is>
          <t>compile_metrics</t>
        </is>
      </c>
    </row>
    <row r="19">
      <c r="A19" t="inlineStr">
        <is>
          <t>stage2_function</t>
        </is>
      </c>
      <c r="B19" t="inlineStr">
        <is>
          <t>compile_density_metrics_with_pca</t>
        </is>
      </c>
    </row>
    <row r="20">
      <c r="A20" t="inlineStr">
        <is>
          <t>compiled_from</t>
        </is>
      </c>
      <c r="B20" t="inlineStr">
        <is>
          <t>spectral_analysis.xlsx</t>
        </is>
      </c>
    </row>
    <row r="21">
      <c r="A21" t="inlineStr">
        <is>
          <t>accepted_input_engine</t>
        </is>
      </c>
      <c r="B21" t="inlineStr">
        <is>
          <t>proc_audio.AudioProcessor</t>
        </is>
      </c>
    </row>
    <row r="22">
      <c r="A22" t="inlineStr">
        <is>
          <t>legacy_pipeline_used</t>
        </is>
      </c>
      <c r="B22" t="n">
        <v>0</v>
      </c>
    </row>
    <row r="23">
      <c r="A23" t="inlineStr">
        <is>
          <t>legacy_super_json_allowed</t>
        </is>
      </c>
      <c r="B23" t="n">
        <v>0</v>
      </c>
    </row>
    <row r="24">
      <c r="A24" t="inlineStr">
        <is>
          <t>publication_output_allowed</t>
        </is>
      </c>
      <c r="B24" t="n">
        <v>1</v>
      </c>
    </row>
    <row r="25">
      <c r="A25" t="inlineStr">
        <is>
          <t>input_schema_validation_status</t>
        </is>
      </c>
      <c r="B25" t="inlineStr">
        <is>
          <t>gui_orchestrator_pipeline</t>
        </is>
      </c>
    </row>
    <row r="26">
      <c r="A26" t="inlineStr">
        <is>
          <t>weight_function</t>
        </is>
      </c>
      <c r="B26" t="inlineStr">
        <is>
          <t>log</t>
        </is>
      </c>
    </row>
    <row r="27">
      <c r="A27" t="inlineStr">
        <is>
          <t>window_type</t>
        </is>
      </c>
      <c r="B27" t="inlineStr">
        <is>
          <t>blackmanharris</t>
        </is>
      </c>
    </row>
    <row r="28">
      <c r="A28" t="inlineStr">
        <is>
          <t>n_fft_strategy_or_tier_strategy</t>
        </is>
      </c>
      <c r="B28" t="inlineStr">
        <is>
          <t>90_tier_granular</t>
        </is>
      </c>
    </row>
    <row r="29">
      <c r="A29" t="inlineStr">
        <is>
          <t>n_fft</t>
        </is>
      </c>
      <c r="B29" t="inlineStr">
        <is>
          <t>tier_dependent_see_Analysis_Settings_By_Note</t>
        </is>
      </c>
    </row>
    <row r="30">
      <c r="A30" t="inlineStr">
        <is>
          <t>hop_length_strategy_or_tier_strategy</t>
        </is>
      </c>
      <c r="B30" t="inlineStr">
        <is>
          <t>90_tier_granular</t>
        </is>
      </c>
    </row>
    <row r="31">
      <c r="A31" t="inlineStr">
        <is>
          <t>hop_length</t>
        </is>
      </c>
      <c r="B31" t="inlineStr">
        <is>
          <t>tier_dependent_see_Analysis_Settings_By_Note</t>
        </is>
      </c>
    </row>
    <row r="32">
      <c r="A32" t="inlineStr">
        <is>
          <t>zero_padding</t>
        </is>
      </c>
      <c r="B32" t="inlineStr">
        <is>
          <t>tier_dependent_see_Analysis_Settings_By_Note</t>
        </is>
      </c>
    </row>
    <row r="33">
      <c r="A33" t="inlineStr">
        <is>
          <t>harmonic_tolerance_strategy</t>
        </is>
      </c>
      <c r="B33" t="inlineStr">
        <is>
          <t>90_tier_granular</t>
        </is>
      </c>
    </row>
    <row r="34">
      <c r="A34" t="inlineStr">
        <is>
          <t>harmonic_tolerance</t>
        </is>
      </c>
      <c r="B34" t="inlineStr">
        <is>
          <t>tier_dependent_see_Analysis_Settings_By_Note</t>
        </is>
      </c>
    </row>
    <row r="35">
      <c r="A35" t="inlineStr">
        <is>
          <t>harmonic_tolerance_policy_version</t>
        </is>
      </c>
      <c r="B35" t="n">
        <v/>
      </c>
    </row>
    <row r="36">
      <c r="A36" t="inlineStr">
        <is>
          <t>harmonic_tolerance_spacing_cap_fraction</t>
        </is>
      </c>
      <c r="B36" t="n">
        <v/>
      </c>
    </row>
    <row r="37">
      <c r="A37" t="inlineStr">
        <is>
          <t>harmonic_body_stop_enabled</t>
        </is>
      </c>
      <c r="B37" t="n">
        <v/>
      </c>
    </row>
    <row r="38">
      <c r="A38" t="inlineStr">
        <is>
          <t>harmonic_body_stop_margin_db</t>
        </is>
      </c>
      <c r="B38" t="n">
        <v/>
      </c>
    </row>
    <row r="39">
      <c r="A39" t="inlineStr">
        <is>
          <t>density_ci_enabled</t>
        </is>
      </c>
      <c r="B39" t="n">
        <v/>
      </c>
    </row>
    <row r="40">
      <c r="A40" t="inlineStr">
        <is>
          <t>frequency_min_hz</t>
        </is>
      </c>
      <c r="B40" t="inlineStr">
        <is>
          <t>unknown_not_parseable</t>
        </is>
      </c>
    </row>
    <row r="41">
      <c r="A41" t="inlineStr">
        <is>
          <t>frequency_max_hz</t>
        </is>
      </c>
      <c r="B41" t="inlineStr">
        <is>
          <t>unknown_not_parseable</t>
        </is>
      </c>
    </row>
    <row r="42">
      <c r="A42" t="inlineStr">
        <is>
          <t>magnitude_min_db</t>
        </is>
      </c>
      <c r="B42" t="inlineStr">
        <is>
          <t>unknown_not_parseable</t>
        </is>
      </c>
    </row>
    <row r="43">
      <c r="A43" t="inlineStr">
        <is>
          <t>magnitude_max_db</t>
        </is>
      </c>
      <c r="B43" t="inlineStr">
        <is>
          <t>unknown_not_parseable</t>
        </is>
      </c>
    </row>
    <row r="44">
      <c r="A44" t="inlineStr">
        <is>
          <t>density_summation_mode</t>
        </is>
      </c>
      <c r="B44" t="inlineStr">
        <is>
          <t>unavailable_not_recorded</t>
        </is>
      </c>
    </row>
    <row r="45">
      <c r="A45" t="inlineStr">
        <is>
          <t>harmonic_density_weight</t>
        </is>
      </c>
      <c r="B45" t="n">
        <v>0.7562342543339593</v>
      </c>
    </row>
    <row r="46">
      <c r="A46" t="inlineStr">
        <is>
          <t>inharmonic_density_weight</t>
        </is>
      </c>
      <c r="B46" t="n">
        <v>0.1920597202746867</v>
      </c>
    </row>
    <row r="47">
      <c r="A47" t="inlineStr">
        <is>
          <t>subbass_density_weight</t>
        </is>
      </c>
      <c r="B47" t="n">
        <v>0.0517060253913539</v>
      </c>
    </row>
    <row r="48">
      <c r="A48" t="inlineStr">
        <is>
          <t>density_salience_threshold_db</t>
        </is>
      </c>
      <c r="B48" t="n">
        <v>-90</v>
      </c>
    </row>
    <row r="49">
      <c r="A49" t="inlineStr">
        <is>
          <t>density_frequency_ceiling_hz</t>
        </is>
      </c>
      <c r="B49" t="n">
        <v>20000</v>
      </c>
    </row>
    <row r="50">
      <c r="A50" t="inlineStr">
        <is>
          <t>sample_row_count</t>
        </is>
      </c>
      <c r="B50" t="n">
        <v>39</v>
      </c>
    </row>
    <row r="51">
      <c r="A51" t="inlineStr">
        <is>
          <t>unique_midi_count</t>
        </is>
      </c>
      <c r="B51" t="n">
        <v>39</v>
      </c>
    </row>
    <row r="52">
      <c r="A52" t="inlineStr">
        <is>
          <t>unique_note_label_count</t>
        </is>
      </c>
      <c r="B52" t="n">
        <v>39</v>
      </c>
    </row>
    <row r="53">
      <c r="A53" t="inlineStr">
        <is>
          <t>notes_count</t>
        </is>
      </c>
      <c r="B53" t="n">
        <v>39</v>
      </c>
    </row>
    <row r="54">
      <c r="A54" t="inlineStr">
        <is>
          <t>notes_count_semantics</t>
        </is>
      </c>
      <c r="B54" t="inlineStr">
        <is>
          <t>sample_row_count (compiled rows), not unique pitch count</t>
        </is>
      </c>
    </row>
    <row r="55">
      <c r="A55" t="inlineStr">
        <is>
          <t>pitch_range</t>
        </is>
      </c>
      <c r="B55" t="inlineStr">
        <is>
          <t>59-97</t>
        </is>
      </c>
    </row>
    <row r="56">
      <c r="A56" t="inlineStr">
        <is>
          <t>harmonic_slot_coverage_ratio_formula</t>
        </is>
      </c>
      <c r="B56" t="inlineStr">
        <is>
          <t>harmonic_slot_matched_count / harmonic_slot_expected_count</t>
        </is>
      </c>
    </row>
    <row r="57">
      <c r="A57" t="inlineStr">
        <is>
          <t>harmonic_region_occupancy_count_definition</t>
        </is>
      </c>
      <c r="B57" t="inlineStr">
        <is>
          <t>Occupancy/slot-derived descriptor; not a strict count of detected harmonic partial orders and not bounded by floor(ceiling/f0).</t>
        </is>
      </c>
    </row>
    <row r="58">
      <c r="A58" t="inlineStr">
        <is>
          <t>harmonic_occupancy_detected_order_count_definition</t>
        </is>
      </c>
      <c r="B58" t="inlineStr">
        <is>
          <t>DEPRECATED alias of harmonic_region_occupancy_count. Occupancy/slot-derived descriptor; not a strict count of detected harmonic partial orders and not bounded by floor(ceiling/f0).</t>
        </is>
      </c>
    </row>
    <row r="59">
      <c r="A59" t="inlineStr">
        <is>
          <t>theoretical_harmonic_order_count_up_to_body_ceiling_definition</t>
        </is>
      </c>
      <c r="B59" t="inlineStr">
        <is>
          <t>alias of expected_harmonic_order_count_up_to_body_ceiling (= floor(body_density_frequency_ceiling_hz/f0))</t>
        </is>
      </c>
    </row>
    <row r="60">
      <c r="A60" t="inlineStr">
        <is>
          <t>detected_salient_harmonic_order_count_up_to_body_ceiling_definition</t>
        </is>
      </c>
      <c r="B60" t="inlineStr">
        <is>
          <t>alias of salient_harmonic_order_count_up_to_body_ceiling</t>
        </is>
      </c>
    </row>
    <row r="61">
      <c r="A61" t="inlineStr">
        <is>
          <t>salient_harmonic_coverage_ratio_up_to_body_ceiling_definition</t>
        </is>
      </c>
      <c r="B61" t="inlineStr">
        <is>
          <t>alias of salient_harmonic_coverage_up_to_body_ceiling</t>
        </is>
      </c>
    </row>
    <row r="62">
      <c r="A62" t="inlineStr">
        <is>
          <t>legacy_high_ceiling_harmonic_slot_index_count_definition</t>
        </is>
      </c>
      <c r="B62" t="inlineStr">
        <is>
          <t>legacy high-ceiling harmonic-slot index count (historical Harmonic Count/Harmonic Count (N)); not a fixed-ceiling physical harmonic-order count</t>
        </is>
      </c>
    </row>
    <row r="63">
      <c r="A63" t="inlineStr">
        <is>
          <t>density_body_weighted_sum_body_ceiling_definition</t>
        </is>
      </c>
      <c r="B63" t="inlineStr">
        <is>
          <t>alias of density_component_body_weighted_sum_body_ceiling (component-based body metric)</t>
        </is>
      </c>
    </row>
    <row r="64">
      <c r="A64" t="inlineStr">
        <is>
          <t>density_component_body_weighted_sum_body_ceiling_definition</t>
        </is>
      </c>
      <c r="B64" t="inlineStr">
        <is>
          <t>legacy alias of density_component_body_weighted_sum_body_ceiling</t>
        </is>
      </c>
    </row>
    <row r="65">
      <c r="A65" t="inlineStr">
        <is>
          <t>harmonic_component_energy_sum_body_ceiling_definition</t>
        </is>
      </c>
      <c r="B65" t="inlineStr">
        <is>
          <t>legacy alias of harmonic_component_energy_sum_body_ceiling</t>
        </is>
      </c>
    </row>
    <row r="66">
      <c r="A66" t="inlineStr">
        <is>
          <t>inharmonic_component_energy_sum_body_ceiling_definition</t>
        </is>
      </c>
      <c r="B66" t="inlineStr">
        <is>
          <t>legacy alias of inharmonic_component_energy_sum_body_ceiling</t>
        </is>
      </c>
    </row>
    <row r="67">
      <c r="A67" t="inlineStr">
        <is>
          <t>subbass_component_energy_sum_body_ceiling_definition</t>
        </is>
      </c>
      <c r="B67" t="inlineStr">
        <is>
          <t>sum Power_raw of accepted subbass residual candidates under subbass policy with current body-ceiling configuration</t>
        </is>
      </c>
    </row>
    <row r="68">
      <c r="A68" t="inlineStr">
        <is>
          <t>subbass_component_energy_sum_definition</t>
        </is>
      </c>
      <c r="B68" t="inlineStr">
        <is>
          <t>legacy alias of subbass_component_energy_sum_body_ceiling</t>
        </is>
      </c>
    </row>
    <row r="69">
      <c r="A69" t="inlineStr">
        <is>
          <t>harmonic_body_energy_sum_body_ceiling_definition</t>
        </is>
      </c>
      <c r="B69" t="inlineStr">
        <is>
          <t>harmonic component energy sum with runtime body ceiling</t>
        </is>
      </c>
    </row>
    <row r="70">
      <c r="A70" t="inlineStr">
        <is>
          <t>inharmonic_body_energy_sum_body_ceiling_definition</t>
        </is>
      </c>
      <c r="B70" t="inlineStr">
        <is>
          <t>inharmonic component energy sum with runtime body ceiling</t>
        </is>
      </c>
    </row>
    <row r="71">
      <c r="A71" t="inlineStr">
        <is>
          <t>subbass_rumble_energy_sum_definition</t>
        </is>
      </c>
      <c r="B71" t="inlineStr">
        <is>
          <t>subbass/rumble component energy sum used in body-density weighting</t>
        </is>
      </c>
    </row>
    <row r="72">
      <c r="A72" t="inlineStr">
        <is>
          <t>body_band_harmonic_bin_energy_sum_body_ceiling_definition</t>
        </is>
      </c>
      <c r="B72" t="inlineStr">
        <is>
          <t>diagnostic-only bin-integrated harmonic-band energy within runtime body ceiling</t>
        </is>
      </c>
    </row>
    <row r="73">
      <c r="A73" t="inlineStr">
        <is>
          <t>body_band_residual_bin_energy_sum_body_ceiling_definition</t>
        </is>
      </c>
      <c r="B73" t="inlineStr">
        <is>
          <t>diagnostic-only bin-integrated residual-band energy within runtime body ceiling</t>
        </is>
      </c>
    </row>
    <row r="74">
      <c r="A74" t="inlineStr">
        <is>
          <t>body_band_total_bin_energy_sum_body_ceiling_definition</t>
        </is>
      </c>
      <c r="B74" t="inlineStr">
        <is>
          <t>diagnostic-only total bin-integrated body-band energy within runtime body ceiling</t>
        </is>
      </c>
    </row>
    <row r="75">
      <c r="A75" t="inlineStr">
        <is>
          <t>density_body_band_bin_integrated_index_body_ceiling_definition</t>
        </is>
      </c>
      <c r="B75" t="inlineStr">
        <is>
          <t>diagnostic-only weighted index from bin-integrated body-band energies; not the primary fatness metric</t>
        </is>
      </c>
    </row>
    <row r="76">
      <c r="A76" t="inlineStr">
        <is>
          <t>density_full_spectrum_weighted_sum_20khz_definition</t>
        </is>
      </c>
      <c r="B76" t="inlineStr">
        <is>
          <t>full-spectrum weighted diagnostic sum (&lt;=20000 Hz); not the primary body/fatness metric</t>
        </is>
      </c>
    </row>
    <row r="77">
      <c r="A77" t="inlineStr">
        <is>
          <t>harmonic_full_spectrum_energy_sum_20khz_definition</t>
        </is>
      </c>
      <c r="B77" t="inlineStr">
        <is>
          <t>harmonic full-spectrum energy sum (&lt;=20000 Hz diagnostic/extension family)</t>
        </is>
      </c>
    </row>
    <row r="78">
      <c r="A78" t="inlineStr">
        <is>
          <t>inharmonic_full_spectrum_energy_sum_20khz_definition</t>
        </is>
      </c>
      <c r="B78" t="inlineStr">
        <is>
          <t>inharmonic full-spectrum energy sum (&lt;=20000 Hz diagnostic/extension family)</t>
        </is>
      </c>
    </row>
    <row r="79">
      <c r="A79" t="inlineStr">
        <is>
          <t>high_frequency_spectral_activity_sum_definition</t>
        </is>
      </c>
      <c r="B79" t="inlineStr">
        <is>
          <t>upper-band spectral activity above body ceiling; diagnostic for brightness/extension</t>
        </is>
      </c>
    </row>
    <row r="80">
      <c r="A80" t="inlineStr">
        <is>
          <t>spectral_extension_index_20khz_definition</t>
        </is>
      </c>
      <c r="B80" t="inlineStr">
        <is>
          <t>ratio-like extension indicator comparing full-spectrum to body-limited weighted energy</t>
        </is>
      </c>
    </row>
    <row r="81">
      <c r="A81" t="inlineStr">
        <is>
          <t>brightness_or_upper_spectral_activity_index_20khz_definition</t>
        </is>
      </c>
      <c r="B81" t="inlineStr">
        <is>
          <t>upper-band activity index in the full-spectrum diagnostic family (20 kHz ceiling)</t>
        </is>
      </c>
    </row>
    <row r="82">
      <c r="A82" t="inlineStr">
        <is>
          <t>full_spectrum_harmonic_candidate_count_20khz_definition</t>
        </is>
      </c>
      <c r="B82" t="inlineStr">
        <is>
          <t>harmonic candidate count under full-spectrum ceiling (20 kHz); not a body-density harmonic-order metric</t>
        </is>
      </c>
    </row>
    <row r="83">
      <c r="A83" t="inlineStr">
        <is>
          <t>harmonic_occupancy_ratio_formula</t>
        </is>
      </c>
      <c r="B83" t="inlineStr">
        <is>
          <t>unique harmonic-order bins (nearest n*f0 within harmonic_tolerance_cents, excluding subbass) / expected_harmonic_slot_count</t>
        </is>
      </c>
    </row>
    <row r="84">
      <c r="A84" t="inlineStr">
        <is>
          <t>harmonic_occupancy_ratio_definition</t>
        </is>
      </c>
      <c r="B84" t="inlineStr">
        <is>
          <t>acoustic_density_core occupancy metric based on accepted harmonic-order bins; not identical to validation-slot coverage</t>
        </is>
      </c>
    </row>
    <row r="85">
      <c r="A85" t="inlineStr">
        <is>
          <t>body_weighted_effective_density_formula</t>
        </is>
      </c>
      <c r="B85" t="inlineStr">
        <is>
          <t>(sum(w_body_i*sqrt(P_i))^2)/sum((w_body_i*sqrt(P_i))^2), with w_body(f)=1/(1+(f/1800)^2) on salient peaks up to runtime body ceiling</t>
        </is>
      </c>
    </row>
    <row r="86">
      <c r="A86" t="inlineStr">
        <is>
          <t>spectral_body_thickness_index_formula</t>
        </is>
      </c>
      <c r="B86" t="inlineStr">
        <is>
          <t>0.45*z(body_weighted_effective_density)+0.25*z(low_mid_energy_ratio)+0.20*z(harmonic_body_density_normalized)+0.10*z(residual_body_contribution_capped)</t>
        </is>
      </c>
    </row>
    <row r="87">
      <c r="A87" t="inlineStr">
        <is>
          <t>instrument_detected</t>
        </is>
      </c>
      <c r="B87" t="inlineStr">
        <is>
          <t>Flute</t>
        </is>
      </c>
    </row>
    <row r="88">
      <c r="A88" t="inlineStr">
        <is>
          <t>dynamic_detected</t>
        </is>
      </c>
      <c r="B88" t="inlineStr">
        <is>
          <t>ff</t>
        </is>
      </c>
    </row>
    <row r="89">
      <c r="A89" t="inlineStr">
        <is>
          <t>frequency_magnitude_fields_recovery_status</t>
        </is>
      </c>
      <c r="B89" t="inlineStr">
        <is>
          <t>partially_unavailable_in_compiled_source</t>
        </is>
      </c>
    </row>
    <row r="90">
      <c r="A90" t="inlineStr">
        <is>
          <t>research_export_source_workbook</t>
        </is>
      </c>
      <c r="B90" t="inlineStr">
        <is>
          <t>compiled_density_metrics.xlsx</t>
        </is>
      </c>
    </row>
    <row r="91">
      <c r="A91" t="inlineStr">
        <is>
          <t>git_describe</t>
        </is>
      </c>
      <c r="B91" t="inlineStr">
        <is>
          <t>v0.1.0-validated-2026-05-15-242-g6b0e51a</t>
        </is>
      </c>
    </row>
    <row r="92">
      <c r="A92" t="inlineStr">
        <is>
          <t>analysis_version</t>
        </is>
      </c>
      <c r="B92" t="inlineStr">
        <is>
          <t>4.1.0+v0.1.0-validated-2026-05-15-242-g6b0e51a</t>
        </is>
      </c>
    </row>
    <row r="93">
      <c r="A93" t="inlineStr">
        <is>
          <t>export_schema_version</t>
        </is>
      </c>
      <c r="B93" t="inlineStr">
        <is>
          <t>spectral_analysis_schema_2026_08</t>
        </is>
      </c>
    </row>
  </sheetData>
  <autoFilter ref="A1:B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2026-08-19T17:08:29Z</dcterms:created>
  <dcterms:modified xmlns:dcterms="http://purl.org/dc/terms/" xmlns:xsi="http://www.w3.org/2001/XMLSchema-instance" xsi:type="dcterms:W3CDTF">2026-08-19T17:08:30Z</dcterms:modified>
</cp:coreProperties>
</file>