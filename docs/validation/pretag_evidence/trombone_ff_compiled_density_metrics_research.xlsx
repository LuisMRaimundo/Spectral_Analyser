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pectral_Density_Metrics" sheetId="3" state="visible" r:id="rId3"/>
    <sheet xmlns:r="http://schemas.openxmlformats.org/officeDocument/2006/relationships" name="Stage3_Diagnostics" sheetId="4" state="visible" r:id="rId4"/>
    <sheet xmlns:r="http://schemas.openxmlformats.org/officeDocument/2006/relationships" name="Stage3_Summary" sheetId="5" state="visible" r:id="rId5"/>
    <sheet xmlns:r="http://schemas.openxmlformats.org/officeDocument/2006/relationships" name="Uncertainty_Summary" sheetId="6" state="visible" r:id="rId6"/>
    <sheet xmlns:r="http://schemas.openxmlformats.org/officeDocument/2006/relationships" name="Primary_Statistics_Eligible" sheetId="7" state="visible" r:id="rId7"/>
    <sheet xmlns:r="http://schemas.openxmlformats.org/officeDocument/2006/relationships" name="Component_Balance" sheetId="8" state="visible" r:id="rId8"/>
    <sheet xmlns:r="http://schemas.openxmlformats.org/officeDocument/2006/relationships" name="Validation_Summary" sheetId="9" state="visible" r:id="rId9"/>
    <sheet xmlns:r="http://schemas.openxmlformats.org/officeDocument/2006/relationships" name="Charts_Data" sheetId="10" state="visible" r:id="rId10"/>
    <sheet xmlns:r="http://schemas.openxmlformats.org/officeDocument/2006/relationships" name="Legacy_Compatibility" sheetId="11" state="visible" r:id="rId11"/>
    <sheet xmlns:r="http://schemas.openxmlformats.org/officeDocument/2006/relationships" name="Analysis_Settings_By_Note" sheetId="12" state="visible" r:id="rId12"/>
    <sheet xmlns:r="http://schemas.openxmlformats.org/officeDocument/2006/relationships" name="Metadata" sheetId="13" state="visible" r:id="rId13"/>
  </sheets>
  <definedNames>
    <definedName name="_xlnm._FilterDatabase" localSheetId="2" hidden="1">'Spectral_Density_Metrics'!$A$1:$HI$34</definedName>
    <definedName name="_xlnm._FilterDatabase" localSheetId="3" hidden="1">'Stage3_Diagnostics'!$A$1:$H$34</definedName>
    <definedName name="_xlnm._FilterDatabase" localSheetId="4" hidden="1">'Stage3_Summary'!$A$1:$J$2</definedName>
    <definedName name="_xlnm._FilterDatabase" localSheetId="5" hidden="1">'Uncertainty_Summary'!$A$1:$I$100</definedName>
    <definedName name="_xlnm._FilterDatabase" localSheetId="6" hidden="1">'Primary_Statistics_Eligible'!$A$1:$A$2</definedName>
    <definedName name="_xlnm._FilterDatabase" localSheetId="7" hidden="1">'Component_Balance'!$A$1:$AF$34</definedName>
    <definedName name="_xlnm._FilterDatabase" localSheetId="8" hidden="1">'Validation_Summary'!$A$1:$V$34</definedName>
    <definedName name="_xlnm._FilterDatabase" localSheetId="9" hidden="1">'Charts_Data'!$A$1:$BA$34</definedName>
    <definedName name="_xlnm._FilterDatabase" localSheetId="10" hidden="1">'Legacy_Compatibility'!$A$1:$D$34</definedName>
    <definedName name="_xlnm._FilterDatabase" localSheetId="11" hidden="1">'Analysis_Settings_By_Note'!$A$1:$V$34</definedName>
    <definedName name="_xlnm._FilterDatabase" localSheetId="12" hidden="1">'Metadata'!$A$1:$B$93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6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546A"/>
      </patternFill>
    </fill>
    <fill>
      <patternFill patternType="solid">
        <fgColor rgb="00E7E6E6"/>
      </patternFill>
    </fill>
    <fill>
      <patternFill patternType="solid">
        <fgColor rgb="00D6E4F0"/>
      </patternFill>
    </fill>
    <fill>
      <patternFill patternType="solid">
        <fgColor rgb="00ADD8E6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1" pivotButton="0" quotePrefix="0" xfId="0"/>
    <xf numFmtId="0" fontId="0" fillId="0" borderId="1" applyAlignment="1" pivotButton="0" quotePrefix="0" xfId="0">
      <alignment vertical="top" wrapText="1"/>
    </xf>
    <xf numFmtId="164" fontId="0" fillId="4" borderId="1" pivotButton="0" quotePrefix="0" xfId="0"/>
    <xf numFmtId="10" fontId="0" fillId="4" borderId="1" pivotButton="0" quotePrefix="0" xfId="0"/>
    <xf numFmtId="0" fontId="0" fillId="4" borderId="1" pivotButton="0" quotePrefix="0" xfId="0"/>
    <xf numFmtId="165" fontId="0" fillId="0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164" fontId="0" fillId="0" borderId="0" pivotButton="0" quotePrefix="0" xfId="0"/>
    <xf numFmtId="164" fontId="0" fillId="5" borderId="0" pivotButton="0" quotePrefix="0" xfId="0"/>
    <xf numFmtId="164" fontId="0" fillId="6" borderId="0" pivotButton="0" quotePrefix="0" xfId="0"/>
    <xf numFmtId="164" fontId="0" fillId="7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Harmonic occupancy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'Charts_Data'!$A$2:$A$34</f>
            </numRef>
          </cat>
          <val>
            <numRef>
              <f>'Charts_Data'!$AC$2:$AC$34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harmonic_occupancy_ratio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Residual log-frequency occupancy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'Charts_Data'!$A$2:$A$34</f>
            </numRef>
          </cat>
          <val>
            <numRef>
              <f>'Charts_Data'!$AD$2:$AD$34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Normalized descriptor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'Charts_Data'!AG1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'Charts_Data'!$A$2:$A$34</f>
            </numRef>
          </cat>
          <val>
            <numRef>
              <f>'Charts_Data'!$AG$2:$AG$34</f>
            </numRef>
          </val>
        </ser>
        <ser>
          <idx val="1"/>
          <order val="1"/>
          <tx>
            <strRef>
              <f>'Charts_Data'!AH1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'Charts_Data'!$A$2:$A$34</f>
            </numRef>
          </cat>
          <val>
            <numRef>
              <f>'Charts_Data'!$AH$2:$AH$34</f>
            </numRef>
          </val>
        </ser>
        <ser>
          <idx val="2"/>
          <order val="2"/>
          <tx>
            <strRef>
              <f>'Charts_Data'!AI1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'Charts_Data'!$A$2:$A$34</f>
            </numRef>
          </cat>
          <val>
            <numRef>
              <f>'Charts_Data'!$AI$2:$AI$34</f>
            </numRef>
          </val>
        </ser>
        <ser>
          <idx val="3"/>
          <order val="3"/>
          <tx>
            <strRef>
              <f>'Charts_Data'!AJ1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'Charts_Data'!$A$2:$A$34</f>
            </numRef>
          </cat>
          <val>
            <numRef>
              <f>'Charts_Data'!$AJ$2:$AJ$34</f>
            </numRef>
          </val>
        </ser>
        <ser>
          <idx val="4"/>
          <order val="4"/>
          <tx>
            <strRef>
              <f>'Charts_Data'!AM1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'Charts_Data'!$A$2:$A$34</f>
            </numRef>
          </cat>
          <val>
            <numRef>
              <f>'Charts_Data'!$AM$2:$AM$34</f>
            </numRef>
          </val>
        </ser>
        <ser>
          <idx val="5"/>
          <order val="5"/>
          <tx>
            <strRef>
              <f>'Charts_Data'!AN1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'Charts_Data'!$A$2:$A$34</f>
            </numRef>
          </cat>
          <val>
            <numRef>
              <f>'Charts_Data'!$AN$2:$AN$34</f>
            </numRef>
          </val>
        </ser>
        <ser>
          <idx val="6"/>
          <order val="6"/>
          <tx>
            <strRef>
              <f>'Charts_Data'!AK1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'Charts_Data'!$A$2:$A$34</f>
            </numRef>
          </cat>
          <val>
            <numRef>
              <f>'Charts_Data'!$AK$2:$AK$34</f>
            </numRef>
          </val>
        </ser>
        <ser>
          <idx val="7"/>
          <order val="7"/>
          <tx>
            <strRef>
              <f>'Charts_Data'!AL1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'Charts_Data'!$A$2:$A$34</f>
            </numRef>
          </cat>
          <val>
            <numRef>
              <f>'Charts_Data'!$AL$2:$AL$34</f>
            </numRef>
          </val>
        </ser>
        <ser>
          <idx val="8"/>
          <order val="8"/>
          <tx>
            <strRef>
              <f>'Charts_Data'!AO1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'Charts_Data'!$A$2:$A$34</f>
            </numRef>
          </cat>
          <val>
            <numRef>
              <f>'Charts_Data'!$AO$2:$AO$34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Weighted component contributions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'Charts_Data'!AT1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'Charts_Data'!$A$2:$A$34</f>
            </numRef>
          </cat>
          <val>
            <numRef>
              <f>'Charts_Data'!$AT$2:$AT$34</f>
            </numRef>
          </val>
        </ser>
        <ser>
          <idx val="1"/>
          <order val="1"/>
          <tx>
            <strRef>
              <f>'Charts_Data'!AU1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'Charts_Data'!$A$2:$A$34</f>
            </numRef>
          </cat>
          <val>
            <numRef>
              <f>'Charts_Data'!$AU$2:$AU$34</f>
            </numRef>
          </val>
        </ser>
        <ser>
          <idx val="2"/>
          <order val="2"/>
          <tx>
            <strRef>
              <f>'Charts_Data'!AV1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'Charts_Data'!$A$2:$A$34</f>
            </numRef>
          </cat>
          <val>
            <numRef>
              <f>'Charts_Data'!$AV$2:$AV$34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energy ratios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'Charts_Data'!AY1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'Charts_Data'!$A$2:$A$34</f>
            </numRef>
          </cat>
          <val>
            <numRef>
              <f>'Charts_Data'!$AY$2:$AY$34</f>
            </numRef>
          </val>
        </ser>
        <ser>
          <idx val="1"/>
          <order val="1"/>
          <tx>
            <strRef>
              <f>'Charts_Data'!AZ1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'Charts_Data'!$A$2:$A$34</f>
            </numRef>
          </cat>
          <val>
            <numRef>
              <f>'Charts_Data'!$AZ$2:$AZ$34</f>
            </numRef>
          </val>
        </ser>
        <ser>
          <idx val="2"/>
          <order val="2"/>
          <tx>
            <strRef>
              <f>'Charts_Data'!BA1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'Charts_Data'!$A$2:$A$34</f>
            </numRef>
          </cat>
          <val>
            <numRef>
              <f>'Charts_Data'!$BA$2:$BA$34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MIDI vs salient_harmonic_order_count_up_to_body_ceiling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'Charts_Data'!$B$2:$B$34</f>
            </numRef>
          </cat>
          <val>
            <numRef>
              <f>'Charts_Data'!$I$2:$I$34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MIDI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salient_harmonic_order_count_up_to_body_ceiling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36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56</row>
      <rowOff>0</rowOff>
    </from>
    <ext cx="72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78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102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124</row>
      <rowOff>0</rowOff>
    </from>
    <ext cx="648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t="inlineStr">
        <is>
          <t>Spectral density — research export workbook</t>
        </is>
      </c>
    </row>
    <row r="2">
      <c r="A2" t="inlineStr"/>
    </row>
    <row r="3">
      <c r="A3" t="inlineStr">
        <is>
          <t>Source compiled workbook (filename only):</t>
        </is>
      </c>
    </row>
    <row r="4">
      <c r="A4" t="inlineStr">
        <is>
          <t>compiled_density_metrics.xlsx</t>
        </is>
      </c>
    </row>
    <row r="5">
      <c r="A5" t="inlineStr"/>
    </row>
    <row r="6">
      <c r="A6" t="inlineStr">
        <is>
          <t>Generated: 2026-08-19T16:38:00Z</t>
        </is>
      </c>
    </row>
    <row r="7">
      <c r="A7" t="inlineStr">
        <is>
          <t>Script: export_research_density_workbook.py  version 1.1.3</t>
        </is>
      </c>
    </row>
    <row r="8">
      <c r="A8" t="inlineStr">
        <is>
          <t>Number of notes in export: 33</t>
        </is>
      </c>
    </row>
    <row r="9">
      <c r="A9" t="inlineStr"/>
    </row>
    <row r="10">
      <c r="A10" s="1" t="inlineStr">
        <is>
          <t>Purpose</t>
        </is>
      </c>
    </row>
    <row r="11">
      <c r="A11" t="inlineStr">
        <is>
          <t>-------</t>
        </is>
      </c>
    </row>
    <row r="12">
      <c r="A12" t="inlineStr">
        <is>
          <t>This workbook is a reduced, professionally formatted export intended for secondary research,</t>
        </is>
      </c>
    </row>
    <row r="13">
      <c r="A13" t="inlineStr">
        <is>
          <t>plotting, thesis writing, and visual inspection.</t>
        </is>
      </c>
    </row>
    <row r="14">
      <c r="A14" t="inlineStr"/>
    </row>
    <row r="15">
      <c r="A15" t="inlineStr">
        <is>
          <t>The file compiled_density_metrics.xlsx remains the complete technical and audit export.</t>
        </is>
      </c>
    </row>
    <row r="16">
      <c r="A16" t="inlineStr">
        <is>
          <t>This workbook (compiled_density_metrics_research.xlsx) is the recommended research and reporting export.</t>
        </is>
      </c>
    </row>
    <row r="17">
      <c r="A17" t="inlineStr"/>
    </row>
    <row r="18">
      <c r="A18" s="1" t="inlineStr">
        <is>
          <t>Metric hierarchy (read carefully)</t>
        </is>
      </c>
    </row>
    <row r="19">
      <c r="A19" t="inlineStr">
        <is>
          <t>-----------------------------------</t>
        </is>
      </c>
    </row>
    <row r="20">
      <c r="A20" t="inlineStr">
        <is>
          <t>density_metric_raw:</t>
        </is>
      </c>
    </row>
    <row r="21">
      <c r="A21" t="inlineStr">
        <is>
          <t xml:space="preserve">    D_H·w_H + D_I·w_I + D_S·w_S where each D_* uses the compile weight_function (linear, log, sqrt,</t>
        </is>
      </c>
    </row>
    <row r="22">
      <c r="A22" t="inlineStr">
        <is>
          <t xml:space="preserve">    d3, …) and w_* are measured component_harmonic / inharmonic / subbass energy ratios.</t>
        </is>
      </c>
    </row>
    <row r="23">
      <c r="A23" t="inlineStr"/>
    </row>
    <row r="24">
      <c r="A24" t="inlineStr">
        <is>
          <t>density_weighted_sum:</t>
        </is>
      </c>
    </row>
    <row r="25">
      <c r="A25" t="inlineStr">
        <is>
          <t xml:space="preserve">    Numerically equal to density_metric_raw. Changes when you change the compile weight_function.</t>
        </is>
      </c>
    </row>
    <row r="26">
      <c r="A26" t="inlineStr">
        <is>
          <t xml:space="preserve">    harmonic_amplitude_sum (if present) is a separate linear diagnostic and does not follow that key.</t>
        </is>
      </c>
    </row>
    <row r="27">
      <c r="A27" t="inlineStr">
        <is>
          <t xml:space="preserve">    Highlighted (soft blue) on Spectral_Density_Metrics.</t>
        </is>
      </c>
    </row>
    <row r="28">
      <c r="A28" t="inlineStr"/>
    </row>
    <row r="29">
      <c r="A29" t="inlineStr">
        <is>
          <t>harmonic_slot_coverage_ratio:</t>
        </is>
      </c>
    </row>
    <row r="30">
      <c r="A30" t="inlineStr">
        <is>
          <t xml:space="preserve">    Defined as harmonic_slot_matched_count / harmonic_slot_expected_count.</t>
        </is>
      </c>
    </row>
    <row r="31">
      <c r="A31" t="inlineStr"/>
    </row>
    <row r="32">
      <c r="A32" t="inlineStr">
        <is>
          <t>harmonic_occupancy_ratio:</t>
        </is>
      </c>
    </row>
    <row r="33">
      <c r="A33" t="inlineStr">
        <is>
          <t xml:space="preserve">    Acoustic core occupancy: unique harmonic-order bins passing n·f0 proximity and subbass exclusion,</t>
        </is>
      </c>
    </row>
    <row r="34">
      <c r="A34" t="inlineStr">
        <is>
          <t xml:space="preserve">    divided by expected_harmonic_slot_count. This is intentionally separate from slot-coverage ratio.</t>
        </is>
      </c>
    </row>
    <row r="35">
      <c r="A35" t="inlineStr"/>
    </row>
    <row r="36">
      <c r="A36" t="inlineStr">
        <is>
          <t>Combined Density Metric:</t>
        </is>
      </c>
    </row>
    <row r="37">
      <c r="A37" t="inlineStr">
        <is>
          <t xml:space="preserve">    Legacy Stage-1 combined harmonic/inharmonic scalar (log/expm1 path in proc_audio).</t>
        </is>
      </c>
    </row>
    <row r="38">
      <c r="A38" t="inlineStr">
        <is>
          <t xml:space="preserve">    Legacy-only (see Legacy_Compatibility sheet), not a primary Spectral_Density_Metrics field.</t>
        </is>
      </c>
    </row>
    <row r="39">
      <c r="A39" t="inlineStr"/>
    </row>
    <row r="40">
      <c r="A40" t="inlineStr">
        <is>
          <t>density_weighted_sum_cdm_mean (legacy editorial blend):</t>
        </is>
      </c>
    </row>
    <row r="41">
      <c r="A41" t="inlineStr">
        <is>
          <t xml:space="preserve">    Deprecated and not acoustically/dimensionally valid as a final scalar.</t>
        </is>
      </c>
    </row>
    <row r="42">
      <c r="A42" t="inlineStr">
        <is>
          <t xml:space="preserve">    Exported only with --include-legacy-cdm-mean.</t>
        </is>
      </c>
    </row>
    <row r="43">
      <c r="A43" t="inlineStr"/>
    </row>
    <row r="44">
      <c r="A44" t="inlineStr">
        <is>
          <t>Total sum:</t>
        </is>
      </c>
    </row>
    <row r="45">
      <c r="A45" t="inlineStr">
        <is>
          <t xml:space="preserve">    Unweighted sum of per-band D values (D_H + D_I + D_S); diagnostic, not energy-ratio-weighted.</t>
        </is>
      </c>
    </row>
    <row r="46">
      <c r="A46" t="inlineStr"/>
    </row>
    <row r="47">
      <c r="A47" t="inlineStr">
        <is>
          <t>effective_partial_density:</t>
        </is>
      </c>
    </row>
    <row r="48">
      <c r="A48" t="inlineStr">
        <is>
          <t xml:space="preserve">    Effective spectral component participation descriptor (not the primary perceived thickness answer).</t>
        </is>
      </c>
    </row>
    <row r="49">
      <c r="A49" t="inlineStr"/>
    </row>
    <row r="50">
      <c r="A50" t="inlineStr">
        <is>
          <t>spectral_body_thickness_index:</t>
        </is>
      </c>
    </row>
    <row r="51">
      <c r="A51" t="inlineStr">
        <is>
          <t xml:space="preserve">    Recommended note-thickness index combining body-weighted effective density, low-mid ratio,</t>
        </is>
      </c>
    </row>
    <row r="52">
      <c r="A52" t="inlineStr">
        <is>
          <t xml:space="preserve">    harmonic body density, and capped residual body contribution (corpus-relative z-score blend).</t>
        </is>
      </c>
    </row>
    <row r="53">
      <c r="A53" t="inlineStr"/>
    </row>
    <row r="54">
      <c r="A54" t="inlineStr">
        <is>
          <t>note_density_final:</t>
        </is>
      </c>
    </row>
    <row r="55">
      <c r="A55" t="inlineStr">
        <is>
          <t xml:space="preserve">    Per-note principled scalar: component_*_energy_ratio × *_density_sum (GUI weight inside sums).</t>
        </is>
      </c>
    </row>
    <row r="56">
      <c r="A56" t="inlineStr">
        <is>
          <t xml:space="preserve">    Highlighted (light blue) on Spectral_Density_Metrics.</t>
        </is>
      </c>
    </row>
    <row r="57">
      <c r="A57" t="inlineStr"/>
    </row>
    <row r="58">
      <c r="A58" t="inlineStr">
        <is>
          <t>EWSD_score_total (Stage 3):</t>
        </is>
      </c>
    </row>
    <row r="59">
      <c r="A59" t="inlineStr">
        <is>
          <t xml:space="preserve">    Strict Effective Weighted Spectral Density (EWSD-R v18): anti-concentration penalty (N_eff/N)^1</t>
        </is>
      </c>
    </row>
    <row r="60">
      <c r="A60" t="inlineStr">
        <is>
          <t xml:space="preserve">    applied separately in each H/I/S compartment using per-note ratios from Metrics.</t>
        </is>
      </c>
    </row>
    <row r="61">
      <c r="A61" t="inlineStr">
        <is>
          <t xml:space="preserve">    Highlighted (pale orange). Requires per-note spectral_analysis.xlsx under the analysis folder.</t>
        </is>
      </c>
    </row>
    <row r="62">
      <c r="A62" t="inlineStr"/>
    </row>
    <row r="63">
      <c r="A63" t="inlineStr">
        <is>
          <t>EWSD_score_acoustic_balanced (Stage 3):</t>
        </is>
      </c>
    </row>
    <row r="64">
      <c r="A64" t="inlineStr">
        <is>
          <t xml:space="preserve">    Companion EWSD with moderated penalty (N_eff/N)^0.5. Preferred for cross-instrument</t>
        </is>
      </c>
    </row>
    <row r="65">
      <c r="A65" t="inlineStr">
        <is>
          <t xml:space="preserve">    bibliographic distance. Filter thesis rows with ewsd_primary_analysis_eligible == True.</t>
        </is>
      </c>
    </row>
    <row r="66">
      <c r="A66" t="inlineStr"/>
    </row>
    <row r="67">
      <c r="A67" t="inlineStr">
        <is>
          <t>EWSD_score_acoustic_balanced_ci_low / _ci_high / _rel_uncertainty:</t>
        </is>
      </c>
    </row>
    <row r="68">
      <c r="A68" t="inlineStr">
        <is>
          <t xml:space="preserve">    Bootstrap 95% uncertainty band for the balanced EWSD (partials + H/I/S ratios resampled).</t>
        </is>
      </c>
    </row>
    <row r="69">
      <c r="A69" t="inlineStr"/>
    </row>
    <row r="70">
      <c r="A70" t="inlineStr">
        <is>
          <t>ewsd_uncertainty_sources:</t>
        </is>
      </c>
    </row>
    <row r="71">
      <c r="A71" t="inlineStr">
        <is>
          <t xml:space="preserve">    UQ provenance: partials+ratios, partials, or unavailable.</t>
        </is>
      </c>
    </row>
    <row r="72">
      <c r="A72" t="inlineStr"/>
    </row>
    <row r="73">
      <c r="A73" t="inlineStr">
        <is>
          <t>ewsd_primary_analysis_eligible:</t>
        </is>
      </c>
    </row>
    <row r="74">
      <c r="A74" t="inlineStr">
        <is>
          <t xml:space="preserve">    Thesis gate: True only for individual_exact rows with valid H/I/S ratios, finite EWSD,</t>
        </is>
      </c>
    </row>
    <row r="75">
      <c r="A75" t="inlineStr">
        <is>
          <t xml:space="preserve">    no warnings, parsed note, and a thesis-safe weight function.</t>
        </is>
      </c>
    </row>
    <row r="76">
      <c r="A76" t="inlineStr"/>
    </row>
    <row r="77">
      <c r="A77" t="inlineStr">
        <is>
          <t>spectral_entropy:</t>
        </is>
      </c>
    </row>
    <row r="78">
      <c r="A78" t="inlineStr">
        <is>
          <t xml:space="preserve">    Distributional spread of spectral power.</t>
        </is>
      </c>
    </row>
    <row r="79">
      <c r="A79" t="inlineStr"/>
    </row>
    <row r="80">
      <c r="A80" t="inlineStr">
        <is>
          <t>core_harmonic_energy_ratio / core_residual_energy_ratio / core_subbass_energy_ratio:</t>
        </is>
      </c>
    </row>
    <row r="81">
      <c r="A81" t="inlineStr">
        <is>
          <t xml:space="preserve">    Acoustic-core peak-classification energy family (sums to ~1).</t>
        </is>
      </c>
    </row>
    <row r="82">
      <c r="A82" t="inlineStr"/>
    </row>
    <row r="83">
      <c r="A83" t="inlineStr">
        <is>
          <t>component_harmonic_energy_ratio / component_inharmonic_energy_ratio / component_subbass_energy_ratio:</t>
        </is>
      </c>
    </row>
    <row r="84">
      <c r="A84" t="inlineStr">
        <is>
          <t xml:space="preserve">    Component-balance energy family (sums to ~1).</t>
        </is>
      </c>
    </row>
    <row r="85">
      <c r="A85" t="inlineStr"/>
    </row>
    <row r="86">
      <c r="A86" t="inlineStr">
        <is>
          <t>nonharmonic / inharmonic fields:</t>
        </is>
      </c>
    </row>
    <row r="87">
      <c r="A87" t="inlineStr">
        <is>
          <t xml:space="preserve">    Interpret as nonharmonic candidate material unless stricter validation is explicitly present.</t>
        </is>
      </c>
    </row>
    <row r="88">
      <c r="A88" t="inlineStr"/>
    </row>
    <row r="89">
      <c r="A89" t="inlineStr">
        <is>
          <t>subbass / low-frequency fields:</t>
        </is>
      </c>
    </row>
    <row r="90">
      <c r="A90" t="inlineStr">
        <is>
          <t xml:space="preserve">    Interpret as low-frequency residual material, not automatically 'ground noise'.</t>
        </is>
      </c>
    </row>
    <row r="91">
      <c r="A91" t="inlineStr"/>
    </row>
    <row r="92">
      <c r="A92" s="1" t="inlineStr">
        <is>
          <t>Instrument and dynamic metadata</t>
        </is>
      </c>
    </row>
    <row r="93">
      <c r="A93" t="inlineStr">
        <is>
          <t>-------------------------------</t>
        </is>
      </c>
    </row>
    <row r="94">
      <c r="A94" t="inlineStr">
        <is>
          <t>Instrument and dynamic may be read from source metadata, inferred conservatively from filenames,</t>
        </is>
      </c>
    </row>
    <row r="95">
      <c r="A95" t="inlineStr">
        <is>
          <t>folder paths, and the compiled workbook location, or supplied manually with --instrument and --dynamic.</t>
        </is>
      </c>
    </row>
    <row r="96">
      <c r="A96" t="inlineStr">
        <is>
          <t>Use --force-metadata to override non-empty workbook values with the CLI arguments.</t>
        </is>
      </c>
    </row>
    <row r="97">
      <c r="A97" t="inlineStr"/>
    </row>
    <row r="98">
      <c r="A98" s="1" t="inlineStr">
        <is>
          <t>Sheets</t>
        </is>
      </c>
    </row>
    <row r="99">
      <c r="A99" t="inlineStr">
        <is>
          <t>------</t>
        </is>
      </c>
    </row>
    <row r="100">
      <c r="A100" t="inlineStr">
        <is>
          <t>README — This sheet.</t>
        </is>
      </c>
    </row>
    <row r="101">
      <c r="A101" t="inlineStr">
        <is>
          <t>Dashboard — Overview KPIs and charts (charts omitted if export was run with --no-charts).</t>
        </is>
      </c>
    </row>
    <row r="102">
      <c r="A102" t="inlineStr">
        <is>
          <t>Spectral_Density_Metrics — Main clean per-note table for analysis.</t>
        </is>
      </c>
    </row>
    <row r="103">
      <c r="A103" t="inlineStr">
        <is>
          <t>Component_Balance — How density_metric_raw and totals relate to components and energy ratios.</t>
        </is>
      </c>
    </row>
    <row r="104">
      <c r="A104" t="inlineStr">
        <is>
          <t>Validation_Summary — Compact QC fields including f0 and alignment.</t>
        </is>
      </c>
    </row>
    <row r="105">
      <c r="A105" t="inlineStr">
        <is>
          <t>Charts_Data — Chart source data (sorted by MIDI); Dashboard charts reference this sheet.</t>
        </is>
      </c>
    </row>
    <row r="106">
      <c r="A106" t="inlineStr">
        <is>
          <t>Metadata — Pipeline and export metadata extracted from Analysis_Metadata plus export audit fields.</t>
        </is>
      </c>
    </row>
    <row r="107">
      <c r="A107" t="inlineStr"/>
    </row>
    <row r="108">
      <c r="A108" s="1" t="inlineStr">
        <is>
          <t>Warnings / Missing Fields</t>
        </is>
      </c>
    </row>
    <row r="109">
      <c r="A109" t="inlineStr">
        <is>
          <t>-------------------------</t>
        </is>
      </c>
    </row>
    <row r="110">
      <c r="A110" t="inlineStr">
        <is>
          <t>- Instrument column missing and could not be inferred; left blank.</t>
        </is>
      </c>
    </row>
    <row r="111">
      <c r="A111" t="inlineStr">
        <is>
          <t>- Legacy editorial mean density_weighted_sum_cdm_mean omitted by default (use --include-legacy-cdm-mean to export it).</t>
        </is>
      </c>
    </row>
    <row r="112">
      <c r="A112" t="inlineStr">
        <is>
          <t>- Run-parameter comparability warning: 33/33 note rows are not in the primary comparable profile (wf=log, threshold/ceiling runtime-configured). Use Primary_Statistics_Eligible for thesis-grade primary statistics.</t>
        </is>
      </c>
    </row>
    <row r="113">
      <c r="A113" t="inlineStr">
        <is>
          <t>- Metadata sheet missing keys (left blank in Metadata sheet): Dynamic, Instrument, density_ci_enabled, dynamic_detected, harmonic_body_stop_enabled, harmonic_body_stop_margin_db, harmonic_tolerance_policy_version, harmonic_tolerance_spacing_cap_fraction, instrument_detected, output_path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22" customWidth="1" min="1" max="1"/>
    <col width="54" customWidth="1" min="2" max="2"/>
    <col width="3" customWidth="1" min="3" max="3"/>
    <col width="26" customWidth="1" min="4" max="4"/>
    <col width="16" customWidth="1" min="5" max="5"/>
    <col width="3" customWidth="1" min="6" max="6"/>
    <col width="26" customWidth="1" min="7" max="7"/>
    <col width="16" customWidth="1" min="8" max="8"/>
  </cols>
  <sheetData>
    <row r="1">
      <c r="A1" s="2" t="inlineStr">
        <is>
          <t>Spectral Density Research Dashboard</t>
        </is>
      </c>
      <c r="D1" s="3" t="inlineStr">
        <is>
          <t>Summary statistics</t>
        </is>
      </c>
    </row>
    <row r="2"/>
    <row r="4">
      <c r="A4" s="1" t="inlineStr">
        <is>
          <t>Run context</t>
        </is>
      </c>
      <c r="D4" s="1" t="inlineStr">
        <is>
          <t>Key performance indicators</t>
        </is>
      </c>
    </row>
    <row r="5">
      <c r="A5" s="4" t="inlineStr">
        <is>
          <t>Compiled workbook</t>
        </is>
      </c>
      <c r="B5" s="5" t="inlineStr">
        <is>
          <t>compiled_density_metrics.xlsx</t>
        </is>
      </c>
      <c r="D5" s="4" t="inlineStr">
        <is>
          <t>Mean spectral_body_thickness_index</t>
        </is>
      </c>
      <c r="E5" s="6" t="n">
        <v>4.003531513042231e-16</v>
      </c>
      <c r="G5" s="4" t="inlineStr">
        <is>
          <t>Mean harmonic_occupancy_ratio</t>
        </is>
      </c>
      <c r="H5" s="7" t="n">
        <v>0.6209315786137984</v>
      </c>
    </row>
    <row r="6">
      <c r="A6" s="4" t="inlineStr">
        <is>
          <t>Number of notes</t>
        </is>
      </c>
      <c r="B6" s="5" t="n">
        <v>33</v>
      </c>
      <c r="D6" s="4" t="inlineStr">
        <is>
          <t>Mean body_weighted_effective_density</t>
        </is>
      </c>
      <c r="E6" s="6" t="n">
        <v>112.0894704255712</v>
      </c>
      <c r="G6" s="4" t="inlineStr">
        <is>
          <t>Mean residual_log_frequency_occupancy</t>
        </is>
      </c>
      <c r="H6" s="6" t="n">
        <v>0.5189393939393938</v>
      </c>
    </row>
    <row r="7">
      <c r="A7" s="4" t="inlineStr">
        <is>
          <t>Pitch range (MIDI)</t>
        </is>
      </c>
      <c r="B7" s="5" t="inlineStr">
        <is>
          <t>40–72</t>
        </is>
      </c>
      <c r="D7" s="4" t="inlineStr">
        <is>
          <t>Mean low_mid_energy_ratio</t>
        </is>
      </c>
      <c r="E7" s="7" t="n">
        <v>0.6418588043056117</v>
      </c>
      <c r="G7" s="4" t="inlineStr">
        <is>
          <t>Mean effective_partial_density</t>
        </is>
      </c>
      <c r="H7" s="6" t="n">
        <v>9.117273207576174</v>
      </c>
    </row>
    <row r="8">
      <c r="A8" s="4" t="inlineStr">
        <is>
          <t>Dynamic</t>
        </is>
      </c>
      <c r="B8" s="5" t="inlineStr">
        <is>
          <t>ff</t>
        </is>
      </c>
      <c r="D8" s="4" t="inlineStr">
        <is>
          <t>Mean harmonic_body_density_normalized</t>
        </is>
      </c>
      <c r="E8" s="6" t="n">
        <v>0.7600990140845518</v>
      </c>
      <c r="G8" s="4" t="inlineStr">
        <is>
          <t>Mean spectral_entropy</t>
        </is>
      </c>
      <c r="H8" s="6" t="n">
        <v>0.6610093785893354</v>
      </c>
    </row>
    <row r="9">
      <c r="A9" s="4" t="inlineStr">
        <is>
          <t>Generated</t>
        </is>
      </c>
      <c r="B9" s="5" t="inlineStr">
        <is>
          <t>2026-08-19T16:38:00Z</t>
        </is>
      </c>
      <c r="D9" s="4" t="inlineStr">
        <is>
          <t>Mean salient_harmonic_order_count_up_to_body_ceiling</t>
        </is>
      </c>
      <c r="E9" s="6" t="n">
        <v>65.33333333333333</v>
      </c>
      <c r="G9" s="4" t="inlineStr">
        <is>
          <t>Mean core_harmonic_energy_ratio</t>
        </is>
      </c>
      <c r="H9" s="7" t="n">
        <v>0.8907254251863784</v>
      </c>
    </row>
    <row r="10">
      <c r="D10" s="4" t="inlineStr">
        <is>
          <t>Corr(MIDI, salient_harmonic_order_count_up_to_body_ceiling)</t>
        </is>
      </c>
      <c r="E10" s="8" t="n">
        <v>-0.9616387016747432</v>
      </c>
      <c r="G10" s="4" t="inlineStr">
        <is>
          <t>Arithmetic validation passed count</t>
        </is>
      </c>
      <c r="H10" s="8" t="n">
        <v>33</v>
      </c>
    </row>
    <row r="11">
      <c r="D11" s="4" t="inlineStr">
        <is>
          <t>Mean final_note_density_salience_weighted</t>
        </is>
      </c>
      <c r="E11" s="6" t="n">
        <v>41.7106130639841</v>
      </c>
      <c r="G11" s="4" t="inlineStr">
        <is>
          <t>Acoustic f0 verified count</t>
        </is>
      </c>
      <c r="H11" s="8" t="n">
        <v>33</v>
      </c>
    </row>
    <row r="12">
      <c r="D12" s="4" t="inlineStr">
        <is>
          <t>Corr(MIDI, final_note_density_salience_weighted)</t>
        </is>
      </c>
      <c r="E12" s="8" t="n">
        <v>-0.966763956960911</v>
      </c>
      <c r="G12" s="4" t="inlineStr">
        <is>
          <t>f0 fallback / acoustically unverified count</t>
        </is>
      </c>
      <c r="H12" s="8" t="n">
        <v>0</v>
      </c>
    </row>
    <row r="13">
      <c r="D13" s="4" t="inlineStr">
        <is>
          <t>Corr(final_note_density_salience_weighted, salient_harmonic_order_count_up_to_body_ceiling)</t>
        </is>
      </c>
      <c r="E13" s="8" t="n">
        <v>0.9980950591167651</v>
      </c>
      <c r="G13" s="4" t="inlineStr">
        <is>
          <t>f0 accepted count</t>
        </is>
      </c>
      <c r="H13" s="8" t="n">
        <v>33</v>
      </c>
    </row>
    <row r="16">
      <c r="D16" s="1" t="inlineStr">
        <is>
          <t>Top 5 thickest notes by spectral_body_thickness_index</t>
        </is>
      </c>
      <c r="G16" s="1" t="inlineStr">
        <is>
          <t>Bottom 5 thinnest notes by spectral_body_thickness_index</t>
        </is>
      </c>
    </row>
    <row r="17">
      <c r="D17" t="inlineStr">
        <is>
          <t>A2</t>
        </is>
      </c>
      <c r="E17" s="9" t="n">
        <v>1.18257205630037</v>
      </c>
      <c r="G17" t="inlineStr">
        <is>
          <t>F#4</t>
        </is>
      </c>
      <c r="H17" s="9" t="n">
        <v>-0.7715907633769552</v>
      </c>
    </row>
    <row r="18">
      <c r="D18" t="inlineStr">
        <is>
          <t>G#2</t>
        </is>
      </c>
      <c r="E18" s="9" t="n">
        <v>1.072210552625745</v>
      </c>
      <c r="G18" t="inlineStr">
        <is>
          <t>C5</t>
        </is>
      </c>
      <c r="H18" s="9" t="n">
        <v>-0.7638816409485486</v>
      </c>
    </row>
    <row r="19">
      <c r="D19" t="inlineStr">
        <is>
          <t>F2</t>
        </is>
      </c>
      <c r="E19" s="9" t="n">
        <v>1.047656293658716</v>
      </c>
      <c r="G19" t="inlineStr">
        <is>
          <t>G#4</t>
        </is>
      </c>
      <c r="H19" s="9" t="n">
        <v>-0.7509101255328754</v>
      </c>
    </row>
    <row r="20">
      <c r="D20" t="inlineStr">
        <is>
          <t>E2</t>
        </is>
      </c>
      <c r="E20" s="9" t="n">
        <v>0.954912129982789</v>
      </c>
      <c r="G20" t="inlineStr">
        <is>
          <t>F4</t>
        </is>
      </c>
      <c r="H20" s="9" t="n">
        <v>-0.6950370218739251</v>
      </c>
    </row>
    <row r="21">
      <c r="D21" t="inlineStr">
        <is>
          <t>F#2</t>
        </is>
      </c>
      <c r="E21" s="9" t="n">
        <v>0.6523794916775947</v>
      </c>
      <c r="G21" t="inlineStr">
        <is>
          <t>C4</t>
        </is>
      </c>
      <c r="H21" s="9" t="n">
        <v>-0.6334436916960943</v>
      </c>
    </row>
    <row r="24">
      <c r="D24" s="1" t="inlineStr">
        <is>
          <t>Top 5 by salient_harmonic_order_count_up_to_body_ceiling</t>
        </is>
      </c>
      <c r="G24" s="1" t="inlineStr">
        <is>
          <t>Bottom 5 by salient_harmonic_order_count_up_to_body_ceiling</t>
        </is>
      </c>
    </row>
    <row r="25">
      <c r="D25" t="inlineStr">
        <is>
          <t>F#2</t>
        </is>
      </c>
      <c r="E25" t="n">
        <v>108</v>
      </c>
      <c r="G25" t="inlineStr">
        <is>
          <t>B4</t>
        </is>
      </c>
      <c r="H25" t="n">
        <v>17</v>
      </c>
    </row>
    <row r="26">
      <c r="D26" t="inlineStr">
        <is>
          <t>G2</t>
        </is>
      </c>
      <c r="E26" t="n">
        <v>104</v>
      </c>
      <c r="G26" t="inlineStr">
        <is>
          <t>C5</t>
        </is>
      </c>
      <c r="H26" t="n">
        <v>17</v>
      </c>
    </row>
    <row r="27">
      <c r="D27" t="inlineStr">
        <is>
          <t>B2</t>
        </is>
      </c>
      <c r="E27" t="n">
        <v>101</v>
      </c>
      <c r="G27" t="inlineStr">
        <is>
          <t>A#4</t>
        </is>
      </c>
      <c r="H27" t="n">
        <v>19</v>
      </c>
    </row>
    <row r="28">
      <c r="D28" t="inlineStr">
        <is>
          <t>E2</t>
        </is>
      </c>
      <c r="E28" t="n">
        <v>100</v>
      </c>
      <c r="G28" t="inlineStr">
        <is>
          <t>A4</t>
        </is>
      </c>
      <c r="H28" t="n">
        <v>21</v>
      </c>
    </row>
    <row r="29">
      <c r="D29" t="inlineStr">
        <is>
          <t>G#2</t>
        </is>
      </c>
      <c r="E29" t="n">
        <v>96</v>
      </c>
      <c r="G29" t="inlineStr">
        <is>
          <t>G4</t>
        </is>
      </c>
      <c r="H29" t="n">
        <v>27</v>
      </c>
    </row>
    <row r="32">
      <c r="D32" s="1" t="inlineStr">
        <is>
          <t>Top 5 densest notes by final_note_density_salience_weighted</t>
        </is>
      </c>
      <c r="G32" s="1" t="inlineStr">
        <is>
          <t>Bottom 5 least dense notes by final_note_density_salience_weighted</t>
        </is>
      </c>
    </row>
    <row r="33">
      <c r="D33" t="inlineStr">
        <is>
          <t>F#2</t>
        </is>
      </c>
      <c r="E33" s="9" t="n">
        <v>69.16549661884468</v>
      </c>
      <c r="G33" t="inlineStr">
        <is>
          <t>B4</t>
        </is>
      </c>
      <c r="H33" s="9" t="n">
        <v>12.45253007157535</v>
      </c>
    </row>
    <row r="34">
      <c r="D34" t="inlineStr">
        <is>
          <t>G2</t>
        </is>
      </c>
      <c r="E34" s="9" t="n">
        <v>65.10277728795305</v>
      </c>
      <c r="G34" t="inlineStr">
        <is>
          <t>A#4</t>
        </is>
      </c>
      <c r="H34" s="9" t="n">
        <v>13.78996975687194</v>
      </c>
    </row>
    <row r="35">
      <c r="D35" t="inlineStr">
        <is>
          <t>B2</t>
        </is>
      </c>
      <c r="E35" s="9" t="n">
        <v>62.08109316189846</v>
      </c>
      <c r="G35" t="inlineStr">
        <is>
          <t>C5</t>
        </is>
      </c>
      <c r="H35" s="9" t="n">
        <v>14.58970842259206</v>
      </c>
    </row>
    <row r="36">
      <c r="D36" t="inlineStr">
        <is>
          <t>E2</t>
        </is>
      </c>
      <c r="E36" s="9" t="n">
        <v>62.01970159230927</v>
      </c>
      <c r="G36" t="inlineStr">
        <is>
          <t>A4</t>
        </is>
      </c>
      <c r="H36" s="9" t="n">
        <v>14.96070515633529</v>
      </c>
    </row>
    <row r="37">
      <c r="D37" t="inlineStr">
        <is>
          <t>F2</t>
        </is>
      </c>
      <c r="E37" s="9" t="n">
        <v>60.50683268551262</v>
      </c>
      <c r="G37" t="inlineStr">
        <is>
          <t>G#4</t>
        </is>
      </c>
      <c r="H37" s="9" t="n">
        <v>17.76236075619997</v>
      </c>
    </row>
    <row r="40">
      <c r="A40" s="1" t="inlineStr">
        <is>
          <t>Validation snapshot (from Spectral_Density_Metrics)</t>
        </is>
      </c>
    </row>
    <row r="41">
      <c r="A41" s="10" t="inlineStr">
        <is>
          <t>Note</t>
        </is>
      </c>
      <c r="B41" s="10" t="inlineStr">
        <is>
          <t>f0_fit_accepted</t>
        </is>
      </c>
      <c r="C41" s="10" t="inlineStr">
        <is>
          <t>acoustic_validation_status</t>
        </is>
      </c>
      <c r="D41" s="10" t="inlineStr">
        <is>
          <t>debug_counts_invariant_status</t>
        </is>
      </c>
      <c r="E41" s="10" t="inlineStr">
        <is>
          <t>harmonic_alignment_status</t>
        </is>
      </c>
    </row>
    <row r="42">
      <c r="A42" t="inlineStr">
        <is>
          <t>E2</t>
        </is>
      </c>
      <c r="B42" t="n">
        <v>1</v>
      </c>
      <c r="C42" t="inlineStr">
        <is>
          <t>passed</t>
        </is>
      </c>
      <c r="D42" t="inlineStr">
        <is>
          <t>passed</t>
        </is>
      </c>
      <c r="E42" t="inlineStr">
        <is>
          <t>good</t>
        </is>
      </c>
    </row>
    <row r="43">
      <c r="A43" t="inlineStr">
        <is>
          <t>F2</t>
        </is>
      </c>
      <c r="B43" t="n">
        <v>1</v>
      </c>
      <c r="C43" t="inlineStr">
        <is>
          <t>passed</t>
        </is>
      </c>
      <c r="D43" t="inlineStr">
        <is>
          <t>passed</t>
        </is>
      </c>
      <c r="E43" t="inlineStr">
        <is>
          <t>good</t>
        </is>
      </c>
    </row>
    <row r="44">
      <c r="A44" t="inlineStr">
        <is>
          <t>F#2</t>
        </is>
      </c>
      <c r="B44" t="n">
        <v>1</v>
      </c>
      <c r="C44" t="inlineStr">
        <is>
          <t>passed</t>
        </is>
      </c>
      <c r="D44" t="inlineStr">
        <is>
          <t>passed</t>
        </is>
      </c>
      <c r="E44" t="inlineStr">
        <is>
          <t>good</t>
        </is>
      </c>
    </row>
    <row r="45">
      <c r="A45" t="inlineStr">
        <is>
          <t>G2</t>
        </is>
      </c>
      <c r="B45" t="n">
        <v>1</v>
      </c>
      <c r="C45" t="inlineStr">
        <is>
          <t>passed</t>
        </is>
      </c>
      <c r="D45" t="inlineStr">
        <is>
          <t>passed</t>
        </is>
      </c>
      <c r="E45" t="inlineStr">
        <is>
          <t>good</t>
        </is>
      </c>
    </row>
    <row r="46">
      <c r="A46" t="inlineStr">
        <is>
          <t>G#2</t>
        </is>
      </c>
      <c r="B46" t="n">
        <v>1</v>
      </c>
      <c r="C46" t="inlineStr">
        <is>
          <t>passed</t>
        </is>
      </c>
      <c r="D46" t="inlineStr">
        <is>
          <t>passed</t>
        </is>
      </c>
      <c r="E46" t="inlineStr">
        <is>
          <t>good</t>
        </is>
      </c>
    </row>
    <row r="47">
      <c r="A47" t="inlineStr">
        <is>
          <t>A2</t>
        </is>
      </c>
      <c r="B47" t="n">
        <v>1</v>
      </c>
      <c r="C47" t="inlineStr">
        <is>
          <t>passed</t>
        </is>
      </c>
      <c r="D47" t="inlineStr">
        <is>
          <t>passed</t>
        </is>
      </c>
      <c r="E47" t="inlineStr">
        <is>
          <t>good</t>
        </is>
      </c>
    </row>
    <row r="48">
      <c r="A48" t="inlineStr">
        <is>
          <t>A#2</t>
        </is>
      </c>
      <c r="B48" t="n">
        <v>1</v>
      </c>
      <c r="C48" t="inlineStr">
        <is>
          <t>passed</t>
        </is>
      </c>
      <c r="D48" t="inlineStr">
        <is>
          <t>passed</t>
        </is>
      </c>
      <c r="E48" t="inlineStr">
        <is>
          <t>excellent</t>
        </is>
      </c>
    </row>
    <row r="49">
      <c r="A49" t="inlineStr">
        <is>
          <t>B2</t>
        </is>
      </c>
      <c r="B49" t="n">
        <v>1</v>
      </c>
      <c r="C49" t="inlineStr">
        <is>
          <t>passed</t>
        </is>
      </c>
      <c r="D49" t="inlineStr">
        <is>
          <t>passed</t>
        </is>
      </c>
      <c r="E49" t="inlineStr">
        <is>
          <t>excellent</t>
        </is>
      </c>
    </row>
    <row r="50">
      <c r="A50" t="inlineStr">
        <is>
          <t>C3</t>
        </is>
      </c>
      <c r="B50" t="n">
        <v>1</v>
      </c>
      <c r="C50" t="inlineStr">
        <is>
          <t>passed</t>
        </is>
      </c>
      <c r="D50" t="inlineStr">
        <is>
          <t>passed</t>
        </is>
      </c>
      <c r="E50" t="inlineStr">
        <is>
          <t>excellent</t>
        </is>
      </c>
    </row>
    <row r="51">
      <c r="A51" t="inlineStr">
        <is>
          <t>C#3</t>
        </is>
      </c>
      <c r="B51" t="n">
        <v>1</v>
      </c>
      <c r="C51" t="inlineStr">
        <is>
          <t>passed</t>
        </is>
      </c>
      <c r="D51" t="inlineStr">
        <is>
          <t>passed</t>
        </is>
      </c>
      <c r="E51" t="inlineStr">
        <is>
          <t>excellent</t>
        </is>
      </c>
    </row>
    <row r="52">
      <c r="A52" t="inlineStr">
        <is>
          <t>D3</t>
        </is>
      </c>
      <c r="B52" t="n">
        <v>1</v>
      </c>
      <c r="C52" t="inlineStr">
        <is>
          <t>passed</t>
        </is>
      </c>
      <c r="D52" t="inlineStr">
        <is>
          <t>passed</t>
        </is>
      </c>
      <c r="E52" t="inlineStr">
        <is>
          <t>excellent</t>
        </is>
      </c>
    </row>
    <row r="53">
      <c r="A53" t="inlineStr">
        <is>
          <t>D#3</t>
        </is>
      </c>
      <c r="B53" t="n">
        <v>1</v>
      </c>
      <c r="C53" t="inlineStr">
        <is>
          <t>passed</t>
        </is>
      </c>
      <c r="D53" t="inlineStr">
        <is>
          <t>passed</t>
        </is>
      </c>
      <c r="E53" t="inlineStr">
        <is>
          <t>excellent</t>
        </is>
      </c>
    </row>
    <row r="54">
      <c r="A54" t="inlineStr">
        <is>
          <t>E3</t>
        </is>
      </c>
      <c r="B54" t="n">
        <v>1</v>
      </c>
      <c r="C54" t="inlineStr">
        <is>
          <t>passed</t>
        </is>
      </c>
      <c r="D54" t="inlineStr">
        <is>
          <t>passed</t>
        </is>
      </c>
      <c r="E54" t="inlineStr">
        <is>
          <t>excellent</t>
        </is>
      </c>
    </row>
    <row r="55">
      <c r="A55" t="inlineStr">
        <is>
          <t>F3</t>
        </is>
      </c>
      <c r="B55" t="n">
        <v>1</v>
      </c>
      <c r="C55" t="inlineStr">
        <is>
          <t>passed</t>
        </is>
      </c>
      <c r="D55" t="inlineStr">
        <is>
          <t>passed</t>
        </is>
      </c>
      <c r="E55" t="inlineStr">
        <is>
          <t>excellent</t>
        </is>
      </c>
    </row>
    <row r="56">
      <c r="A56" t="inlineStr">
        <is>
          <t>F#3</t>
        </is>
      </c>
      <c r="B56" t="n">
        <v>1</v>
      </c>
      <c r="C56" t="inlineStr">
        <is>
          <t>passed</t>
        </is>
      </c>
      <c r="D56" t="inlineStr">
        <is>
          <t>passed</t>
        </is>
      </c>
      <c r="E56" t="inlineStr">
        <is>
          <t>excellent</t>
        </is>
      </c>
    </row>
    <row r="57">
      <c r="A57" t="inlineStr">
        <is>
          <t>G3</t>
        </is>
      </c>
      <c r="B57" t="n">
        <v>1</v>
      </c>
      <c r="C57" t="inlineStr">
        <is>
          <t>passed</t>
        </is>
      </c>
      <c r="D57" t="inlineStr">
        <is>
          <t>passed</t>
        </is>
      </c>
      <c r="E57" t="inlineStr">
        <is>
          <t>excellent</t>
        </is>
      </c>
    </row>
    <row r="58">
      <c r="A58" t="inlineStr">
        <is>
          <t>G#3</t>
        </is>
      </c>
      <c r="B58" t="n">
        <v>1</v>
      </c>
      <c r="C58" t="inlineStr">
        <is>
          <t>passed</t>
        </is>
      </c>
      <c r="D58" t="inlineStr">
        <is>
          <t>passed</t>
        </is>
      </c>
      <c r="E58" t="inlineStr">
        <is>
          <t>good</t>
        </is>
      </c>
    </row>
    <row r="59">
      <c r="A59" t="inlineStr">
        <is>
          <t>A3</t>
        </is>
      </c>
      <c r="B59" t="n">
        <v>1</v>
      </c>
      <c r="C59" t="inlineStr">
        <is>
          <t>passed</t>
        </is>
      </c>
      <c r="D59" t="inlineStr">
        <is>
          <t>passed</t>
        </is>
      </c>
      <c r="E59" t="inlineStr">
        <is>
          <t>good</t>
        </is>
      </c>
    </row>
    <row r="60">
      <c r="A60" t="inlineStr">
        <is>
          <t>A#3</t>
        </is>
      </c>
      <c r="B60" t="n">
        <v>1</v>
      </c>
      <c r="C60" t="inlineStr">
        <is>
          <t>passed</t>
        </is>
      </c>
      <c r="D60" t="inlineStr">
        <is>
          <t>passed</t>
        </is>
      </c>
      <c r="E60" t="inlineStr">
        <is>
          <t>good</t>
        </is>
      </c>
    </row>
    <row r="61">
      <c r="A61" t="inlineStr">
        <is>
          <t>B3</t>
        </is>
      </c>
      <c r="B61" t="n">
        <v>1</v>
      </c>
      <c r="C61" t="inlineStr">
        <is>
          <t>passed</t>
        </is>
      </c>
      <c r="D61" t="inlineStr">
        <is>
          <t>passed</t>
        </is>
      </c>
      <c r="E61" t="inlineStr">
        <is>
          <t>excellent</t>
        </is>
      </c>
    </row>
    <row r="62">
      <c r="A62" t="inlineStr">
        <is>
          <t>C4</t>
        </is>
      </c>
      <c r="B62" t="n">
        <v>1</v>
      </c>
      <c r="C62" t="inlineStr">
        <is>
          <t>passed</t>
        </is>
      </c>
      <c r="D62" t="inlineStr">
        <is>
          <t>passed</t>
        </is>
      </c>
      <c r="E62" t="inlineStr">
        <is>
          <t>excellent</t>
        </is>
      </c>
    </row>
    <row r="63">
      <c r="A63" t="inlineStr">
        <is>
          <t>C#4</t>
        </is>
      </c>
      <c r="B63" t="n">
        <v>1</v>
      </c>
      <c r="C63" t="inlineStr">
        <is>
          <t>passed</t>
        </is>
      </c>
      <c r="D63" t="inlineStr">
        <is>
          <t>passed</t>
        </is>
      </c>
      <c r="E63" t="inlineStr">
        <is>
          <t>good</t>
        </is>
      </c>
    </row>
    <row r="64">
      <c r="A64" t="inlineStr">
        <is>
          <t>D4</t>
        </is>
      </c>
      <c r="B64" t="n">
        <v>1</v>
      </c>
      <c r="C64" t="inlineStr">
        <is>
          <t>passed</t>
        </is>
      </c>
      <c r="D64" t="inlineStr">
        <is>
          <t>passed</t>
        </is>
      </c>
      <c r="E64" t="inlineStr">
        <is>
          <t>good</t>
        </is>
      </c>
    </row>
    <row r="65">
      <c r="A65" t="inlineStr">
        <is>
          <t>D#4</t>
        </is>
      </c>
      <c r="B65" t="n">
        <v>1</v>
      </c>
      <c r="C65" t="inlineStr">
        <is>
          <t>passed</t>
        </is>
      </c>
      <c r="D65" t="inlineStr">
        <is>
          <t>passed</t>
        </is>
      </c>
      <c r="E65" t="inlineStr">
        <is>
          <t>excellent</t>
        </is>
      </c>
    </row>
    <row r="66">
      <c r="A66" t="inlineStr">
        <is>
          <t>E4</t>
        </is>
      </c>
      <c r="B66" t="n">
        <v>1</v>
      </c>
      <c r="C66" t="inlineStr">
        <is>
          <t>passed</t>
        </is>
      </c>
      <c r="D66" t="inlineStr">
        <is>
          <t>passed</t>
        </is>
      </c>
      <c r="E66" t="inlineStr">
        <is>
          <t>excellent</t>
        </is>
      </c>
    </row>
    <row r="67">
      <c r="A67" t="inlineStr">
        <is>
          <t>F4</t>
        </is>
      </c>
      <c r="B67" t="n">
        <v>1</v>
      </c>
      <c r="C67" t="inlineStr">
        <is>
          <t>passed</t>
        </is>
      </c>
      <c r="D67" t="inlineStr">
        <is>
          <t>passed</t>
        </is>
      </c>
      <c r="E67" t="inlineStr">
        <is>
          <t>good</t>
        </is>
      </c>
    </row>
    <row r="68">
      <c r="A68" t="inlineStr">
        <is>
          <t>F#4</t>
        </is>
      </c>
      <c r="B68" t="n">
        <v>1</v>
      </c>
      <c r="C68" t="inlineStr">
        <is>
          <t>passed</t>
        </is>
      </c>
      <c r="D68" t="inlineStr">
        <is>
          <t>passed</t>
        </is>
      </c>
      <c r="E68" t="inlineStr">
        <is>
          <t>excellent</t>
        </is>
      </c>
    </row>
    <row r="69">
      <c r="A69" t="inlineStr">
        <is>
          <t>G4</t>
        </is>
      </c>
      <c r="B69" t="n">
        <v>1</v>
      </c>
      <c r="C69" t="inlineStr">
        <is>
          <t>passed</t>
        </is>
      </c>
      <c r="D69" t="inlineStr">
        <is>
          <t>passed</t>
        </is>
      </c>
      <c r="E69" t="inlineStr">
        <is>
          <t>excellent</t>
        </is>
      </c>
    </row>
    <row r="70">
      <c r="A70" t="inlineStr">
        <is>
          <t>G#4</t>
        </is>
      </c>
      <c r="B70" t="n">
        <v>1</v>
      </c>
      <c r="C70" t="inlineStr">
        <is>
          <t>passed</t>
        </is>
      </c>
      <c r="D70" t="inlineStr">
        <is>
          <t>passed</t>
        </is>
      </c>
      <c r="E70" t="inlineStr">
        <is>
          <t>excellent</t>
        </is>
      </c>
    </row>
    <row r="71">
      <c r="A71" t="inlineStr">
        <is>
          <t>A4</t>
        </is>
      </c>
      <c r="B71" t="n">
        <v>1</v>
      </c>
      <c r="C71" t="inlineStr">
        <is>
          <t>passed</t>
        </is>
      </c>
      <c r="D71" t="inlineStr">
        <is>
          <t>passed</t>
        </is>
      </c>
      <c r="E71" t="inlineStr">
        <is>
          <t>good</t>
        </is>
      </c>
    </row>
    <row r="72">
      <c r="A72" t="inlineStr">
        <is>
          <t>A#4</t>
        </is>
      </c>
      <c r="B72" t="n">
        <v>1</v>
      </c>
      <c r="C72" t="inlineStr">
        <is>
          <t>passed</t>
        </is>
      </c>
      <c r="D72" t="inlineStr">
        <is>
          <t>passed</t>
        </is>
      </c>
      <c r="E72" t="inlineStr">
        <is>
          <t>excellent</t>
        </is>
      </c>
    </row>
    <row r="73">
      <c r="A73" t="inlineStr">
        <is>
          <t>B4</t>
        </is>
      </c>
      <c r="B73" t="n">
        <v>1</v>
      </c>
      <c r="C73" t="inlineStr">
        <is>
          <t>passed</t>
        </is>
      </c>
      <c r="D73" t="inlineStr">
        <is>
          <t>passed</t>
        </is>
      </c>
      <c r="E73" t="inlineStr">
        <is>
          <t>excellent</t>
        </is>
      </c>
    </row>
    <row r="74">
      <c r="A74" t="inlineStr">
        <is>
          <t>C5</t>
        </is>
      </c>
      <c r="B74" t="n">
        <v>1</v>
      </c>
      <c r="C74" t="inlineStr">
        <is>
          <t>passed</t>
        </is>
      </c>
      <c r="D74" t="inlineStr">
        <is>
          <t>passed</t>
        </is>
      </c>
      <c r="E74" t="inlineStr">
        <is>
          <t>good</t>
        </is>
      </c>
    </row>
  </sheetData>
  <mergeCells count="3">
    <mergeCell ref="A1:B2"/>
    <mergeCell ref="D4:H4"/>
    <mergeCell ref="D1:H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32" customWidth="1" min="3" max="3"/>
    <col width="48" customWidth="1" min="4" max="4"/>
    <col width="48" customWidth="1" min="5" max="5"/>
    <col width="24" customWidth="1" min="6" max="6"/>
    <col width="32" customWidth="1" min="7" max="7"/>
    <col width="36" customWidth="1" min="8" max="8"/>
    <col width="22" customWidth="1" min="9" max="9"/>
    <col width="45" customWidth="1" min="10" max="10"/>
    <col width="39" customWidth="1" min="11" max="11"/>
    <col width="48" customWidth="1" min="12" max="12"/>
    <col width="44" customWidth="1" min="13" max="13"/>
    <col width="46" customWidth="1" min="14" max="14"/>
    <col width="30" customWidth="1" min="15" max="15"/>
    <col width="32" customWidth="1" min="16" max="16"/>
    <col width="48" customWidth="1" min="17" max="17"/>
    <col width="48" customWidth="1" min="18" max="18"/>
    <col width="48" customWidth="1" min="19" max="19"/>
    <col width="32" customWidth="1" min="20" max="20"/>
    <col width="31" customWidth="1" min="21" max="21"/>
    <col width="33" customWidth="1" min="22" max="22"/>
    <col width="22" customWidth="1" min="23" max="23"/>
    <col width="34" customWidth="1" min="24" max="24"/>
    <col width="48" customWidth="1" min="25" max="25"/>
    <col width="48" customWidth="1" min="26" max="26"/>
    <col width="46" customWidth="1" min="27" max="27"/>
    <col width="48" customWidth="1" min="28" max="28"/>
    <col width="48" customWidth="1" min="29" max="29"/>
    <col width="48" customWidth="1" min="30" max="30"/>
    <col width="42" customWidth="1" min="31" max="31"/>
    <col width="48" customWidth="1" min="32" max="32"/>
    <col width="48" customWidth="1" min="33" max="33"/>
    <col width="48" customWidth="1" min="34" max="34"/>
    <col width="48" customWidth="1" min="35" max="35"/>
    <col width="47" customWidth="1" min="36" max="36"/>
    <col width="48" customWidth="1" min="37" max="37"/>
    <col width="32" customWidth="1" min="38" max="38"/>
    <col width="48" customWidth="1" min="39" max="39"/>
    <col width="32" customWidth="1" min="40" max="40"/>
    <col width="48" customWidth="1" min="41" max="41"/>
    <col width="48" customWidth="1" min="42" max="42"/>
    <col width="32" customWidth="1" min="43" max="43"/>
    <col width="38" customWidth="1" min="44" max="44"/>
    <col width="48" customWidth="1" min="45" max="45"/>
    <col width="20" customWidth="1" min="46" max="46"/>
    <col width="20" customWidth="1" min="47" max="47"/>
    <col width="30" customWidth="1" min="48" max="48"/>
    <col width="32" customWidth="1" min="49" max="49"/>
    <col width="28" customWidth="1" min="50" max="50"/>
    <col width="30" customWidth="1" min="51" max="51"/>
    <col width="27" customWidth="1" min="52" max="52"/>
    <col width="25" customWidth="1" min="53" max="53"/>
    <col width="27" customWidth="1" min="54" max="54"/>
    <col width="24" customWidth="1" min="55" max="55"/>
    <col width="24" customWidth="1" min="56" max="56"/>
    <col width="31" customWidth="1" min="57" max="57"/>
    <col width="30" customWidth="1" min="58" max="58"/>
    <col width="33" customWidth="1" min="59" max="59"/>
    <col width="26" customWidth="1" min="60" max="60"/>
    <col width="30" customWidth="1" min="61" max="61"/>
    <col width="30" customWidth="1" min="62" max="62"/>
    <col width="30" customWidth="1" min="63" max="63"/>
    <col width="29" customWidth="1" min="64" max="64"/>
    <col width="30" customWidth="1" min="65" max="65"/>
    <col width="45" customWidth="1" min="66" max="66"/>
    <col width="34" customWidth="1" min="67" max="67"/>
    <col width="28" customWidth="1" min="68" max="68"/>
    <col width="28" customWidth="1" min="69" max="69"/>
    <col width="27" customWidth="1" min="70" max="70"/>
    <col width="35" customWidth="1" min="71" max="71"/>
    <col width="33" customWidth="1" min="72" max="72"/>
    <col width="35" customWidth="1" min="73" max="73"/>
    <col width="32" customWidth="1" min="74" max="74"/>
    <col width="10" customWidth="1" min="75" max="75"/>
    <col width="10" customWidth="1" min="76" max="76"/>
    <col width="13" customWidth="1" min="77" max="77"/>
    <col width="10" customWidth="1" min="78" max="78"/>
    <col width="11" customWidth="1" min="79" max="79"/>
    <col width="10" customWidth="1" min="80" max="80"/>
    <col width="19" customWidth="1" min="81" max="81"/>
    <col width="19" customWidth="1" min="82" max="82"/>
    <col width="32" customWidth="1" min="83" max="83"/>
    <col width="36" customWidth="1" min="84" max="84"/>
    <col width="17" customWidth="1" min="85" max="85"/>
    <col width="32" customWidth="1" min="86" max="86"/>
    <col width="20" customWidth="1" min="87" max="87"/>
    <col width="19" customWidth="1" min="88" max="88"/>
    <col width="19" customWidth="1" min="89" max="89"/>
    <col width="21" customWidth="1" min="90" max="90"/>
    <col width="22" customWidth="1" min="91" max="91"/>
    <col width="32" customWidth="1" min="92" max="92"/>
    <col width="20" customWidth="1" min="93" max="93"/>
    <col width="40" customWidth="1" min="94" max="94"/>
    <col width="48" customWidth="1" min="95" max="95"/>
    <col width="43" customWidth="1" min="96" max="96"/>
    <col width="48" customWidth="1" min="97" max="97"/>
    <col width="48" customWidth="1" min="98" max="98"/>
    <col width="45" customWidth="1" min="99" max="99"/>
    <col width="43" customWidth="1" min="100" max="100"/>
    <col width="39" customWidth="1" min="101" max="101"/>
    <col width="41" customWidth="1" min="102" max="102"/>
    <col width="27" customWidth="1" min="103" max="103"/>
    <col width="42" customWidth="1" min="104" max="104"/>
    <col width="41" customWidth="1" min="105" max="105"/>
    <col width="43" customWidth="1" min="106" max="106"/>
    <col width="38" customWidth="1" min="107" max="107"/>
    <col width="32" customWidth="1" min="108" max="108"/>
    <col width="48" customWidth="1" min="109" max="109"/>
    <col width="46" customWidth="1" min="110" max="110"/>
    <col width="33" customWidth="1" min="111" max="111"/>
    <col width="46" customWidth="1" min="112" max="112"/>
    <col width="27" customWidth="1" min="113" max="113"/>
    <col width="22" customWidth="1" min="114" max="114"/>
    <col width="19" customWidth="1" min="115" max="115"/>
    <col width="34" customWidth="1" min="116" max="116"/>
    <col width="41" customWidth="1" min="117" max="117"/>
    <col width="42" customWidth="1" min="118" max="118"/>
    <col width="48" customWidth="1" min="119" max="119"/>
    <col width="22" customWidth="1" min="120" max="120"/>
    <col width="24" customWidth="1" min="121" max="121"/>
    <col width="30" customWidth="1" min="122" max="122"/>
    <col width="27" customWidth="1" min="123" max="123"/>
    <col width="23" customWidth="1" min="124" max="124"/>
    <col width="44" customWidth="1" min="125" max="125"/>
    <col width="28" customWidth="1" min="126" max="126"/>
    <col width="27" customWidth="1" min="127" max="127"/>
    <col width="28" customWidth="1" min="128" max="128"/>
    <col width="36" customWidth="1" min="129" max="129"/>
    <col width="17" customWidth="1" min="130" max="130"/>
    <col width="33" customWidth="1" min="131" max="131"/>
    <col width="30" customWidth="1" min="132" max="132"/>
    <col width="23" customWidth="1" min="133" max="133"/>
    <col width="26" customWidth="1" min="134" max="134"/>
    <col width="43" customWidth="1" min="135" max="135"/>
    <col width="21" customWidth="1" min="136" max="136"/>
    <col width="27" customWidth="1" min="137" max="137"/>
    <col width="30" customWidth="1" min="138" max="138"/>
    <col width="31" customWidth="1" min="139" max="139"/>
    <col width="48" customWidth="1" min="140" max="140"/>
    <col width="48" customWidth="1" min="141" max="141"/>
    <col width="20" customWidth="1" min="142" max="142"/>
    <col width="20" customWidth="1" min="143" max="143"/>
    <col width="32" customWidth="1" min="144" max="144"/>
    <col width="31" customWidth="1" min="145" max="145"/>
    <col width="29" customWidth="1" min="146" max="146"/>
    <col width="27" customWidth="1" min="147" max="147"/>
    <col width="38" customWidth="1" min="148" max="148"/>
    <col width="21" customWidth="1" min="149" max="149"/>
    <col width="22" customWidth="1" min="150" max="150"/>
    <col width="22" customWidth="1" min="151" max="151"/>
    <col width="17" customWidth="1" min="152" max="152"/>
    <col width="23" customWidth="1" min="153" max="153"/>
    <col width="23" customWidth="1" min="154" max="154"/>
    <col width="22" customWidth="1" min="155" max="155"/>
    <col width="35" customWidth="1" min="156" max="156"/>
    <col width="36" customWidth="1" min="157" max="157"/>
    <col width="23" customWidth="1" min="158" max="158"/>
    <col width="20" customWidth="1" min="159" max="159"/>
    <col width="22" customWidth="1" min="160" max="160"/>
    <col width="24" customWidth="1" min="161" max="161"/>
    <col width="21" customWidth="1" min="162" max="162"/>
    <col width="40" customWidth="1" min="163" max="163"/>
    <col width="42" customWidth="1" min="164" max="164"/>
    <col width="39" customWidth="1" min="165" max="165"/>
    <col width="21" customWidth="1" min="166" max="166"/>
    <col width="23" customWidth="1" min="167" max="167"/>
    <col width="21" customWidth="1" min="168" max="168"/>
    <col width="24" customWidth="1" min="169" max="169"/>
    <col width="23" customWidth="1" min="170" max="170"/>
    <col width="25" customWidth="1" min="171" max="171"/>
    <col width="24" customWidth="1" min="172" max="172"/>
    <col width="27" customWidth="1" min="173" max="173"/>
    <col width="35" customWidth="1" min="174" max="174"/>
    <col width="35" customWidth="1" min="175" max="175"/>
    <col width="34" customWidth="1" min="176" max="176"/>
    <col width="31" customWidth="1" min="177" max="177"/>
    <col width="24" customWidth="1" min="178" max="178"/>
    <col width="26" customWidth="1" min="179" max="179"/>
    <col width="23" customWidth="1" min="180" max="180"/>
    <col width="35" customWidth="1" min="181" max="181"/>
    <col width="37" customWidth="1" min="182" max="182"/>
    <col width="26" customWidth="1" min="183" max="183"/>
    <col width="48" customWidth="1" min="184" max="184"/>
    <col width="42" customWidth="1" min="185" max="185"/>
    <col width="48" customWidth="1" min="186" max="186"/>
    <col width="37" customWidth="1" min="187" max="187"/>
    <col width="48" customWidth="1" min="188" max="188"/>
    <col width="48" customWidth="1" min="189" max="189"/>
    <col width="46" customWidth="1" min="190" max="190"/>
    <col width="41" customWidth="1" min="191" max="191"/>
    <col width="45" customWidth="1" min="192" max="192"/>
    <col width="48" customWidth="1" min="193" max="193"/>
    <col width="43" customWidth="1" min="194" max="194"/>
    <col width="38" customWidth="1" min="195" max="195"/>
    <col width="33" customWidth="1" min="196" max="196"/>
    <col width="47" customWidth="1" min="197" max="197"/>
    <col width="32" customWidth="1" min="198" max="198"/>
    <col width="48" customWidth="1" min="199" max="199"/>
    <col width="18" customWidth="1" min="200" max="200"/>
    <col width="23" customWidth="1" min="201" max="201"/>
    <col width="20" customWidth="1" min="202" max="202"/>
    <col width="21" customWidth="1" min="203" max="203"/>
    <col width="20" customWidth="1" min="204" max="204"/>
    <col width="32" customWidth="1" min="205" max="205"/>
    <col width="29" customWidth="1" min="206" max="206"/>
    <col width="21" customWidth="1" min="207" max="207"/>
    <col width="25" customWidth="1" min="208" max="208"/>
    <col width="26" customWidth="1" min="209" max="209"/>
    <col width="34" customWidth="1" min="210" max="210"/>
    <col width="37" customWidth="1" min="211" max="211"/>
    <col width="38" customWidth="1" min="212" max="212"/>
    <col width="46" customWidth="1" min="213" max="213"/>
    <col width="26" customWidth="1" min="214" max="214"/>
    <col width="25" customWidth="1" min="215" max="215"/>
    <col width="30" customWidth="1" min="216" max="216"/>
    <col width="28" customWidth="1" min="217" max="217"/>
  </cols>
  <sheetData>
    <row r="1">
      <c r="A1" s="11" t="inlineStr">
        <is>
          <t>metadata_inference_status</t>
        </is>
      </c>
      <c r="B1" s="11" t="inlineStr">
        <is>
          <t>metadata_missing_reason</t>
        </is>
      </c>
      <c r="C1" s="11" t="inlineStr">
        <is>
          <t>f0_final_source</t>
        </is>
      </c>
      <c r="D1" s="11" t="inlineStr">
        <is>
          <t>amplitude_mass_chart_file</t>
        </is>
      </c>
      <c r="E1" s="11" t="inlineStr">
        <is>
          <t>energy_ratio_chart_file</t>
        </is>
      </c>
      <c r="F1" s="11" t="inlineStr">
        <is>
          <t>f0_used_for_density_hz</t>
        </is>
      </c>
      <c r="G1" s="11" t="inlineStr">
        <is>
          <t>f0_used_for_density_source</t>
        </is>
      </c>
      <c r="H1" s="11" t="inlineStr">
        <is>
          <t>acoustic_f0_status</t>
        </is>
      </c>
      <c r="I1" s="12" t="inlineStr">
        <is>
          <t>density_weighted_sum</t>
        </is>
      </c>
      <c r="J1" s="11" t="inlineStr">
        <is>
          <t>density_weighted_sum_alias_of</t>
        </is>
      </c>
      <c r="K1" s="11" t="inlineStr">
        <is>
          <t>density_weighted_sum_semantic_status</t>
        </is>
      </c>
      <c r="L1" s="11" t="inlineStr">
        <is>
          <t>density_component_body_weighted_sum_body_ceiling</t>
        </is>
      </c>
      <c r="M1" s="11" t="inlineStr">
        <is>
          <t>harmonic_component_energy_sum_body_ceiling</t>
        </is>
      </c>
      <c r="N1" s="11" t="inlineStr">
        <is>
          <t>inharmonic_component_energy_sum_body_ceiling</t>
        </is>
      </c>
      <c r="O1" s="11" t="inlineStr">
        <is>
          <t>subbass_component_energy_sum</t>
        </is>
      </c>
      <c r="P1" s="11" t="inlineStr">
        <is>
          <t>spectral_slope_db_per_harmonic</t>
        </is>
      </c>
      <c r="Q1" s="11" t="inlineStr">
        <is>
          <t>validated_harmonic_component_count_body_ceiling</t>
        </is>
      </c>
      <c r="R1" s="11" t="inlineStr">
        <is>
          <t>probable_harmonic_component_count_body_ceiling</t>
        </is>
      </c>
      <c r="S1" s="11" t="inlineStr">
        <is>
          <t>probable_harmonic_component_energy_sum_body_ceiling</t>
        </is>
      </c>
      <c r="T1" s="11" t="inlineStr">
        <is>
          <t>harmonic_candidate_count_20khz</t>
        </is>
      </c>
      <c r="U1" s="11" t="inlineStr">
        <is>
          <t>spectral_body_thickness_index</t>
        </is>
      </c>
      <c r="V1" s="11" t="inlineStr">
        <is>
          <t>body_weighted_effective_density</t>
        </is>
      </c>
      <c r="W1" s="11" t="inlineStr">
        <is>
          <t>low_mid_energy_ratio</t>
        </is>
      </c>
      <c r="X1" s="11" t="inlineStr">
        <is>
          <t>harmonic_body_density_normalized</t>
        </is>
      </c>
      <c r="Y1" s="11" t="inlineStr">
        <is>
          <t>salient_harmonic_order_count_up_to_body_ceiling</t>
        </is>
      </c>
      <c r="Z1" s="11" t="inlineStr">
        <is>
          <t>expected_harmonic_order_count_up_to_body_ceiling</t>
        </is>
      </c>
      <c r="AA1" s="11" t="inlineStr">
        <is>
          <t>salient_harmonic_coverage_up_to_body_ceiling</t>
        </is>
      </c>
      <c r="AB1" s="11" t="inlineStr">
        <is>
          <t>theoretical_harmonic_order_count_up_to_body_ceiling</t>
        </is>
      </c>
      <c r="AC1" s="11" t="inlineStr">
        <is>
          <t>detected_salient_harmonic_order_count_up_to_body_ceiling</t>
        </is>
      </c>
      <c r="AD1" s="11" t="inlineStr">
        <is>
          <t>salient_harmonic_coverage_ratio_up_to_body_ceiling</t>
        </is>
      </c>
      <c r="AE1" s="11" t="inlineStr">
        <is>
          <t>salient_harmonic_mass_up_to_body_ceiling</t>
        </is>
      </c>
      <c r="AF1" s="11" t="inlineStr">
        <is>
          <t>salient_harmonic_order_count_up_to_density_ceiling_hz</t>
        </is>
      </c>
      <c r="AG1" s="11" t="inlineStr">
        <is>
          <t>expected_harmonic_order_count_up_to_density_ceiling_hz</t>
        </is>
      </c>
      <c r="AH1" s="11" t="inlineStr">
        <is>
          <t>salient_harmonic_coverage_up_to_density_ceiling_hz</t>
        </is>
      </c>
      <c r="AI1" s="11" t="inlineStr">
        <is>
          <t>salient_harmonic_mass_up_to_density_ceiling_hz</t>
        </is>
      </c>
      <c r="AJ1" s="11" t="inlineStr">
        <is>
          <t>salient_odd_harmonic_count_up_to_body_ceiling</t>
        </is>
      </c>
      <c r="AK1" s="11" t="inlineStr">
        <is>
          <t>salient_even_harmonic_count_up_to_body_ceiling</t>
        </is>
      </c>
      <c r="AL1" s="11" t="inlineStr">
        <is>
          <t>odd_even_harmonic_energy_ratio</t>
        </is>
      </c>
      <c r="AM1" s="11" t="inlineStr">
        <is>
          <t>salient_inharmonic_log_bin_count_up_to_body_ceiling</t>
        </is>
      </c>
      <c r="AN1" s="11" t="inlineStr">
        <is>
          <t>salient_subbass_particle_count</t>
        </is>
      </c>
      <c r="AO1" s="11" t="inlineStr">
        <is>
          <t>salient_inharmonic_log_bin_count_up_to_density_ceiling_hz</t>
        </is>
      </c>
      <c r="AP1" s="11" t="inlineStr">
        <is>
          <t>salient_subbass_particle_count_up_to_density_ceiling_hz</t>
        </is>
      </c>
      <c r="AQ1" s="11" t="inlineStr">
        <is>
          <t>final_note_density_count_based</t>
        </is>
      </c>
      <c r="AR1" s="11" t="inlineStr">
        <is>
          <t>final_note_density_salience_weighted</t>
        </is>
      </c>
      <c r="AS1" s="11" t="inlineStr">
        <is>
          <t>final_note_density_salience_weighted_norm_for_chart</t>
        </is>
      </c>
      <c r="AT1" s="13" t="inlineStr">
        <is>
          <t>note_density_final</t>
        </is>
      </c>
      <c r="AU1" s="14" t="inlineStr">
        <is>
          <t>EWSD_score_total</t>
        </is>
      </c>
      <c r="AV1" s="11" t="inlineStr">
        <is>
          <t>EWSD_score_acoustic_balanced</t>
        </is>
      </c>
      <c r="AW1" s="11" t="inlineStr">
        <is>
          <t>ewsd_primary_analysis_eligible</t>
        </is>
      </c>
      <c r="AX1" s="11" t="inlineStr">
        <is>
          <t>harmonic_density_component</t>
        </is>
      </c>
      <c r="AY1" s="11" t="inlineStr">
        <is>
          <t>inharmonic_density_component</t>
        </is>
      </c>
      <c r="AZ1" s="11" t="inlineStr">
        <is>
          <t>subbass_density_component</t>
        </is>
      </c>
      <c r="BA1" s="11" t="inlineStr">
        <is>
          <t>harmonic_density_weight</t>
        </is>
      </c>
      <c r="BB1" s="11" t="inlineStr">
        <is>
          <t>inharmonic_density_weight</t>
        </is>
      </c>
      <c r="BC1" s="11" t="inlineStr">
        <is>
          <t>subbass_density_weight</t>
        </is>
      </c>
      <c r="BD1" s="11" t="inlineStr">
        <is>
          <t>density_summation_mode</t>
        </is>
      </c>
      <c r="BE1" s="11" t="inlineStr">
        <is>
          <t>density_salience_threshold_db</t>
        </is>
      </c>
      <c r="BF1" s="11" t="inlineStr">
        <is>
          <t>density_frequency_ceiling_hz</t>
        </is>
      </c>
      <c r="BG1" s="11" t="inlineStr">
        <is>
          <t>harmonic_region_occupancy_count</t>
        </is>
      </c>
      <c r="BH1" s="11" t="inlineStr">
        <is>
          <t>harmonic_occupancy_ratio</t>
        </is>
      </c>
      <c r="BI1" s="11" t="inlineStr">
        <is>
          <t>expected_harmonic_slot_count</t>
        </is>
      </c>
      <c r="BJ1" s="11" t="inlineStr">
        <is>
          <t>detected_harmonic_slot_count</t>
        </is>
      </c>
      <c r="BK1" s="11" t="inlineStr">
        <is>
          <t>harmonic_slot_expected_count</t>
        </is>
      </c>
      <c r="BL1" s="11" t="inlineStr">
        <is>
          <t>harmonic_slot_matched_count</t>
        </is>
      </c>
      <c r="BM1" s="11" t="inlineStr">
        <is>
          <t>harmonic_slot_coverage_ratio</t>
        </is>
      </c>
      <c r="BN1" s="11" t="inlineStr">
        <is>
          <t>harmonic_effective_power_density_normalized</t>
        </is>
      </c>
      <c r="BO1" s="11" t="inlineStr">
        <is>
          <t>residual_log_frequency_occupancy</t>
        </is>
      </c>
      <c r="BP1" s="11" t="inlineStr">
        <is>
          <t>core_harmonic_energy_ratio</t>
        </is>
      </c>
      <c r="BQ1" s="11" t="inlineStr">
        <is>
          <t>core_residual_energy_ratio</t>
        </is>
      </c>
      <c r="BR1" s="11" t="inlineStr">
        <is>
          <t>core_subbass_energy_ratio</t>
        </is>
      </c>
      <c r="BS1" s="11" t="inlineStr">
        <is>
          <t>residual_body_contribution_capped</t>
        </is>
      </c>
      <c r="BT1" s="11" t="inlineStr">
        <is>
          <t>component_harmonic_energy_ratio</t>
        </is>
      </c>
      <c r="BU1" s="11" t="inlineStr">
        <is>
          <t>component_inharmonic_energy_ratio</t>
        </is>
      </c>
      <c r="BV1" s="11" t="inlineStr">
        <is>
          <t>component_subbass_energy_ratio</t>
        </is>
      </c>
      <c r="BW1" s="11" t="inlineStr">
        <is>
          <t>Note</t>
        </is>
      </c>
      <c r="BX1" s="11" t="inlineStr">
        <is>
          <t>MIDI</t>
        </is>
      </c>
      <c r="BY1" s="11" t="inlineStr">
        <is>
          <t>Pitch_Class</t>
        </is>
      </c>
      <c r="BZ1" s="11" t="inlineStr">
        <is>
          <t>Octave</t>
        </is>
      </c>
      <c r="CA1" s="11" t="inlineStr">
        <is>
          <t>Register</t>
        </is>
      </c>
      <c r="CB1" s="11" t="inlineStr">
        <is>
          <t>Dynamic</t>
        </is>
      </c>
      <c r="CC1" s="11" t="inlineStr">
        <is>
          <t>f0_nominal_hz</t>
        </is>
      </c>
      <c r="CD1" s="11" t="inlineStr">
        <is>
          <t>f0_final_hz</t>
        </is>
      </c>
      <c r="CE1" s="11" t="inlineStr">
        <is>
          <t>f0_source</t>
        </is>
      </c>
      <c r="CF1" s="11" t="inlineStr">
        <is>
          <t>f0_used_for_harmonic_validation_hz</t>
        </is>
      </c>
      <c r="CG1" s="11" t="inlineStr">
        <is>
          <t>f0_fit_accepted</t>
        </is>
      </c>
      <c r="CH1" s="11" t="inlineStr">
        <is>
          <t>f0_epistemic_status</t>
        </is>
      </c>
      <c r="CI1" s="11" t="inlineStr">
        <is>
          <t>f0_validation_mode</t>
        </is>
      </c>
      <c r="CJ1" s="11" t="inlineStr">
        <is>
          <t>nominal_prior_hz</t>
        </is>
      </c>
      <c r="CK1" s="11" t="inlineStr">
        <is>
          <t>f0_candidate_hz</t>
        </is>
      </c>
      <c r="CL1" s="11" t="inlineStr">
        <is>
          <t>f0_deviation_cents</t>
        </is>
      </c>
      <c r="CM1" s="11" t="inlineStr">
        <is>
          <t>f0_validation_max_hz</t>
        </is>
      </c>
      <c r="CN1" s="11" t="inlineStr">
        <is>
          <t>f0_detuning_cents_from_nominal</t>
        </is>
      </c>
      <c r="CO1" s="11" t="inlineStr">
        <is>
          <t>density_metric_raw</t>
        </is>
      </c>
      <c r="CP1" s="11" t="inlineStr">
        <is>
          <t>density_body_weighted_sum_body_ceiling</t>
        </is>
      </c>
      <c r="CQ1" s="11" t="inlineStr">
        <is>
          <t>harmonic_effective_component_count_body_ceiling</t>
        </is>
      </c>
      <c r="CR1" s="11" t="inlineStr">
        <is>
          <t>normalized_harmonic_richness_body_ceiling</t>
        </is>
      </c>
      <c r="CS1" s="11" t="inlineStr">
        <is>
          <t>body_density_per_expected_harmonic_slot_body_ceiling</t>
        </is>
      </c>
      <c r="CT1" s="11" t="inlineStr">
        <is>
          <t>pitch_normalized_harmonic_component_energy_body_ceiling</t>
        </is>
      </c>
      <c r="CU1" s="11" t="inlineStr">
        <is>
          <t>richness_weighted_body_density_body_ceiling</t>
        </is>
      </c>
      <c r="CV1" s="11" t="inlineStr">
        <is>
          <t>subbass_component_energy_sum_body_ceiling</t>
        </is>
      </c>
      <c r="CW1" s="11" t="inlineStr">
        <is>
          <t>harmonic_body_energy_sum_body_ceiling</t>
        </is>
      </c>
      <c r="CX1" s="11" t="inlineStr">
        <is>
          <t>inharmonic_body_energy_sum_body_ceiling</t>
        </is>
      </c>
      <c r="CY1" s="11" t="inlineStr">
        <is>
          <t>subbass_rumble_energy_sum</t>
        </is>
      </c>
      <c r="CZ1" s="11" t="inlineStr">
        <is>
          <t>density_full_spectrum_weighted_sum_20khz</t>
        </is>
      </c>
      <c r="DA1" s="11" t="inlineStr">
        <is>
          <t>harmonic_full_spectrum_energy_sum_20khz</t>
        </is>
      </c>
      <c r="DB1" s="11" t="inlineStr">
        <is>
          <t>inharmonic_full_spectrum_energy_sum_20khz</t>
        </is>
      </c>
      <c r="DC1" s="11" t="inlineStr">
        <is>
          <t>high_frequency_spectral_activity_sum</t>
        </is>
      </c>
      <c r="DD1" s="11" t="inlineStr">
        <is>
          <t>spectral_extension_index_20khz</t>
        </is>
      </c>
      <c r="DE1" s="11" t="inlineStr">
        <is>
          <t>brightness_or_upper_spectral_activity_index_20khz</t>
        </is>
      </c>
      <c r="DF1" s="11" t="inlineStr">
        <is>
          <t>full_spectrum_harmonic_candidate_count_20khz</t>
        </is>
      </c>
      <c r="DG1" s="11" t="inlineStr">
        <is>
          <t>density_metric_raw_source_sheet</t>
        </is>
      </c>
      <c r="DH1" s="11" t="inlineStr">
        <is>
          <t>energy_weighted_component_density_diagnostic</t>
        </is>
      </c>
      <c r="DI1" s="11" t="inlineStr">
        <is>
          <t>density_metric_normalized</t>
        </is>
      </c>
      <c r="DJ1" s="11" t="inlineStr">
        <is>
          <t>density_log_weighted</t>
        </is>
      </c>
      <c r="DK1" s="11" t="inlineStr">
        <is>
          <t>Total sum</t>
        </is>
      </c>
      <c r="DL1" s="11" t="inlineStr">
        <is>
          <t>note_effective_component_density</t>
        </is>
      </c>
      <c r="DM1" s="11" t="inlineStr">
        <is>
          <t>note_effective_component_density_ci_low</t>
        </is>
      </c>
      <c r="DN1" s="11" t="inlineStr">
        <is>
          <t>note_effective_component_density_ci_high</t>
        </is>
      </c>
      <c r="DO1" s="11" t="inlineStr">
        <is>
          <t>note_effective_component_density_rel_uncertainty</t>
        </is>
      </c>
      <c r="DP1" s="11" t="inlineStr">
        <is>
          <t>ci_basis_frame_count</t>
        </is>
      </c>
      <c r="DQ1" s="11" t="inlineStr">
        <is>
          <t>ci_basis_partial_count</t>
        </is>
      </c>
      <c r="DR1" s="11" t="inlineStr">
        <is>
          <t>ci_basis_frames_insufficient</t>
        </is>
      </c>
      <c r="DS1" s="11" t="inlineStr">
        <is>
          <t>effective_partial_density</t>
        </is>
      </c>
      <c r="DT1" s="11" t="inlineStr">
        <is>
          <t>harmonic_body_density</t>
        </is>
      </c>
      <c r="DU1" s="11" t="inlineStr">
        <is>
          <t>expected_harmonic_slots_up_to_body_ceiling</t>
        </is>
      </c>
      <c r="DV1" s="11" t="inlineStr">
        <is>
          <t>residual_body_contribution</t>
        </is>
      </c>
      <c r="DW1" s="11" t="inlineStr">
        <is>
          <t>note_density_final_ci_low</t>
        </is>
      </c>
      <c r="DX1" s="11" t="inlineStr">
        <is>
          <t>note_density_final_ci_high</t>
        </is>
      </c>
      <c r="DY1" s="11" t="inlineStr">
        <is>
          <t>note_density_final_rel_uncertainty</t>
        </is>
      </c>
      <c r="DZ1" s="11" t="inlineStr">
        <is>
          <t>density_fragile</t>
        </is>
      </c>
      <c r="EA1" s="11" t="inlineStr">
        <is>
          <t>density_perturbation_spread_pct</t>
        </is>
      </c>
      <c r="EB1" s="11" t="inlineStr">
        <is>
          <t>density_effective_ceiling_hz</t>
        </is>
      </c>
      <c r="EC1" s="11" t="inlineStr">
        <is>
          <t>harmonic_body_stop_hz</t>
        </is>
      </c>
      <c r="ED1" s="11" t="inlineStr">
        <is>
          <t>harmonic_body_stop_order</t>
        </is>
      </c>
      <c r="EE1" s="11" t="inlineStr">
        <is>
          <t>validated_harmonics_above_body_stop_count</t>
        </is>
      </c>
      <c r="EF1" s="11" t="inlineStr">
        <is>
          <t>bin_to_f0_ratio</t>
        </is>
      </c>
      <c r="EG1" s="11" t="inlineStr">
        <is>
          <t>low_f0_resolution_warning</t>
        </is>
      </c>
      <c r="EH1" s="11" t="inlineStr">
        <is>
          <t>valid_for_primary_statistics</t>
        </is>
      </c>
      <c r="EI1" s="11" t="inlineStr">
        <is>
          <t>is_primary_comparable_profile</t>
        </is>
      </c>
      <c r="EJ1" s="11" t="inlineStr">
        <is>
          <t>analysis_parameter_profile_id</t>
        </is>
      </c>
      <c r="EK1" s="11" t="inlineStr">
        <is>
          <t>primary_comparable_profile_definition</t>
        </is>
      </c>
      <c r="EL1" s="11" t="inlineStr">
        <is>
          <t>density_confidence</t>
        </is>
      </c>
      <c r="EM1" s="11" t="inlineStr">
        <is>
          <t>f0_confidence</t>
        </is>
      </c>
      <c r="EN1" s="11" t="inlineStr">
        <is>
          <t>harmonic_assignment_confidence</t>
        </is>
      </c>
      <c r="EO1" s="11" t="inlineStr">
        <is>
          <t>spectral_stability_confidence</t>
        </is>
      </c>
      <c r="EP1" s="11" t="inlineStr">
        <is>
          <t>qc_status</t>
        </is>
      </c>
      <c r="EQ1" s="11" t="inlineStr">
        <is>
          <t>outlier_ratio_max_to_mean</t>
        </is>
      </c>
      <c r="ER1" s="11" t="inlineStr">
        <is>
          <t>outlier_policy_applied</t>
        </is>
      </c>
      <c r="ES1" s="11" t="inlineStr">
        <is>
          <t>density_winsorized</t>
        </is>
      </c>
      <c r="ET1" s="11" t="inlineStr">
        <is>
          <t>density_median_based</t>
        </is>
      </c>
      <c r="EU1" s="11" t="inlineStr">
        <is>
          <t>density_trimmed_mean</t>
        </is>
      </c>
      <c r="EV1" s="11" t="inlineStr">
        <is>
          <t>sethares_status</t>
        </is>
      </c>
      <c r="EW1" s="11" t="inlineStr">
        <is>
          <t>sethares_value_status</t>
        </is>
      </c>
      <c r="EX1" s="11" t="inlineStr">
        <is>
          <t>sethares_curve_status</t>
        </is>
      </c>
      <c r="EY1" s="11" t="inlineStr">
        <is>
          <t>sethares_plot_status</t>
        </is>
      </c>
      <c r="EZ1" s="11" t="inlineStr">
        <is>
          <t>body_density_frequency_ceiling_hz</t>
        </is>
      </c>
      <c r="FA1" s="11" t="inlineStr">
        <is>
          <t>full_spectrum_frequency_ceiling_hz</t>
        </is>
      </c>
      <c r="FB1" s="11" t="inlineStr">
        <is>
          <t>residual_energy_ratio</t>
        </is>
      </c>
      <c r="FC1" s="11" t="inlineStr">
        <is>
          <t>spectral_entropy</t>
        </is>
      </c>
      <c r="FD1" s="11" t="inlineStr">
        <is>
          <t>harmonic_density_sum</t>
        </is>
      </c>
      <c r="FE1" s="11" t="inlineStr">
        <is>
          <t>inharmonic_density_sum</t>
        </is>
      </c>
      <c r="FF1" s="11" t="inlineStr">
        <is>
          <t>subbass_density_sum</t>
        </is>
      </c>
      <c r="FG1" s="11" t="inlineStr">
        <is>
          <t>weighted_harmonic_density_contribution</t>
        </is>
      </c>
      <c r="FH1" s="11" t="inlineStr">
        <is>
          <t>weighted_inharmonic_density_contribution</t>
        </is>
      </c>
      <c r="FI1" s="11" t="inlineStr">
        <is>
          <t>weighted_subbass_density_contribution</t>
        </is>
      </c>
      <c r="FJ1" s="11" t="inlineStr">
        <is>
          <t>harmonic_energy_sum</t>
        </is>
      </c>
      <c r="FK1" s="11" t="inlineStr">
        <is>
          <t>inharmonic_energy_sum</t>
        </is>
      </c>
      <c r="FL1" s="11" t="inlineStr">
        <is>
          <t>subbass_energy_sum</t>
        </is>
      </c>
      <c r="FM1" s="11" t="inlineStr">
        <is>
          <t>total_component_energy</t>
        </is>
      </c>
      <c r="FN1" s="11" t="inlineStr">
        <is>
          <t>harmonic_energy_ratio</t>
        </is>
      </c>
      <c r="FO1" s="11" t="inlineStr">
        <is>
          <t>inharmonic_energy_ratio</t>
        </is>
      </c>
      <c r="FP1" s="11" t="inlineStr">
        <is>
          <t>subbass_energy_ratio</t>
        </is>
      </c>
      <c r="FQ1" s="11" t="inlineStr">
        <is>
          <t>harmonic_alignment_status</t>
        </is>
      </c>
      <c r="FR1" s="11" t="inlineStr">
        <is>
          <t>harmonic_alignment_coverage_ratio</t>
        </is>
      </c>
      <c r="FS1" s="11" t="inlineStr">
        <is>
          <t>mean_abs_harmonic_deviation_cents</t>
        </is>
      </c>
      <c r="FT1" s="11" t="inlineStr">
        <is>
          <t>max_abs_harmonic_deviation_cents</t>
        </is>
      </c>
      <c r="FU1" s="11" t="inlineStr">
        <is>
          <t>debug_counts_invariant_status</t>
        </is>
      </c>
      <c r="FV1" s="11" t="inlineStr">
        <is>
          <t>harmonic_amplitude_sum</t>
        </is>
      </c>
      <c r="FW1" s="11" t="inlineStr">
        <is>
          <t>inharmonic_amplitude_sum</t>
        </is>
      </c>
      <c r="FX1" s="11" t="inlineStr">
        <is>
          <t>subbass_amplitude_sum</t>
        </is>
      </c>
      <c r="FY1" s="11" t="inlineStr">
        <is>
          <t>density_metric_raw_norm_for_chart</t>
        </is>
      </c>
      <c r="FZ1" s="11" t="inlineStr">
        <is>
          <t>density_weighted_sum_norm_for_chart</t>
        </is>
      </c>
      <c r="GA1" s="11" t="inlineStr">
        <is>
          <t>Total sum_norm_for_chart</t>
        </is>
      </c>
      <c r="GB1" s="11" t="inlineStr">
        <is>
          <t>note_effective_component_density_norm_for_chart</t>
        </is>
      </c>
      <c r="GC1" s="11" t="inlineStr">
        <is>
          <t>effective_partial_density_norm_for_chart</t>
        </is>
      </c>
      <c r="GD1" s="11" t="inlineStr">
        <is>
          <t>body_weighted_effective_density_norm_for_chart</t>
        </is>
      </c>
      <c r="GE1" s="11" t="inlineStr">
        <is>
          <t>low_mid_energy_ratio_norm_for_chart</t>
        </is>
      </c>
      <c r="GF1" s="11" t="inlineStr">
        <is>
          <t>harmonic_body_density_normalized_norm_for_chart</t>
        </is>
      </c>
      <c r="GG1" s="11" t="inlineStr">
        <is>
          <t>residual_body_contribution_capped_norm_for_chart</t>
        </is>
      </c>
      <c r="GH1" s="11" t="inlineStr">
        <is>
          <t>spectral_body_thickness_index_norm_for_chart</t>
        </is>
      </c>
      <c r="GI1" s="11" t="inlineStr">
        <is>
          <t>harmonic_occupancy_ratio_norm_for_chart</t>
        </is>
      </c>
      <c r="GJ1" s="11" t="inlineStr">
        <is>
          <t>harmonic_slot_coverage_ratio_norm_for_chart</t>
        </is>
      </c>
      <c r="GK1" s="11" t="inlineStr">
        <is>
          <t>residual_log_frequency_occupancy_norm_for_chart</t>
        </is>
      </c>
      <c r="GL1" s="11" t="inlineStr">
        <is>
          <t>core_residual_energy_ratio_norm_for_chart</t>
        </is>
      </c>
      <c r="GM1" s="11" t="inlineStr">
        <is>
          <t>residual_energy_ratio_norm_for_chart</t>
        </is>
      </c>
      <c r="GN1" s="11" t="inlineStr">
        <is>
          <t>spectral_entropy_norm_for_chart</t>
        </is>
      </c>
      <c r="GO1" s="11" t="inlineStr">
        <is>
          <t>final_note_density_count_based_norm_for_chart</t>
        </is>
      </c>
      <c r="GP1" s="11" t="inlineStr">
        <is>
          <t>richness_weighted_body_density</t>
        </is>
      </c>
      <c r="GQ1" s="11" t="inlineStr">
        <is>
          <t>density_weighted_sum_legacy_compiled_semantics</t>
        </is>
      </c>
      <c r="GR1" s="11" t="inlineStr">
        <is>
          <t>ewsd_mode</t>
        </is>
      </c>
      <c r="GS1" s="11" t="inlineStr">
        <is>
          <t>ewsd_his_ratio_source</t>
        </is>
      </c>
      <c r="GT1" s="11" t="inlineStr">
        <is>
          <t>ewsd_H_ratio</t>
        </is>
      </c>
      <c r="GU1" s="11" t="inlineStr">
        <is>
          <t>ewsd_I_ratio</t>
        </is>
      </c>
      <c r="GV1" s="11" t="inlineStr">
        <is>
          <t>ewsd_S_noise_ratio</t>
        </is>
      </c>
      <c r="GW1" s="11" t="inlineStr">
        <is>
          <t>ewsd_weight_function_canonical</t>
        </is>
      </c>
      <c r="GX1" s="11" t="inlineStr">
        <is>
          <t>ewsd_acoustic_balance_alpha</t>
        </is>
      </c>
      <c r="GY1" s="11" t="inlineStr">
        <is>
          <t>ewsd_stage3_version</t>
        </is>
      </c>
      <c r="GZ1" s="11" t="inlineStr">
        <is>
          <t>EWSD_score_total_ci_low</t>
        </is>
      </c>
      <c r="HA1" s="11" t="inlineStr">
        <is>
          <t>EWSD_score_total_ci_high</t>
        </is>
      </c>
      <c r="HB1" s="11" t="inlineStr">
        <is>
          <t>EWSD_score_total_rel_uncertainty</t>
        </is>
      </c>
      <c r="HC1" s="11" t="inlineStr">
        <is>
          <t>EWSD_score_acoustic_balanced_ci_low</t>
        </is>
      </c>
      <c r="HD1" s="11" t="inlineStr">
        <is>
          <t>EWSD_score_acoustic_balanced_ci_high</t>
        </is>
      </c>
      <c r="HE1" s="11" t="inlineStr">
        <is>
          <t>EWSD_score_acoustic_balanced_rel_uncertainty</t>
        </is>
      </c>
      <c r="HF1" s="11" t="inlineStr">
        <is>
          <t>ewsd_uncertainty_sources</t>
        </is>
      </c>
      <c r="HG1" s="11" t="inlineStr">
        <is>
          <t>ewsd_merge_status</t>
        </is>
      </c>
      <c r="HH1" s="11" t="inlineStr">
        <is>
          <t>arithmetic_validation_status</t>
        </is>
      </c>
      <c r="HI1" s="11" t="inlineStr">
        <is>
          <t>acoustic_validation_status</t>
        </is>
      </c>
    </row>
    <row r="2">
      <c r="A2" t="inlineStr">
        <is>
          <t>incomplete_inference</t>
        </is>
      </c>
      <c r="B2" t="inlineStr">
        <is>
          <t>missing_instrument_technique</t>
        </is>
      </c>
      <c r="C2" t="inlineStr">
        <is>
          <t>prior_constrained_harmonic_fit</t>
        </is>
      </c>
      <c r="D2" t="inlineStr">
        <is>
          <t>IOWA_Trb.T_ff.E2_SustainStable/E2/component_amplitude_mass_pie.png</t>
        </is>
      </c>
      <c r="E2" t="inlineStr">
        <is>
          <t>IOWA_Trb.T_ff.E2_SustainStable/E2/component_energy_ratio_pie.png</t>
        </is>
      </c>
      <c r="F2" s="15" t="n">
        <v>82.46890160441437</v>
      </c>
      <c r="G2" s="15" t="inlineStr">
        <is>
          <t>prior_constrained_harmonic_fit</t>
        </is>
      </c>
      <c r="H2" s="15" t="inlineStr">
        <is>
          <t>fit_accepted_acoustically_verified</t>
        </is>
      </c>
      <c r="I2" s="16" t="n">
        <v>2131.478096736079</v>
      </c>
      <c r="J2" t="inlineStr">
        <is>
          <t>richness_weighted_body_density_body_ceiling</t>
        </is>
      </c>
      <c r="K2" t="inlineStr">
        <is>
          <t>research_body_ceiling_richness_metric</t>
        </is>
      </c>
      <c r="L2" s="15" t="n">
        <v>38869.07790868664</v>
      </c>
      <c r="M2" s="15" t="n">
        <v>38869.07790868664</v>
      </c>
      <c r="N2" s="15" t="n">
        <v>324.4195955490626</v>
      </c>
      <c r="O2" s="15" t="n">
        <v>0.7132718974343043</v>
      </c>
      <c r="P2" s="15" t="n">
        <v>-0.6477395059667556</v>
      </c>
      <c r="Q2" s="15" t="n">
        <v>45</v>
      </c>
      <c r="R2" s="15" t="n">
        <v>133</v>
      </c>
      <c r="S2" s="15" t="n">
        <v>38870.3269642821</v>
      </c>
      <c r="T2" s="15" t="n">
        <v>243</v>
      </c>
      <c r="U2" s="15" t="n">
        <v>0.954912129982789</v>
      </c>
      <c r="V2" s="15" t="n">
        <v>196.2743281267799</v>
      </c>
      <c r="W2" s="15" t="n">
        <v>0.79907600157268</v>
      </c>
      <c r="X2" s="15" t="n">
        <v>0.6448200370716054</v>
      </c>
      <c r="Y2" s="15" t="n">
        <v>100</v>
      </c>
      <c r="Z2" s="15" t="n">
        <v>242</v>
      </c>
      <c r="AA2" s="15" t="n">
        <v>0.4132231404958678</v>
      </c>
      <c r="AB2" s="15" t="n">
        <v>242</v>
      </c>
      <c r="AC2" s="15" t="n">
        <v>100</v>
      </c>
      <c r="AD2" s="15" t="n">
        <v>0.4132231404958678</v>
      </c>
      <c r="AE2" s="15" t="n">
        <v>2804.385411563598</v>
      </c>
      <c r="AF2" s="15" t="n">
        <v>100</v>
      </c>
      <c r="AG2" s="15" t="n">
        <v>242</v>
      </c>
      <c r="AH2" s="15" t="n">
        <v>0.4132231404958678</v>
      </c>
      <c r="AI2" s="15" t="n">
        <v>2804.385411563598</v>
      </c>
      <c r="AJ2" s="15" t="n">
        <v>50</v>
      </c>
      <c r="AK2" s="15" t="n">
        <v>50</v>
      </c>
      <c r="AL2" s="15" t="n">
        <v>1.157544683192367</v>
      </c>
      <c r="AM2" s="15" t="n">
        <v>75</v>
      </c>
      <c r="AN2" s="15" t="n">
        <v>0</v>
      </c>
      <c r="AO2" s="15" t="n">
        <v>75</v>
      </c>
      <c r="AP2" s="15" t="n">
        <v>0</v>
      </c>
      <c r="AQ2" s="15" t="n">
        <v>96.1430456136768</v>
      </c>
      <c r="AR2" s="15" t="n">
        <v>62.01970159230927</v>
      </c>
      <c r="AS2" s="15" t="n">
        <v>0.8740006834137392</v>
      </c>
      <c r="AT2" s="17" t="n">
        <v>2.989930415520853</v>
      </c>
      <c r="AU2" s="18" t="n">
        <v>100.4997685997617</v>
      </c>
      <c r="AV2" s="15" t="n">
        <v>106.0554746192415</v>
      </c>
      <c r="AW2" s="15" t="b">
        <v>1</v>
      </c>
      <c r="AX2" s="15" t="n">
        <v>64.77671449782419</v>
      </c>
      <c r="AY2" s="15" t="n">
        <v>46.90631320858859</v>
      </c>
      <c r="AZ2" s="15" t="n">
        <v>0</v>
      </c>
      <c r="BA2" s="15" t="n">
        <v>1</v>
      </c>
      <c r="BB2" s="15" t="n">
        <v>0.5</v>
      </c>
      <c r="BC2" s="15" t="n">
        <v>0.25</v>
      </c>
      <c r="BD2" s="15" t="inlineStr">
        <is>
          <t>his_note_adaptive</t>
        </is>
      </c>
      <c r="BE2" s="15" t="n">
        <v>-90</v>
      </c>
      <c r="BF2" s="15" t="n">
        <v>20000</v>
      </c>
      <c r="BG2" s="15" t="n">
        <v>100</v>
      </c>
      <c r="BH2" s="15" t="n">
        <v>0.4132231404958678</v>
      </c>
      <c r="BI2" s="15" t="n">
        <v>242</v>
      </c>
      <c r="BJ2" s="15" t="n">
        <v>100</v>
      </c>
      <c r="BK2" s="15" t="n">
        <v>242</v>
      </c>
      <c r="BL2" s="15" t="n">
        <v>199</v>
      </c>
      <c r="BM2" s="15" t="n">
        <v>0.8223140495867769</v>
      </c>
      <c r="BN2" s="15" t="n">
        <v>0.3405869306767193</v>
      </c>
      <c r="BO2" s="15" t="n">
        <v>0.625</v>
      </c>
      <c r="BP2" s="19" t="n">
        <v>0.9098089737948225</v>
      </c>
      <c r="BQ2" s="19" t="n">
        <v>0.09019102620517754</v>
      </c>
      <c r="BR2" s="19" t="n">
        <v>0</v>
      </c>
      <c r="BS2" s="15" t="n">
        <v>0.06195739215795888</v>
      </c>
      <c r="BT2" s="19" t="n">
        <v>1</v>
      </c>
      <c r="BU2" s="19" t="n">
        <v>0</v>
      </c>
      <c r="BV2" s="19" t="n">
        <v>0</v>
      </c>
      <c r="BW2" t="inlineStr">
        <is>
          <t>E2</t>
        </is>
      </c>
      <c r="BX2" t="n">
        <v>40</v>
      </c>
      <c r="BY2" t="inlineStr">
        <is>
          <t>E</t>
        </is>
      </c>
      <c r="BZ2" t="n">
        <v>2</v>
      </c>
      <c r="CA2" t="inlineStr">
        <is>
          <t>Low</t>
        </is>
      </c>
      <c r="CB2" t="inlineStr">
        <is>
          <t>ff</t>
        </is>
      </c>
      <c r="CC2" s="15" t="n">
        <v>82.40688922821748</v>
      </c>
      <c r="CD2" s="15" t="n">
        <v>82.46890160441437</v>
      </c>
      <c r="CE2" t="inlineStr">
        <is>
          <t>prior_constrained_harmonic_fit</t>
        </is>
      </c>
      <c r="CF2" t="n">
        <v>82.46890160441437</v>
      </c>
      <c r="CG2" s="15" t="n">
        <v>1</v>
      </c>
      <c r="CH2" t="inlineStr">
        <is>
          <t>free_fit_acoustically_verified</t>
        </is>
      </c>
      <c r="CI2" s="15" t="inlineStr">
        <is>
          <t>free_f0_fit</t>
        </is>
      </c>
      <c r="CJ2" s="15" t="n">
        <v>82.40688922821748</v>
      </c>
      <c r="CK2" s="15" t="n">
        <v>82.46890160441437</v>
      </c>
      <c r="CL2" s="15" t="n">
        <v>1.302288730878158</v>
      </c>
      <c r="CM2" s="15" t="n">
        <v>20000</v>
      </c>
      <c r="CN2" s="15" t="n">
        <v>1.302288730878158</v>
      </c>
      <c r="CO2" s="15" t="n">
        <v>2.666169438681114</v>
      </c>
      <c r="CP2" s="15" t="n">
        <v>38869.07790868664</v>
      </c>
      <c r="CQ2" t="n">
        <v>13.2706440997113</v>
      </c>
      <c r="CR2" t="n">
        <v>0.0548373723128566</v>
      </c>
      <c r="CS2" t="n">
        <v>160.6160244160605</v>
      </c>
      <c r="CT2" t="n">
        <v>160.6160244160605</v>
      </c>
      <c r="CU2" t="n">
        <v>2131.478096736079</v>
      </c>
      <c r="CV2" t="n">
        <v>0.7132718974343043</v>
      </c>
      <c r="CW2" s="15" t="n">
        <v>38869.07790868664</v>
      </c>
      <c r="CX2" s="15" t="n">
        <v>324.4195955490626</v>
      </c>
      <c r="CY2" s="15" t="n">
        <v>0.7132718974343043</v>
      </c>
      <c r="CZ2" s="15" t="n">
        <v>2.989930415520853</v>
      </c>
      <c r="DA2" s="15" t="n">
        <v>2.989930415520853</v>
      </c>
      <c r="DB2" s="15" t="n">
        <v>2.085636269738901</v>
      </c>
      <c r="DC2" s="15" t="n">
        <v>0</v>
      </c>
      <c r="DD2" s="15" t="n">
        <v>7.692311154241839e-05</v>
      </c>
      <c r="DE2" s="15" t="n">
        <v>0</v>
      </c>
      <c r="DF2" s="15" t="n">
        <v>45</v>
      </c>
      <c r="DG2" s="15" t="inlineStr">
        <is>
          <t>Density_Metrics</t>
        </is>
      </c>
      <c r="DH2" s="15" t="n">
        <v>2.666169438681114</v>
      </c>
      <c r="DI2" t="n">
        <v>0.9839907977589796</v>
      </c>
      <c r="DJ2" s="15" t="n">
        <v>0.6009653216469391</v>
      </c>
      <c r="DK2" s="15" t="n">
        <v>5.5040907532945</v>
      </c>
      <c r="DL2" s="15" t="n">
        <v>13.49330801467792</v>
      </c>
      <c r="DM2" s="15" t="n">
        <v>8.994042859890834</v>
      </c>
      <c r="DN2" s="15" t="n">
        <v>18.87006666142087</v>
      </c>
      <c r="DO2" s="15" t="n">
        <v>0.1902097519668593</v>
      </c>
      <c r="DP2" s="15" t="n">
        <v>2.6875</v>
      </c>
      <c r="DQ2" s="15" t="n">
        <v>94</v>
      </c>
      <c r="DR2" s="15" t="b">
        <v>1</v>
      </c>
      <c r="DS2" s="15" t="n">
        <v>13.2706440997113</v>
      </c>
      <c r="DT2" s="15" t="n">
        <v>156.0464489713285</v>
      </c>
      <c r="DU2" t="n">
        <v>242</v>
      </c>
      <c r="DV2" s="15" t="n">
        <v>0.06195739215795888</v>
      </c>
      <c r="DW2" s="15" t="n">
        <v>2.857160070479089</v>
      </c>
      <c r="DX2" s="15" t="n">
        <v>3.089553267323256</v>
      </c>
      <c r="DY2" s="15" t="n">
        <v>0.01994579653614315</v>
      </c>
      <c r="DZ2" s="15" t="b">
        <v>0</v>
      </c>
      <c r="EA2" s="15" t="n">
        <v>0.4863966506846704</v>
      </c>
      <c r="EB2" s="15" t="n">
        <v>20000</v>
      </c>
      <c r="EC2" s="15" t="n">
        <v>4040.976178616304</v>
      </c>
      <c r="ED2" s="15" t="n">
        <v>49</v>
      </c>
      <c r="EE2" s="15" t="n">
        <v>0</v>
      </c>
      <c r="EF2" s="15" t="n">
        <v>0.06532585845270165</v>
      </c>
      <c r="EG2" s="15" t="b">
        <v>0</v>
      </c>
      <c r="EH2" s="15" t="b">
        <v>1</v>
      </c>
      <c r="EI2" s="15" t="b">
        <v>0</v>
      </c>
      <c r="EJ2" s="15" t="inlineStr">
        <is>
          <t>wf=log|dst=-90.0|ceil=20000.0|fft=adaptive_tier</t>
        </is>
      </c>
      <c r="EK2" s="15" t="inlineStr">
        <is>
          <t>wf=log|dst=runtime_configured|ceil=runtime_configured|fft=fixed</t>
        </is>
      </c>
      <c r="EL2" s="15" t="n">
        <v>0.5902686438477327</v>
      </c>
      <c r="EM2" s="15" t="n">
        <v>0.9797156891664843</v>
      </c>
      <c r="EN2" s="15" t="n">
        <v>0.1851851851851852</v>
      </c>
      <c r="EO2" s="15" t="n">
        <v>0.4229088445399994</v>
      </c>
      <c r="EP2" s="15" t="inlineStr">
        <is>
          <t>warn:power_outlier_detected</t>
        </is>
      </c>
      <c r="EQ2" s="15" t="n">
        <v>221.5131979952742</v>
      </c>
      <c r="ER2" s="15" t="inlineStr">
        <is>
          <t>winsorize_p95_for_robust_diagnostics</t>
        </is>
      </c>
      <c r="ES2" s="15" t="n">
        <v>0.08408886950077324</v>
      </c>
      <c r="ET2" s="15" t="n">
        <v>0.01420857949268432</v>
      </c>
      <c r="EU2" s="15" t="n">
        <v>0.08818308340017592</v>
      </c>
      <c r="EV2" t="inlineStr">
        <is>
          <t>computed</t>
        </is>
      </c>
      <c r="EW2" s="15" t="inlineStr">
        <is>
          <t>computed</t>
        </is>
      </c>
      <c r="EX2" s="15" t="inlineStr">
        <is>
          <t>computed</t>
        </is>
      </c>
      <c r="EY2" s="15" t="inlineStr">
        <is>
          <t>available_from_curve</t>
        </is>
      </c>
      <c r="EZ2" s="15" t="n">
        <v>20000</v>
      </c>
      <c r="FA2" s="15" t="n">
        <v>20000</v>
      </c>
      <c r="FB2" s="15" t="n">
        <v>0.09019102620517754</v>
      </c>
      <c r="FC2" s="15" t="n">
        <v>0.7536880687960135</v>
      </c>
      <c r="FD2" s="15" t="n">
        <v>2.989930415520853</v>
      </c>
      <c r="FE2" s="15" t="n">
        <v>2.085636269738901</v>
      </c>
      <c r="FF2" s="15" t="n">
        <v>0.4285240680347466</v>
      </c>
      <c r="FG2" s="15" t="n">
        <v>2.292200278594707</v>
      </c>
      <c r="FH2" s="15" t="n">
        <v>0.3448162644792033</v>
      </c>
      <c r="FI2" s="15" t="n">
        <v>0.02915289560720341</v>
      </c>
      <c r="FJ2" s="15" t="n">
        <v>38869.07790868664</v>
      </c>
      <c r="FK2" s="15" t="n">
        <v>324.4195955490626</v>
      </c>
      <c r="FL2" s="15" t="n">
        <v>0.7132718974343043</v>
      </c>
      <c r="FM2" s="15" t="n">
        <v>0.004463249196124218</v>
      </c>
      <c r="FN2" t="n">
        <v>1</v>
      </c>
      <c r="FO2" t="n">
        <v>0</v>
      </c>
      <c r="FP2" t="n">
        <v>0</v>
      </c>
      <c r="FQ2" t="inlineStr">
        <is>
          <t>good</t>
        </is>
      </c>
      <c r="FR2" s="19" t="n">
        <v>0.8223140495867769</v>
      </c>
      <c r="FS2" s="15" t="n">
        <v>1.224538254428009</v>
      </c>
      <c r="FT2" s="15" t="n">
        <v>7.859897486311741</v>
      </c>
      <c r="FU2" t="inlineStr">
        <is>
          <t>passed</t>
        </is>
      </c>
      <c r="FV2" t="n">
        <v>976.0806564621728</v>
      </c>
      <c r="FW2" t="n">
        <v>120.7969098310242</v>
      </c>
      <c r="FX2" t="n">
        <v>1.682403258785609</v>
      </c>
      <c r="FY2" t="n">
        <v>0.8734874407420058</v>
      </c>
      <c r="FZ2" t="n">
        <v>0.4545282827146395</v>
      </c>
      <c r="GA2" t="n">
        <v>0.5845792712372673</v>
      </c>
      <c r="GB2" t="n">
        <v>0.8029362413855375</v>
      </c>
      <c r="GC2" t="n">
        <v>0.8003728312189194</v>
      </c>
      <c r="GD2" t="n">
        <v>0.8884859231233916</v>
      </c>
      <c r="GE2" t="n">
        <v>0.9255215686627283</v>
      </c>
      <c r="GF2" t="n">
        <v>0.4177273436995778</v>
      </c>
      <c r="GG2" t="n">
        <v>0.329773341152967</v>
      </c>
      <c r="GH2" t="n">
        <v>0.8835000215820439</v>
      </c>
      <c r="GI2" t="n">
        <v>0</v>
      </c>
      <c r="GJ2" t="n">
        <v>0.49296095753776</v>
      </c>
      <c r="GK2" t="n">
        <v>0.8723404255319148</v>
      </c>
      <c r="GL2" t="n">
        <v>0.215037347783311</v>
      </c>
      <c r="GM2" t="n">
        <v>0.215037347783311</v>
      </c>
      <c r="GN2" t="n">
        <v>0.7465851265987858</v>
      </c>
      <c r="GO2" t="n">
        <v>0.8902088700024622</v>
      </c>
      <c r="GP2" t="n">
        <v>2131.478096736079</v>
      </c>
      <c r="GQ2" t="inlineStr">
        <is>
          <t>compiled workbook density_weighted_sum = density_component_ratio_weighted_sum (per-note component ratios); research density_weighted_sum maps body-ceiling richness</t>
        </is>
      </c>
      <c r="GR2" s="15" t="inlineStr">
        <is>
          <t>individual_exact</t>
        </is>
      </c>
      <c r="GS2" s="15" t="inlineStr">
        <is>
          <t>density_weight</t>
        </is>
      </c>
      <c r="GT2" s="15" t="n">
        <v>0.845721824547072</v>
      </c>
      <c r="GU2" s="15" t="n">
        <v>0.154278175452928</v>
      </c>
      <c r="GV2" s="15" t="n">
        <v>0</v>
      </c>
      <c r="GW2" s="15" t="inlineStr">
        <is>
          <t>log</t>
        </is>
      </c>
      <c r="GX2" s="15" t="n">
        <v>0.5</v>
      </c>
      <c r="GY2" s="15" t="inlineStr">
        <is>
          <t>EWSD-R v18.1</t>
        </is>
      </c>
      <c r="GZ2" s="15" t="n">
        <v>94.88403825871846</v>
      </c>
      <c r="HA2" s="15" t="n">
        <v>122.6635854825967</v>
      </c>
      <c r="HB2" s="15" t="n">
        <v>0.07253729647373909</v>
      </c>
      <c r="HC2" s="15" t="n">
        <v>101.7415575469426</v>
      </c>
      <c r="HD2" s="15" t="n">
        <v>127.7179167265981</v>
      </c>
      <c r="HE2" s="15" t="n">
        <v>0.06527193000014499</v>
      </c>
      <c r="HF2" s="15" t="inlineStr">
        <is>
          <t>partials+ratios</t>
        </is>
      </c>
      <c r="HG2" s="15" t="inlineStr">
        <is>
          <t>merged_individual_exact</t>
        </is>
      </c>
      <c r="HH2" s="15" t="inlineStr">
        <is>
          <t>passed</t>
        </is>
      </c>
      <c r="HI2" s="15" t="inlineStr">
        <is>
          <t>passed</t>
        </is>
      </c>
    </row>
    <row r="3">
      <c r="A3" t="inlineStr">
        <is>
          <t>incomplete_inference</t>
        </is>
      </c>
      <c r="B3" t="inlineStr">
        <is>
          <t>missing_instrument_technique</t>
        </is>
      </c>
      <c r="C3" t="inlineStr">
        <is>
          <t>prior_constrained_harmonic_fit</t>
        </is>
      </c>
      <c r="D3" t="inlineStr">
        <is>
          <t>IOWA_Trb.T_ff.F2_SustainStable/F2/component_amplitude_mass_pie.png</t>
        </is>
      </c>
      <c r="E3" t="inlineStr">
        <is>
          <t>IOWA_Trb.T_ff.F2_SustainStable/F2/component_energy_ratio_pie.png</t>
        </is>
      </c>
      <c r="F3" s="15" t="n">
        <v>87.39302496373875</v>
      </c>
      <c r="G3" s="15" t="inlineStr">
        <is>
          <t>prior_constrained_harmonic_fit</t>
        </is>
      </c>
      <c r="H3" s="15" t="inlineStr">
        <is>
          <t>fit_accepted_acoustically_verified</t>
        </is>
      </c>
      <c r="I3" s="16" t="n">
        <v>2108.456094891425</v>
      </c>
      <c r="J3" t="inlineStr">
        <is>
          <t>richness_weighted_body_density_body_ceiling</t>
        </is>
      </c>
      <c r="K3" t="inlineStr">
        <is>
          <t>research_body_ceiling_richness_metric</t>
        </is>
      </c>
      <c r="L3" s="15" t="n">
        <v>33185.9743668629</v>
      </c>
      <c r="M3" s="15" t="n">
        <v>33186.04735618833</v>
      </c>
      <c r="N3" s="15" t="n">
        <v>238.4022115843472</v>
      </c>
      <c r="O3" s="15" t="n">
        <v>0.5946627985449091</v>
      </c>
      <c r="P3" s="15" t="n">
        <v>-0.5628697653403177</v>
      </c>
      <c r="Q3" s="15" t="n">
        <v>32</v>
      </c>
      <c r="R3" s="15" t="n">
        <v>97</v>
      </c>
      <c r="S3" s="15" t="n">
        <v>33233.65781395307</v>
      </c>
      <c r="T3" s="15" t="n">
        <v>229</v>
      </c>
      <c r="U3" s="15" t="n">
        <v>1.047656293658716</v>
      </c>
      <c r="V3" s="15" t="n">
        <v>217.4461913664933</v>
      </c>
      <c r="W3" s="15" t="n">
        <v>0.7099875917175194</v>
      </c>
      <c r="X3" s="15" t="n">
        <v>0.7594710906425188</v>
      </c>
      <c r="Y3" s="15" t="n">
        <v>95</v>
      </c>
      <c r="Z3" s="15" t="n">
        <v>228</v>
      </c>
      <c r="AA3" s="15" t="n">
        <v>0.4166666666666667</v>
      </c>
      <c r="AB3" s="15" t="n">
        <v>228</v>
      </c>
      <c r="AC3" s="15" t="n">
        <v>95</v>
      </c>
      <c r="AD3" s="15" t="n">
        <v>0.4166666666666667</v>
      </c>
      <c r="AE3" s="15" t="n">
        <v>2634.680144228898</v>
      </c>
      <c r="AF3" s="15" t="n">
        <v>95</v>
      </c>
      <c r="AG3" s="15" t="n">
        <v>228</v>
      </c>
      <c r="AH3" s="15" t="n">
        <v>0.4166666666666667</v>
      </c>
      <c r="AI3" s="15" t="n">
        <v>2634.680144228898</v>
      </c>
      <c r="AJ3" s="15" t="n">
        <v>48</v>
      </c>
      <c r="AK3" s="15" t="n">
        <v>47</v>
      </c>
      <c r="AL3" s="15" t="n">
        <v>1.059836046297063</v>
      </c>
      <c r="AM3" s="15" t="n">
        <v>77</v>
      </c>
      <c r="AN3" s="15" t="n">
        <v>0</v>
      </c>
      <c r="AO3" s="15" t="n">
        <v>77</v>
      </c>
      <c r="AP3" s="15" t="n">
        <v>0</v>
      </c>
      <c r="AQ3" s="15" t="n">
        <v>91.88412244665675</v>
      </c>
      <c r="AR3" s="15" t="n">
        <v>60.50683268551262</v>
      </c>
      <c r="AS3" s="15" t="n">
        <v>0.8473247925390183</v>
      </c>
      <c r="AT3" s="17" t="n">
        <v>2.94073269156284</v>
      </c>
      <c r="AU3" s="18" t="n">
        <v>86.49890988846865</v>
      </c>
      <c r="AV3" s="15" t="n">
        <v>88.31121881497504</v>
      </c>
      <c r="AW3" s="15" t="b">
        <v>1</v>
      </c>
      <c r="AX3" s="15" t="n">
        <v>62.8525530309583</v>
      </c>
      <c r="AY3" s="15" t="n">
        <v>49.30164626547321</v>
      </c>
      <c r="AZ3" s="15" t="n">
        <v>0</v>
      </c>
      <c r="BA3" s="15" t="n">
        <v>1</v>
      </c>
      <c r="BB3" s="15" t="n">
        <v>0.5</v>
      </c>
      <c r="BC3" s="15" t="n">
        <v>0.25</v>
      </c>
      <c r="BD3" s="15" t="inlineStr">
        <is>
          <t>his_note_adaptive</t>
        </is>
      </c>
      <c r="BE3" s="15" t="n">
        <v>-90</v>
      </c>
      <c r="BF3" s="15" t="n">
        <v>20000</v>
      </c>
      <c r="BG3" s="15" t="n">
        <v>95</v>
      </c>
      <c r="BH3" s="15" t="n">
        <v>0.4166666666666667</v>
      </c>
      <c r="BI3" s="15" t="n">
        <v>228</v>
      </c>
      <c r="BJ3" s="15" t="n">
        <v>95</v>
      </c>
      <c r="BK3" s="15" t="n">
        <v>228</v>
      </c>
      <c r="BL3" s="15" t="n">
        <v>180</v>
      </c>
      <c r="BM3" s="15" t="n">
        <v>0.7894736842105263</v>
      </c>
      <c r="BN3" s="15" t="n">
        <v>0.4286270264331809</v>
      </c>
      <c r="BO3" s="15" t="n">
        <v>0.6416666666666667</v>
      </c>
      <c r="BP3" s="19" t="n">
        <v>0.9014203937768378</v>
      </c>
      <c r="BQ3" s="19" t="n">
        <v>0.09857762360108427</v>
      </c>
      <c r="BR3" s="19" t="n">
        <v>1.982622078050604e-06</v>
      </c>
      <c r="BS3" s="15" t="n">
        <v>0.07017129461187978</v>
      </c>
      <c r="BT3" s="19" t="n">
        <v>0.9999978005626109</v>
      </c>
      <c r="BU3" s="19" t="n">
        <v>0</v>
      </c>
      <c r="BV3" s="19" t="n">
        <v>2.199437389130457e-06</v>
      </c>
      <c r="BW3" t="inlineStr">
        <is>
          <t>F2</t>
        </is>
      </c>
      <c r="BX3" t="n">
        <v>41</v>
      </c>
      <c r="BY3" t="inlineStr">
        <is>
          <t>F</t>
        </is>
      </c>
      <c r="BZ3" t="n">
        <v>2</v>
      </c>
      <c r="CA3" t="inlineStr">
        <is>
          <t>Low</t>
        </is>
      </c>
      <c r="CB3" t="inlineStr">
        <is>
          <t>ff</t>
        </is>
      </c>
      <c r="CC3" s="15" t="n">
        <v>87.30705785825096</v>
      </c>
      <c r="CD3" s="15" t="n">
        <v>87.39302496373875</v>
      </c>
      <c r="CE3" t="inlineStr">
        <is>
          <t>prior_constrained_harmonic_fit</t>
        </is>
      </c>
      <c r="CF3" t="n">
        <v>87.39302496373875</v>
      </c>
      <c r="CG3" s="15" t="n">
        <v>1</v>
      </c>
      <c r="CH3" t="inlineStr">
        <is>
          <t>free_fit_acoustically_verified</t>
        </is>
      </c>
      <c r="CI3" s="15" t="inlineStr">
        <is>
          <t>free_f0_fit</t>
        </is>
      </c>
      <c r="CJ3" s="15" t="n">
        <v>87.30705785825096</v>
      </c>
      <c r="CK3" s="15" t="n">
        <v>87.39302496373875</v>
      </c>
      <c r="CL3" s="15" t="n">
        <v>1.703825089592521</v>
      </c>
      <c r="CM3" s="15" t="n">
        <v>20000</v>
      </c>
      <c r="CN3" s="15" t="n">
        <v>1.703825089592521</v>
      </c>
      <c r="CO3" s="15" t="n">
        <v>2.605813833382737</v>
      </c>
      <c r="CP3" s="15" t="n">
        <v>33185.9743668629</v>
      </c>
      <c r="CQ3" t="n">
        <v>14.48587841176095</v>
      </c>
      <c r="CR3" t="n">
        <v>0.06353455443754802</v>
      </c>
      <c r="CS3" t="n">
        <v>145.552519147171</v>
      </c>
      <c r="CT3" t="n">
        <v>145.5528392815278</v>
      </c>
      <c r="CU3" t="n">
        <v>2108.456094891425</v>
      </c>
      <c r="CV3" t="n">
        <v>0.5946627985449091</v>
      </c>
      <c r="CW3" s="15" t="n">
        <v>33186.04735618833</v>
      </c>
      <c r="CX3" s="15" t="n">
        <v>238.4022115843472</v>
      </c>
      <c r="CY3" s="15" t="n">
        <v>0.5946627985449091</v>
      </c>
      <c r="CZ3" s="15" t="n">
        <v>2.94073304342617</v>
      </c>
      <c r="DA3" s="15" t="n">
        <v>2.940738203472134</v>
      </c>
      <c r="DB3" s="15" t="n">
        <v>1.946145031053939</v>
      </c>
      <c r="DC3" s="15" t="n">
        <v>0</v>
      </c>
      <c r="DD3" s="15" t="n">
        <v>8.861373214229239e-05</v>
      </c>
      <c r="DE3" s="15" t="n">
        <v>0</v>
      </c>
      <c r="DF3" s="15" t="n">
        <v>32</v>
      </c>
      <c r="DG3" s="15" t="inlineStr">
        <is>
          <t>Density_Metrics</t>
        </is>
      </c>
      <c r="DH3" s="15" t="n">
        <v>2.605813833382737</v>
      </c>
      <c r="DI3" t="n">
        <v>0.9617156342434324</v>
      </c>
      <c r="DJ3" s="15" t="n">
        <v>0.5955769767289694</v>
      </c>
      <c r="DK3" s="15" t="n">
        <v>5.321567244123203</v>
      </c>
      <c r="DL3" s="15" t="n">
        <v>14.69493292344191</v>
      </c>
      <c r="DM3" s="15" t="n">
        <v>9.936260977567862</v>
      </c>
      <c r="DN3" s="15" t="n">
        <v>20.54617667652334</v>
      </c>
      <c r="DO3" s="15" t="n">
        <v>0.184767691950685</v>
      </c>
      <c r="DP3" s="15" t="n">
        <v>4</v>
      </c>
      <c r="DQ3" s="15" t="n">
        <v>69</v>
      </c>
      <c r="DR3" s="15" t="b">
        <v>1</v>
      </c>
      <c r="DS3" s="15" t="n">
        <v>14.48587841176095</v>
      </c>
      <c r="DT3" s="15" t="n">
        <v>173.1594086664943</v>
      </c>
      <c r="DU3" t="n">
        <v>228</v>
      </c>
      <c r="DV3" s="15" t="n">
        <v>0.07017129461187978</v>
      </c>
      <c r="DW3" s="15" t="n">
        <v>2.82559363870841</v>
      </c>
      <c r="DX3" s="15" t="n">
        <v>3.022242025866785</v>
      </c>
      <c r="DY3" s="15" t="n">
        <v>0.0167656140339336</v>
      </c>
      <c r="DZ3" s="15" t="b">
        <v>0</v>
      </c>
      <c r="EA3" s="15" t="n">
        <v>1.292387183006371</v>
      </c>
      <c r="EB3" s="15" t="n">
        <v>20000</v>
      </c>
      <c r="EC3" s="15" t="n">
        <v>2796.57679883964</v>
      </c>
      <c r="ED3" s="15" t="n">
        <v>32</v>
      </c>
      <c r="EE3" s="15" t="n">
        <v>0</v>
      </c>
      <c r="EF3" s="15" t="n">
        <v>0.06165939974738538</v>
      </c>
      <c r="EG3" s="15" t="b">
        <v>0</v>
      </c>
      <c r="EH3" s="15" t="b">
        <v>1</v>
      </c>
      <c r="EI3" s="15" t="b">
        <v>0</v>
      </c>
      <c r="EJ3" s="15" t="inlineStr">
        <is>
          <t>wf=log|dst=-90.0|ceil=20000.0|fft=adaptive_tier</t>
        </is>
      </c>
      <c r="EK3" s="15" t="inlineStr">
        <is>
          <t>wf=log|dst=runtime_configured|ceil=runtime_configured|fft=fixed</t>
        </is>
      </c>
      <c r="EL3" s="15" t="n">
        <v>0.5734313850599504</v>
      </c>
      <c r="EM3" s="15" t="n">
        <v>0.9766267054133008</v>
      </c>
      <c r="EN3" s="15" t="n">
        <v>0.1391304347826087</v>
      </c>
      <c r="EO3" s="15" t="n">
        <v>0.4262685772502602</v>
      </c>
      <c r="EP3" s="15" t="inlineStr">
        <is>
          <t>warn:power_outlier_detected</t>
        </is>
      </c>
      <c r="EQ3" s="15" t="n">
        <v>211.7883922347599</v>
      </c>
      <c r="ER3" s="15" t="inlineStr">
        <is>
          <t>winsorize_p95_for_robust_diagnostics</t>
        </is>
      </c>
      <c r="ES3" s="15" t="n">
        <v>0.08775713280482091</v>
      </c>
      <c r="ET3" s="15" t="n">
        <v>0.03060053575499417</v>
      </c>
      <c r="EU3" s="15" t="n">
        <v>0.1230627827145835</v>
      </c>
      <c r="EV3" t="inlineStr">
        <is>
          <t>computed</t>
        </is>
      </c>
      <c r="EW3" s="15" t="inlineStr">
        <is>
          <t>computed</t>
        </is>
      </c>
      <c r="EX3" s="15" t="inlineStr">
        <is>
          <t>computed</t>
        </is>
      </c>
      <c r="EY3" s="15" t="inlineStr">
        <is>
          <t>available_from_curve</t>
        </is>
      </c>
      <c r="EZ3" s="15" t="n">
        <v>20000</v>
      </c>
      <c r="FA3" s="15" t="n">
        <v>20000</v>
      </c>
      <c r="FB3" s="15" t="n">
        <v>0.09857762360108427</v>
      </c>
      <c r="FC3" s="15" t="n">
        <v>0.839730265585503</v>
      </c>
      <c r="FD3" s="15" t="n">
        <v>2.940738203472134</v>
      </c>
      <c r="FE3" s="15" t="n">
        <v>1.946145031053939</v>
      </c>
      <c r="FF3" s="15" t="n">
        <v>0.4346840095971298</v>
      </c>
      <c r="FG3" s="15" t="n">
        <v>2.254487560740997</v>
      </c>
      <c r="FH3" s="15" t="n">
        <v>0.3217543104132881</v>
      </c>
      <c r="FI3" s="15" t="n">
        <v>0.02957196222845108</v>
      </c>
      <c r="FJ3" s="15" t="n">
        <v>33186.04735618833</v>
      </c>
      <c r="FK3" s="15" t="n">
        <v>238.4022115843472</v>
      </c>
      <c r="FL3" s="15" t="n">
        <v>0.5946627985449091</v>
      </c>
      <c r="FM3" s="15" t="n">
        <v>0.003775089737322572</v>
      </c>
      <c r="FN3" t="n">
        <v>0.9999978005626109</v>
      </c>
      <c r="FO3" t="n">
        <v>0</v>
      </c>
      <c r="FP3" t="n">
        <v>2.199437389130457e-06</v>
      </c>
      <c r="FQ3" t="inlineStr">
        <is>
          <t>good</t>
        </is>
      </c>
      <c r="FR3" s="19" t="n">
        <v>0.7894736842105263</v>
      </c>
      <c r="FS3" s="15" t="n">
        <v>1.990341666537611</v>
      </c>
      <c r="FT3" s="15" t="n">
        <v>7.205829161323881</v>
      </c>
      <c r="FU3" t="inlineStr">
        <is>
          <t>passed</t>
        </is>
      </c>
      <c r="FV3" t="n">
        <v>871.4452921580255</v>
      </c>
      <c r="FW3" t="n">
        <v>87.33748509678148</v>
      </c>
      <c r="FX3" t="n">
        <v>1.720721005304576</v>
      </c>
      <c r="FY3" t="n">
        <v>0.6974581857038386</v>
      </c>
      <c r="FZ3" t="n">
        <v>0.4491048881446836</v>
      </c>
      <c r="GA3" t="n">
        <v>0.4064390052790114</v>
      </c>
      <c r="GB3" t="n">
        <v>0.8949745527285392</v>
      </c>
      <c r="GC3" t="n">
        <v>0.8948341916238466</v>
      </c>
      <c r="GD3" t="n">
        <v>1</v>
      </c>
      <c r="GE3" t="n">
        <v>0.6401842364445308</v>
      </c>
      <c r="GF3" t="n">
        <v>0.5976758803319584</v>
      </c>
      <c r="GG3" t="n">
        <v>0.4230900135149117</v>
      </c>
      <c r="GH3" t="n">
        <v>0.9309598149738971</v>
      </c>
      <c r="GI3" t="n">
        <v>0.006780870806566751</v>
      </c>
      <c r="GJ3" t="n">
        <v>0.297277676950998</v>
      </c>
      <c r="GK3" t="n">
        <v>0.9148936170212766</v>
      </c>
      <c r="GL3" t="n">
        <v>0.2627992844238098</v>
      </c>
      <c r="GM3" t="n">
        <v>0.2627992844238098</v>
      </c>
      <c r="GN3" t="n">
        <v>0.9261656924194371</v>
      </c>
      <c r="GO3" t="n">
        <v>0.8401649167370425</v>
      </c>
      <c r="GP3" t="n">
        <v>2108.456094891425</v>
      </c>
      <c r="GQ3" t="inlineStr">
        <is>
          <t>compiled workbook density_weighted_sum = density_component_ratio_weighted_sum (per-note component ratios); research density_weighted_sum maps body-ceiling richness</t>
        </is>
      </c>
      <c r="GR3" s="15" t="inlineStr">
        <is>
          <t>individual_exact</t>
        </is>
      </c>
      <c r="GS3" s="15" t="inlineStr">
        <is>
          <t>density_weight</t>
        </is>
      </c>
      <c r="GT3" s="15" t="n">
        <v>0.8268956914809303</v>
      </c>
      <c r="GU3" s="15" t="n">
        <v>0.1731043085190696</v>
      </c>
      <c r="GV3" s="15" t="n">
        <v>0</v>
      </c>
      <c r="GW3" s="15" t="inlineStr">
        <is>
          <t>log</t>
        </is>
      </c>
      <c r="GX3" s="15" t="n">
        <v>0.5</v>
      </c>
      <c r="GY3" s="15" t="inlineStr">
        <is>
          <t>EWSD-R v18.1</t>
        </is>
      </c>
      <c r="GZ3" s="15" t="n">
        <v>87.70122924617127</v>
      </c>
      <c r="HA3" s="15" t="n">
        <v>103.5597597548874</v>
      </c>
      <c r="HB3" s="15" t="n">
        <v>0.04734958627890872</v>
      </c>
      <c r="HC3" s="15" t="n">
        <v>90.03733752177087</v>
      </c>
      <c r="HD3" s="15" t="n">
        <v>105.3759739276129</v>
      </c>
      <c r="HE3" s="15" t="n">
        <v>0.0444605862928918</v>
      </c>
      <c r="HF3" s="15" t="inlineStr">
        <is>
          <t>partials+ratios</t>
        </is>
      </c>
      <c r="HG3" s="15" t="inlineStr">
        <is>
          <t>merged_individual_exact</t>
        </is>
      </c>
      <c r="HH3" s="15" t="inlineStr">
        <is>
          <t>passed</t>
        </is>
      </c>
      <c r="HI3" s="15" t="inlineStr">
        <is>
          <t>passed</t>
        </is>
      </c>
    </row>
    <row r="4">
      <c r="A4" t="inlineStr">
        <is>
          <t>incomplete_inference</t>
        </is>
      </c>
      <c r="B4" t="inlineStr">
        <is>
          <t>missing_instrument_technique</t>
        </is>
      </c>
      <c r="C4" t="inlineStr">
        <is>
          <t>prior_constrained_harmonic_fit</t>
        </is>
      </c>
      <c r="D4" t="inlineStr">
        <is>
          <t>IOWA_Trb.T_ff.F#2_SustainStable/F#2/component_amplitude_mass_pie.png</t>
        </is>
      </c>
      <c r="E4" t="inlineStr">
        <is>
          <t>IOWA_Trb.T_ff.F#2_SustainStable/F#2/component_energy_ratio_pie.png</t>
        </is>
      </c>
      <c r="F4" s="15" t="n">
        <v>92.37086148906324</v>
      </c>
      <c r="G4" s="15" t="inlineStr">
        <is>
          <t>prior_constrained_harmonic_fit</t>
        </is>
      </c>
      <c r="H4" s="15" t="inlineStr">
        <is>
          <t>fit_accepted_acoustically_verified</t>
        </is>
      </c>
      <c r="I4" s="16" t="n">
        <v>3098.049995628886</v>
      </c>
      <c r="J4" t="inlineStr">
        <is>
          <t>richness_weighted_body_density_body_ceiling</t>
        </is>
      </c>
      <c r="K4" t="inlineStr">
        <is>
          <t>research_body_ceiling_richness_metric</t>
        </is>
      </c>
      <c r="L4" s="15" t="n">
        <v>42249.2724860689</v>
      </c>
      <c r="M4" s="15" t="n">
        <v>42249.37509176243</v>
      </c>
      <c r="N4" s="15" t="n">
        <v>301.980984767448</v>
      </c>
      <c r="O4" s="15" t="n">
        <v>0.475659073632406</v>
      </c>
      <c r="P4" s="15" t="n">
        <v>-0.575680867942314</v>
      </c>
      <c r="Q4" s="15" t="n">
        <v>83</v>
      </c>
      <c r="R4" s="15" t="n">
        <v>147</v>
      </c>
      <c r="S4" s="15" t="n">
        <v>42249.44706590952</v>
      </c>
      <c r="T4" s="15" t="n">
        <v>217</v>
      </c>
      <c r="U4" s="15" t="n">
        <v>0.6523794916775947</v>
      </c>
      <c r="V4" s="15" t="n">
        <v>190.1424805030965</v>
      </c>
      <c r="W4" s="15" t="n">
        <v>0.7029435270945144</v>
      </c>
      <c r="X4" s="15" t="n">
        <v>0.7472119324210029</v>
      </c>
      <c r="Y4" s="15" t="n">
        <v>108</v>
      </c>
      <c r="Z4" s="15" t="n">
        <v>216</v>
      </c>
      <c r="AA4" s="15" t="n">
        <v>0.5</v>
      </c>
      <c r="AB4" s="15" t="n">
        <v>216</v>
      </c>
      <c r="AC4" s="15" t="n">
        <v>108</v>
      </c>
      <c r="AD4" s="15" t="n">
        <v>0.5</v>
      </c>
      <c r="AE4" s="15" t="n">
        <v>3141.263625162368</v>
      </c>
      <c r="AF4" s="15" t="n">
        <v>108</v>
      </c>
      <c r="AG4" s="15" t="n">
        <v>216</v>
      </c>
      <c r="AH4" s="15" t="n">
        <v>0.5</v>
      </c>
      <c r="AI4" s="15" t="n">
        <v>3141.263625162368</v>
      </c>
      <c r="AJ4" s="15" t="n">
        <v>54</v>
      </c>
      <c r="AK4" s="15" t="n">
        <v>54</v>
      </c>
      <c r="AL4" s="15" t="n">
        <v>0.960047814262509</v>
      </c>
      <c r="AM4" s="15" t="n">
        <v>76</v>
      </c>
      <c r="AN4" s="15" t="n">
        <v>0</v>
      </c>
      <c r="AO4" s="15" t="n">
        <v>76</v>
      </c>
      <c r="AP4" s="15" t="n">
        <v>0</v>
      </c>
      <c r="AQ4" s="15" t="n">
        <v>105.4866716977282</v>
      </c>
      <c r="AR4" s="15" t="n">
        <v>69.16549661884468</v>
      </c>
      <c r="AS4" s="15" t="n">
        <v>1</v>
      </c>
      <c r="AT4" s="17" t="n">
        <v>3.05085794804154</v>
      </c>
      <c r="AU4" s="18" t="n">
        <v>105.8914970421848</v>
      </c>
      <c r="AV4" s="15" t="n">
        <v>126.0247254204493</v>
      </c>
      <c r="AW4" s="15" t="b">
        <v>1</v>
      </c>
      <c r="AX4" s="15" t="n">
        <v>71.26941372783661</v>
      </c>
      <c r="AY4" s="15" t="n">
        <v>44.48208657010449</v>
      </c>
      <c r="AZ4" s="15" t="n">
        <v>0</v>
      </c>
      <c r="BA4" s="15" t="n">
        <v>1</v>
      </c>
      <c r="BB4" s="15" t="n">
        <v>0.5</v>
      </c>
      <c r="BC4" s="15" t="n">
        <v>0.25</v>
      </c>
      <c r="BD4" s="15" t="inlineStr">
        <is>
          <t>his_note_adaptive</t>
        </is>
      </c>
      <c r="BE4" s="15" t="n">
        <v>-90</v>
      </c>
      <c r="BF4" s="15" t="n">
        <v>20000</v>
      </c>
      <c r="BG4" s="15" t="n">
        <v>108</v>
      </c>
      <c r="BH4" s="15" t="n">
        <v>0.5</v>
      </c>
      <c r="BI4" s="15" t="n">
        <v>216</v>
      </c>
      <c r="BJ4" s="15" t="n">
        <v>108</v>
      </c>
      <c r="BK4" s="15" t="n">
        <v>216</v>
      </c>
      <c r="BL4" s="15" t="n">
        <v>182</v>
      </c>
      <c r="BM4" s="15" t="n">
        <v>0.8425925925925926</v>
      </c>
      <c r="BN4" s="15" t="n">
        <v>0.4340361812563394</v>
      </c>
      <c r="BO4" s="15" t="n">
        <v>0.6333333333333333</v>
      </c>
      <c r="BP4" s="19" t="n">
        <v>0.9446489369017664</v>
      </c>
      <c r="BQ4" s="19" t="n">
        <v>0.05534876891788763</v>
      </c>
      <c r="BR4" s="19" t="n">
        <v>2.294180345978235e-06</v>
      </c>
      <c r="BS4" s="15" t="n">
        <v>0.03710810843331779</v>
      </c>
      <c r="BT4" s="19" t="n">
        <v>0.9999975713996124</v>
      </c>
      <c r="BU4" s="19" t="n">
        <v>0</v>
      </c>
      <c r="BV4" s="19" t="n">
        <v>2.428600387626888e-06</v>
      </c>
      <c r="BW4" t="inlineStr">
        <is>
          <t>F#2</t>
        </is>
      </c>
      <c r="BX4" t="n">
        <v>42</v>
      </c>
      <c r="BY4" t="inlineStr">
        <is>
          <t>F#</t>
        </is>
      </c>
      <c r="BZ4" t="n">
        <v>2</v>
      </c>
      <c r="CA4" t="inlineStr">
        <is>
          <t>Low</t>
        </is>
      </c>
      <c r="CB4" t="inlineStr">
        <is>
          <t>ff</t>
        </is>
      </c>
      <c r="CC4" s="15" t="n">
        <v>92.4986056779086</v>
      </c>
      <c r="CD4" s="15" t="n">
        <v>92.37086148906324</v>
      </c>
      <c r="CE4" t="inlineStr">
        <is>
          <t>prior_constrained_harmonic_fit</t>
        </is>
      </c>
      <c r="CF4" t="n">
        <v>92.37086148906324</v>
      </c>
      <c r="CG4" s="15" t="n">
        <v>1</v>
      </c>
      <c r="CH4" t="inlineStr">
        <is>
          <t>free_fit_acoustically_verified</t>
        </is>
      </c>
      <c r="CI4" s="15" t="inlineStr">
        <is>
          <t>free_f0_fit</t>
        </is>
      </c>
      <c r="CJ4" s="15" t="n">
        <v>92.4986056779086</v>
      </c>
      <c r="CK4" s="15" t="n">
        <v>92.37086148906324</v>
      </c>
      <c r="CL4" s="15" t="n">
        <v>-2.392554356188321</v>
      </c>
      <c r="CM4" s="15" t="n">
        <v>20000</v>
      </c>
      <c r="CN4" s="15" t="n">
        <v>-2.392554356188321</v>
      </c>
      <c r="CO4" s="15" t="n">
        <v>2.709547126612631</v>
      </c>
      <c r="CP4" s="15" t="n">
        <v>42249.2724860689</v>
      </c>
      <c r="CQ4" t="n">
        <v>15.83882419028135</v>
      </c>
      <c r="CR4" t="n">
        <v>0.07332788976982105</v>
      </c>
      <c r="CS4" t="n">
        <v>195.5984837264524</v>
      </c>
      <c r="CT4" t="n">
        <v>195.5989587581594</v>
      </c>
      <c r="CU4" t="n">
        <v>3098.049995628886</v>
      </c>
      <c r="CV4" t="n">
        <v>0.475659073632406</v>
      </c>
      <c r="CW4" s="15" t="n">
        <v>42249.37509176243</v>
      </c>
      <c r="CX4" s="15" t="n">
        <v>301.980984767448</v>
      </c>
      <c r="CY4" s="15" t="n">
        <v>0.475659073632406</v>
      </c>
      <c r="CZ4" s="15" t="n">
        <v>3.050858060720354</v>
      </c>
      <c r="DA4" s="15" t="n">
        <v>3.050864314864802</v>
      </c>
      <c r="DB4" s="15" t="n">
        <v>2.06515038910987</v>
      </c>
      <c r="DC4" s="15" t="n">
        <v>0</v>
      </c>
      <c r="DD4" s="15" t="n">
        <v>7.221090166052757e-05</v>
      </c>
      <c r="DE4" s="15" t="n">
        <v>0</v>
      </c>
      <c r="DF4" s="15" t="n">
        <v>83</v>
      </c>
      <c r="DG4" s="15" t="inlineStr">
        <is>
          <t>Density_Metrics</t>
        </is>
      </c>
      <c r="DH4" s="15" t="n">
        <v>2.709547126612631</v>
      </c>
      <c r="DI4" t="n">
        <v>1</v>
      </c>
      <c r="DJ4" s="15" t="n">
        <v>0.6075470139899625</v>
      </c>
      <c r="DK4" s="15" t="n">
        <v>5.545277171737879</v>
      </c>
      <c r="DL4" s="15" t="n">
        <v>16.06611402893991</v>
      </c>
      <c r="DM4" s="15" t="n">
        <v>10.48575817210259</v>
      </c>
      <c r="DN4" s="15" t="n">
        <v>22.46741976035394</v>
      </c>
      <c r="DO4" s="15" t="n">
        <v>0.1857699940823213</v>
      </c>
      <c r="DP4" s="15" t="n">
        <v>3.875</v>
      </c>
      <c r="DQ4" s="15" t="n">
        <v>133</v>
      </c>
      <c r="DR4" s="15" t="b">
        <v>1</v>
      </c>
      <c r="DS4" s="15" t="n">
        <v>15.83882419028135</v>
      </c>
      <c r="DT4" s="15" t="n">
        <v>161.3977774029366</v>
      </c>
      <c r="DU4" t="n">
        <v>216</v>
      </c>
      <c r="DV4" s="15" t="n">
        <v>0.03710810843331779</v>
      </c>
      <c r="DW4" s="15" t="n">
        <v>2.905102899924657</v>
      </c>
      <c r="DX4" s="15" t="n">
        <v>3.155312150397326</v>
      </c>
      <c r="DY4" s="15" t="n">
        <v>0.02101627023391561</v>
      </c>
      <c r="DZ4" s="15" t="b">
        <v>0</v>
      </c>
      <c r="EA4" s="15" t="n">
        <v>0.4761312002653528</v>
      </c>
      <c r="EB4" s="15" t="n">
        <v>20000</v>
      </c>
      <c r="EC4" s="15" t="n">
        <v>7851.523226570376</v>
      </c>
      <c r="ED4" s="15" t="n">
        <v>85</v>
      </c>
      <c r="EE4" s="15" t="n">
        <v>1</v>
      </c>
      <c r="EF4" s="15" t="n">
        <v>0.05819872355692916</v>
      </c>
      <c r="EG4" s="15" t="b">
        <v>0</v>
      </c>
      <c r="EH4" s="15" t="b">
        <v>1</v>
      </c>
      <c r="EI4" s="15" t="b">
        <v>0</v>
      </c>
      <c r="EJ4" s="15" t="inlineStr">
        <is>
          <t>wf=log|dst=-90.0|ceil=20000.0|fft=adaptive_tier</t>
        </is>
      </c>
      <c r="EK4" s="15" t="inlineStr">
        <is>
          <t>wf=log|dst=runtime_configured|ceil=runtime_configured|fft=fixed</t>
        </is>
      </c>
      <c r="EL4" s="15" t="n">
        <v>0.6636105292966712</v>
      </c>
      <c r="EM4" s="15" t="n">
        <v>0.987616140505475</v>
      </c>
      <c r="EN4" s="15" t="n">
        <v>0.3824884792626728</v>
      </c>
      <c r="EO4" s="15" t="n">
        <v>0.4265614916363604</v>
      </c>
      <c r="EP4" s="15" t="inlineStr">
        <is>
          <t>warn:power_outlier_detected</t>
        </is>
      </c>
      <c r="EQ4" s="15" t="n">
        <v>210.9672374586324</v>
      </c>
      <c r="ER4" s="15" t="inlineStr">
        <is>
          <t>winsorize_p95_for_robust_diagnostics</t>
        </is>
      </c>
      <c r="ES4" s="15" t="n">
        <v>0.08460773195140953</v>
      </c>
      <c r="ET4" s="15" t="n">
        <v>0.02697037033665742</v>
      </c>
      <c r="EU4" s="15" t="n">
        <v>0.1064021038484673</v>
      </c>
      <c r="EV4" t="inlineStr">
        <is>
          <t>computed</t>
        </is>
      </c>
      <c r="EW4" s="15" t="inlineStr">
        <is>
          <t>computed</t>
        </is>
      </c>
      <c r="EX4" s="15" t="inlineStr">
        <is>
          <t>computed</t>
        </is>
      </c>
      <c r="EY4" s="15" t="inlineStr">
        <is>
          <t>available_from_curve</t>
        </is>
      </c>
      <c r="EZ4" s="15" t="n">
        <v>20000</v>
      </c>
      <c r="FA4" s="15" t="n">
        <v>20000</v>
      </c>
      <c r="FB4" s="15" t="n">
        <v>0.05534876891788763</v>
      </c>
      <c r="FC4" s="15" t="n">
        <v>0.7884026418777118</v>
      </c>
      <c r="FD4" s="15" t="n">
        <v>3.050864314864802</v>
      </c>
      <c r="FE4" s="15" t="n">
        <v>2.06515038910987</v>
      </c>
      <c r="FF4" s="15" t="n">
        <v>0.4292624677632066</v>
      </c>
      <c r="FG4" s="15" t="n">
        <v>2.33891464369398</v>
      </c>
      <c r="FH4" s="15" t="n">
        <v>0.3414293532830562</v>
      </c>
      <c r="FI4" s="15" t="n">
        <v>0.0292031296355951</v>
      </c>
      <c r="FJ4" s="15" t="n">
        <v>42249.37509176243</v>
      </c>
      <c r="FK4" s="15" t="n">
        <v>301.980984767448</v>
      </c>
      <c r="FL4" s="15" t="n">
        <v>0.475659073632406</v>
      </c>
      <c r="FM4" s="15" t="n">
        <v>0.004664686710633462</v>
      </c>
      <c r="FN4" t="n">
        <v>0.9999975713996124</v>
      </c>
      <c r="FO4" t="n">
        <v>0</v>
      </c>
      <c r="FP4" t="n">
        <v>2.428600387626888e-06</v>
      </c>
      <c r="FQ4" t="inlineStr">
        <is>
          <t>good</t>
        </is>
      </c>
      <c r="FR4" s="19" t="n">
        <v>0.8425925925925926</v>
      </c>
      <c r="FS4" s="15" t="n">
        <v>1.571867434709139</v>
      </c>
      <c r="FT4" s="15" t="n">
        <v>9.896207381426297</v>
      </c>
      <c r="FU4" t="inlineStr">
        <is>
          <t>passed</t>
        </is>
      </c>
      <c r="FV4" t="n">
        <v>1123.253672373533</v>
      </c>
      <c r="FW4" t="n">
        <v>115.1850874233971</v>
      </c>
      <c r="FX4" t="n">
        <v>1.686967835781563</v>
      </c>
      <c r="FY4" t="n">
        <v>1</v>
      </c>
      <c r="FZ4" t="n">
        <v>0.6822278903899121</v>
      </c>
      <c r="GA4" t="n">
        <v>0.6247766111234172</v>
      </c>
      <c r="GB4" t="n">
        <v>1</v>
      </c>
      <c r="GC4" t="n">
        <v>1</v>
      </c>
      <c r="GD4" t="n">
        <v>0.8561889391706304</v>
      </c>
      <c r="GE4" t="n">
        <v>0.6176231130529631</v>
      </c>
      <c r="GF4" t="n">
        <v>0.5784347350166896</v>
      </c>
      <c r="GG4" t="n">
        <v>0.04746508624370195</v>
      </c>
      <c r="GH4" t="n">
        <v>0.7286855735438046</v>
      </c>
      <c r="GI4" t="n">
        <v>0.1708779443254818</v>
      </c>
      <c r="GJ4" t="n">
        <v>0.6137931034482754</v>
      </c>
      <c r="GK4" t="n">
        <v>0.8936170212765956</v>
      </c>
      <c r="GL4" t="n">
        <v>0.01660959378385031</v>
      </c>
      <c r="GM4" t="n">
        <v>0.01660959378385031</v>
      </c>
      <c r="GN4" t="n">
        <v>0.8190386774011436</v>
      </c>
      <c r="GO4" t="n">
        <v>1</v>
      </c>
      <c r="GP4" t="n">
        <v>3098.049995628886</v>
      </c>
      <c r="GQ4" t="inlineStr">
        <is>
          <t>compiled workbook density_weighted_sum = density_component_ratio_weighted_sum (per-note component ratios); research density_weighted_sum maps body-ceiling richness</t>
        </is>
      </c>
      <c r="GR4" s="15" t="inlineStr">
        <is>
          <t>individual_exact</t>
        </is>
      </c>
      <c r="GS4" s="15" t="inlineStr">
        <is>
          <t>density_weight</t>
        </is>
      </c>
      <c r="GT4" s="15" t="n">
        <v>0.9214584905540072</v>
      </c>
      <c r="GU4" s="15" t="n">
        <v>0.07854150944599278</v>
      </c>
      <c r="GV4" s="15" t="n">
        <v>0</v>
      </c>
      <c r="GW4" s="15" t="inlineStr">
        <is>
          <t>log</t>
        </is>
      </c>
      <c r="GX4" s="15" t="n">
        <v>0.5</v>
      </c>
      <c r="GY4" s="15" t="inlineStr">
        <is>
          <t>EWSD-R v18.1</t>
        </is>
      </c>
      <c r="GZ4" s="15" t="n">
        <v>87.11792082045073</v>
      </c>
      <c r="HA4" s="15" t="n">
        <v>131.7466087862692</v>
      </c>
      <c r="HB4" s="15" t="n">
        <v>0.1105453028168651</v>
      </c>
      <c r="HC4" s="15" t="n">
        <v>108.1517715405737</v>
      </c>
      <c r="HD4" s="15" t="n">
        <v>153.8144212056091</v>
      </c>
      <c r="HE4" s="15" t="n">
        <v>0.09305137857982658</v>
      </c>
      <c r="HF4" s="15" t="inlineStr">
        <is>
          <t>partials+ratios</t>
        </is>
      </c>
      <c r="HG4" s="15" t="inlineStr">
        <is>
          <t>merged_individual_exact</t>
        </is>
      </c>
      <c r="HH4" s="15" t="inlineStr">
        <is>
          <t>passed</t>
        </is>
      </c>
      <c r="HI4" s="15" t="inlineStr">
        <is>
          <t>passed</t>
        </is>
      </c>
    </row>
    <row r="5">
      <c r="A5" t="inlineStr">
        <is>
          <t>incomplete_inference</t>
        </is>
      </c>
      <c r="B5" t="inlineStr">
        <is>
          <t>missing_instrument_technique</t>
        </is>
      </c>
      <c r="C5" t="inlineStr">
        <is>
          <t>prior_constrained_harmonic_fit</t>
        </is>
      </c>
      <c r="D5" t="inlineStr">
        <is>
          <t>IOWA_Trb.T_ff.G2_SustainStable/G2/component_amplitude_mass_pie.png</t>
        </is>
      </c>
      <c r="E5" t="inlineStr">
        <is>
          <t>IOWA_Trb.T_ff.G2_SustainStable/G2/component_energy_ratio_pie.png</t>
        </is>
      </c>
      <c r="F5" s="15" t="n">
        <v>97.9692723115943</v>
      </c>
      <c r="G5" s="15" t="inlineStr">
        <is>
          <t>prior_constrained_harmonic_fit</t>
        </is>
      </c>
      <c r="H5" s="15" t="inlineStr">
        <is>
          <t>fit_accepted_acoustically_verified</t>
        </is>
      </c>
      <c r="I5" s="16" t="n">
        <v>2800.423207204336</v>
      </c>
      <c r="J5" t="inlineStr">
        <is>
          <t>richness_weighted_body_density_body_ceiling</t>
        </is>
      </c>
      <c r="K5" t="inlineStr">
        <is>
          <t>research_body_ceiling_richness_metric</t>
        </is>
      </c>
      <c r="L5" s="15" t="n">
        <v>39365.04188816259</v>
      </c>
      <c r="M5" s="15" t="n">
        <v>39365.08810695662</v>
      </c>
      <c r="N5" s="15" t="n">
        <v>322.901882529889</v>
      </c>
      <c r="O5" s="15" t="n">
        <v>0.4235372792436562</v>
      </c>
      <c r="P5" s="15" t="n">
        <v>-0.6479414674177065</v>
      </c>
      <c r="Q5" s="15" t="n">
        <v>66</v>
      </c>
      <c r="R5" s="15" t="n">
        <v>147</v>
      </c>
      <c r="S5" s="15" t="n">
        <v>39365.70280373176</v>
      </c>
      <c r="T5" s="15" t="n">
        <v>205</v>
      </c>
      <c r="U5" s="15" t="n">
        <v>0.630177255758111</v>
      </c>
      <c r="V5" s="15" t="n">
        <v>188.2045957791</v>
      </c>
      <c r="W5" s="15" t="n">
        <v>0.679005684644282</v>
      </c>
      <c r="X5" s="15" t="n">
        <v>0.7629849140072331</v>
      </c>
      <c r="Y5" s="15" t="n">
        <v>104</v>
      </c>
      <c r="Z5" s="15" t="n">
        <v>204</v>
      </c>
      <c r="AA5" s="15" t="n">
        <v>0.5098039215686274</v>
      </c>
      <c r="AB5" s="15" t="n">
        <v>204</v>
      </c>
      <c r="AC5" s="15" t="n">
        <v>104</v>
      </c>
      <c r="AD5" s="15" t="n">
        <v>0.5098039215686274</v>
      </c>
      <c r="AE5" s="15" t="n">
        <v>2923.682093001697</v>
      </c>
      <c r="AF5" s="15" t="n">
        <v>104</v>
      </c>
      <c r="AG5" s="15" t="n">
        <v>204</v>
      </c>
      <c r="AH5" s="15" t="n">
        <v>0.5098039215686274</v>
      </c>
      <c r="AI5" s="15" t="n">
        <v>2923.682093001697</v>
      </c>
      <c r="AJ5" s="15" t="n">
        <v>52</v>
      </c>
      <c r="AK5" s="15" t="n">
        <v>52</v>
      </c>
      <c r="AL5" s="15" t="n">
        <v>0.8706481246919858</v>
      </c>
      <c r="AM5" s="15" t="n">
        <v>77</v>
      </c>
      <c r="AN5" s="15" t="n">
        <v>0</v>
      </c>
      <c r="AO5" s="15" t="n">
        <v>77</v>
      </c>
      <c r="AP5" s="15" t="n">
        <v>0</v>
      </c>
      <c r="AQ5" s="15" t="n">
        <v>101.3534162424739</v>
      </c>
      <c r="AR5" s="15" t="n">
        <v>65.10277728795305</v>
      </c>
      <c r="AS5" s="15" t="n">
        <v>0.928363484080745</v>
      </c>
      <c r="AT5" s="17" t="n">
        <v>3.017318140459921</v>
      </c>
      <c r="AU5" s="18" t="n">
        <v>105.4920321269523</v>
      </c>
      <c r="AV5" s="15" t="n">
        <v>119.5658506100475</v>
      </c>
      <c r="AW5" s="15" t="b">
        <v>1</v>
      </c>
      <c r="AX5" s="15" t="n">
        <v>67.24380080054254</v>
      </c>
      <c r="AY5" s="15" t="n">
        <v>45.40144093736836</v>
      </c>
      <c r="AZ5" s="15" t="n">
        <v>0</v>
      </c>
      <c r="BA5" s="15" t="n">
        <v>1</v>
      </c>
      <c r="BB5" s="15" t="n">
        <v>0.5</v>
      </c>
      <c r="BC5" s="15" t="n">
        <v>0.25</v>
      </c>
      <c r="BD5" s="15" t="inlineStr">
        <is>
          <t>his_note_adaptive</t>
        </is>
      </c>
      <c r="BE5" s="15" t="n">
        <v>-90</v>
      </c>
      <c r="BF5" s="15" t="n">
        <v>20000</v>
      </c>
      <c r="BG5" s="15" t="n">
        <v>104</v>
      </c>
      <c r="BH5" s="15" t="n">
        <v>0.5098039215686274</v>
      </c>
      <c r="BI5" s="15" t="n">
        <v>204</v>
      </c>
      <c r="BJ5" s="15" t="n">
        <v>104</v>
      </c>
      <c r="BK5" s="15" t="n">
        <v>204</v>
      </c>
      <c r="BL5" s="15" t="n">
        <v>173</v>
      </c>
      <c r="BM5" s="15" t="n">
        <v>0.8480392156862745</v>
      </c>
      <c r="BN5" s="15" t="n">
        <v>0.4362669522320719</v>
      </c>
      <c r="BO5" s="15" t="n">
        <v>0.6416666666666667</v>
      </c>
      <c r="BP5" s="19" t="n">
        <v>0.9323340819578726</v>
      </c>
      <c r="BQ5" s="19" t="n">
        <v>0.06766482336983765</v>
      </c>
      <c r="BR5" s="19" t="n">
        <v>1.094672289782645e-06</v>
      </c>
      <c r="BS5" s="15" t="n">
        <v>0.04656936984748736</v>
      </c>
      <c r="BT5" s="19" t="n">
        <v>0.9999988258811667</v>
      </c>
      <c r="BU5" s="19" t="n">
        <v>0</v>
      </c>
      <c r="BV5" s="19" t="n">
        <v>1.174118833249685e-06</v>
      </c>
      <c r="BW5" t="inlineStr">
        <is>
          <t>G2</t>
        </is>
      </c>
      <c r="BX5" t="n">
        <v>43</v>
      </c>
      <c r="BY5" t="inlineStr">
        <is>
          <t>G</t>
        </is>
      </c>
      <c r="BZ5" t="n">
        <v>2</v>
      </c>
      <c r="CA5" t="inlineStr">
        <is>
          <t>Low</t>
        </is>
      </c>
      <c r="CB5" t="inlineStr">
        <is>
          <t>ff</t>
        </is>
      </c>
      <c r="CC5" s="15" t="n">
        <v>97.99885899543733</v>
      </c>
      <c r="CD5" s="15" t="n">
        <v>97.9692723115943</v>
      </c>
      <c r="CE5" t="inlineStr">
        <is>
          <t>prior_constrained_harmonic_fit</t>
        </is>
      </c>
      <c r="CF5" t="n">
        <v>97.9692723115943</v>
      </c>
      <c r="CG5" s="15" t="n">
        <v>1</v>
      </c>
      <c r="CH5" t="inlineStr">
        <is>
          <t>free_fit_acoustically_verified</t>
        </is>
      </c>
      <c r="CI5" s="15" t="inlineStr">
        <is>
          <t>free_f0_fit</t>
        </is>
      </c>
      <c r="CJ5" s="15" t="n">
        <v>97.99885899543733</v>
      </c>
      <c r="CK5" s="15" t="n">
        <v>97.9692723115943</v>
      </c>
      <c r="CL5" s="15" t="n">
        <v>-0.5227531080241298</v>
      </c>
      <c r="CM5" s="15" t="n">
        <v>20000</v>
      </c>
      <c r="CN5" s="15" t="n">
        <v>-0.5227531080241298</v>
      </c>
      <c r="CO5" s="15" t="n">
        <v>2.699544358245092</v>
      </c>
      <c r="CP5" s="15" t="n">
        <v>39365.04188816259</v>
      </c>
      <c r="CQ5" t="n">
        <v>14.51252956620611</v>
      </c>
      <c r="CR5" t="n">
        <v>0.07113985081473582</v>
      </c>
      <c r="CS5" t="n">
        <v>192.9658916062025</v>
      </c>
      <c r="CT5" t="n">
        <v>192.966118171356</v>
      </c>
      <c r="CU5" t="n">
        <v>2800.423207204336</v>
      </c>
      <c r="CV5" t="n">
        <v>0.4235372792436562</v>
      </c>
      <c r="CW5" s="15" t="n">
        <v>39365.08810695662</v>
      </c>
      <c r="CX5" s="15" t="n">
        <v>322.901882529889</v>
      </c>
      <c r="CY5" s="15" t="n">
        <v>0.4235372792436562</v>
      </c>
      <c r="CZ5" s="15" t="n">
        <v>3.017318128362985</v>
      </c>
      <c r="DA5" s="15" t="n">
        <v>3.017321173773505</v>
      </c>
      <c r="DB5" s="15" t="n">
        <v>2.158305907033403</v>
      </c>
      <c r="DC5" s="15" t="n">
        <v>0</v>
      </c>
      <c r="DD5" s="15" t="n">
        <v>7.66496867178571e-05</v>
      </c>
      <c r="DE5" s="15" t="n">
        <v>0</v>
      </c>
      <c r="DF5" s="15" t="n">
        <v>66</v>
      </c>
      <c r="DG5" s="15" t="inlineStr">
        <is>
          <t>Density_Metrics</t>
        </is>
      </c>
      <c r="DH5" s="15" t="n">
        <v>2.699544358245092</v>
      </c>
      <c r="DI5" t="n">
        <v>0.9963083246387213</v>
      </c>
      <c r="DJ5" s="15" t="n">
        <v>0.603936225850468</v>
      </c>
      <c r="DK5" s="15" t="n">
        <v>5.609467351719642</v>
      </c>
      <c r="DL5" s="15" t="n">
        <v>14.75167104659771</v>
      </c>
      <c r="DM5" s="15" t="n">
        <v>9.782721321524546</v>
      </c>
      <c r="DN5" s="15" t="n">
        <v>21.22180869886926</v>
      </c>
      <c r="DO5" s="15" t="n">
        <v>0.1938452607833954</v>
      </c>
      <c r="DP5" s="15" t="n">
        <v>4.375</v>
      </c>
      <c r="DQ5" s="15" t="n">
        <v>137</v>
      </c>
      <c r="DR5" s="15" t="b">
        <v>1</v>
      </c>
      <c r="DS5" s="15" t="n">
        <v>14.51252956620611</v>
      </c>
      <c r="DT5" s="15" t="n">
        <v>155.6489224574755</v>
      </c>
      <c r="DU5" t="n">
        <v>204</v>
      </c>
      <c r="DV5" s="15" t="n">
        <v>0.04656936984748736</v>
      </c>
      <c r="DW5" s="15" t="n">
        <v>2.871064743606912</v>
      </c>
      <c r="DX5" s="15" t="n">
        <v>3.128989001743269</v>
      </c>
      <c r="DY5" s="15" t="n">
        <v>0.02137101259232809</v>
      </c>
      <c r="DZ5" s="15" t="b">
        <v>0</v>
      </c>
      <c r="EA5" s="15" t="n">
        <v>0.4185532811851196</v>
      </c>
      <c r="EB5" s="15" t="n">
        <v>20000</v>
      </c>
      <c r="EC5" s="15" t="n">
        <v>6465.971972565223</v>
      </c>
      <c r="ED5" s="15" t="n">
        <v>66</v>
      </c>
      <c r="EE5" s="15" t="n">
        <v>0</v>
      </c>
      <c r="EF5" s="15" t="n">
        <v>0.05493228019624839</v>
      </c>
      <c r="EG5" s="15" t="b">
        <v>0</v>
      </c>
      <c r="EH5" s="15" t="b">
        <v>1</v>
      </c>
      <c r="EI5" s="15" t="b">
        <v>0</v>
      </c>
      <c r="EJ5" s="15" t="inlineStr">
        <is>
          <t>wf=log|dst=-90.0|ceil=20000.0|fft=adaptive_tier</t>
        </is>
      </c>
      <c r="EK5" s="15" t="inlineStr">
        <is>
          <t>wf=log|dst=runtime_configured|ceil=runtime_configured|fft=fixed</t>
        </is>
      </c>
      <c r="EL5" s="15" t="n">
        <v>0.6408814573692295</v>
      </c>
      <c r="EM5" s="15" t="n">
        <v>0.9878375058576335</v>
      </c>
      <c r="EN5" s="15" t="n">
        <v>0.3219512195121951</v>
      </c>
      <c r="EO5" s="15" t="n">
        <v>0.4183582645201304</v>
      </c>
      <c r="EP5" s="15" t="inlineStr">
        <is>
          <t>warn:power_outlier_detected</t>
        </is>
      </c>
      <c r="EQ5" s="15" t="n">
        <v>235.6381364045464</v>
      </c>
      <c r="ER5" s="15" t="inlineStr">
        <is>
          <t>winsorize_p95_for_robust_diagnostics</t>
        </is>
      </c>
      <c r="ES5" s="15" t="n">
        <v>0.08682750212126579</v>
      </c>
      <c r="ET5" s="15" t="n">
        <v>0.03436899947979592</v>
      </c>
      <c r="EU5" s="15" t="n">
        <v>0.1144914937091613</v>
      </c>
      <c r="EV5" t="inlineStr">
        <is>
          <t>computed</t>
        </is>
      </c>
      <c r="EW5" s="15" t="inlineStr">
        <is>
          <t>computed</t>
        </is>
      </c>
      <c r="EX5" s="15" t="inlineStr">
        <is>
          <t>computed</t>
        </is>
      </c>
      <c r="EY5" s="15" t="inlineStr">
        <is>
          <t>available_from_curve</t>
        </is>
      </c>
      <c r="EZ5" s="15" t="n">
        <v>20000</v>
      </c>
      <c r="FA5" s="15" t="n">
        <v>20000</v>
      </c>
      <c r="FB5" s="15" t="n">
        <v>0.06766482336983765</v>
      </c>
      <c r="FC5" s="15" t="n">
        <v>0.7150922164532557</v>
      </c>
      <c r="FD5" s="15" t="n">
        <v>3.017321173773505</v>
      </c>
      <c r="FE5" s="15" t="n">
        <v>2.158305907033403</v>
      </c>
      <c r="FF5" s="15" t="n">
        <v>0.433840270912734</v>
      </c>
      <c r="FG5" s="15" t="n">
        <v>2.313199129729078</v>
      </c>
      <c r="FH5" s="15" t="n">
        <v>0.3568306666242551</v>
      </c>
      <c r="FI5" s="15" t="n">
        <v>0.02951456189175878</v>
      </c>
      <c r="FJ5" s="15" t="n">
        <v>39365.08810695662</v>
      </c>
      <c r="FK5" s="15" t="n">
        <v>322.901882529889</v>
      </c>
      <c r="FL5" s="15" t="n">
        <v>0.4235372792436562</v>
      </c>
      <c r="FM5" s="15" t="n">
        <v>0.004554272173051281</v>
      </c>
      <c r="FN5" t="n">
        <v>0.9999988258811667</v>
      </c>
      <c r="FO5" t="n">
        <v>0</v>
      </c>
      <c r="FP5" t="n">
        <v>1.174118833249685e-06</v>
      </c>
      <c r="FQ5" t="inlineStr">
        <is>
          <t>good</t>
        </is>
      </c>
      <c r="FR5" s="19" t="n">
        <v>0.8480392156862745</v>
      </c>
      <c r="FS5" s="15" t="n">
        <v>2.450590551846995</v>
      </c>
      <c r="FT5" s="15" t="n">
        <v>15.61617621452389</v>
      </c>
      <c r="FU5" t="inlineStr">
        <is>
          <t>passed</t>
        </is>
      </c>
      <c r="FV5" t="n">
        <v>1039.689502368798</v>
      </c>
      <c r="FW5" t="n">
        <v>142.9812391857531</v>
      </c>
      <c r="FX5" t="n">
        <v>1.715440373845204</v>
      </c>
      <c r="FY5" t="n">
        <v>0.9708265726877802</v>
      </c>
      <c r="FZ5" t="n">
        <v>0.6121146344225595</v>
      </c>
      <c r="GA5" t="n">
        <v>0.6874252846328015</v>
      </c>
      <c r="GB5" t="n">
        <v>0.8993204022577427</v>
      </c>
      <c r="GC5" t="n">
        <v>0.8969058121173509</v>
      </c>
      <c r="GD5" t="n">
        <v>0.8459819288738515</v>
      </c>
      <c r="GE5" t="n">
        <v>0.5409536549841351</v>
      </c>
      <c r="GF5" t="n">
        <v>0.6031909397472119</v>
      </c>
      <c r="GG5" t="n">
        <v>0.1549527800006838</v>
      </c>
      <c r="GH5" t="n">
        <v>0.7173240658455107</v>
      </c>
      <c r="GI5" t="n">
        <v>0.1901834823865305</v>
      </c>
      <c r="GJ5" t="n">
        <v>0.6462474645030423</v>
      </c>
      <c r="GK5" t="n">
        <v>0.9148936170212766</v>
      </c>
      <c r="GL5" t="n">
        <v>0.08674991227369142</v>
      </c>
      <c r="GM5" t="n">
        <v>0.08674991227369142</v>
      </c>
      <c r="GN5" t="n">
        <v>0.6660308722833101</v>
      </c>
      <c r="GO5" t="n">
        <v>0.9514326897375058</v>
      </c>
      <c r="GP5" t="n">
        <v>2800.423207204336</v>
      </c>
      <c r="GQ5" t="inlineStr">
        <is>
          <t>compiled workbook density_weighted_sum = density_component_ratio_weighted_sum (per-note component ratios); research density_weighted_sum maps body-ceiling richness</t>
        </is>
      </c>
      <c r="GR5" s="15" t="inlineStr">
        <is>
          <t>individual_exact</t>
        </is>
      </c>
      <c r="GS5" s="15" t="inlineStr">
        <is>
          <t>density_weight</t>
        </is>
      </c>
      <c r="GT5" s="15" t="n">
        <v>0.9019783793508859</v>
      </c>
      <c r="GU5" s="15" t="n">
        <v>0.09802162064911416</v>
      </c>
      <c r="GV5" s="15" t="n">
        <v>0</v>
      </c>
      <c r="GW5" s="15" t="inlineStr">
        <is>
          <t>log</t>
        </is>
      </c>
      <c r="GX5" s="15" t="n">
        <v>0.5</v>
      </c>
      <c r="GY5" s="15" t="inlineStr">
        <is>
          <t>EWSD-R v18.1</t>
        </is>
      </c>
      <c r="GZ5" s="15" t="n">
        <v>88.89098929657497</v>
      </c>
      <c r="HA5" s="15" t="n">
        <v>127.957327308034</v>
      </c>
      <c r="HB5" s="15" t="n">
        <v>0.0981283885972163</v>
      </c>
      <c r="HC5" s="15" t="n">
        <v>104.7843974578965</v>
      </c>
      <c r="HD5" s="15" t="n">
        <v>142.7170802003353</v>
      </c>
      <c r="HE5" s="15" t="n">
        <v>0.08435744369459312</v>
      </c>
      <c r="HF5" s="15" t="inlineStr">
        <is>
          <t>partials+ratios</t>
        </is>
      </c>
      <c r="HG5" s="15" t="inlineStr">
        <is>
          <t>merged_individual_exact</t>
        </is>
      </c>
      <c r="HH5" s="15" t="inlineStr">
        <is>
          <t>passed</t>
        </is>
      </c>
      <c r="HI5" s="15" t="inlineStr">
        <is>
          <t>passed</t>
        </is>
      </c>
    </row>
    <row r="6">
      <c r="A6" t="inlineStr">
        <is>
          <t>incomplete_inference</t>
        </is>
      </c>
      <c r="B6" t="inlineStr">
        <is>
          <t>missing_instrument_technique</t>
        </is>
      </c>
      <c r="C6" t="inlineStr">
        <is>
          <t>prior_constrained_harmonic_fit</t>
        </is>
      </c>
      <c r="D6" t="inlineStr">
        <is>
          <t>IOWA_Trb.T_ff.G#2_SustainStable/G#2/component_amplitude_mass_pie.png</t>
        </is>
      </c>
      <c r="E6" t="inlineStr">
        <is>
          <t>IOWA_Trb.T_ff.G#2_SustainStable/G#2/component_energy_ratio_pie.png</t>
        </is>
      </c>
      <c r="F6" s="15" t="n">
        <v>103.9567580107547</v>
      </c>
      <c r="G6" s="15" t="inlineStr">
        <is>
          <t>prior_constrained_harmonic_fit</t>
        </is>
      </c>
      <c r="H6" s="15" t="inlineStr">
        <is>
          <t>fit_accepted_acoustically_verified</t>
        </is>
      </c>
      <c r="I6" s="16" t="n">
        <v>1959.31467346097</v>
      </c>
      <c r="J6" t="inlineStr">
        <is>
          <t>richness_weighted_body_density_body_ceiling</t>
        </is>
      </c>
      <c r="K6" t="inlineStr">
        <is>
          <t>research_body_ceiling_richness_metric</t>
        </is>
      </c>
      <c r="L6" s="15" t="n">
        <v>29794.9780303702</v>
      </c>
      <c r="M6" s="15" t="n">
        <v>29795.02711265199</v>
      </c>
      <c r="N6" s="15" t="n">
        <v>167.1272835449154</v>
      </c>
      <c r="O6" s="15" t="n">
        <v>0.5028336807154001</v>
      </c>
      <c r="P6" s="15" t="n">
        <v>-0.6449104064038258</v>
      </c>
      <c r="Q6" s="15" t="n">
        <v>34</v>
      </c>
      <c r="R6" s="15" t="n">
        <v>141</v>
      </c>
      <c r="S6" s="15" t="n">
        <v>29829.82410824045</v>
      </c>
      <c r="T6" s="15" t="n">
        <v>193</v>
      </c>
      <c r="U6" s="15" t="n">
        <v>1.072210552625745</v>
      </c>
      <c r="V6" s="15" t="n">
        <v>217.0653461607896</v>
      </c>
      <c r="W6" s="15" t="n">
        <v>0.635058122138759</v>
      </c>
      <c r="X6" s="15" t="n">
        <v>0.9015279850668204</v>
      </c>
      <c r="Y6" s="15" t="n">
        <v>96</v>
      </c>
      <c r="Z6" s="15" t="n">
        <v>192</v>
      </c>
      <c r="AA6" s="15" t="n">
        <v>0.5</v>
      </c>
      <c r="AB6" s="15" t="n">
        <v>192</v>
      </c>
      <c r="AC6" s="15" t="n">
        <v>96</v>
      </c>
      <c r="AD6" s="15" t="n">
        <v>0.5</v>
      </c>
      <c r="AE6" s="15" t="n">
        <v>2428.129371661057</v>
      </c>
      <c r="AF6" s="15" t="n">
        <v>96</v>
      </c>
      <c r="AG6" s="15" t="n">
        <v>192</v>
      </c>
      <c r="AH6" s="15" t="n">
        <v>0.5</v>
      </c>
      <c r="AI6" s="15" t="n">
        <v>2428.129371661057</v>
      </c>
      <c r="AJ6" s="15" t="n">
        <v>47</v>
      </c>
      <c r="AK6" s="15" t="n">
        <v>49</v>
      </c>
      <c r="AL6" s="15" t="n">
        <v>0.98561942133102</v>
      </c>
      <c r="AM6" s="15" t="n">
        <v>81</v>
      </c>
      <c r="AN6" s="15" t="n">
        <v>0</v>
      </c>
      <c r="AO6" s="15" t="n">
        <v>81</v>
      </c>
      <c r="AP6" s="15" t="n">
        <v>0</v>
      </c>
      <c r="AQ6" s="15" t="n">
        <v>93.41472227356395</v>
      </c>
      <c r="AR6" s="15" t="n">
        <v>60.13397946794309</v>
      </c>
      <c r="AS6" s="15" t="n">
        <v>0.8407504015263605</v>
      </c>
      <c r="AT6" s="17" t="n">
        <v>2.910137555242914</v>
      </c>
      <c r="AU6" s="18" t="n">
        <v>83.18399744121911</v>
      </c>
      <c r="AV6" s="15" t="n">
        <v>85.62102404402226</v>
      </c>
      <c r="AW6" s="15" t="b">
        <v>1</v>
      </c>
      <c r="AX6" s="15" t="n">
        <v>62.08221084793801</v>
      </c>
      <c r="AY6" s="15" t="n">
        <v>50.77840762358966</v>
      </c>
      <c r="AZ6" s="15" t="n">
        <v>0</v>
      </c>
      <c r="BA6" s="15" t="n">
        <v>1</v>
      </c>
      <c r="BB6" s="15" t="n">
        <v>0.5</v>
      </c>
      <c r="BC6" s="15" t="n">
        <v>0.25</v>
      </c>
      <c r="BD6" s="15" t="inlineStr">
        <is>
          <t>his_note_adaptive</t>
        </is>
      </c>
      <c r="BE6" s="15" t="n">
        <v>-90</v>
      </c>
      <c r="BF6" s="15" t="n">
        <v>20000</v>
      </c>
      <c r="BG6" s="15" t="n">
        <v>96</v>
      </c>
      <c r="BH6" s="15" t="n">
        <v>0.5</v>
      </c>
      <c r="BI6" s="15" t="n">
        <v>192</v>
      </c>
      <c r="BJ6" s="15" t="n">
        <v>96</v>
      </c>
      <c r="BK6" s="15" t="n">
        <v>192</v>
      </c>
      <c r="BL6" s="15" t="n">
        <v>142</v>
      </c>
      <c r="BM6" s="15" t="n">
        <v>0.7395833333333334</v>
      </c>
      <c r="BN6" s="15" t="n">
        <v>0.4990335421770895</v>
      </c>
      <c r="BO6" s="15" t="n">
        <v>0.675</v>
      </c>
      <c r="BP6" s="19" t="n">
        <v>0.8935051755138783</v>
      </c>
      <c r="BQ6" s="19" t="n">
        <v>0.1064933525597825</v>
      </c>
      <c r="BR6" s="19" t="n">
        <v>1.471926339165485e-06</v>
      </c>
      <c r="BS6" s="15" t="n">
        <v>0.08045045124598552</v>
      </c>
      <c r="BT6" s="19" t="n">
        <v>0.9999983526408636</v>
      </c>
      <c r="BU6" s="19" t="n">
        <v>0</v>
      </c>
      <c r="BV6" s="19" t="n">
        <v>1.647359136479137e-06</v>
      </c>
      <c r="BW6" t="inlineStr">
        <is>
          <t>G#2</t>
        </is>
      </c>
      <c r="BX6" t="n">
        <v>44</v>
      </c>
      <c r="BY6" t="inlineStr">
        <is>
          <t>G#</t>
        </is>
      </c>
      <c r="BZ6" t="n">
        <v>2</v>
      </c>
      <c r="CA6" t="inlineStr">
        <is>
          <t>Low</t>
        </is>
      </c>
      <c r="CB6" t="inlineStr">
        <is>
          <t>ff</t>
        </is>
      </c>
      <c r="CC6" s="15" t="n">
        <v>103.8261743949863</v>
      </c>
      <c r="CD6" s="15" t="n">
        <v>103.9567580107547</v>
      </c>
      <c r="CE6" t="inlineStr">
        <is>
          <t>prior_constrained_harmonic_fit</t>
        </is>
      </c>
      <c r="CF6" t="n">
        <v>103.9567580107547</v>
      </c>
      <c r="CG6" s="15" t="n">
        <v>1</v>
      </c>
      <c r="CH6" t="inlineStr">
        <is>
          <t>free_fit_acoustically_verified</t>
        </is>
      </c>
      <c r="CI6" s="15" t="inlineStr">
        <is>
          <t>free_f0_fit</t>
        </is>
      </c>
      <c r="CJ6" s="15" t="n">
        <v>103.8261743949863</v>
      </c>
      <c r="CK6" s="15" t="n">
        <v>103.9567580107547</v>
      </c>
      <c r="CL6" s="15" t="n">
        <v>2.176028887593199</v>
      </c>
      <c r="CM6" s="15" t="n">
        <v>20000</v>
      </c>
      <c r="CN6" s="15" t="n">
        <v>2.176028887593199</v>
      </c>
      <c r="CO6" s="15" t="n">
        <v>2.559271625639639</v>
      </c>
      <c r="CP6" s="15" t="n">
        <v>29794.9780303702</v>
      </c>
      <c r="CQ6" t="n">
        <v>12.62590014100744</v>
      </c>
      <c r="CR6" t="n">
        <v>0.0657598965677471</v>
      </c>
      <c r="CS6" t="n">
        <v>155.1821772371972</v>
      </c>
      <c r="CT6" t="n">
        <v>155.1824328783958</v>
      </c>
      <c r="CU6" t="n">
        <v>1959.31467346097</v>
      </c>
      <c r="CV6" t="n">
        <v>0.5028336807154001</v>
      </c>
      <c r="CW6" s="15" t="n">
        <v>29795.02711265199</v>
      </c>
      <c r="CX6" s="15" t="n">
        <v>167.1272835449154</v>
      </c>
      <c r="CY6" s="15" t="n">
        <v>0.5028336807154001</v>
      </c>
      <c r="CZ6" s="15" t="n">
        <v>2.9101376007435</v>
      </c>
      <c r="DA6" s="15" t="n">
        <v>2.91014156644414</v>
      </c>
      <c r="DB6" s="15" t="n">
        <v>1.789833411996685</v>
      </c>
      <c r="DC6" s="15" t="n">
        <v>0</v>
      </c>
      <c r="DD6" s="15" t="n">
        <v>9.767208412696861e-05</v>
      </c>
      <c r="DE6" s="15" t="n">
        <v>0</v>
      </c>
      <c r="DF6" s="15" t="n">
        <v>34</v>
      </c>
      <c r="DG6" s="15" t="inlineStr">
        <is>
          <t>Density_Metrics</t>
        </is>
      </c>
      <c r="DH6" s="15" t="n">
        <v>2.559271625639639</v>
      </c>
      <c r="DI6" t="n">
        <v>0.9445385173422464</v>
      </c>
      <c r="DJ6" s="15" t="n">
        <v>0.5921920357672608</v>
      </c>
      <c r="DK6" s="15" t="n">
        <v>5.175188339307994</v>
      </c>
      <c r="DL6" s="15" t="n">
        <v>12.76813862614466</v>
      </c>
      <c r="DM6" s="15" t="n">
        <v>8.526211505938239</v>
      </c>
      <c r="DN6" s="15" t="n">
        <v>18.21658888152792</v>
      </c>
      <c r="DO6" s="15" t="n">
        <v>0.1950945091939709</v>
      </c>
      <c r="DP6" s="15" t="n">
        <v>4</v>
      </c>
      <c r="DQ6" s="15" t="n">
        <v>64</v>
      </c>
      <c r="DR6" s="15" t="b">
        <v>1</v>
      </c>
      <c r="DS6" s="15" t="n">
        <v>12.62590014100744</v>
      </c>
      <c r="DT6" s="15" t="n">
        <v>173.0933731328295</v>
      </c>
      <c r="DU6" t="n">
        <v>192</v>
      </c>
      <c r="DV6" s="15" t="n">
        <v>0.08045045124598552</v>
      </c>
      <c r="DW6" s="15" t="n">
        <v>2.798854574377132</v>
      </c>
      <c r="DX6" s="15" t="n">
        <v>3.008417684234469</v>
      </c>
      <c r="DY6" s="15" t="n">
        <v>0.0191353142902472</v>
      </c>
      <c r="DZ6" s="15" t="b">
        <v>0</v>
      </c>
      <c r="EA6" s="15" t="n">
        <v>0.6293127504163246</v>
      </c>
      <c r="EB6" s="15" t="n">
        <v>20000</v>
      </c>
      <c r="EC6" s="15" t="n">
        <v>3742.443288387169</v>
      </c>
      <c r="ED6" s="15" t="n">
        <v>36</v>
      </c>
      <c r="EE6" s="15" t="n">
        <v>0</v>
      </c>
      <c r="EF6" s="15" t="n">
        <v>0.05184916821427216</v>
      </c>
      <c r="EG6" s="15" t="b">
        <v>0</v>
      </c>
      <c r="EH6" s="15" t="b">
        <v>1</v>
      </c>
      <c r="EI6" s="15" t="b">
        <v>0</v>
      </c>
      <c r="EJ6" s="15" t="inlineStr">
        <is>
          <t>wf=log|dst=-90.0|ceil=20000.0|fft=adaptive_tier</t>
        </is>
      </c>
      <c r="EK6" s="15" t="inlineStr">
        <is>
          <t>wf=log|dst=runtime_configured|ceil=runtime_configured|fft=fixed</t>
        </is>
      </c>
      <c r="EL6" s="15" t="n">
        <v>0.5857821968550736</v>
      </c>
      <c r="EM6" s="15" t="n">
        <v>0.9775428259307846</v>
      </c>
      <c r="EN6" s="15" t="n">
        <v>0.1761658031088083</v>
      </c>
      <c r="EO6" s="15" t="n">
        <v>0.4211494704906882</v>
      </c>
      <c r="EP6" s="15" t="inlineStr">
        <is>
          <t>warn:power_outlier_detected</t>
        </is>
      </c>
      <c r="EQ6" s="15" t="n">
        <v>226.8393680580087</v>
      </c>
      <c r="ER6" s="15" t="inlineStr">
        <is>
          <t>winsorize_p95_for_robust_diagnostics</t>
        </is>
      </c>
      <c r="ES6" s="15" t="n">
        <v>0.09539319618391624</v>
      </c>
      <c r="ET6" s="15" t="n">
        <v>0.07528178878851557</v>
      </c>
      <c r="EU6" s="15" t="n">
        <v>0.1716921335458313</v>
      </c>
      <c r="EV6" t="inlineStr">
        <is>
          <t>computed</t>
        </is>
      </c>
      <c r="EW6" s="15" t="inlineStr">
        <is>
          <t>computed</t>
        </is>
      </c>
      <c r="EX6" s="15" t="inlineStr">
        <is>
          <t>computed</t>
        </is>
      </c>
      <c r="EY6" s="15" t="inlineStr">
        <is>
          <t>available_from_curve</t>
        </is>
      </c>
      <c r="EZ6" s="15" t="n">
        <v>20000</v>
      </c>
      <c r="FA6" s="15" t="n">
        <v>20000</v>
      </c>
      <c r="FB6" s="15" t="n">
        <v>0.1064933525597825</v>
      </c>
      <c r="FC6" s="15" t="n">
        <v>0.8623013259702531</v>
      </c>
      <c r="FD6" s="15" t="n">
        <v>2.91014156644414</v>
      </c>
      <c r="FE6" s="15" t="n">
        <v>1.789833411996685</v>
      </c>
      <c r="FF6" s="15" t="n">
        <v>0.4752133608671699</v>
      </c>
      <c r="FG6" s="15" t="n">
        <v>2.231030954675665</v>
      </c>
      <c r="FH6" s="15" t="n">
        <v>0.2959114588288331</v>
      </c>
      <c r="FI6" s="15" t="n">
        <v>0.03232921213514092</v>
      </c>
      <c r="FJ6" s="15" t="n">
        <v>29795.02711265199</v>
      </c>
      <c r="FK6" s="15" t="n">
        <v>167.1272835449154</v>
      </c>
      <c r="FL6" s="15" t="n">
        <v>0.5028336807154001</v>
      </c>
      <c r="FM6" s="15" t="n">
        <v>0.003244098286681322</v>
      </c>
      <c r="FN6" t="n">
        <v>0.9999983526408636</v>
      </c>
      <c r="FO6" t="n">
        <v>0</v>
      </c>
      <c r="FP6" t="n">
        <v>1.647359136479137e-06</v>
      </c>
      <c r="FQ6" t="inlineStr">
        <is>
          <t>good</t>
        </is>
      </c>
      <c r="FR6" s="19" t="n">
        <v>0.7395833333333334</v>
      </c>
      <c r="FS6" s="15" t="n">
        <v>1.625832989901843</v>
      </c>
      <c r="FT6" s="15" t="n">
        <v>6.589803712099492</v>
      </c>
      <c r="FU6" t="inlineStr">
        <is>
          <t>passed</t>
        </is>
      </c>
      <c r="FV6" t="n">
        <v>812.0955167276155</v>
      </c>
      <c r="FW6" t="n">
        <v>60.63585318239873</v>
      </c>
      <c r="FX6" t="n">
        <v>1.986849642656157</v>
      </c>
      <c r="FY6" t="n">
        <v>0.5617161926222211</v>
      </c>
      <c r="FZ6" t="n">
        <v>0.4139709853416463</v>
      </c>
      <c r="GA6" t="n">
        <v>0.2635753426590496</v>
      </c>
      <c r="GB6" t="n">
        <v>0.7473919817156115</v>
      </c>
      <c r="GC6" t="n">
        <v>0.7502562480644304</v>
      </c>
      <c r="GD6" t="n">
        <v>0.9979940546060553</v>
      </c>
      <c r="GE6" t="n">
        <v>0.4001959485304485</v>
      </c>
      <c r="GF6" t="n">
        <v>0.8206387705454581</v>
      </c>
      <c r="GG6" t="n">
        <v>0.5398696681508242</v>
      </c>
      <c r="GH6" t="n">
        <v>0.943524918925206</v>
      </c>
      <c r="GI6" t="n">
        <v>0.1708779443254818</v>
      </c>
      <c r="GJ6" t="n">
        <v>0</v>
      </c>
      <c r="GK6" t="n">
        <v>1</v>
      </c>
      <c r="GL6" t="n">
        <v>0.3078796104656003</v>
      </c>
      <c r="GM6" t="n">
        <v>0.3078796104656003</v>
      </c>
      <c r="GN6" t="n">
        <v>0.9732742501539909</v>
      </c>
      <c r="GO6" t="n">
        <v>0.8581500418970717</v>
      </c>
      <c r="GP6" t="n">
        <v>1959.31467346097</v>
      </c>
      <c r="GQ6" t="inlineStr">
        <is>
          <t>compiled workbook density_weighted_sum = density_component_ratio_weighted_sum (per-note component ratios); research density_weighted_sum maps body-ceiling richness</t>
        </is>
      </c>
      <c r="GR6" s="15" t="inlineStr">
        <is>
          <t>individual_exact</t>
        </is>
      </c>
      <c r="GS6" s="15" t="inlineStr">
        <is>
          <t>density_weight</t>
        </is>
      </c>
      <c r="GT6" s="15" t="n">
        <v>0.8276481515709307</v>
      </c>
      <c r="GU6" s="15" t="n">
        <v>0.1723518484290693</v>
      </c>
      <c r="GV6" s="15" t="n">
        <v>0</v>
      </c>
      <c r="GW6" s="15" t="inlineStr">
        <is>
          <t>log</t>
        </is>
      </c>
      <c r="GX6" s="15" t="n">
        <v>0.5</v>
      </c>
      <c r="GY6" s="15" t="inlineStr">
        <is>
          <t>EWSD-R v18.1</t>
        </is>
      </c>
      <c r="GZ6" s="15" t="n">
        <v>84.79367811045773</v>
      </c>
      <c r="HA6" s="15" t="n">
        <v>103.2321849148274</v>
      </c>
      <c r="HB6" s="15" t="n">
        <v>0.05697862181851564</v>
      </c>
      <c r="HC6" s="15" t="n">
        <v>87.8841469962905</v>
      </c>
      <c r="HD6" s="15" t="n">
        <v>105.7681901028473</v>
      </c>
      <c r="HE6" s="15" t="n">
        <v>0.0533948758869388</v>
      </c>
      <c r="HF6" s="15" t="inlineStr">
        <is>
          <t>partials+ratios</t>
        </is>
      </c>
      <c r="HG6" s="15" t="inlineStr">
        <is>
          <t>merged_individual_exact</t>
        </is>
      </c>
      <c r="HH6" s="15" t="inlineStr">
        <is>
          <t>passed</t>
        </is>
      </c>
      <c r="HI6" s="15" t="inlineStr">
        <is>
          <t>passed</t>
        </is>
      </c>
    </row>
    <row r="7">
      <c r="A7" t="inlineStr">
        <is>
          <t>incomplete_inference</t>
        </is>
      </c>
      <c r="B7" t="inlineStr">
        <is>
          <t>missing_instrument_technique</t>
        </is>
      </c>
      <c r="C7" t="inlineStr">
        <is>
          <t>prior_constrained_harmonic_fit</t>
        </is>
      </c>
      <c r="D7" t="inlineStr">
        <is>
          <t>IOWA_Trb.T_ff.A2_SustainStable/A2/component_amplitude_mass_pie.png</t>
        </is>
      </c>
      <c r="E7" t="inlineStr">
        <is>
          <t>IOWA_Trb.T_ff.A2_SustainStable/A2/component_energy_ratio_pie.png</t>
        </is>
      </c>
      <c r="F7" s="15" t="n">
        <v>109.8129355156599</v>
      </c>
      <c r="G7" s="15" t="inlineStr">
        <is>
          <t>prior_constrained_harmonic_fit</t>
        </is>
      </c>
      <c r="H7" s="15" t="inlineStr">
        <is>
          <t>fit_accepted_acoustically_verified</t>
        </is>
      </c>
      <c r="I7" s="16" t="n">
        <v>1936.352326809154</v>
      </c>
      <c r="J7" t="inlineStr">
        <is>
          <t>richness_weighted_body_density_body_ceiling</t>
        </is>
      </c>
      <c r="K7" t="inlineStr">
        <is>
          <t>research_body_ceiling_richness_metric</t>
        </is>
      </c>
      <c r="L7" s="15" t="n">
        <v>28673.26424313372</v>
      </c>
      <c r="M7" s="15" t="n">
        <v>28673.37001632179</v>
      </c>
      <c r="N7" s="15" t="n">
        <v>238.0758180931587</v>
      </c>
      <c r="O7" s="15" t="n">
        <v>0.8893648862365646</v>
      </c>
      <c r="P7" s="15" t="n">
        <v>-0.7540453128673418</v>
      </c>
      <c r="Q7" s="15" t="n">
        <v>33</v>
      </c>
      <c r="R7" s="15" t="n">
        <v>116</v>
      </c>
      <c r="S7" s="15" t="n">
        <v>28682.18609251736</v>
      </c>
      <c r="T7" s="15" t="n">
        <v>183</v>
      </c>
      <c r="U7" s="15" t="n">
        <v>1.18257205630037</v>
      </c>
      <c r="V7" s="15" t="n">
        <v>212.535827767518</v>
      </c>
      <c r="W7" s="15" t="n">
        <v>0.6814544537454817</v>
      </c>
      <c r="X7" s="15" t="n">
        <v>0.9285197103407724</v>
      </c>
      <c r="Y7" s="15" t="n">
        <v>89</v>
      </c>
      <c r="Z7" s="15" t="n">
        <v>182</v>
      </c>
      <c r="AA7" s="15" t="n">
        <v>0.489010989010989</v>
      </c>
      <c r="AB7" s="15" t="n">
        <v>182</v>
      </c>
      <c r="AC7" s="15" t="n">
        <v>89</v>
      </c>
      <c r="AD7" s="15" t="n">
        <v>0.489010989010989</v>
      </c>
      <c r="AE7" s="15" t="n">
        <v>2278.666664968512</v>
      </c>
      <c r="AF7" s="15" t="n">
        <v>89</v>
      </c>
      <c r="AG7" s="15" t="n">
        <v>182</v>
      </c>
      <c r="AH7" s="15" t="n">
        <v>0.489010989010989</v>
      </c>
      <c r="AI7" s="15" t="n">
        <v>2278.666664968512</v>
      </c>
      <c r="AJ7" s="15" t="n">
        <v>45</v>
      </c>
      <c r="AK7" s="15" t="n">
        <v>44</v>
      </c>
      <c r="AL7" s="15" t="n">
        <v>1.113264669783229</v>
      </c>
      <c r="AM7" s="15" t="n">
        <v>79</v>
      </c>
      <c r="AN7" s="15" t="n">
        <v>0</v>
      </c>
      <c r="AO7" s="15" t="n">
        <v>79</v>
      </c>
      <c r="AP7" s="15" t="n">
        <v>0</v>
      </c>
      <c r="AQ7" s="15" t="n">
        <v>87.40684680017461</v>
      </c>
      <c r="AR7" s="15" t="n">
        <v>55.74060629340232</v>
      </c>
      <c r="AS7" s="15" t="n">
        <v>0.76328358146716</v>
      </c>
      <c r="AT7" s="17" t="n">
        <v>2.889059159389994</v>
      </c>
      <c r="AU7" s="18" t="n">
        <v>80.90763207041992</v>
      </c>
      <c r="AV7" s="15" t="n">
        <v>83.88510976805732</v>
      </c>
      <c r="AW7" s="15" t="b">
        <v>1</v>
      </c>
      <c r="AX7" s="15" t="n">
        <v>57.01377978697259</v>
      </c>
      <c r="AY7" s="15" t="n">
        <v>49.02224768754983</v>
      </c>
      <c r="AZ7" s="15" t="n">
        <v>0</v>
      </c>
      <c r="BA7" s="15" t="n">
        <v>1</v>
      </c>
      <c r="BB7" s="15" t="n">
        <v>0.5</v>
      </c>
      <c r="BC7" s="15" t="n">
        <v>0.25</v>
      </c>
      <c r="BD7" s="15" t="inlineStr">
        <is>
          <t>his_note_adaptive</t>
        </is>
      </c>
      <c r="BE7" s="15" t="n">
        <v>-90</v>
      </c>
      <c r="BF7" s="15" t="n">
        <v>20000</v>
      </c>
      <c r="BG7" s="15" t="n">
        <v>89</v>
      </c>
      <c r="BH7" s="15" t="n">
        <v>0.489010989010989</v>
      </c>
      <c r="BI7" s="15" t="n">
        <v>182</v>
      </c>
      <c r="BJ7" s="15" t="n">
        <v>89</v>
      </c>
      <c r="BK7" s="15" t="n">
        <v>182</v>
      </c>
      <c r="BL7" s="15" t="n">
        <v>140</v>
      </c>
      <c r="BM7" s="15" t="n">
        <v>0.7692307692307693</v>
      </c>
      <c r="BN7" s="15" t="n">
        <v>0.507757008485104</v>
      </c>
      <c r="BO7" s="15" t="n">
        <v>0.6583333333333333</v>
      </c>
      <c r="BP7" s="19" t="n">
        <v>0.9017191544486236</v>
      </c>
      <c r="BQ7" s="19" t="n">
        <v>0.09827751908434597</v>
      </c>
      <c r="BR7" s="19" t="n">
        <v>3.326467030420897e-06</v>
      </c>
      <c r="BS7" s="15" t="n">
        <v>0.07175086359700027</v>
      </c>
      <c r="BT7" s="19" t="n">
        <v>0.9999963109858068</v>
      </c>
      <c r="BU7" s="19" t="n">
        <v>0</v>
      </c>
      <c r="BV7" s="19" t="n">
        <v>3.689014193195046e-06</v>
      </c>
      <c r="BW7" t="inlineStr">
        <is>
          <t>A2</t>
        </is>
      </c>
      <c r="BX7" t="n">
        <v>45</v>
      </c>
      <c r="BY7" t="inlineStr">
        <is>
          <t>A</t>
        </is>
      </c>
      <c r="BZ7" t="n">
        <v>2</v>
      </c>
      <c r="CA7" t="inlineStr">
        <is>
          <t>Low</t>
        </is>
      </c>
      <c r="CB7" t="inlineStr">
        <is>
          <t>ff</t>
        </is>
      </c>
      <c r="CC7" s="15" t="n">
        <v>110</v>
      </c>
      <c r="CD7" s="15" t="n">
        <v>109.8129355156599</v>
      </c>
      <c r="CE7" t="inlineStr">
        <is>
          <t>prior_constrained_harmonic_fit</t>
        </is>
      </c>
      <c r="CF7" t="n">
        <v>109.8129355156599</v>
      </c>
      <c r="CG7" s="15" t="n">
        <v>1</v>
      </c>
      <c r="CH7" t="inlineStr">
        <is>
          <t>free_fit_acoustically_verified</t>
        </is>
      </c>
      <c r="CI7" s="15" t="inlineStr">
        <is>
          <t>free_f0_fit</t>
        </is>
      </c>
      <c r="CJ7" s="15" t="n">
        <v>110</v>
      </c>
      <c r="CK7" s="15" t="n">
        <v>109.8129355156599</v>
      </c>
      <c r="CL7" s="15" t="n">
        <v>-2.946618970191015</v>
      </c>
      <c r="CM7" s="15" t="n">
        <v>20000</v>
      </c>
      <c r="CN7" s="15" t="n">
        <v>-2.946618970191015</v>
      </c>
      <c r="CO7" s="15" t="n">
        <v>2.577320193798276</v>
      </c>
      <c r="CP7" s="15" t="n">
        <v>28673.26424313372</v>
      </c>
      <c r="CQ7" t="n">
        <v>12.29075701082698</v>
      </c>
      <c r="CR7" t="n">
        <v>0.06753163192762079</v>
      </c>
      <c r="CS7" t="n">
        <v>157.5454079112793</v>
      </c>
      <c r="CT7" t="n">
        <v>157.5459891006692</v>
      </c>
      <c r="CU7" t="n">
        <v>1936.352326809154</v>
      </c>
      <c r="CV7" t="n">
        <v>0.8893648862365646</v>
      </c>
      <c r="CW7" s="15" t="n">
        <v>28673.37001632179</v>
      </c>
      <c r="CX7" s="15" t="n">
        <v>238.0758180931587</v>
      </c>
      <c r="CY7" s="15" t="n">
        <v>0.8893648862365646</v>
      </c>
      <c r="CZ7" s="15" t="n">
        <v>2.889060289822019</v>
      </c>
      <c r="DA7" s="15" t="n">
        <v>2.889067666753958</v>
      </c>
      <c r="DB7" s="15" t="n">
        <v>1.952396509675354</v>
      </c>
      <c r="DC7" s="15" t="n">
        <v>0</v>
      </c>
      <c r="DD7" s="15" t="n">
        <v>0.0001007579836507053</v>
      </c>
      <c r="DE7" s="15" t="n">
        <v>0</v>
      </c>
      <c r="DF7" s="15" t="n">
        <v>33</v>
      </c>
      <c r="DG7" s="15" t="inlineStr">
        <is>
          <t>Density_Metrics</t>
        </is>
      </c>
      <c r="DH7" s="15" t="n">
        <v>2.577320193798276</v>
      </c>
      <c r="DI7" t="n">
        <v>0.9511996187423172</v>
      </c>
      <c r="DJ7" s="15" t="n">
        <v>0.5898445495761591</v>
      </c>
      <c r="DK7" s="15" t="n">
        <v>5.424397055356078</v>
      </c>
      <c r="DL7" s="15" t="n">
        <v>12.49615273127042</v>
      </c>
      <c r="DM7" s="15" t="n">
        <v>7.832705535722275</v>
      </c>
      <c r="DN7" s="15" t="n">
        <v>18.69485758153479</v>
      </c>
      <c r="DO7" s="15" t="n">
        <v>0.2210212824186047</v>
      </c>
      <c r="DP7" s="15" t="n">
        <v>4.125</v>
      </c>
      <c r="DQ7" s="15" t="n">
        <v>75</v>
      </c>
      <c r="DR7" s="15" t="b">
        <v>1</v>
      </c>
      <c r="DS7" s="15" t="n">
        <v>12.29075701082698</v>
      </c>
      <c r="DT7" s="15" t="n">
        <v>168.9905872820206</v>
      </c>
      <c r="DU7" t="n">
        <v>182</v>
      </c>
      <c r="DV7" s="15" t="n">
        <v>0.07175086359700027</v>
      </c>
      <c r="DW7" s="15" t="n">
        <v>2.753673511979763</v>
      </c>
      <c r="DX7" s="15" t="n">
        <v>2.986458058275811</v>
      </c>
      <c r="DY7" s="15" t="n">
        <v>0.02111308616181455</v>
      </c>
      <c r="DZ7" s="15" t="b">
        <v>0</v>
      </c>
      <c r="EA7" s="15" t="n">
        <v>0.2967137763234539</v>
      </c>
      <c r="EB7" s="15" t="n">
        <v>20000</v>
      </c>
      <c r="EC7" s="15" t="n">
        <v>3843.452743048096</v>
      </c>
      <c r="ED7" s="15" t="n">
        <v>35</v>
      </c>
      <c r="EE7" s="15" t="n">
        <v>0</v>
      </c>
      <c r="EF7" s="15" t="n">
        <v>0.04893909801136364</v>
      </c>
      <c r="EG7" s="15" t="b">
        <v>0</v>
      </c>
      <c r="EH7" s="15" t="b">
        <v>1</v>
      </c>
      <c r="EI7" s="15" t="b">
        <v>0</v>
      </c>
      <c r="EJ7" s="15" t="inlineStr">
        <is>
          <t>wf=log|dst=-90.0|ceil=20000.0|fft=adaptive_tier</t>
        </is>
      </c>
      <c r="EK7" s="15" t="inlineStr">
        <is>
          <t>wf=log|dst=runtime_configured|ceil=runtime_configured|fft=fixed</t>
        </is>
      </c>
      <c r="EL7" s="15" t="n">
        <v>0.5825333137910782</v>
      </c>
      <c r="EM7" s="15" t="n">
        <v>0.9695179028121588</v>
      </c>
      <c r="EN7" s="15" t="n">
        <v>0.1813186813186813</v>
      </c>
      <c r="EO7" s="15" t="n">
        <v>0.413943595320341</v>
      </c>
      <c r="EP7" s="15" t="inlineStr">
        <is>
          <t>warn:power_outlier_detected</t>
        </is>
      </c>
      <c r="EQ7" s="15" t="n">
        <v>250.4882102756533</v>
      </c>
      <c r="ER7" s="15" t="inlineStr">
        <is>
          <t>winsorize_p95_for_robust_diagnostics</t>
        </is>
      </c>
      <c r="ES7" s="15" t="n">
        <v>0.09225966721926154</v>
      </c>
      <c r="ET7" s="15" t="n">
        <v>0.03907234839928909</v>
      </c>
      <c r="EU7" s="15" t="n">
        <v>0.1335071206331397</v>
      </c>
      <c r="EV7" t="inlineStr">
        <is>
          <t>computed</t>
        </is>
      </c>
      <c r="EW7" s="15" t="inlineStr">
        <is>
          <t>computed</t>
        </is>
      </c>
      <c r="EX7" s="15" t="inlineStr">
        <is>
          <t>computed</t>
        </is>
      </c>
      <c r="EY7" s="15" t="inlineStr">
        <is>
          <t>available_from_curve</t>
        </is>
      </c>
      <c r="EZ7" s="15" t="n">
        <v>20000</v>
      </c>
      <c r="FA7" s="15" t="n">
        <v>20000</v>
      </c>
      <c r="FB7" s="15" t="n">
        <v>0.09827751908434597</v>
      </c>
      <c r="FC7" s="15" t="n">
        <v>0.7901533618283371</v>
      </c>
      <c r="FD7" s="15" t="n">
        <v>2.889067666753958</v>
      </c>
      <c r="FE7" s="15" t="n">
        <v>1.952396509675354</v>
      </c>
      <c r="FF7" s="15" t="n">
        <v>0.5829328789267656</v>
      </c>
      <c r="FG7" s="15" t="n">
        <v>2.214874860042106</v>
      </c>
      <c r="FH7" s="15" t="n">
        <v>0.3227878614389315</v>
      </c>
      <c r="FI7" s="15" t="n">
        <v>0.03965747231723885</v>
      </c>
      <c r="FJ7" s="15" t="n">
        <v>28673.37001632179</v>
      </c>
      <c r="FK7" s="15" t="n">
        <v>238.0758180931587</v>
      </c>
      <c r="FL7" s="15" t="n">
        <v>0.8893648862365646</v>
      </c>
      <c r="FM7" s="15" t="n">
        <v>0.003225786828402816</v>
      </c>
      <c r="FN7" t="n">
        <v>0.9999963109858068</v>
      </c>
      <c r="FO7" t="n">
        <v>0</v>
      </c>
      <c r="FP7" t="n">
        <v>3.689014193195046e-06</v>
      </c>
      <c r="FQ7" t="inlineStr">
        <is>
          <t>good</t>
        </is>
      </c>
      <c r="FR7" s="19" t="n">
        <v>0.7692307692307693</v>
      </c>
      <c r="FS7" s="15" t="n">
        <v>1.515261071223197</v>
      </c>
      <c r="FT7" s="15" t="n">
        <v>7.459084386632098</v>
      </c>
      <c r="FU7" t="inlineStr">
        <is>
          <t>passed</t>
        </is>
      </c>
      <c r="FV7" t="n">
        <v>773.5824749027666</v>
      </c>
      <c r="FW7" t="n">
        <v>88.61826044196502</v>
      </c>
      <c r="FX7" t="n">
        <v>2.827655815656342</v>
      </c>
      <c r="FY7" t="n">
        <v>0.6143554792595446</v>
      </c>
      <c r="FZ7" t="n">
        <v>0.408561644008724</v>
      </c>
      <c r="GA7" t="n">
        <v>0.5067993917554191</v>
      </c>
      <c r="GB7" t="n">
        <v>0.7265592557203675</v>
      </c>
      <c r="GC7" t="n">
        <v>0.7242052423503006</v>
      </c>
      <c r="GD7" t="n">
        <v>0.9741366804768929</v>
      </c>
      <c r="GE7" t="n">
        <v>0.5487967093577698</v>
      </c>
      <c r="GF7" t="n">
        <v>0.8630031563312957</v>
      </c>
      <c r="GG7" t="n">
        <v>0.441035213410391</v>
      </c>
      <c r="GH7" t="n">
        <v>1</v>
      </c>
      <c r="GI7" t="n">
        <v>0.1492387697955149</v>
      </c>
      <c r="GJ7" t="n">
        <v>0.176657824933687</v>
      </c>
      <c r="GK7" t="n">
        <v>0.9574468085106381</v>
      </c>
      <c r="GL7" t="n">
        <v>0.2610901797372085</v>
      </c>
      <c r="GM7" t="n">
        <v>0.2610901797372085</v>
      </c>
      <c r="GN7" t="n">
        <v>0.8226926436067715</v>
      </c>
      <c r="GO7" t="n">
        <v>0.7875552394965564</v>
      </c>
      <c r="GP7" t="n">
        <v>1936.352326809154</v>
      </c>
      <c r="GQ7" t="inlineStr">
        <is>
          <t>compiled workbook density_weighted_sum = density_component_ratio_weighted_sum (per-note component ratios); research density_weighted_sum maps body-ceiling richness</t>
        </is>
      </c>
      <c r="GR7" s="15" t="inlineStr">
        <is>
          <t>individual_exact</t>
        </is>
      </c>
      <c r="GS7" s="15" t="inlineStr">
        <is>
          <t>density_weight</t>
        </is>
      </c>
      <c r="GT7" s="15" t="n">
        <v>0.8406846800174602</v>
      </c>
      <c r="GU7" s="15" t="n">
        <v>0.1593153199825398</v>
      </c>
      <c r="GV7" s="15" t="n">
        <v>0</v>
      </c>
      <c r="GW7" s="15" t="inlineStr">
        <is>
          <t>log</t>
        </is>
      </c>
      <c r="GX7" s="15" t="n">
        <v>0.5</v>
      </c>
      <c r="GY7" s="15" t="inlineStr">
        <is>
          <t>EWSD-R v18.1</t>
        </is>
      </c>
      <c r="GZ7" s="15" t="n">
        <v>77.92787763390204</v>
      </c>
      <c r="HA7" s="15" t="n">
        <v>99.10630599687397</v>
      </c>
      <c r="HB7" s="15" t="n">
        <v>0.06670662151646695</v>
      </c>
      <c r="HC7" s="15" t="n">
        <v>81.86700111216561</v>
      </c>
      <c r="HD7" s="15" t="n">
        <v>101.8903482351037</v>
      </c>
      <c r="HE7" s="15" t="n">
        <v>0.06079317996230721</v>
      </c>
      <c r="HF7" s="15" t="inlineStr">
        <is>
          <t>partials+ratios</t>
        </is>
      </c>
      <c r="HG7" s="15" t="inlineStr">
        <is>
          <t>merged_individual_exact</t>
        </is>
      </c>
      <c r="HH7" s="15" t="inlineStr">
        <is>
          <t>passed</t>
        </is>
      </c>
      <c r="HI7" s="15" t="inlineStr">
        <is>
          <t>passed</t>
        </is>
      </c>
    </row>
    <row r="8">
      <c r="A8" t="inlineStr">
        <is>
          <t>incomplete_inference</t>
        </is>
      </c>
      <c r="B8" t="inlineStr">
        <is>
          <t>missing_instrument_technique</t>
        </is>
      </c>
      <c r="C8" t="inlineStr">
        <is>
          <t>prior_constrained_harmonic_fit</t>
        </is>
      </c>
      <c r="D8" t="inlineStr">
        <is>
          <t>IOWA_Trb.T_ff.A#2_SustainStable/A#2/component_amplitude_mass_pie.png</t>
        </is>
      </c>
      <c r="E8" t="inlineStr">
        <is>
          <t>IOWA_Trb.T_ff.A#2_SustainStable/A#2/component_energy_ratio_pie.png</t>
        </is>
      </c>
      <c r="F8" s="15" t="n">
        <v>116.3000859536529</v>
      </c>
      <c r="G8" s="15" t="inlineStr">
        <is>
          <t>prior_constrained_harmonic_fit</t>
        </is>
      </c>
      <c r="H8" s="15" t="inlineStr">
        <is>
          <t>fit_accepted_acoustically_verified</t>
        </is>
      </c>
      <c r="I8" s="16" t="n">
        <v>2976.746816595592</v>
      </c>
      <c r="J8" t="inlineStr">
        <is>
          <t>richness_weighted_body_density_body_ceiling</t>
        </is>
      </c>
      <c r="K8" t="inlineStr">
        <is>
          <t>research_body_ceiling_richness_metric</t>
        </is>
      </c>
      <c r="L8" s="15" t="n">
        <v>40804.63882235165</v>
      </c>
      <c r="M8" s="15" t="n">
        <v>40804.71969826368</v>
      </c>
      <c r="N8" s="15" t="n">
        <v>333.7458488499202</v>
      </c>
      <c r="O8" s="15" t="n">
        <v>1.168979396102209</v>
      </c>
      <c r="P8" s="15" t="n">
        <v>-0.7634953119436433</v>
      </c>
      <c r="Q8" s="15" t="n">
        <v>78</v>
      </c>
      <c r="R8" s="15" t="n">
        <v>103</v>
      </c>
      <c r="S8" s="15" t="n">
        <v>40804.72921135402</v>
      </c>
      <c r="T8" s="15" t="n">
        <v>172</v>
      </c>
      <c r="U8" s="15" t="n">
        <v>0.5102356277046926</v>
      </c>
      <c r="V8" s="15" t="n">
        <v>155.0380931490785</v>
      </c>
      <c r="W8" s="15" t="n">
        <v>0.7324248104964597</v>
      </c>
      <c r="X8" s="15" t="n">
        <v>0.7637235230851338</v>
      </c>
      <c r="Y8" s="15" t="n">
        <v>81</v>
      </c>
      <c r="Z8" s="15" t="n">
        <v>171</v>
      </c>
      <c r="AA8" s="15" t="n">
        <v>0.4736842105263158</v>
      </c>
      <c r="AB8" s="15" t="n">
        <v>171</v>
      </c>
      <c r="AC8" s="15" t="n">
        <v>81</v>
      </c>
      <c r="AD8" s="15" t="n">
        <v>0.4736842105263158</v>
      </c>
      <c r="AE8" s="15" t="n">
        <v>2690.516090981779</v>
      </c>
      <c r="AF8" s="15" t="n">
        <v>81</v>
      </c>
      <c r="AG8" s="15" t="n">
        <v>171</v>
      </c>
      <c r="AH8" s="15" t="n">
        <v>0.4736842105263158</v>
      </c>
      <c r="AI8" s="15" t="n">
        <v>2690.516090981779</v>
      </c>
      <c r="AJ8" s="15" t="n">
        <v>41</v>
      </c>
      <c r="AK8" s="15" t="n">
        <v>40</v>
      </c>
      <c r="AL8" s="15" t="n">
        <v>0.9610136966099686</v>
      </c>
      <c r="AM8" s="15" t="n">
        <v>69</v>
      </c>
      <c r="AN8" s="15" t="n">
        <v>0</v>
      </c>
      <c r="AO8" s="15" t="n">
        <v>69</v>
      </c>
      <c r="AP8" s="15" t="n">
        <v>0</v>
      </c>
      <c r="AQ8" s="15" t="n">
        <v>79.94098514362881</v>
      </c>
      <c r="AR8" s="15" t="n">
        <v>51.71530286126995</v>
      </c>
      <c r="AS8" s="15" t="n">
        <v>0.6923068070680047</v>
      </c>
      <c r="AT8" s="17" t="n">
        <v>2.98509744063779</v>
      </c>
      <c r="AU8" s="18" t="n">
        <v>71.36163443593338</v>
      </c>
      <c r="AV8" s="15" t="n">
        <v>92.43495745637919</v>
      </c>
      <c r="AW8" s="15" t="b">
        <v>1</v>
      </c>
      <c r="AX8" s="15" t="n">
        <v>52.97179146682893</v>
      </c>
      <c r="AY8" s="15" t="n">
        <v>38.73415997752829</v>
      </c>
      <c r="AZ8" s="15" t="n">
        <v>0</v>
      </c>
      <c r="BA8" s="15" t="n">
        <v>1</v>
      </c>
      <c r="BB8" s="15" t="n">
        <v>0.5</v>
      </c>
      <c r="BC8" s="15" t="n">
        <v>0.25</v>
      </c>
      <c r="BD8" s="15" t="inlineStr">
        <is>
          <t>his_note_adaptive</t>
        </is>
      </c>
      <c r="BE8" s="15" t="n">
        <v>-90</v>
      </c>
      <c r="BF8" s="15" t="n">
        <v>20000</v>
      </c>
      <c r="BG8" s="15" t="n">
        <v>81</v>
      </c>
      <c r="BH8" s="15" t="n">
        <v>0.4736842105263158</v>
      </c>
      <c r="BI8" s="15" t="n">
        <v>171</v>
      </c>
      <c r="BJ8" s="15" t="n">
        <v>81</v>
      </c>
      <c r="BK8" s="15" t="n">
        <v>171</v>
      </c>
      <c r="BL8" s="15" t="n">
        <v>153</v>
      </c>
      <c r="BM8" s="15" t="n">
        <v>0.8947368421052632</v>
      </c>
      <c r="BN8" s="15" t="n">
        <v>0.4347964863923676</v>
      </c>
      <c r="BO8" s="15" t="n">
        <v>0.575</v>
      </c>
      <c r="BP8" s="19" t="n">
        <v>0.9372158666158981</v>
      </c>
      <c r="BQ8" s="19" t="n">
        <v>0.06278227574336</v>
      </c>
      <c r="BR8" s="19" t="n">
        <v>1.857640741932653e-06</v>
      </c>
      <c r="BS8" s="15" t="n">
        <v>0.03851806001755333</v>
      </c>
      <c r="BT8" s="19" t="n">
        <v>0.9999980179197493</v>
      </c>
      <c r="BU8" s="19" t="n">
        <v>0</v>
      </c>
      <c r="BV8" s="19" t="n">
        <v>1.982080250782765e-06</v>
      </c>
      <c r="BW8" t="inlineStr">
        <is>
          <t>A#2</t>
        </is>
      </c>
      <c r="BX8" t="n">
        <v>46</v>
      </c>
      <c r="BY8" t="inlineStr">
        <is>
          <t>A#</t>
        </is>
      </c>
      <c r="BZ8" t="n">
        <v>2</v>
      </c>
      <c r="CA8" t="inlineStr">
        <is>
          <t>Low</t>
        </is>
      </c>
      <c r="CB8" t="inlineStr">
        <is>
          <t>ff</t>
        </is>
      </c>
      <c r="CC8" s="15" t="n">
        <v>116.5409403795225</v>
      </c>
      <c r="CD8" s="15" t="n">
        <v>116.3000859536529</v>
      </c>
      <c r="CE8" t="inlineStr">
        <is>
          <t>prior_constrained_harmonic_fit</t>
        </is>
      </c>
      <c r="CF8" t="n">
        <v>116.3000859536529</v>
      </c>
      <c r="CG8" s="15" t="n">
        <v>1</v>
      </c>
      <c r="CH8" t="inlineStr">
        <is>
          <t>free_fit_acoustically_verified</t>
        </is>
      </c>
      <c r="CI8" s="15" t="inlineStr">
        <is>
          <t>free_f0_fit</t>
        </is>
      </c>
      <c r="CJ8" s="15" t="n">
        <v>116.5409403795225</v>
      </c>
      <c r="CK8" s="15" t="n">
        <v>116.3000859536529</v>
      </c>
      <c r="CL8" s="15" t="n">
        <v>-3.581632826688394</v>
      </c>
      <c r="CM8" s="15" t="n">
        <v>20000</v>
      </c>
      <c r="CN8" s="15" t="n">
        <v>-3.581632826688394</v>
      </c>
      <c r="CO8" s="15" t="n">
        <v>2.685812434015638</v>
      </c>
      <c r="CP8" s="15" t="n">
        <v>40804.63882235165</v>
      </c>
      <c r="CQ8" t="n">
        <v>12.47465289137472</v>
      </c>
      <c r="CR8" t="n">
        <v>0.07295118649926736</v>
      </c>
      <c r="CS8" t="n">
        <v>238.6236188306119</v>
      </c>
      <c r="CT8" t="n">
        <v>238.6240918027116</v>
      </c>
      <c r="CU8" t="n">
        <v>2976.746816595592</v>
      </c>
      <c r="CV8" t="n">
        <v>1.168979396102209</v>
      </c>
      <c r="CW8" s="15" t="n">
        <v>40804.71969826368</v>
      </c>
      <c r="CX8" s="15" t="n">
        <v>333.7458488499202</v>
      </c>
      <c r="CY8" s="15" t="n">
        <v>1.168979396102209</v>
      </c>
      <c r="CZ8" s="15" t="n">
        <v>2.985098479967512</v>
      </c>
      <c r="DA8" s="15" t="n">
        <v>2.985102079668416</v>
      </c>
      <c r="DB8" s="15" t="n">
        <v>2.137917658446651</v>
      </c>
      <c r="DC8" s="15" t="n">
        <v>0</v>
      </c>
      <c r="DD8" s="15" t="n">
        <v>7.315586085600538e-05</v>
      </c>
      <c r="DE8" s="15" t="n">
        <v>0</v>
      </c>
      <c r="DF8" s="15" t="n">
        <v>78</v>
      </c>
      <c r="DG8" s="15" t="inlineStr">
        <is>
          <t>Density_Metrics</t>
        </is>
      </c>
      <c r="DH8" s="15" t="n">
        <v>2.685812434015638</v>
      </c>
      <c r="DI8" t="n">
        <v>0.9912403470071157</v>
      </c>
      <c r="DJ8" s="15" t="n">
        <v>0.6004389449075234</v>
      </c>
      <c r="DK8" s="15" t="n">
        <v>5.767636045736497</v>
      </c>
      <c r="DL8" s="15" t="n">
        <v>12.6800781539206</v>
      </c>
      <c r="DM8" s="15" t="n">
        <v>8.151571193059363</v>
      </c>
      <c r="DN8" s="15" t="n">
        <v>18.84349942553084</v>
      </c>
      <c r="DO8" s="15" t="n">
        <v>0.2137242266125171</v>
      </c>
      <c r="DP8" s="15" t="n">
        <v>3.5</v>
      </c>
      <c r="DQ8" s="15" t="n">
        <v>144</v>
      </c>
      <c r="DR8" s="15" t="b">
        <v>1</v>
      </c>
      <c r="DS8" s="15" t="n">
        <v>12.47465289137472</v>
      </c>
      <c r="DT8" s="15" t="n">
        <v>130.5967224475579</v>
      </c>
      <c r="DU8" t="n">
        <v>171</v>
      </c>
      <c r="DV8" s="15" t="n">
        <v>0.03851806001755333</v>
      </c>
      <c r="DW8" s="15" t="n">
        <v>2.786087932253819</v>
      </c>
      <c r="DX8" s="15" t="n">
        <v>3.117451443780948</v>
      </c>
      <c r="DY8" s="15" t="n">
        <v>0.0275800775772433</v>
      </c>
      <c r="DZ8" s="15" t="b">
        <v>1</v>
      </c>
      <c r="EA8" s="15" t="n">
        <v>0.3652144389670056</v>
      </c>
      <c r="EB8" s="15" t="n">
        <v>20000</v>
      </c>
      <c r="EC8" s="15" t="n">
        <v>9304.006876292233</v>
      </c>
      <c r="ED8" s="15" t="n">
        <v>80</v>
      </c>
      <c r="EE8" s="15" t="n">
        <v>0</v>
      </c>
      <c r="EF8" s="15" t="n">
        <v>0.04619235749873789</v>
      </c>
      <c r="EG8" s="15" t="b">
        <v>0</v>
      </c>
      <c r="EH8" s="15" t="b">
        <v>1</v>
      </c>
      <c r="EI8" s="15" t="b">
        <v>0</v>
      </c>
      <c r="EJ8" s="15" t="inlineStr">
        <is>
          <t>wf=log|dst=-90.0|ceil=20000.0|fft=adaptive_tier</t>
        </is>
      </c>
      <c r="EK8" s="15" t="inlineStr">
        <is>
          <t>wf=log|dst=runtime_configured|ceil=runtime_configured|fft=fixed</t>
        </is>
      </c>
      <c r="EL8" s="15" t="n">
        <v>0.6849177257659982</v>
      </c>
      <c r="EM8" s="15" t="n">
        <v>0.9885470130846509</v>
      </c>
      <c r="EN8" s="15" t="n">
        <v>0.4534883720930232</v>
      </c>
      <c r="EO8" s="15" t="n">
        <v>0.4067531982267357</v>
      </c>
      <c r="EP8" s="15" t="inlineStr">
        <is>
          <t>warn:power_outlier_detected</t>
        </is>
      </c>
      <c r="EQ8" s="15" t="n">
        <v>277.4043049587776</v>
      </c>
      <c r="ER8" s="15" t="inlineStr">
        <is>
          <t>winsorize_p95_for_robust_diagnostics</t>
        </is>
      </c>
      <c r="ES8" s="15" t="n">
        <v>0.08655005098079077</v>
      </c>
      <c r="ET8" s="15" t="n">
        <v>0.01722102842592792</v>
      </c>
      <c r="EU8" s="15" t="n">
        <v>0.07271896378455776</v>
      </c>
      <c r="EV8" t="inlineStr">
        <is>
          <t>computed</t>
        </is>
      </c>
      <c r="EW8" s="15" t="inlineStr">
        <is>
          <t>computed</t>
        </is>
      </c>
      <c r="EX8" s="15" t="inlineStr">
        <is>
          <t>computed</t>
        </is>
      </c>
      <c r="EY8" s="15" t="inlineStr">
        <is>
          <t>available_from_curve</t>
        </is>
      </c>
      <c r="EZ8" s="15" t="n">
        <v>20000</v>
      </c>
      <c r="FA8" s="15" t="n">
        <v>20000</v>
      </c>
      <c r="FB8" s="15" t="n">
        <v>0.06278227574336</v>
      </c>
      <c r="FC8" s="15" t="n">
        <v>0.6788677782102649</v>
      </c>
      <c r="FD8" s="15" t="n">
        <v>2.985102079668416</v>
      </c>
      <c r="FE8" s="15" t="n">
        <v>2.137917658446651</v>
      </c>
      <c r="FF8" s="15" t="n">
        <v>0.6446163076214299</v>
      </c>
      <c r="FG8" s="15" t="n">
        <v>2.288498683156682</v>
      </c>
      <c r="FH8" s="15" t="n">
        <v>0.3534598968409711</v>
      </c>
      <c r="FI8" s="15" t="n">
        <v>0.0438538540179841</v>
      </c>
      <c r="FJ8" s="15" t="n">
        <v>40804.71969826368</v>
      </c>
      <c r="FK8" s="15" t="n">
        <v>333.7458488499202</v>
      </c>
      <c r="FL8" s="15" t="n">
        <v>1.168979396102209</v>
      </c>
      <c r="FM8" s="15" t="n">
        <v>0.004297069644639593</v>
      </c>
      <c r="FN8" t="n">
        <v>0.9999980179197493</v>
      </c>
      <c r="FO8" t="n">
        <v>0</v>
      </c>
      <c r="FP8" t="n">
        <v>1.982080250782765e-06</v>
      </c>
      <c r="FQ8" t="inlineStr">
        <is>
          <t>excellent</t>
        </is>
      </c>
      <c r="FR8" s="19" t="n">
        <v>0.8947368421052632</v>
      </c>
      <c r="FS8" s="15" t="n">
        <v>3.155150969904327</v>
      </c>
      <c r="FT8" s="15" t="n">
        <v>16.90015265838881</v>
      </c>
      <c r="FU8" t="inlineStr">
        <is>
          <t>passed</t>
        </is>
      </c>
      <c r="FV8" t="n">
        <v>965.2779731572615</v>
      </c>
      <c r="FW8" t="n">
        <v>136.3781483501971</v>
      </c>
      <c r="FX8" t="n">
        <v>3.411804990551014</v>
      </c>
      <c r="FY8" t="n">
        <v>0.9307769305642112</v>
      </c>
      <c r="FZ8" t="n">
        <v>0.6536519651977112</v>
      </c>
      <c r="GA8" t="n">
        <v>0.8417956084686712</v>
      </c>
      <c r="GB8" t="n">
        <v>0.740647000731565</v>
      </c>
      <c r="GC8" t="n">
        <v>0.7384996503316743</v>
      </c>
      <c r="GD8" t="n">
        <v>0.6712910250957239</v>
      </c>
      <c r="GE8" t="n">
        <v>0.7120474132504419</v>
      </c>
      <c r="GF8" t="n">
        <v>0.6043502105831263</v>
      </c>
      <c r="GG8" t="n">
        <v>0.06348329327384589</v>
      </c>
      <c r="GH8" t="n">
        <v>0.655946566055998</v>
      </c>
      <c r="GI8" t="n">
        <v>0.1190578158458244</v>
      </c>
      <c r="GJ8" t="n">
        <v>0.9245009074410162</v>
      </c>
      <c r="GK8" t="n">
        <v>0.7446808510638296</v>
      </c>
      <c r="GL8" t="n">
        <v>0.05894364957007554</v>
      </c>
      <c r="GM8" t="n">
        <v>0.05894364957007554</v>
      </c>
      <c r="GN8" t="n">
        <v>0.5904260486160677</v>
      </c>
      <c r="GO8" t="n">
        <v>0.6998285496329101</v>
      </c>
      <c r="GP8" t="n">
        <v>2976.746816595592</v>
      </c>
      <c r="GQ8" t="inlineStr">
        <is>
          <t>compiled workbook density_weighted_sum = density_component_ratio_weighted_sum (per-note component ratios); research density_weighted_sum maps body-ceiling richness</t>
        </is>
      </c>
      <c r="GR8" s="15" t="inlineStr">
        <is>
          <t>individual_exact</t>
        </is>
      </c>
      <c r="GS8" s="15" t="inlineStr">
        <is>
          <t>density_weight</t>
        </is>
      </c>
      <c r="GT8" s="15" t="n">
        <v>0.911748761969067</v>
      </c>
      <c r="GU8" s="15" t="n">
        <v>0.08825123803093309</v>
      </c>
      <c r="GV8" s="15" t="n">
        <v>0</v>
      </c>
      <c r="GW8" s="15" t="inlineStr">
        <is>
          <t>log</t>
        </is>
      </c>
      <c r="GX8" s="15" t="n">
        <v>0.5</v>
      </c>
      <c r="GY8" s="15" t="inlineStr">
        <is>
          <t>EWSD-R v18.1</t>
        </is>
      </c>
      <c r="GZ8" s="15" t="n">
        <v>51.17033844277385</v>
      </c>
      <c r="HA8" s="15" t="n">
        <v>95.93838290978833</v>
      </c>
      <c r="HB8" s="15" t="n">
        <v>0.15881232515654</v>
      </c>
      <c r="HC8" s="15" t="n">
        <v>71.1549785761198</v>
      </c>
      <c r="HD8" s="15" t="n">
        <v>119.5118040148199</v>
      </c>
      <c r="HE8" s="15" t="n">
        <v>0.1313262405150971</v>
      </c>
      <c r="HF8" s="15" t="inlineStr">
        <is>
          <t>partials+ratios</t>
        </is>
      </c>
      <c r="HG8" s="15" t="inlineStr">
        <is>
          <t>merged_individual_exact</t>
        </is>
      </c>
      <c r="HH8" s="15" t="inlineStr">
        <is>
          <t>passed</t>
        </is>
      </c>
      <c r="HI8" s="15" t="inlineStr">
        <is>
          <t>passed</t>
        </is>
      </c>
    </row>
    <row r="9">
      <c r="A9" t="inlineStr">
        <is>
          <t>incomplete_inference</t>
        </is>
      </c>
      <c r="B9" t="inlineStr">
        <is>
          <t>missing_instrument_technique</t>
        </is>
      </c>
      <c r="C9" t="inlineStr">
        <is>
          <t>prior_constrained_harmonic_fit</t>
        </is>
      </c>
      <c r="D9" t="inlineStr">
        <is>
          <t>IOWA_Trb.T_ff.B2_SustainStable/B2/component_amplitude_mass_pie.png</t>
        </is>
      </c>
      <c r="E9" t="inlineStr">
        <is>
          <t>IOWA_Trb.T_ff.B2_SustainStable/B2/component_energy_ratio_pie.png</t>
        </is>
      </c>
      <c r="F9" s="15" t="n">
        <v>123.3701644191944</v>
      </c>
      <c r="G9" s="15" t="inlineStr">
        <is>
          <t>prior_constrained_harmonic_fit</t>
        </is>
      </c>
      <c r="H9" s="15" t="inlineStr">
        <is>
          <t>fit_accepted_acoustically_verified</t>
        </is>
      </c>
      <c r="I9" s="16" t="n">
        <v>2882.286604463504</v>
      </c>
      <c r="J9" t="inlineStr">
        <is>
          <t>richness_weighted_body_density_body_ceiling</t>
        </is>
      </c>
      <c r="K9" t="inlineStr">
        <is>
          <t>research_body_ceiling_richness_metric</t>
        </is>
      </c>
      <c r="L9" s="15" t="n">
        <v>38404.96305994584</v>
      </c>
      <c r="M9" s="15" t="n">
        <v>38405.0362866172</v>
      </c>
      <c r="N9" s="15" t="n">
        <v>219.3913956778554</v>
      </c>
      <c r="O9" s="15" t="n">
        <v>0.7442204407720656</v>
      </c>
      <c r="P9" s="15" t="n">
        <v>-0.6317699113893662</v>
      </c>
      <c r="Q9" s="15" t="n">
        <v>77</v>
      </c>
      <c r="R9" s="15" t="n">
        <v>111</v>
      </c>
      <c r="S9" s="15" t="n">
        <v>38405.0531414602</v>
      </c>
      <c r="T9" s="15" t="n">
        <v>163</v>
      </c>
      <c r="U9" s="15" t="n">
        <v>0.4099547119335289</v>
      </c>
      <c r="V9" s="15" t="n">
        <v>155.6042312716105</v>
      </c>
      <c r="W9" s="15" t="n">
        <v>0.6807059290301659</v>
      </c>
      <c r="X9" s="15" t="n">
        <v>0.8084169663986487</v>
      </c>
      <c r="Y9" s="15" t="n">
        <v>101</v>
      </c>
      <c r="Z9" s="15" t="n">
        <v>162</v>
      </c>
      <c r="AA9" s="15" t="n">
        <v>0.6234567901234568</v>
      </c>
      <c r="AB9" s="15" t="n">
        <v>162</v>
      </c>
      <c r="AC9" s="15" t="n">
        <v>101</v>
      </c>
      <c r="AD9" s="15" t="n">
        <v>0.6234567901234568</v>
      </c>
      <c r="AE9" s="15" t="n">
        <v>2631.691158624954</v>
      </c>
      <c r="AF9" s="15" t="n">
        <v>101</v>
      </c>
      <c r="AG9" s="15" t="n">
        <v>162</v>
      </c>
      <c r="AH9" s="15" t="n">
        <v>0.6234567901234568</v>
      </c>
      <c r="AI9" s="15" t="n">
        <v>2631.691158624954</v>
      </c>
      <c r="AJ9" s="15" t="n">
        <v>51</v>
      </c>
      <c r="AK9" s="15" t="n">
        <v>50</v>
      </c>
      <c r="AL9" s="15" t="n">
        <v>1.090085926617017</v>
      </c>
      <c r="AM9" s="15" t="n">
        <v>78</v>
      </c>
      <c r="AN9" s="15" t="n">
        <v>0</v>
      </c>
      <c r="AO9" s="15" t="n">
        <v>78</v>
      </c>
      <c r="AP9" s="15" t="n">
        <v>0</v>
      </c>
      <c r="AQ9" s="15" t="n">
        <v>99.52516314132129</v>
      </c>
      <c r="AR9" s="15" t="n">
        <v>62.08109316189846</v>
      </c>
      <c r="AS9" s="15" t="n">
        <v>0.8750831795927747</v>
      </c>
      <c r="AT9" s="17" t="n">
        <v>2.974007957754953</v>
      </c>
      <c r="AU9" s="18" t="n">
        <v>82.49610795478446</v>
      </c>
      <c r="AV9" s="15" t="n">
        <v>102.0111682685587</v>
      </c>
      <c r="AW9" s="15" t="b">
        <v>1</v>
      </c>
      <c r="AX9" s="15" t="n">
        <v>63.46123675242769</v>
      </c>
      <c r="AY9" s="15" t="n">
        <v>41.93797308066774</v>
      </c>
      <c r="AZ9" s="15" t="n">
        <v>0</v>
      </c>
      <c r="BA9" s="15" t="n">
        <v>1</v>
      </c>
      <c r="BB9" s="15" t="n">
        <v>0.5</v>
      </c>
      <c r="BC9" s="15" t="n">
        <v>0.25</v>
      </c>
      <c r="BD9" s="15" t="inlineStr">
        <is>
          <t>his_note_adaptive</t>
        </is>
      </c>
      <c r="BE9" s="15" t="n">
        <v>-90</v>
      </c>
      <c r="BF9" s="15" t="n">
        <v>20000</v>
      </c>
      <c r="BG9" s="15" t="n">
        <v>101</v>
      </c>
      <c r="BH9" s="15" t="n">
        <v>0.6234567901234568</v>
      </c>
      <c r="BI9" s="15" t="n">
        <v>162</v>
      </c>
      <c r="BJ9" s="15" t="n">
        <v>101</v>
      </c>
      <c r="BK9" s="15" t="n">
        <v>162</v>
      </c>
      <c r="BL9" s="15" t="n">
        <v>147</v>
      </c>
      <c r="BM9" s="15" t="n">
        <v>0.9074074074074074</v>
      </c>
      <c r="BN9" s="15" t="n">
        <v>0.4687426138374364</v>
      </c>
      <c r="BO9" s="15" t="n">
        <v>0.65</v>
      </c>
      <c r="BP9" s="19" t="n">
        <v>0.9475659303498479</v>
      </c>
      <c r="BQ9" s="19" t="n">
        <v>0.05243226289294992</v>
      </c>
      <c r="BR9" s="19" t="n">
        <v>1.806757202020473e-06</v>
      </c>
      <c r="BS9" s="15" t="n">
        <v>0.03596679112827077</v>
      </c>
      <c r="BT9" s="19" t="n">
        <v>0.9999980932685536</v>
      </c>
      <c r="BU9" s="19" t="n">
        <v>0</v>
      </c>
      <c r="BV9" s="19" t="n">
        <v>1.906731446489041e-06</v>
      </c>
      <c r="BW9" t="inlineStr">
        <is>
          <t>B2</t>
        </is>
      </c>
      <c r="BX9" t="n">
        <v>47</v>
      </c>
      <c r="BY9" t="inlineStr">
        <is>
          <t>B</t>
        </is>
      </c>
      <c r="BZ9" t="n">
        <v>2</v>
      </c>
      <c r="CA9" t="inlineStr">
        <is>
          <t>Low</t>
        </is>
      </c>
      <c r="CB9" t="inlineStr">
        <is>
          <t>ff</t>
        </is>
      </c>
      <c r="CC9" s="15" t="n">
        <v>123.470825314031</v>
      </c>
      <c r="CD9" s="15" t="n">
        <v>123.3701644191944</v>
      </c>
      <c r="CE9" t="inlineStr">
        <is>
          <t>prior_constrained_harmonic_fit</t>
        </is>
      </c>
      <c r="CF9" t="n">
        <v>123.3701644191944</v>
      </c>
      <c r="CG9" s="15" t="n">
        <v>1</v>
      </c>
      <c r="CH9" t="inlineStr">
        <is>
          <t>free_fit_acoustically_verified</t>
        </is>
      </c>
      <c r="CI9" s="15" t="inlineStr">
        <is>
          <t>free_f0_fit</t>
        </is>
      </c>
      <c r="CJ9" s="15" t="n">
        <v>123.470825314031</v>
      </c>
      <c r="CK9" s="15" t="n">
        <v>123.3701644191944</v>
      </c>
      <c r="CL9" s="15" t="n">
        <v>-1.411982494472292</v>
      </c>
      <c r="CM9" s="15" t="n">
        <v>20000</v>
      </c>
      <c r="CN9" s="15" t="n">
        <v>-1.411982494472292</v>
      </c>
      <c r="CO9" s="15" t="n">
        <v>2.639692020978942</v>
      </c>
      <c r="CP9" s="15" t="n">
        <v>38404.96305994584</v>
      </c>
      <c r="CQ9" t="n">
        <v>12.15807522615018</v>
      </c>
      <c r="CR9" t="n">
        <v>0.07504984707500112</v>
      </c>
      <c r="CS9" t="n">
        <v>237.0676732007828</v>
      </c>
      <c r="CT9" t="n">
        <v>237.0681252260321</v>
      </c>
      <c r="CU9" t="n">
        <v>2882.286604463504</v>
      </c>
      <c r="CV9" t="n">
        <v>0.7442204407720656</v>
      </c>
      <c r="CW9" s="15" t="n">
        <v>38405.0362866172</v>
      </c>
      <c r="CX9" s="15" t="n">
        <v>219.3913956778554</v>
      </c>
      <c r="CY9" s="15" t="n">
        <v>0.7442204407720656</v>
      </c>
      <c r="CZ9" s="15" t="n">
        <v>2.974008259891369</v>
      </c>
      <c r="DA9" s="15" t="n">
        <v>2.974012511506029</v>
      </c>
      <c r="DB9" s="15" t="n">
        <v>1.934596839357162</v>
      </c>
      <c r="DC9" s="15" t="n">
        <v>0</v>
      </c>
      <c r="DD9" s="15" t="n">
        <v>7.743812317302e-05</v>
      </c>
      <c r="DE9" s="15" t="n">
        <v>0</v>
      </c>
      <c r="DF9" s="15" t="n">
        <v>77</v>
      </c>
      <c r="DG9" s="15" t="inlineStr">
        <is>
          <t>Density_Metrics</t>
        </is>
      </c>
      <c r="DH9" s="15" t="n">
        <v>2.639692020978942</v>
      </c>
      <c r="DI9" t="n">
        <v>0.9742188999233169</v>
      </c>
      <c r="DJ9" s="15" t="n">
        <v>0.5992287324279494</v>
      </c>
      <c r="DK9" s="15" t="n">
        <v>5.494372019983835</v>
      </c>
      <c r="DL9" s="15" t="n">
        <v>12.29770473578702</v>
      </c>
      <c r="DM9" s="15" t="n">
        <v>7.853390058803495</v>
      </c>
      <c r="DN9" s="15" t="n">
        <v>18.47876623576679</v>
      </c>
      <c r="DO9" s="15" t="n">
        <v>0.2165182250164563</v>
      </c>
      <c r="DP9" s="15" t="n">
        <v>3.9375</v>
      </c>
      <c r="DQ9" s="15" t="n">
        <v>121</v>
      </c>
      <c r="DR9" s="15" t="b">
        <v>1</v>
      </c>
      <c r="DS9" s="15" t="n">
        <v>12.15807522615018</v>
      </c>
      <c r="DT9" s="15" t="n">
        <v>130.9635485565811</v>
      </c>
      <c r="DU9" t="n">
        <v>162</v>
      </c>
      <c r="DV9" s="15" t="n">
        <v>0.03596679112827077</v>
      </c>
      <c r="DW9" s="15" t="n">
        <v>2.795458261083487</v>
      </c>
      <c r="DX9" s="15" t="n">
        <v>3.105873356145081</v>
      </c>
      <c r="DY9" s="15" t="n">
        <v>0.02613902498089481</v>
      </c>
      <c r="DZ9" s="15" t="b">
        <v>1</v>
      </c>
      <c r="EA9" s="15" t="n">
        <v>0.6534151297673394</v>
      </c>
      <c r="EB9" s="15" t="n">
        <v>20000</v>
      </c>
      <c r="EC9" s="15" t="n">
        <v>9499.502660277971</v>
      </c>
      <c r="ED9" s="15" t="n">
        <v>77</v>
      </c>
      <c r="EE9" s="15" t="n">
        <v>0</v>
      </c>
      <c r="EF9" s="15" t="n">
        <v>0.0435997796852683</v>
      </c>
      <c r="EG9" s="15" t="b">
        <v>0</v>
      </c>
      <c r="EH9" s="15" t="b">
        <v>1</v>
      </c>
      <c r="EI9" s="15" t="b">
        <v>0</v>
      </c>
      <c r="EJ9" s="15" t="inlineStr">
        <is>
          <t>wf=log|dst=-90.0|ceil=20000.0|fft=adaptive_tier</t>
        </is>
      </c>
      <c r="EK9" s="15" t="inlineStr">
        <is>
          <t>wf=log|dst=runtime_configured|ceil=runtime_configured|fft=fixed</t>
        </is>
      </c>
      <c r="EL9" s="15" t="n">
        <v>0.6953772006177544</v>
      </c>
      <c r="EM9" s="15" t="n">
        <v>0.9932658469627872</v>
      </c>
      <c r="EN9" s="15" t="n">
        <v>0.4753086419753086</v>
      </c>
      <c r="EO9" s="15" t="n">
        <v>0.4102477239657108</v>
      </c>
      <c r="EP9" s="15" t="inlineStr">
        <is>
          <t>warn:power_outlier_detected</t>
        </is>
      </c>
      <c r="EQ9" s="15" t="n">
        <v>263.8745076786922</v>
      </c>
      <c r="ER9" s="15" t="inlineStr">
        <is>
          <t>winsorize_p95_for_robust_diagnostics</t>
        </is>
      </c>
      <c r="ES9" s="15" t="n">
        <v>0.09039803472440443</v>
      </c>
      <c r="ET9" s="15" t="n">
        <v>0.04744960814686709</v>
      </c>
      <c r="EU9" s="15" t="n">
        <v>0.1126572165682214</v>
      </c>
      <c r="EV9" t="inlineStr">
        <is>
          <t>computed</t>
        </is>
      </c>
      <c r="EW9" s="15" t="inlineStr">
        <is>
          <t>computed</t>
        </is>
      </c>
      <c r="EX9" s="15" t="inlineStr">
        <is>
          <t>computed</t>
        </is>
      </c>
      <c r="EY9" s="15" t="inlineStr">
        <is>
          <t>available_from_curve</t>
        </is>
      </c>
      <c r="EZ9" s="15" t="n">
        <v>20000</v>
      </c>
      <c r="FA9" s="15" t="n">
        <v>20000</v>
      </c>
      <c r="FB9" s="15" t="n">
        <v>0.05243226289294992</v>
      </c>
      <c r="FC9" s="15" t="n">
        <v>0.7756275911142217</v>
      </c>
      <c r="FD9" s="15" t="n">
        <v>2.974012511506029</v>
      </c>
      <c r="FE9" s="15" t="n">
        <v>1.934596839357162</v>
      </c>
      <c r="FF9" s="15" t="n">
        <v>0.5857626691206445</v>
      </c>
      <c r="FG9" s="15" t="n">
        <v>2.27999697652854</v>
      </c>
      <c r="FH9" s="15" t="n">
        <v>0.3198450588433241</v>
      </c>
      <c r="FI9" s="15" t="n">
        <v>0.03984998560707757</v>
      </c>
      <c r="FJ9" s="15" t="n">
        <v>38405.0362866172</v>
      </c>
      <c r="FK9" s="15" t="n">
        <v>219.3913956778554</v>
      </c>
      <c r="FL9" s="15" t="n">
        <v>0.7442204407720656</v>
      </c>
      <c r="FM9" s="15" t="n">
        <v>0.004350810627506287</v>
      </c>
      <c r="FN9" t="n">
        <v>0.9999980932685536</v>
      </c>
      <c r="FO9" t="n">
        <v>0</v>
      </c>
      <c r="FP9" t="n">
        <v>1.906731446489041e-06</v>
      </c>
      <c r="FQ9" t="inlineStr">
        <is>
          <t>excellent</t>
        </is>
      </c>
      <c r="FR9" s="19" t="n">
        <v>0.9074074074074074</v>
      </c>
      <c r="FS9" s="15" t="n">
        <v>4.276301904916304</v>
      </c>
      <c r="FT9" s="15" t="n">
        <v>17.96524743057586</v>
      </c>
      <c r="FU9" t="inlineStr">
        <is>
          <t>passed</t>
        </is>
      </c>
      <c r="FV9" t="n">
        <v>940.9167316295641</v>
      </c>
      <c r="FW9" t="n">
        <v>85.01948524939634</v>
      </c>
      <c r="FX9" t="n">
        <v>2.852677611037644</v>
      </c>
      <c r="FY9" t="n">
        <v>0.796265116644577</v>
      </c>
      <c r="FZ9" t="n">
        <v>0.6313995561756435</v>
      </c>
      <c r="GA9" t="n">
        <v>0.5750939301729859</v>
      </c>
      <c r="GB9" t="n">
        <v>0.7113591560382768</v>
      </c>
      <c r="GC9" t="n">
        <v>0.7138917565004935</v>
      </c>
      <c r="GD9" t="n">
        <v>0.674272924676503</v>
      </c>
      <c r="GE9" t="n">
        <v>0.5463992926150661</v>
      </c>
      <c r="GF9" t="n">
        <v>0.6744980153423284</v>
      </c>
      <c r="GG9" t="n">
        <v>0.03449878507156526</v>
      </c>
      <c r="GH9" t="n">
        <v>0.6046300049376557</v>
      </c>
      <c r="GI9" t="n">
        <v>0.4139847199090596</v>
      </c>
      <c r="GJ9" t="n">
        <v>1</v>
      </c>
      <c r="GK9" t="n">
        <v>0.9361702127659574</v>
      </c>
      <c r="GL9" t="n">
        <v>0</v>
      </c>
      <c r="GM9" t="n">
        <v>0</v>
      </c>
      <c r="GN9" t="n">
        <v>0.7923755873116617</v>
      </c>
      <c r="GO9" t="n">
        <v>0.9299500263591343</v>
      </c>
      <c r="GP9" t="n">
        <v>2882.286604463504</v>
      </c>
      <c r="GQ9" t="inlineStr">
        <is>
          <t>compiled workbook density_weighted_sum = density_component_ratio_weighted_sum (per-note component ratios); research density_weighted_sum maps body-ceiling richness</t>
        </is>
      </c>
      <c r="GR9" s="15" t="inlineStr">
        <is>
          <t>individual_exact</t>
        </is>
      </c>
      <c r="GS9" s="15" t="inlineStr">
        <is>
          <t>density_weight</t>
        </is>
      </c>
      <c r="GT9" s="15" t="n">
        <v>0.9358766583183163</v>
      </c>
      <c r="GU9" s="15" t="n">
        <v>0.06412334168168379</v>
      </c>
      <c r="GV9" s="15" t="n">
        <v>0</v>
      </c>
      <c r="GW9" s="15" t="inlineStr">
        <is>
          <t>log</t>
        </is>
      </c>
      <c r="GX9" s="15" t="n">
        <v>0.5</v>
      </c>
      <c r="GY9" s="15" t="inlineStr">
        <is>
          <t>EWSD-R v18.1</t>
        </is>
      </c>
      <c r="GZ9" s="15" t="n">
        <v>66.63958009413722</v>
      </c>
      <c r="HA9" s="15" t="n">
        <v>105.3140961706845</v>
      </c>
      <c r="HB9" s="15" t="n">
        <v>0.1218856147590597</v>
      </c>
      <c r="HC9" s="15" t="n">
        <v>85.7862114449018</v>
      </c>
      <c r="HD9" s="15" t="n">
        <v>126.3175420884173</v>
      </c>
      <c r="HE9" s="15" t="n">
        <v>0.1032585422537756</v>
      </c>
      <c r="HF9" s="15" t="inlineStr">
        <is>
          <t>partials+ratios</t>
        </is>
      </c>
      <c r="HG9" s="15" t="inlineStr">
        <is>
          <t>merged_individual_exact</t>
        </is>
      </c>
      <c r="HH9" s="15" t="inlineStr">
        <is>
          <t>passed</t>
        </is>
      </c>
      <c r="HI9" s="15" t="inlineStr">
        <is>
          <t>passed</t>
        </is>
      </c>
    </row>
    <row r="10">
      <c r="A10" t="inlineStr">
        <is>
          <t>incomplete_inference</t>
        </is>
      </c>
      <c r="B10" t="inlineStr">
        <is>
          <t>missing_instrument_technique</t>
        </is>
      </c>
      <c r="C10" t="inlineStr">
        <is>
          <t>prior_constrained_harmonic_fit</t>
        </is>
      </c>
      <c r="D10" t="inlineStr">
        <is>
          <t>IOWA_Trb.T_ff.C3_SustainStable/C3/component_amplitude_mass_pie.png</t>
        </is>
      </c>
      <c r="E10" t="inlineStr">
        <is>
          <t>IOWA_Trb.T_ff.C3_SustainStable/C3/component_energy_ratio_pie.png</t>
        </is>
      </c>
      <c r="F10" s="15" t="n">
        <v>131.0427536427045</v>
      </c>
      <c r="G10" s="15" t="inlineStr">
        <is>
          <t>prior_constrained_harmonic_fit</t>
        </is>
      </c>
      <c r="H10" s="15" t="inlineStr">
        <is>
          <t>fit_accepted_acoustically_verified</t>
        </is>
      </c>
      <c r="I10" s="16" t="n">
        <v>2733.307661138031</v>
      </c>
      <c r="J10" t="inlineStr">
        <is>
          <t>richness_weighted_body_density_body_ceiling</t>
        </is>
      </c>
      <c r="K10" t="inlineStr">
        <is>
          <t>research_body_ceiling_richness_metric</t>
        </is>
      </c>
      <c r="L10" s="15" t="n">
        <v>38834.43256145835</v>
      </c>
      <c r="M10" s="15" t="n">
        <v>38834.49907948409</v>
      </c>
      <c r="N10" s="15" t="n">
        <v>140.5799973179459</v>
      </c>
      <c r="O10" s="15" t="n">
        <v>0.913558507748722</v>
      </c>
      <c r="P10" s="15" t="n">
        <v>-0.7720877617044118</v>
      </c>
      <c r="Q10" s="15" t="n">
        <v>32</v>
      </c>
      <c r="R10" s="15" t="n">
        <v>47</v>
      </c>
      <c r="S10" s="15" t="n">
        <v>38834.50615064865</v>
      </c>
      <c r="T10" s="15" t="n">
        <v>153</v>
      </c>
      <c r="U10" s="15" t="n">
        <v>0.3986877392199826</v>
      </c>
      <c r="V10" s="15" t="n">
        <v>151.5570014968455</v>
      </c>
      <c r="W10" s="15" t="n">
        <v>0.6660111877376216</v>
      </c>
      <c r="X10" s="15" t="n">
        <v>0.81387755109594</v>
      </c>
      <c r="Y10" s="15" t="n">
        <v>89</v>
      </c>
      <c r="Z10" s="15" t="n">
        <v>152</v>
      </c>
      <c r="AA10" s="15" t="n">
        <v>0.5855263157894737</v>
      </c>
      <c r="AB10" s="15" t="n">
        <v>152</v>
      </c>
      <c r="AC10" s="15" t="n">
        <v>89</v>
      </c>
      <c r="AD10" s="15" t="n">
        <v>0.5855263157894737</v>
      </c>
      <c r="AE10" s="15" t="n">
        <v>2623.806970672423</v>
      </c>
      <c r="AF10" s="15" t="n">
        <v>89</v>
      </c>
      <c r="AG10" s="15" t="n">
        <v>152</v>
      </c>
      <c r="AH10" s="15" t="n">
        <v>0.5855263157894737</v>
      </c>
      <c r="AI10" s="15" t="n">
        <v>2623.806970672423</v>
      </c>
      <c r="AJ10" s="15" t="n">
        <v>45</v>
      </c>
      <c r="AK10" s="15" t="n">
        <v>44</v>
      </c>
      <c r="AL10" s="15" t="n">
        <v>0.9474079863922759</v>
      </c>
      <c r="AM10" s="15" t="n">
        <v>70</v>
      </c>
      <c r="AN10" s="15" t="n">
        <v>0</v>
      </c>
      <c r="AO10" s="15" t="n">
        <v>70</v>
      </c>
      <c r="AP10" s="15" t="n">
        <v>0</v>
      </c>
      <c r="AQ10" s="15" t="n">
        <v>87.23415309101837</v>
      </c>
      <c r="AR10" s="15" t="n">
        <v>55.35088589921457</v>
      </c>
      <c r="AS10" s="15" t="n">
        <v>0.7564117773998675</v>
      </c>
      <c r="AT10" s="17" t="n">
        <v>2.946118579727006</v>
      </c>
      <c r="AU10" s="18" t="n">
        <v>84.94742469221485</v>
      </c>
      <c r="AV10" s="15" t="n">
        <v>87.84304129228535</v>
      </c>
      <c r="AW10" s="15" t="b">
        <v>1</v>
      </c>
      <c r="AX10" s="15" t="n">
        <v>57.05804890085853</v>
      </c>
      <c r="AY10" s="15" t="n">
        <v>38.68947070404246</v>
      </c>
      <c r="AZ10" s="15" t="n">
        <v>0</v>
      </c>
      <c r="BA10" s="15" t="n">
        <v>1</v>
      </c>
      <c r="BB10" s="15" t="n">
        <v>0.5</v>
      </c>
      <c r="BC10" s="15" t="n">
        <v>0.25</v>
      </c>
      <c r="BD10" s="15" t="inlineStr">
        <is>
          <t>his_note_adaptive</t>
        </is>
      </c>
      <c r="BE10" s="15" t="n">
        <v>-90</v>
      </c>
      <c r="BF10" s="15" t="n">
        <v>20000</v>
      </c>
      <c r="BG10" s="15" t="n">
        <v>89</v>
      </c>
      <c r="BH10" s="15" t="n">
        <v>0.5855263157894737</v>
      </c>
      <c r="BI10" s="15" t="n">
        <v>152</v>
      </c>
      <c r="BJ10" s="15" t="n">
        <v>89</v>
      </c>
      <c r="BK10" s="15" t="n">
        <v>152</v>
      </c>
      <c r="BL10" s="15" t="n">
        <v>134</v>
      </c>
      <c r="BM10" s="15" t="n">
        <v>0.881578947368421</v>
      </c>
      <c r="BN10" s="15" t="n">
        <v>0.4360679803242528</v>
      </c>
      <c r="BO10" s="15" t="n">
        <v>0.5833333333333334</v>
      </c>
      <c r="BP10" s="19" t="n">
        <v>0.9233075025351694</v>
      </c>
      <c r="BQ10" s="19" t="n">
        <v>0.07669091592924503</v>
      </c>
      <c r="BR10" s="19" t="n">
        <v>1.581535585561329e-06</v>
      </c>
      <c r="BS10" s="15" t="n">
        <v>0.04845221215430467</v>
      </c>
      <c r="BT10" s="19" t="n">
        <v>0.9999982871005897</v>
      </c>
      <c r="BU10" s="19" t="n">
        <v>0</v>
      </c>
      <c r="BV10" s="19" t="n">
        <v>1.712899410226243e-06</v>
      </c>
      <c r="BW10" t="inlineStr">
        <is>
          <t>C3</t>
        </is>
      </c>
      <c r="BX10" t="n">
        <v>48</v>
      </c>
      <c r="BY10" t="inlineStr">
        <is>
          <t>C</t>
        </is>
      </c>
      <c r="BZ10" t="n">
        <v>3</v>
      </c>
      <c r="CA10" t="inlineStr">
        <is>
          <t>Middle</t>
        </is>
      </c>
      <c r="CB10" t="inlineStr">
        <is>
          <t>ff</t>
        </is>
      </c>
      <c r="CC10" s="15" t="n">
        <v>130.8127826502993</v>
      </c>
      <c r="CD10" s="15" t="n">
        <v>131.0427536427045</v>
      </c>
      <c r="CE10" t="inlineStr">
        <is>
          <t>prior_constrained_harmonic_fit</t>
        </is>
      </c>
      <c r="CF10" t="n">
        <v>131.0427536427045</v>
      </c>
      <c r="CG10" s="15" t="n">
        <v>1</v>
      </c>
      <c r="CH10" t="inlineStr">
        <is>
          <t>free_fit_acoustically_verified</t>
        </is>
      </c>
      <c r="CI10" s="15" t="inlineStr">
        <is>
          <t>free_f0_fit</t>
        </is>
      </c>
      <c r="CJ10" s="15" t="n">
        <v>130.8127826502993</v>
      </c>
      <c r="CK10" s="15" t="n">
        <v>131.0427536427045</v>
      </c>
      <c r="CL10" s="15" t="n">
        <v>3.040865359165916</v>
      </c>
      <c r="CM10" s="15" t="n">
        <v>20000</v>
      </c>
      <c r="CN10" s="15" t="n">
        <v>3.040865359165916</v>
      </c>
      <c r="CO10" s="15" t="n">
        <v>2.587018792369349</v>
      </c>
      <c r="CP10" s="15" t="n">
        <v>38834.43256145835</v>
      </c>
      <c r="CQ10" t="n">
        <v>10.69830913203692</v>
      </c>
      <c r="CR10" t="n">
        <v>0.07038361271076922</v>
      </c>
      <c r="CS10" t="n">
        <v>255.4896878940363</v>
      </c>
      <c r="CT10" t="n">
        <v>255.4901255229216</v>
      </c>
      <c r="CU10" t="n">
        <v>2733.307661138031</v>
      </c>
      <c r="CV10" t="n">
        <v>0.913558507748722</v>
      </c>
      <c r="CW10" s="15" t="n">
        <v>38834.49907948409</v>
      </c>
      <c r="CX10" s="15" t="n">
        <v>140.5799973179459</v>
      </c>
      <c r="CY10" s="15" t="n">
        <v>0.913558507748722</v>
      </c>
      <c r="CZ10" s="15" t="n">
        <v>2.946119042584016</v>
      </c>
      <c r="DA10" s="15" t="n">
        <v>2.94612252416172</v>
      </c>
      <c r="DB10" s="15" t="n">
        <v>1.721635518489289</v>
      </c>
      <c r="DC10" s="15" t="n">
        <v>0</v>
      </c>
      <c r="DD10" s="15" t="n">
        <v>7.586357900096945e-05</v>
      </c>
      <c r="DE10" s="15" t="n">
        <v>0</v>
      </c>
      <c r="DF10" s="15" t="n">
        <v>32</v>
      </c>
      <c r="DG10" s="15" t="inlineStr">
        <is>
          <t>Density_Metrics</t>
        </is>
      </c>
      <c r="DH10" s="15" t="n">
        <v>2.587018792369349</v>
      </c>
      <c r="DI10" t="n">
        <v>0.9547790355665591</v>
      </c>
      <c r="DJ10" s="15" t="n">
        <v>0.59617013153638</v>
      </c>
      <c r="DK10" s="15" t="n">
        <v>5.311098109118665</v>
      </c>
      <c r="DL10" s="15" t="n">
        <v>10.77633020544534</v>
      </c>
      <c r="DM10" s="15" t="n">
        <v>7.057766615763394</v>
      </c>
      <c r="DN10" s="15" t="n">
        <v>16.86767287925212</v>
      </c>
      <c r="DO10" s="15" t="n">
        <v>0.2305287475797385</v>
      </c>
      <c r="DP10" s="15" t="n">
        <v>2.8125</v>
      </c>
      <c r="DQ10" s="15" t="n">
        <v>64</v>
      </c>
      <c r="DR10" s="15" t="b">
        <v>1</v>
      </c>
      <c r="DS10" s="15" t="n">
        <v>10.69830913203692</v>
      </c>
      <c r="DT10" s="15" t="n">
        <v>123.7093877665829</v>
      </c>
      <c r="DU10" t="n">
        <v>152</v>
      </c>
      <c r="DV10" s="15" t="n">
        <v>0.04845221215430467</v>
      </c>
      <c r="DW10" s="15" t="n">
        <v>2.817326011288858</v>
      </c>
      <c r="DX10" s="15" t="n">
        <v>3.050510395245348</v>
      </c>
      <c r="DY10" s="15" t="n">
        <v>0.02075469828729198</v>
      </c>
      <c r="DZ10" s="15" t="b">
        <v>0</v>
      </c>
      <c r="EA10" s="15" t="n">
        <v>0.7095336332062183</v>
      </c>
      <c r="EB10" s="15" t="n">
        <v>20000</v>
      </c>
      <c r="EC10" s="15" t="n">
        <v>4193.368116566545</v>
      </c>
      <c r="ED10" s="15" t="n">
        <v>32</v>
      </c>
      <c r="EE10" s="15" t="n">
        <v>27</v>
      </c>
      <c r="EF10" s="15" t="n">
        <v>0.04115271208350588</v>
      </c>
      <c r="EG10" s="15" t="b">
        <v>0</v>
      </c>
      <c r="EH10" s="15" t="b">
        <v>1</v>
      </c>
      <c r="EI10" s="15" t="b">
        <v>0</v>
      </c>
      <c r="EJ10" s="15" t="inlineStr">
        <is>
          <t>wf=log|dst=-90.0|ceil=20000.0|fft=adaptive_tier</t>
        </is>
      </c>
      <c r="EK10" s="15" t="inlineStr">
        <is>
          <t>wf=log|dst=runtime_configured|ceil=runtime_configured|fft=fixed</t>
        </is>
      </c>
      <c r="EL10" s="15" t="n">
        <v>0.5953635074429935</v>
      </c>
      <c r="EM10" s="15" t="n">
        <v>0.9845886366215338</v>
      </c>
      <c r="EN10" s="15" t="n">
        <v>0.2091503267973856</v>
      </c>
      <c r="EO10" s="15" t="n">
        <v>0.3954800329210915</v>
      </c>
      <c r="EP10" s="15" t="inlineStr">
        <is>
          <t>warn:power_outlier_detected</t>
        </is>
      </c>
      <c r="EQ10" s="15" t="n">
        <v>327.7323508273429</v>
      </c>
      <c r="ER10" s="15" t="inlineStr">
        <is>
          <t>winsorize_p95_for_robust_diagnostics</t>
        </is>
      </c>
      <c r="ES10" s="15" t="n">
        <v>0.09312829597748955</v>
      </c>
      <c r="ET10" s="15" t="n">
        <v>0.03729398426332556</v>
      </c>
      <c r="EU10" s="15" t="n">
        <v>0.09666329272228621</v>
      </c>
      <c r="EV10" t="inlineStr">
        <is>
          <t>computed</t>
        </is>
      </c>
      <c r="EW10" s="15" t="inlineStr">
        <is>
          <t>computed</t>
        </is>
      </c>
      <c r="EX10" s="15" t="inlineStr">
        <is>
          <t>computed</t>
        </is>
      </c>
      <c r="EY10" s="15" t="inlineStr">
        <is>
          <t>available_from_curve</t>
        </is>
      </c>
      <c r="EZ10" s="15" t="n">
        <v>20000</v>
      </c>
      <c r="FA10" s="15" t="n">
        <v>20000</v>
      </c>
      <c r="FB10" s="15" t="n">
        <v>0.07669091592924503</v>
      </c>
      <c r="FC10" s="15" t="n">
        <v>0.875106398819247</v>
      </c>
      <c r="FD10" s="15" t="n">
        <v>2.94612252416172</v>
      </c>
      <c r="FE10" s="15" t="n">
        <v>1.721635518489289</v>
      </c>
      <c r="FF10" s="15" t="n">
        <v>0.6433400664676558</v>
      </c>
      <c r="FG10" s="15" t="n">
        <v>2.258615396399194</v>
      </c>
      <c r="FH10" s="15" t="n">
        <v>0.284636365838858</v>
      </c>
      <c r="FI10" s="15" t="n">
        <v>0.04376703013129735</v>
      </c>
      <c r="FJ10" s="15" t="n">
        <v>38834.49907948409</v>
      </c>
      <c r="FK10" s="15" t="n">
        <v>140.5799973179459</v>
      </c>
      <c r="FL10" s="15" t="n">
        <v>0.913558507748722</v>
      </c>
      <c r="FM10" s="15" t="n">
        <v>0.004280246590840303</v>
      </c>
      <c r="FN10" t="n">
        <v>0.9999982871005897</v>
      </c>
      <c r="FO10" t="n">
        <v>0</v>
      </c>
      <c r="FP10" t="n">
        <v>1.712899410226243e-06</v>
      </c>
      <c r="FQ10" t="inlineStr">
        <is>
          <t>excellent</t>
        </is>
      </c>
      <c r="FR10" s="19" t="n">
        <v>0.881578947368421</v>
      </c>
      <c r="FS10" s="15" t="n">
        <v>3.2026228690664</v>
      </c>
      <c r="FT10" s="15" t="n">
        <v>17.32978957894387</v>
      </c>
      <c r="FU10" t="inlineStr">
        <is>
          <t>passed</t>
        </is>
      </c>
      <c r="FV10" t="n">
        <v>882.3290721052828</v>
      </c>
      <c r="FW10" t="n">
        <v>51.67875695459801</v>
      </c>
      <c r="FX10" t="n">
        <v>3.398859253640852</v>
      </c>
      <c r="FY10" t="n">
        <v>0.6426417846149496</v>
      </c>
      <c r="FZ10" t="n">
        <v>0.5963039290568078</v>
      </c>
      <c r="GA10" t="n">
        <v>0.3962212831755473</v>
      </c>
      <c r="GB10" t="n">
        <v>0.5948296619576888</v>
      </c>
      <c r="GC10" t="n">
        <v>0.6004226997468595</v>
      </c>
      <c r="GD10" t="n">
        <v>0.6529558073717837</v>
      </c>
      <c r="GE10" t="n">
        <v>0.4993341549067147</v>
      </c>
      <c r="GF10" t="n">
        <v>0.6830685796313601</v>
      </c>
      <c r="GG10" t="n">
        <v>0.1763434137025253</v>
      </c>
      <c r="GH10" t="n">
        <v>0.5988643785527433</v>
      </c>
      <c r="GI10" t="n">
        <v>0.3392933618843683</v>
      </c>
      <c r="GJ10" t="n">
        <v>0.8460980036297636</v>
      </c>
      <c r="GK10" t="n">
        <v>0.7659574468085106</v>
      </c>
      <c r="GL10" t="n">
        <v>0.1381537940367653</v>
      </c>
      <c r="GM10" t="n">
        <v>0.1381537940367653</v>
      </c>
      <c r="GN10" t="n">
        <v>1</v>
      </c>
      <c r="GO10" t="n">
        <v>0.7855260232906455</v>
      </c>
      <c r="GP10" t="n">
        <v>2733.307661138031</v>
      </c>
      <c r="GQ10" t="inlineStr">
        <is>
          <t>compiled workbook density_weighted_sum = density_component_ratio_weighted_sum (per-note component ratios); research density_weighted_sum maps body-ceiling richness</t>
        </is>
      </c>
      <c r="GR10" s="15" t="inlineStr">
        <is>
          <t>individual_exact</t>
        </is>
      </c>
      <c r="GS10" s="15" t="inlineStr">
        <is>
          <t>density_weight</t>
        </is>
      </c>
      <c r="GT10" s="15" t="n">
        <v>0.9070606890009666</v>
      </c>
      <c r="GU10" s="15" t="n">
        <v>0.09293931099903344</v>
      </c>
      <c r="GV10" s="15" t="n">
        <v>0</v>
      </c>
      <c r="GW10" s="15" t="inlineStr">
        <is>
          <t>log</t>
        </is>
      </c>
      <c r="GX10" s="15" t="n">
        <v>0.5</v>
      </c>
      <c r="GY10" s="15" t="inlineStr">
        <is>
          <t>EWSD-R v18.1</t>
        </is>
      </c>
      <c r="GZ10" s="15" t="n">
        <v>80.89636992486123</v>
      </c>
      <c r="HA10" s="15" t="n">
        <v>101.2041501099272</v>
      </c>
      <c r="HB10" s="15" t="n">
        <v>0.06188536340890419</v>
      </c>
      <c r="HC10" s="15" t="n">
        <v>84.26689747344581</v>
      </c>
      <c r="HD10" s="15" t="n">
        <v>103.5604088973461</v>
      </c>
      <c r="HE10" s="15" t="n">
        <v>0.05690034249951628</v>
      </c>
      <c r="HF10" s="15" t="inlineStr">
        <is>
          <t>partials+ratios</t>
        </is>
      </c>
      <c r="HG10" s="15" t="inlineStr">
        <is>
          <t>merged_individual_exact</t>
        </is>
      </c>
      <c r="HH10" s="15" t="inlineStr">
        <is>
          <t>passed</t>
        </is>
      </c>
      <c r="HI10" s="15" t="inlineStr">
        <is>
          <t>passed</t>
        </is>
      </c>
    </row>
    <row r="11">
      <c r="A11" t="inlineStr">
        <is>
          <t>incomplete_inference</t>
        </is>
      </c>
      <c r="B11" t="inlineStr">
        <is>
          <t>missing_instrument_technique</t>
        </is>
      </c>
      <c r="C11" t="inlineStr">
        <is>
          <t>prior_constrained_harmonic_fit</t>
        </is>
      </c>
      <c r="D11" t="inlineStr">
        <is>
          <t>IOWA_Trb.T_ff.C#3_SustainStable/C#3/component_amplitude_mass_pie.png</t>
        </is>
      </c>
      <c r="E11" t="inlineStr">
        <is>
          <t>IOWA_Trb.T_ff.C#3_SustainStable/C#3/component_energy_ratio_pie.png</t>
        </is>
      </c>
      <c r="F11" s="15" t="n">
        <v>138.6976376467761</v>
      </c>
      <c r="G11" s="15" t="inlineStr">
        <is>
          <t>prior_constrained_harmonic_fit</t>
        </is>
      </c>
      <c r="H11" s="15" t="inlineStr">
        <is>
          <t>fit_accepted_acoustically_verified</t>
        </is>
      </c>
      <c r="I11" s="16" t="n">
        <v>3097.24905477095</v>
      </c>
      <c r="J11" t="inlineStr">
        <is>
          <t>richness_weighted_body_density_body_ceiling</t>
        </is>
      </c>
      <c r="K11" t="inlineStr">
        <is>
          <t>research_body_ceiling_richness_metric</t>
        </is>
      </c>
      <c r="L11" s="15" t="n">
        <v>38792.58534093059</v>
      </c>
      <c r="M11" s="15" t="n">
        <v>38792.60963343234</v>
      </c>
      <c r="N11" s="15" t="n">
        <v>174.2170201204706</v>
      </c>
      <c r="O11" s="15" t="n">
        <v>0.7773691384890791</v>
      </c>
      <c r="P11" s="15" t="n">
        <v>-0.848496875536905</v>
      </c>
      <c r="Q11" s="15" t="n">
        <v>38</v>
      </c>
      <c r="R11" s="15" t="n">
        <v>63</v>
      </c>
      <c r="S11" s="15" t="n">
        <v>38792.62498794439</v>
      </c>
      <c r="T11" s="15" t="n">
        <v>145</v>
      </c>
      <c r="U11" s="15" t="n">
        <v>0.4166224363901401</v>
      </c>
      <c r="V11" s="15" t="n">
        <v>148.8398321710174</v>
      </c>
      <c r="W11" s="15" t="n">
        <v>0.6686501999034734</v>
      </c>
      <c r="X11" s="15" t="n">
        <v>0.8327277116099315</v>
      </c>
      <c r="Y11" s="15" t="n">
        <v>76</v>
      </c>
      <c r="Z11" s="15" t="n">
        <v>144</v>
      </c>
      <c r="AA11" s="15" t="n">
        <v>0.5277777777777778</v>
      </c>
      <c r="AB11" s="15" t="n">
        <v>144</v>
      </c>
      <c r="AC11" s="15" t="n">
        <v>76</v>
      </c>
      <c r="AD11" s="15" t="n">
        <v>0.5277777777777778</v>
      </c>
      <c r="AE11" s="15" t="n">
        <v>2549.882512449725</v>
      </c>
      <c r="AF11" s="15" t="n">
        <v>76</v>
      </c>
      <c r="AG11" s="15" t="n">
        <v>144</v>
      </c>
      <c r="AH11" s="15" t="n">
        <v>0.5277777777777778</v>
      </c>
      <c r="AI11" s="15" t="n">
        <v>2549.882512449725</v>
      </c>
      <c r="AJ11" s="15" t="n">
        <v>39</v>
      </c>
      <c r="AK11" s="15" t="n">
        <v>37</v>
      </c>
      <c r="AL11" s="15" t="n">
        <v>0.9910952835241937</v>
      </c>
      <c r="AM11" s="15" t="n">
        <v>74</v>
      </c>
      <c r="AN11" s="15" t="n">
        <v>0</v>
      </c>
      <c r="AO11" s="15" t="n">
        <v>74</v>
      </c>
      <c r="AP11" s="15" t="n">
        <v>0</v>
      </c>
      <c r="AQ11" s="15" t="n">
        <v>75.79561177275113</v>
      </c>
      <c r="AR11" s="15" t="n">
        <v>49.29960567316789</v>
      </c>
      <c r="AS11" s="15" t="n">
        <v>0.6497116593412743</v>
      </c>
      <c r="AT11" s="17" t="n">
        <v>2.951118623714529</v>
      </c>
      <c r="AU11" s="18" t="n">
        <v>85.97424731895747</v>
      </c>
      <c r="AV11" s="15" t="n">
        <v>91.29828260089177</v>
      </c>
      <c r="AW11" s="15" t="b">
        <v>1</v>
      </c>
      <c r="AX11" s="15" t="n">
        <v>50.27501483859729</v>
      </c>
      <c r="AY11" s="15" t="n">
        <v>40.73034410527102</v>
      </c>
      <c r="AZ11" s="15" t="n">
        <v>0</v>
      </c>
      <c r="BA11" s="15" t="n">
        <v>1</v>
      </c>
      <c r="BB11" s="15" t="n">
        <v>0.5</v>
      </c>
      <c r="BC11" s="15" t="n">
        <v>0.25</v>
      </c>
      <c r="BD11" s="15" t="inlineStr">
        <is>
          <t>his_note_adaptive</t>
        </is>
      </c>
      <c r="BE11" s="15" t="n">
        <v>-90</v>
      </c>
      <c r="BF11" s="15" t="n">
        <v>20000</v>
      </c>
      <c r="BG11" s="15" t="n">
        <v>76</v>
      </c>
      <c r="BH11" s="15" t="n">
        <v>0.5277777777777778</v>
      </c>
      <c r="BI11" s="15" t="n">
        <v>144</v>
      </c>
      <c r="BJ11" s="15" t="n">
        <v>76</v>
      </c>
      <c r="BK11" s="15" t="n">
        <v>144</v>
      </c>
      <c r="BL11" s="15" t="n">
        <v>128</v>
      </c>
      <c r="BM11" s="15" t="n">
        <v>0.8888888888888888</v>
      </c>
      <c r="BN11" s="15" t="n">
        <v>0.4869675462640795</v>
      </c>
      <c r="BO11" s="15" t="n">
        <v>0.6166666666666667</v>
      </c>
      <c r="BP11" s="19" t="n">
        <v>0.926525981362366</v>
      </c>
      <c r="BQ11" s="19" t="n">
        <v>0.07347343842146963</v>
      </c>
      <c r="BR11" s="19" t="n">
        <v>5.802161643005381e-07</v>
      </c>
      <c r="BS11" s="15" t="n">
        <v>0.04890158818837706</v>
      </c>
      <c r="BT11" s="19" t="n">
        <v>0.9999993737727677</v>
      </c>
      <c r="BU11" s="19" t="n">
        <v>0</v>
      </c>
      <c r="BV11" s="19" t="n">
        <v>6.262272322900485e-07</v>
      </c>
      <c r="BW11" t="inlineStr">
        <is>
          <t>C#3</t>
        </is>
      </c>
      <c r="BX11" t="n">
        <v>49</v>
      </c>
      <c r="BY11" t="inlineStr">
        <is>
          <t>C#</t>
        </is>
      </c>
      <c r="BZ11" t="n">
        <v>3</v>
      </c>
      <c r="CA11" t="inlineStr">
        <is>
          <t>Middle</t>
        </is>
      </c>
      <c r="CB11" t="inlineStr">
        <is>
          <t>ff</t>
        </is>
      </c>
      <c r="CC11" s="15" t="n">
        <v>138.591315488436</v>
      </c>
      <c r="CD11" s="15" t="n">
        <v>138.6976376467761</v>
      </c>
      <c r="CE11" t="inlineStr">
        <is>
          <t>prior_constrained_harmonic_fit</t>
        </is>
      </c>
      <c r="CF11" t="n">
        <v>138.6976376467761</v>
      </c>
      <c r="CG11" s="15" t="n">
        <v>1</v>
      </c>
      <c r="CH11" t="inlineStr">
        <is>
          <t>free_fit_acoustically_verified</t>
        </is>
      </c>
      <c r="CI11" s="15" t="inlineStr">
        <is>
          <t>free_f0_fit</t>
        </is>
      </c>
      <c r="CJ11" s="15" t="n">
        <v>138.591315488436</v>
      </c>
      <c r="CK11" s="15" t="n">
        <v>138.6976376467761</v>
      </c>
      <c r="CL11" s="15" t="n">
        <v>1.327629879431333</v>
      </c>
      <c r="CM11" s="15" t="n">
        <v>20000</v>
      </c>
      <c r="CN11" s="15" t="n">
        <v>1.327629879431333</v>
      </c>
      <c r="CO11" s="15" t="n">
        <v>2.605536248813881</v>
      </c>
      <c r="CP11" s="15" t="n">
        <v>38792.58534093059</v>
      </c>
      <c r="CQ11" t="n">
        <v>11.49714204332829</v>
      </c>
      <c r="CR11" t="n">
        <v>0.07984126418977978</v>
      </c>
      <c r="CS11" t="n">
        <v>269.3929537530818</v>
      </c>
      <c r="CT11" t="n">
        <v>269.3931224543913</v>
      </c>
      <c r="CU11" t="n">
        <v>3097.24905477095</v>
      </c>
      <c r="CV11" t="n">
        <v>0.7773691384890791</v>
      </c>
      <c r="CW11" s="15" t="n">
        <v>38792.60963343234</v>
      </c>
      <c r="CX11" s="15" t="n">
        <v>174.2170201204706</v>
      </c>
      <c r="CY11" s="15" t="n">
        <v>0.7773691384890791</v>
      </c>
      <c r="CZ11" s="15" t="n">
        <v>2.951118717985401</v>
      </c>
      <c r="DA11" s="15" t="n">
        <v>2.951120079247437</v>
      </c>
      <c r="DB11" s="15" t="n">
        <v>1.817258370770683</v>
      </c>
      <c r="DC11" s="15" t="n">
        <v>0</v>
      </c>
      <c r="DD11" s="15" t="n">
        <v>7.607429853023061e-05</v>
      </c>
      <c r="DE11" s="15" t="n">
        <v>0</v>
      </c>
      <c r="DF11" s="15" t="n">
        <v>38</v>
      </c>
      <c r="DG11" s="15" t="inlineStr">
        <is>
          <t>Density_Metrics</t>
        </is>
      </c>
      <c r="DH11" s="15" t="n">
        <v>2.605536248813881</v>
      </c>
      <c r="DI11" t="n">
        <v>0.9616131873931344</v>
      </c>
      <c r="DJ11" s="15" t="n">
        <v>0.5967200686212799</v>
      </c>
      <c r="DK11" s="15" t="n">
        <v>5.395209783857141</v>
      </c>
      <c r="DL11" s="15" t="n">
        <v>11.60099155450218</v>
      </c>
      <c r="DM11" s="15" t="n">
        <v>7.516260669956565</v>
      </c>
      <c r="DN11" s="15" t="n">
        <v>16.96385917331132</v>
      </c>
      <c r="DO11" s="15" t="n">
        <v>0.2049676840765251</v>
      </c>
      <c r="DP11" s="15" t="n">
        <v>4.625</v>
      </c>
      <c r="DQ11" s="15" t="n">
        <v>76</v>
      </c>
      <c r="DR11" s="15" t="b">
        <v>1</v>
      </c>
      <c r="DS11" s="15" t="n">
        <v>11.49714204332829</v>
      </c>
      <c r="DT11" s="15" t="n">
        <v>119.9127904718301</v>
      </c>
      <c r="DU11" t="n">
        <v>144</v>
      </c>
      <c r="DV11" s="15" t="n">
        <v>0.04890158818837706</v>
      </c>
      <c r="DW11" s="15" t="n">
        <v>2.804445053989115</v>
      </c>
      <c r="DX11" s="15" t="n">
        <v>3.062872425725405</v>
      </c>
      <c r="DY11" s="15" t="n">
        <v>0.02195201125511118</v>
      </c>
      <c r="DZ11" s="15" t="b">
        <v>0</v>
      </c>
      <c r="EA11" s="15" t="n">
        <v>0.5994637210910819</v>
      </c>
      <c r="EB11" s="15" t="n">
        <v>20000</v>
      </c>
      <c r="EC11" s="15" t="n">
        <v>5270.510230577492</v>
      </c>
      <c r="ED11" s="15" t="n">
        <v>38</v>
      </c>
      <c r="EE11" s="15" t="n">
        <v>13</v>
      </c>
      <c r="EF11" s="15" t="n">
        <v>0.03884298783280673</v>
      </c>
      <c r="EG11" s="15" t="b">
        <v>0</v>
      </c>
      <c r="EH11" s="15" t="b">
        <v>1</v>
      </c>
      <c r="EI11" s="15" t="b">
        <v>0</v>
      </c>
      <c r="EJ11" s="15" t="inlineStr">
        <is>
          <t>wf=log|dst=-90.0|ceil=20000.0|fft=adaptive_tier</t>
        </is>
      </c>
      <c r="EK11" s="15" t="inlineStr">
        <is>
          <t>wf=log|dst=runtime_configured|ceil=runtime_configured|fft=fixed</t>
        </is>
      </c>
      <c r="EL11" s="15" t="n">
        <v>0.6149236648867141</v>
      </c>
      <c r="EM11" s="15" t="n">
        <v>0.9818943195376584</v>
      </c>
      <c r="EN11" s="15" t="n">
        <v>0.2620689655172414</v>
      </c>
      <c r="EO11" s="15" t="n">
        <v>0.4067354158186668</v>
      </c>
      <c r="EP11" s="15" t="inlineStr">
        <is>
          <t>warn:power_outlier_detected</t>
        </is>
      </c>
      <c r="EQ11" s="15" t="n">
        <v>277.4754443767287</v>
      </c>
      <c r="ER11" s="15" t="inlineStr">
        <is>
          <t>winsorize_p95_for_robust_diagnostics</t>
        </is>
      </c>
      <c r="ES11" s="15" t="n">
        <v>0.09237207750041899</v>
      </c>
      <c r="ET11" s="15" t="n">
        <v>0.02712984869903943</v>
      </c>
      <c r="EU11" s="15" t="n">
        <v>0.08689524261567136</v>
      </c>
      <c r="EV11" t="inlineStr">
        <is>
          <t>computed</t>
        </is>
      </c>
      <c r="EW11" s="15" t="inlineStr">
        <is>
          <t>computed</t>
        </is>
      </c>
      <c r="EX11" s="15" t="inlineStr">
        <is>
          <t>computed</t>
        </is>
      </c>
      <c r="EY11" s="15" t="inlineStr">
        <is>
          <t>available_from_curve</t>
        </is>
      </c>
      <c r="EZ11" s="15" t="n">
        <v>20000</v>
      </c>
      <c r="FA11" s="15" t="n">
        <v>20000</v>
      </c>
      <c r="FB11" s="15" t="n">
        <v>0.07347343842146963</v>
      </c>
      <c r="FC11" s="15" t="n">
        <v>0.8339785761502648</v>
      </c>
      <c r="FD11" s="15" t="n">
        <v>2.951120079247437</v>
      </c>
      <c r="FE11" s="15" t="n">
        <v>1.817258370770683</v>
      </c>
      <c r="FF11" s="15" t="n">
        <v>0.6268313338390218</v>
      </c>
      <c r="FG11" s="15" t="n">
        <v>2.262446722071626</v>
      </c>
      <c r="FH11" s="15" t="n">
        <v>0.3004456012270807</v>
      </c>
      <c r="FI11" s="15" t="n">
        <v>0.04264392551517396</v>
      </c>
      <c r="FJ11" s="15" t="n">
        <v>38792.60963343234</v>
      </c>
      <c r="FK11" s="15" t="n">
        <v>174.2170201204706</v>
      </c>
      <c r="FL11" s="15" t="n">
        <v>0.7773691384890791</v>
      </c>
      <c r="FM11" s="15" t="n">
        <v>0.00435638567589553</v>
      </c>
      <c r="FN11" t="n">
        <v>0.9999993737727677</v>
      </c>
      <c r="FO11" t="n">
        <v>0</v>
      </c>
      <c r="FP11" t="n">
        <v>6.262272322900485e-07</v>
      </c>
      <c r="FQ11" t="inlineStr">
        <is>
          <t>excellent</t>
        </is>
      </c>
      <c r="FR11" s="19" t="n">
        <v>0.8888888888888888</v>
      </c>
      <c r="FS11" s="15" t="n">
        <v>3.338046206053059</v>
      </c>
      <c r="FT11" s="15" t="n">
        <v>17.8596333445335</v>
      </c>
      <c r="FU11" t="inlineStr">
        <is>
          <t>passed</t>
        </is>
      </c>
      <c r="FV11" t="n">
        <v>892.5525103140776</v>
      </c>
      <c r="FW11" t="n">
        <v>64.65357368322009</v>
      </c>
      <c r="FX11" t="n">
        <v>3.234784685433408</v>
      </c>
      <c r="FY11" t="n">
        <v>0.6966486005025261</v>
      </c>
      <c r="FZ11" t="n">
        <v>0.6820392092174798</v>
      </c>
      <c r="GA11" t="n">
        <v>0.478313043169294</v>
      </c>
      <c r="GB11" t="n">
        <v>0.657994496044813</v>
      </c>
      <c r="GC11" t="n">
        <v>0.6625167690046144</v>
      </c>
      <c r="GD11" t="n">
        <v>0.6386442361294948</v>
      </c>
      <c r="GE11" t="n">
        <v>0.5077865303876529</v>
      </c>
      <c r="GF11" t="n">
        <v>0.7126545162113518</v>
      </c>
      <c r="GG11" t="n">
        <v>0.1814486942161533</v>
      </c>
      <c r="GH11" t="n">
        <v>0.6080420668137035</v>
      </c>
      <c r="GI11" t="n">
        <v>0.2255769688317868</v>
      </c>
      <c r="GJ11" t="n">
        <v>0.8896551724137927</v>
      </c>
      <c r="GK11" t="n">
        <v>0.851063829787234</v>
      </c>
      <c r="GL11" t="n">
        <v>0.1198301581670379</v>
      </c>
      <c r="GM11" t="n">
        <v>0.1198301581670379</v>
      </c>
      <c r="GN11" t="n">
        <v>0.914161214596401</v>
      </c>
      <c r="GO11" t="n">
        <v>0.6511188492921383</v>
      </c>
      <c r="GP11" t="n">
        <v>3097.24905477095</v>
      </c>
      <c r="GQ11" t="inlineStr">
        <is>
          <t>compiled workbook density_weighted_sum = density_component_ratio_weighted_sum (per-note component ratios); research density_weighted_sum maps body-ceiling richness</t>
        </is>
      </c>
      <c r="GR11" s="15" t="inlineStr">
        <is>
          <t>individual_exact</t>
        </is>
      </c>
      <c r="GS11" s="15" t="inlineStr">
        <is>
          <t>density_weight</t>
        </is>
      </c>
      <c r="GT11" s="15" t="n">
        <v>0.8978058863755609</v>
      </c>
      <c r="GU11" s="15" t="n">
        <v>0.1021941136244391</v>
      </c>
      <c r="GV11" s="15" t="n">
        <v>0</v>
      </c>
      <c r="GW11" s="15" t="inlineStr">
        <is>
          <t>log</t>
        </is>
      </c>
      <c r="GX11" s="15" t="n">
        <v>0.5</v>
      </c>
      <c r="GY11" s="15" t="inlineStr">
        <is>
          <t>EWSD-R v18.1</t>
        </is>
      </c>
      <c r="GZ11" s="15" t="n">
        <v>79.3475634187116</v>
      </c>
      <c r="HA11" s="15" t="n">
        <v>104.9927582832444</v>
      </c>
      <c r="HB11" s="15" t="n">
        <v>0.07797547290360073</v>
      </c>
      <c r="HC11" s="15" t="n">
        <v>85.61698602310024</v>
      </c>
      <c r="HD11" s="15" t="n">
        <v>109.8115438482966</v>
      </c>
      <c r="HE11" s="15" t="n">
        <v>0.06943129108116536</v>
      </c>
      <c r="HF11" s="15" t="inlineStr">
        <is>
          <t>partials+ratios</t>
        </is>
      </c>
      <c r="HG11" s="15" t="inlineStr">
        <is>
          <t>merged_individual_exact</t>
        </is>
      </c>
      <c r="HH11" s="15" t="inlineStr">
        <is>
          <t>passed</t>
        </is>
      </c>
      <c r="HI11" s="15" t="inlineStr">
        <is>
          <t>passed</t>
        </is>
      </c>
    </row>
    <row r="12">
      <c r="A12" t="inlineStr">
        <is>
          <t>incomplete_inference</t>
        </is>
      </c>
      <c r="B12" t="inlineStr">
        <is>
          <t>missing_instrument_technique</t>
        </is>
      </c>
      <c r="C12" t="inlineStr">
        <is>
          <t>prior_constrained_harmonic_fit</t>
        </is>
      </c>
      <c r="D12" t="inlineStr">
        <is>
          <t>IOWA_Trb.T_ff.D3_SustainStable/D3/component_amplitude_mass_pie.png</t>
        </is>
      </c>
      <c r="E12" t="inlineStr">
        <is>
          <t>IOWA_Trb.T_ff.D3_SustainStable/D3/component_energy_ratio_pie.png</t>
        </is>
      </c>
      <c r="F12" s="15" t="n">
        <v>146.5084107364859</v>
      </c>
      <c r="G12" s="15" t="inlineStr">
        <is>
          <t>prior_constrained_harmonic_fit</t>
        </is>
      </c>
      <c r="H12" s="15" t="inlineStr">
        <is>
          <t>fit_accepted_acoustically_verified</t>
        </is>
      </c>
      <c r="I12" s="16" t="n">
        <v>3187.684033743897</v>
      </c>
      <c r="J12" t="inlineStr">
        <is>
          <t>richness_weighted_body_density_body_ceiling</t>
        </is>
      </c>
      <c r="K12" t="inlineStr">
        <is>
          <t>research_body_ceiling_richness_metric</t>
        </is>
      </c>
      <c r="L12" s="15" t="n">
        <v>39056.11524472891</v>
      </c>
      <c r="M12" s="15" t="n">
        <v>39056.16287326733</v>
      </c>
      <c r="N12" s="15" t="n">
        <v>168.9551303428249</v>
      </c>
      <c r="O12" s="15" t="n">
        <v>0.7953273972367778</v>
      </c>
      <c r="P12" s="15" t="n">
        <v>-0.7305235346941298</v>
      </c>
      <c r="Q12" s="15" t="n">
        <v>80</v>
      </c>
      <c r="R12" s="15" t="n">
        <v>108</v>
      </c>
      <c r="S12" s="15" t="n">
        <v>39056.17562810284</v>
      </c>
      <c r="T12" s="15" t="n">
        <v>137</v>
      </c>
      <c r="U12" s="15" t="n">
        <v>0.32651633677804</v>
      </c>
      <c r="V12" s="15" t="n">
        <v>150.530486210617</v>
      </c>
      <c r="W12" s="15" t="n">
        <v>0.6169770019233224</v>
      </c>
      <c r="X12" s="15" t="n">
        <v>0.8925798691657673</v>
      </c>
      <c r="Y12" s="15" t="n">
        <v>81</v>
      </c>
      <c r="Z12" s="15" t="n">
        <v>136</v>
      </c>
      <c r="AA12" s="15" t="n">
        <v>0.5955882352941176</v>
      </c>
      <c r="AB12" s="15" t="n">
        <v>136</v>
      </c>
      <c r="AC12" s="15" t="n">
        <v>81</v>
      </c>
      <c r="AD12" s="15" t="n">
        <v>0.5955882352941176</v>
      </c>
      <c r="AE12" s="15" t="n">
        <v>2587.109648840002</v>
      </c>
      <c r="AF12" s="15" t="n">
        <v>81</v>
      </c>
      <c r="AG12" s="15" t="n">
        <v>136</v>
      </c>
      <c r="AH12" s="15" t="n">
        <v>0.5955882352941176</v>
      </c>
      <c r="AI12" s="15" t="n">
        <v>2587.109648840002</v>
      </c>
      <c r="AJ12" s="15" t="n">
        <v>41</v>
      </c>
      <c r="AK12" s="15" t="n">
        <v>40</v>
      </c>
      <c r="AL12" s="15" t="n">
        <v>1.28069691064546</v>
      </c>
      <c r="AM12" s="15" t="n">
        <v>73</v>
      </c>
      <c r="AN12" s="15" t="n">
        <v>0</v>
      </c>
      <c r="AO12" s="15" t="n">
        <v>73</v>
      </c>
      <c r="AP12" s="15" t="n">
        <v>0</v>
      </c>
      <c r="AQ12" s="15" t="n">
        <v>80.3655305285243</v>
      </c>
      <c r="AR12" s="15" t="n">
        <v>51.75646396104724</v>
      </c>
      <c r="AS12" s="15" t="n">
        <v>0.6930325864141264</v>
      </c>
      <c r="AT12" s="17" t="n">
        <v>2.968124665701676</v>
      </c>
      <c r="AU12" s="18" t="n">
        <v>69.51360248788461</v>
      </c>
      <c r="AV12" s="15" t="n">
        <v>90.61394134642852</v>
      </c>
      <c r="AW12" s="15" t="b">
        <v>1</v>
      </c>
      <c r="AX12" s="15" t="n">
        <v>52.77858414976544</v>
      </c>
      <c r="AY12" s="15" t="n">
        <v>39.89071187637278</v>
      </c>
      <c r="AZ12" s="15" t="n">
        <v>0</v>
      </c>
      <c r="BA12" s="15" t="n">
        <v>1</v>
      </c>
      <c r="BB12" s="15" t="n">
        <v>0.5</v>
      </c>
      <c r="BC12" s="15" t="n">
        <v>0.25</v>
      </c>
      <c r="BD12" s="15" t="inlineStr">
        <is>
          <t>his_note_adaptive</t>
        </is>
      </c>
      <c r="BE12" s="15" t="n">
        <v>-90</v>
      </c>
      <c r="BF12" s="15" t="n">
        <v>20000</v>
      </c>
      <c r="BG12" s="15" t="n">
        <v>81</v>
      </c>
      <c r="BH12" s="15" t="n">
        <v>0.5955882352941176</v>
      </c>
      <c r="BI12" s="15" t="n">
        <v>136</v>
      </c>
      <c r="BJ12" s="15" t="n">
        <v>81</v>
      </c>
      <c r="BK12" s="15" t="n">
        <v>136</v>
      </c>
      <c r="BL12" s="15" t="n">
        <v>119</v>
      </c>
      <c r="BM12" s="15" t="n">
        <v>0.875</v>
      </c>
      <c r="BN12" s="15" t="n">
        <v>0.5124391784022719</v>
      </c>
      <c r="BO12" s="15" t="n">
        <v>0.6083333333333333</v>
      </c>
      <c r="BP12" s="19" t="n">
        <v>0.9358755939141176</v>
      </c>
      <c r="BQ12" s="19" t="n">
        <v>0.06412326477179818</v>
      </c>
      <c r="BR12" s="19" t="n">
        <v>1.141314084347396e-06</v>
      </c>
      <c r="BS12" s="15" t="n">
        <v>0.04168104402481188</v>
      </c>
      <c r="BT12" s="19" t="n">
        <v>0.9999987804867443</v>
      </c>
      <c r="BU12" s="19" t="n">
        <v>0</v>
      </c>
      <c r="BV12" s="19" t="n">
        <v>1.219513255737788e-06</v>
      </c>
      <c r="BW12" t="inlineStr">
        <is>
          <t>D3</t>
        </is>
      </c>
      <c r="BX12" t="n">
        <v>50</v>
      </c>
      <c r="BY12" t="inlineStr">
        <is>
          <t>D</t>
        </is>
      </c>
      <c r="BZ12" t="n">
        <v>3</v>
      </c>
      <c r="CA12" t="inlineStr">
        <is>
          <t>Middle</t>
        </is>
      </c>
      <c r="CB12" t="inlineStr">
        <is>
          <t>ff</t>
        </is>
      </c>
      <c r="CC12" s="15" t="n">
        <v>146.8323839587038</v>
      </c>
      <c r="CD12" s="15" t="n">
        <v>146.5084107364859</v>
      </c>
      <c r="CE12" t="inlineStr">
        <is>
          <t>prior_constrained_harmonic_fit</t>
        </is>
      </c>
      <c r="CF12" t="n">
        <v>146.5084107364859</v>
      </c>
      <c r="CG12" s="15" t="n">
        <v>1</v>
      </c>
      <c r="CH12" t="inlineStr">
        <is>
          <t>free_fit_acoustically_verified</t>
        </is>
      </c>
      <c r="CI12" s="15" t="inlineStr">
        <is>
          <t>free_f0_fit</t>
        </is>
      </c>
      <c r="CJ12" s="15" t="n">
        <v>146.8323839587038</v>
      </c>
      <c r="CK12" s="15" t="n">
        <v>146.5084107364859</v>
      </c>
      <c r="CL12" s="15" t="n">
        <v>-3.824041602638717</v>
      </c>
      <c r="CM12" s="15" t="n">
        <v>20000</v>
      </c>
      <c r="CN12" s="15" t="n">
        <v>-3.824041602638717</v>
      </c>
      <c r="CO12" s="15" t="n">
        <v>2.617616507858328</v>
      </c>
      <c r="CP12" s="15" t="n">
        <v>39056.11524472891</v>
      </c>
      <c r="CQ12" t="n">
        <v>11.10005503321136</v>
      </c>
      <c r="CR12" t="n">
        <v>0.08161805171478943</v>
      </c>
      <c r="CS12" t="n">
        <v>287.1773179688161</v>
      </c>
      <c r="CT12" t="n">
        <v>287.1776681857892</v>
      </c>
      <c r="CU12" t="n">
        <v>3187.684033743897</v>
      </c>
      <c r="CV12" t="n">
        <v>0.7953273972367778</v>
      </c>
      <c r="CW12" s="15" t="n">
        <v>39056.16287326733</v>
      </c>
      <c r="CX12" s="15" t="n">
        <v>168.9551303428249</v>
      </c>
      <c r="CY12" s="15" t="n">
        <v>0.7953273972367778</v>
      </c>
      <c r="CZ12" s="15" t="n">
        <v>2.968124841967775</v>
      </c>
      <c r="DA12" s="15" t="n">
        <v>2.968127491726293</v>
      </c>
      <c r="DB12" s="15" t="n">
        <v>1.801603601045641</v>
      </c>
      <c r="DC12" s="15" t="n">
        <v>0</v>
      </c>
      <c r="DD12" s="15" t="n">
        <v>7.599641754867978e-05</v>
      </c>
      <c r="DE12" s="15" t="n">
        <v>0</v>
      </c>
      <c r="DF12" s="15" t="n">
        <v>80</v>
      </c>
      <c r="DG12" s="15" t="inlineStr">
        <is>
          <t>Density_Metrics</t>
        </is>
      </c>
      <c r="DH12" s="15" t="n">
        <v>2.617616507858328</v>
      </c>
      <c r="DI12" t="n">
        <v>0.9660715926099313</v>
      </c>
      <c r="DJ12" s="15" t="n">
        <v>0.5985853078308895</v>
      </c>
      <c r="DK12" s="15" t="n">
        <v>5.420520413847616</v>
      </c>
      <c r="DL12" s="15" t="n">
        <v>11.19665219497045</v>
      </c>
      <c r="DM12" s="15" t="n">
        <v>7.010412238081907</v>
      </c>
      <c r="DN12" s="15" t="n">
        <v>17.65429214913614</v>
      </c>
      <c r="DO12" s="15" t="n">
        <v>0.2427223094807594</v>
      </c>
      <c r="DP12" s="15" t="n">
        <v>3.1875</v>
      </c>
      <c r="DQ12" s="15" t="n">
        <v>119</v>
      </c>
      <c r="DR12" s="15" t="b">
        <v>1</v>
      </c>
      <c r="DS12" s="15" t="n">
        <v>11.10005503321136</v>
      </c>
      <c r="DT12" s="15" t="n">
        <v>121.3908622065443</v>
      </c>
      <c r="DU12" t="n">
        <v>136</v>
      </c>
      <c r="DV12" s="15" t="n">
        <v>0.04168104402481188</v>
      </c>
      <c r="DW12" s="15" t="n">
        <v>2.780456040433497</v>
      </c>
      <c r="DX12" s="15" t="n">
        <v>3.096160917633531</v>
      </c>
      <c r="DY12" s="15" t="n">
        <v>0.02756270064428882</v>
      </c>
      <c r="DZ12" s="15" t="b">
        <v>1</v>
      </c>
      <c r="EA12" s="15" t="n">
        <v>0.6283356219081341</v>
      </c>
      <c r="EB12" s="15" t="n">
        <v>20000</v>
      </c>
      <c r="EC12" s="15" t="n">
        <v>11720.67285891887</v>
      </c>
      <c r="ED12" s="15" t="n">
        <v>80</v>
      </c>
      <c r="EE12" s="15" t="n">
        <v>0</v>
      </c>
      <c r="EF12" s="15" t="n">
        <v>0.03666289844319384</v>
      </c>
      <c r="EG12" s="15" t="b">
        <v>0</v>
      </c>
      <c r="EH12" s="15" t="b">
        <v>1</v>
      </c>
      <c r="EI12" s="15" t="b">
        <v>0</v>
      </c>
      <c r="EJ12" s="15" t="inlineStr">
        <is>
          <t>wf=log|dst=-90.0|ceil=20000.0|fft=adaptive_tier</t>
        </is>
      </c>
      <c r="EK12" s="15" t="inlineStr">
        <is>
          <t>wf=log|dst=runtime_configured|ceil=runtime_configured|fft=fixed</t>
        </is>
      </c>
      <c r="EL12" s="15" t="n">
        <v>0.7261482278478084</v>
      </c>
      <c r="EM12" s="15" t="n">
        <v>0.9839004668290178</v>
      </c>
      <c r="EN12" s="15" t="n">
        <v>0.583941605839416</v>
      </c>
      <c r="EO12" s="15" t="n">
        <v>0.3950672786547739</v>
      </c>
      <c r="EP12" s="15" t="inlineStr">
        <is>
          <t>warn:power_outlier_detected</t>
        </is>
      </c>
      <c r="EQ12" s="15" t="n">
        <v>329.7930085336395</v>
      </c>
      <c r="ER12" s="15" t="inlineStr">
        <is>
          <t>winsorize_p95_for_robust_diagnostics</t>
        </is>
      </c>
      <c r="ES12" s="15" t="n">
        <v>0.0940085596078182</v>
      </c>
      <c r="ET12" s="15" t="n">
        <v>0.04135245890335535</v>
      </c>
      <c r="EU12" s="15" t="n">
        <v>0.1031944691943069</v>
      </c>
      <c r="EV12" t="inlineStr">
        <is>
          <t>computed</t>
        </is>
      </c>
      <c r="EW12" s="15" t="inlineStr">
        <is>
          <t>computed</t>
        </is>
      </c>
      <c r="EX12" s="15" t="inlineStr">
        <is>
          <t>computed</t>
        </is>
      </c>
      <c r="EY12" s="15" t="inlineStr">
        <is>
          <t>available_from_curve</t>
        </is>
      </c>
      <c r="EZ12" s="15" t="n">
        <v>20000</v>
      </c>
      <c r="FA12" s="15" t="n">
        <v>20000</v>
      </c>
      <c r="FB12" s="15" t="n">
        <v>0.06412326477179818</v>
      </c>
      <c r="FC12" s="15" t="n">
        <v>0.820648847050142</v>
      </c>
      <c r="FD12" s="15" t="n">
        <v>2.968127491726293</v>
      </c>
      <c r="FE12" s="15" t="n">
        <v>1.801603601045641</v>
      </c>
      <c r="FF12" s="15" t="n">
        <v>0.6507893210756819</v>
      </c>
      <c r="FG12" s="15" t="n">
        <v>2.275485284915711</v>
      </c>
      <c r="FH12" s="15" t="n">
        <v>0.2978574130102796</v>
      </c>
      <c r="FI12" s="15" t="n">
        <v>0.0442738099323368</v>
      </c>
      <c r="FJ12" s="15" t="n">
        <v>39056.16287326733</v>
      </c>
      <c r="FK12" s="15" t="n">
        <v>168.9551303428249</v>
      </c>
      <c r="FL12" s="15" t="n">
        <v>0.7953273972367778</v>
      </c>
      <c r="FM12" s="15" t="n">
        <v>0.003872782861850502</v>
      </c>
      <c r="FN12" t="n">
        <v>0.9999987804867443</v>
      </c>
      <c r="FO12" t="n">
        <v>0</v>
      </c>
      <c r="FP12" t="n">
        <v>1.219513255737788e-06</v>
      </c>
      <c r="FQ12" t="inlineStr">
        <is>
          <t>excellent</t>
        </is>
      </c>
      <c r="FR12" s="19" t="n">
        <v>0.875</v>
      </c>
      <c r="FS12" s="15" t="n">
        <v>2.44057460744336</v>
      </c>
      <c r="FT12" s="15" t="n">
        <v>17.13138836056068</v>
      </c>
      <c r="FU12" t="inlineStr">
        <is>
          <t>passed</t>
        </is>
      </c>
      <c r="FV12" t="n">
        <v>928.2391346939787</v>
      </c>
      <c r="FW12" t="n">
        <v>62.32914155017307</v>
      </c>
      <c r="FX12" t="n">
        <v>3.474961683700424</v>
      </c>
      <c r="FY12" t="n">
        <v>0.7318811027655634</v>
      </c>
      <c r="FZ12" t="n">
        <v>0.7033433763010144</v>
      </c>
      <c r="GA12" t="n">
        <v>0.5030158465426541</v>
      </c>
      <c r="GB12" t="n">
        <v>0.6270241727855433</v>
      </c>
      <c r="GC12" t="n">
        <v>0.631650804471811</v>
      </c>
      <c r="GD12" t="n">
        <v>0.6475490605376752</v>
      </c>
      <c r="GE12" t="n">
        <v>0.3422847273718598</v>
      </c>
      <c r="GF12" t="n">
        <v>0.8065944132381306</v>
      </c>
      <c r="GG12" t="n">
        <v>0.09941738720145564</v>
      </c>
      <c r="GH12" t="n">
        <v>0.561932244896726</v>
      </c>
      <c r="GI12" t="n">
        <v>0.3591069404207078</v>
      </c>
      <c r="GJ12" t="n">
        <v>0.8068965517241378</v>
      </c>
      <c r="GK12" t="n">
        <v>0.8297872340425529</v>
      </c>
      <c r="GL12" t="n">
        <v>0.06658062437503384</v>
      </c>
      <c r="GM12" t="n">
        <v>0.06658062437503384</v>
      </c>
      <c r="GN12" t="n">
        <v>0.8863404431219972</v>
      </c>
      <c r="GO12" t="n">
        <v>0.7048171180027935</v>
      </c>
      <c r="GP12" t="n">
        <v>3187.684033743897</v>
      </c>
      <c r="GQ12" t="inlineStr">
        <is>
          <t>compiled workbook density_weighted_sum = density_component_ratio_weighted_sum (per-note component ratios); research density_weighted_sum maps body-ceiling richness</t>
        </is>
      </c>
      <c r="GR12" s="15" t="inlineStr">
        <is>
          <t>individual_exact</t>
        </is>
      </c>
      <c r="GS12" s="15" t="inlineStr">
        <is>
          <t>density_weight</t>
        </is>
      </c>
      <c r="GT12" s="15" t="n">
        <v>0.9206913160655383</v>
      </c>
      <c r="GU12" s="15" t="n">
        <v>0.07930868393446168</v>
      </c>
      <c r="GV12" s="15" t="n">
        <v>0</v>
      </c>
      <c r="GW12" s="15" t="inlineStr">
        <is>
          <t>log</t>
        </is>
      </c>
      <c r="GX12" s="15" t="n">
        <v>0.5</v>
      </c>
      <c r="GY12" s="15" t="inlineStr">
        <is>
          <t>EWSD-R v18.1</t>
        </is>
      </c>
      <c r="GZ12" s="15" t="n">
        <v>51.87648922948332</v>
      </c>
      <c r="HA12" s="15" t="n">
        <v>96.87405030734443</v>
      </c>
      <c r="HB12" s="15" t="n">
        <v>0.1587404519988581</v>
      </c>
      <c r="HC12" s="15" t="n">
        <v>71.50062361740585</v>
      </c>
      <c r="HD12" s="15" t="n">
        <v>120.4832813445041</v>
      </c>
      <c r="HE12" s="15" t="n">
        <v>0.1312299695349727</v>
      </c>
      <c r="HF12" s="15" t="inlineStr">
        <is>
          <t>partials+ratios</t>
        </is>
      </c>
      <c r="HG12" s="15" t="inlineStr">
        <is>
          <t>merged_individual_exact</t>
        </is>
      </c>
      <c r="HH12" s="15" t="inlineStr">
        <is>
          <t>passed</t>
        </is>
      </c>
      <c r="HI12" s="15" t="inlineStr">
        <is>
          <t>passed</t>
        </is>
      </c>
    </row>
    <row r="13">
      <c r="A13" t="inlineStr">
        <is>
          <t>incomplete_inference</t>
        </is>
      </c>
      <c r="B13" t="inlineStr">
        <is>
          <t>missing_instrument_technique</t>
        </is>
      </c>
      <c r="C13" t="inlineStr">
        <is>
          <t>prior_constrained_harmonic_fit</t>
        </is>
      </c>
      <c r="D13" t="inlineStr">
        <is>
          <t>IOWA_Trb.T_ff.D#3_SustainStable/D#3/component_amplitude_mass_pie.png</t>
        </is>
      </c>
      <c r="E13" t="inlineStr">
        <is>
          <t>IOWA_Trb.T_ff.D#3_SustainStable/D#3/component_energy_ratio_pie.png</t>
        </is>
      </c>
      <c r="F13" s="15" t="n">
        <v>155.4344744903509</v>
      </c>
      <c r="G13" s="15" t="inlineStr">
        <is>
          <t>prior_constrained_harmonic_fit</t>
        </is>
      </c>
      <c r="H13" s="15" t="inlineStr">
        <is>
          <t>fit_accepted_acoustically_verified</t>
        </is>
      </c>
      <c r="I13" s="16" t="n">
        <v>3230.505971461748</v>
      </c>
      <c r="J13" t="inlineStr">
        <is>
          <t>richness_weighted_body_density_body_ceiling</t>
        </is>
      </c>
      <c r="K13" t="inlineStr">
        <is>
          <t>research_body_ceiling_richness_metric</t>
        </is>
      </c>
      <c r="L13" s="15" t="n">
        <v>39253.52639010602</v>
      </c>
      <c r="M13" s="15" t="n">
        <v>39253.55954263236</v>
      </c>
      <c r="N13" s="15" t="n">
        <v>273.4698586208182</v>
      </c>
      <c r="O13" s="15" t="n">
        <v>0.7760588861159821</v>
      </c>
      <c r="P13" s="15" t="n">
        <v>-0.7746351203630439</v>
      </c>
      <c r="Q13" s="15" t="n">
        <v>67</v>
      </c>
      <c r="R13" s="15" t="n">
        <v>103</v>
      </c>
      <c r="S13" s="15" t="n">
        <v>39253.59915770592</v>
      </c>
      <c r="T13" s="15" t="n">
        <v>129</v>
      </c>
      <c r="U13" s="15" t="n">
        <v>0.4133325180029664</v>
      </c>
      <c r="V13" s="15" t="n">
        <v>156.4829168462796</v>
      </c>
      <c r="W13" s="15" t="n">
        <v>0.5996016744876459</v>
      </c>
      <c r="X13" s="15" t="n">
        <v>0.9393583903657371</v>
      </c>
      <c r="Y13" s="15" t="n">
        <v>77</v>
      </c>
      <c r="Z13" s="15" t="n">
        <v>128</v>
      </c>
      <c r="AA13" s="15" t="n">
        <v>0.6015625</v>
      </c>
      <c r="AB13" s="15" t="n">
        <v>128</v>
      </c>
      <c r="AC13" s="15" t="n">
        <v>77</v>
      </c>
      <c r="AD13" s="15" t="n">
        <v>0.6015625</v>
      </c>
      <c r="AE13" s="15" t="n">
        <v>2562.696213729235</v>
      </c>
      <c r="AF13" s="15" t="n">
        <v>77</v>
      </c>
      <c r="AG13" s="15" t="n">
        <v>128</v>
      </c>
      <c r="AH13" s="15" t="n">
        <v>0.6015625</v>
      </c>
      <c r="AI13" s="15" t="n">
        <v>2562.696213729235</v>
      </c>
      <c r="AJ13" s="15" t="n">
        <v>39</v>
      </c>
      <c r="AK13" s="15" t="n">
        <v>38</v>
      </c>
      <c r="AL13" s="15" t="n">
        <v>1.428068929284997</v>
      </c>
      <c r="AM13" s="15" t="n">
        <v>73</v>
      </c>
      <c r="AN13" s="15" t="n">
        <v>0</v>
      </c>
      <c r="AO13" s="15" t="n">
        <v>73</v>
      </c>
      <c r="AP13" s="15" t="n">
        <v>0</v>
      </c>
      <c r="AQ13" s="15" t="n">
        <v>76.63862023291985</v>
      </c>
      <c r="AR13" s="15" t="n">
        <v>49.38909979095563</v>
      </c>
      <c r="AS13" s="15" t="n">
        <v>0.6512896779715139</v>
      </c>
      <c r="AT13" s="17" t="n">
        <v>2.963435307587611</v>
      </c>
      <c r="AU13" s="18" t="n">
        <v>77.28111773005031</v>
      </c>
      <c r="AV13" s="15" t="n">
        <v>94.31367078512612</v>
      </c>
      <c r="AW13" s="15" t="b">
        <v>1</v>
      </c>
      <c r="AX13" s="15" t="n">
        <v>50.27648828326474</v>
      </c>
      <c r="AY13" s="15" t="n">
        <v>40.45426166024184</v>
      </c>
      <c r="AZ13" s="15" t="n">
        <v>0</v>
      </c>
      <c r="BA13" s="15" t="n">
        <v>1</v>
      </c>
      <c r="BB13" s="15" t="n">
        <v>0.5</v>
      </c>
      <c r="BC13" s="15" t="n">
        <v>0.25</v>
      </c>
      <c r="BD13" s="15" t="inlineStr">
        <is>
          <t>his_note_adaptive</t>
        </is>
      </c>
      <c r="BE13" s="15" t="n">
        <v>-90</v>
      </c>
      <c r="BF13" s="15" t="n">
        <v>20000</v>
      </c>
      <c r="BG13" s="15" t="n">
        <v>77</v>
      </c>
      <c r="BH13" s="15" t="n">
        <v>0.6015625</v>
      </c>
      <c r="BI13" s="15" t="n">
        <v>128</v>
      </c>
      <c r="BJ13" s="15" t="n">
        <v>77</v>
      </c>
      <c r="BK13" s="15" t="n">
        <v>128</v>
      </c>
      <c r="BL13" s="15" t="n">
        <v>111</v>
      </c>
      <c r="BM13" s="15" t="n">
        <v>0.8671875</v>
      </c>
      <c r="BN13" s="15" t="n">
        <v>0.5208617198723103</v>
      </c>
      <c r="BO13" s="15" t="n">
        <v>0.6083333333333333</v>
      </c>
      <c r="BP13" s="19" t="n">
        <v>0.9277637318332442</v>
      </c>
      <c r="BQ13" s="19" t="n">
        <v>0.07223548458569974</v>
      </c>
      <c r="BR13" s="19" t="n">
        <v>7.835810558827561e-07</v>
      </c>
      <c r="BS13" s="15" t="n">
        <v>0.0473646624686267</v>
      </c>
      <c r="BT13" s="19" t="n">
        <v>0.9999991554095432</v>
      </c>
      <c r="BU13" s="19" t="n">
        <v>0</v>
      </c>
      <c r="BV13" s="19" t="n">
        <v>8.445904568066415e-07</v>
      </c>
      <c r="BW13" t="inlineStr">
        <is>
          <t>D#3</t>
        </is>
      </c>
      <c r="BX13" t="n">
        <v>51</v>
      </c>
      <c r="BY13" t="inlineStr">
        <is>
          <t>D#</t>
        </is>
      </c>
      <c r="BZ13" t="n">
        <v>3</v>
      </c>
      <c r="CA13" t="inlineStr">
        <is>
          <t>Middle</t>
        </is>
      </c>
      <c r="CB13" t="inlineStr">
        <is>
          <t>ff</t>
        </is>
      </c>
      <c r="CC13" s="15" t="n">
        <v>155.5634918610404</v>
      </c>
      <c r="CD13" s="15" t="n">
        <v>155.4344744903509</v>
      </c>
      <c r="CE13" t="inlineStr">
        <is>
          <t>prior_constrained_harmonic_fit</t>
        </is>
      </c>
      <c r="CF13" t="n">
        <v>155.4344744903509</v>
      </c>
      <c r="CG13" s="15" t="n">
        <v>1</v>
      </c>
      <c r="CH13" t="inlineStr">
        <is>
          <t>free_fit_acoustically_verified</t>
        </is>
      </c>
      <c r="CI13" s="15" t="inlineStr">
        <is>
          <t>free_f0_fit</t>
        </is>
      </c>
      <c r="CJ13" s="15" t="n">
        <v>155.5634918610404</v>
      </c>
      <c r="CK13" s="15" t="n">
        <v>155.4344744903509</v>
      </c>
      <c r="CL13" s="15" t="n">
        <v>-1.436403462650521</v>
      </c>
      <c r="CM13" s="15" t="n">
        <v>20000</v>
      </c>
      <c r="CN13" s="15" t="n">
        <v>-1.436403462650521</v>
      </c>
      <c r="CO13" s="15" t="n">
        <v>2.649546678738376</v>
      </c>
      <c r="CP13" s="15" t="n">
        <v>39253.52639010602</v>
      </c>
      <c r="CQ13" t="n">
        <v>10.53420679315664</v>
      </c>
      <c r="CR13" t="n">
        <v>0.08229849057153626</v>
      </c>
      <c r="CS13" t="n">
        <v>306.6681749175826</v>
      </c>
      <c r="CT13" t="n">
        <v>306.6684339268153</v>
      </c>
      <c r="CU13" t="n">
        <v>3230.505971461748</v>
      </c>
      <c r="CV13" t="n">
        <v>0.7760588861159821</v>
      </c>
      <c r="CW13" s="15" t="n">
        <v>39253.55954263236</v>
      </c>
      <c r="CX13" s="15" t="n">
        <v>273.4698586208182</v>
      </c>
      <c r="CY13" s="15" t="n">
        <v>0.7760588861159821</v>
      </c>
      <c r="CZ13" s="15" t="n">
        <v>2.963435405201389</v>
      </c>
      <c r="DA13" s="15" t="n">
        <v>2.963437252640283</v>
      </c>
      <c r="DB13" s="15" t="n">
        <v>2.012494453686371</v>
      </c>
      <c r="DC13" s="15" t="n">
        <v>0</v>
      </c>
      <c r="DD13" s="15" t="n">
        <v>7.549475620993716e-05</v>
      </c>
      <c r="DE13" s="15" t="n">
        <v>0</v>
      </c>
      <c r="DF13" s="15" t="n">
        <v>67</v>
      </c>
      <c r="DG13" s="15" t="inlineStr">
        <is>
          <t>Density_Metrics</t>
        </is>
      </c>
      <c r="DH13" s="15" t="n">
        <v>2.649546678738376</v>
      </c>
      <c r="DI13" t="n">
        <v>0.9778559127889148</v>
      </c>
      <c r="DJ13" s="15" t="n">
        <v>0.5980717738989116</v>
      </c>
      <c r="DK13" s="15" t="n">
        <v>5.636415312734119</v>
      </c>
      <c r="DL13" s="15" t="n">
        <v>10.68177198128464</v>
      </c>
      <c r="DM13" s="15" t="n">
        <v>6.827619714560074</v>
      </c>
      <c r="DN13" s="15" t="n">
        <v>17.9459776963783</v>
      </c>
      <c r="DO13" s="15" t="n">
        <v>0.2722646051012657</v>
      </c>
      <c r="DP13" s="15" t="n">
        <v>3.625</v>
      </c>
      <c r="DQ13" s="15" t="n">
        <v>122</v>
      </c>
      <c r="DR13" s="15" t="b">
        <v>1</v>
      </c>
      <c r="DS13" s="15" t="n">
        <v>10.53420679315664</v>
      </c>
      <c r="DT13" s="15" t="n">
        <v>120.2378739668143</v>
      </c>
      <c r="DU13" t="n">
        <v>128</v>
      </c>
      <c r="DV13" s="15" t="n">
        <v>0.0473646624686267</v>
      </c>
      <c r="DW13" s="15" t="n">
        <v>2.772000440147452</v>
      </c>
      <c r="DX13" s="15" t="n">
        <v>3.095258911457781</v>
      </c>
      <c r="DY13" s="15" t="n">
        <v>0.02729625620479007</v>
      </c>
      <c r="DZ13" s="15" t="b">
        <v>1</v>
      </c>
      <c r="EA13" s="15" t="n">
        <v>0.4822660092833218</v>
      </c>
      <c r="EB13" s="15" t="n">
        <v>20000</v>
      </c>
      <c r="EC13" s="15" t="n">
        <v>10569.54426534386</v>
      </c>
      <c r="ED13" s="15" t="n">
        <v>68</v>
      </c>
      <c r="EE13" s="15" t="n">
        <v>0</v>
      </c>
      <c r="EF13" s="15" t="n">
        <v>0.03460516806898831</v>
      </c>
      <c r="EG13" s="15" t="b">
        <v>0</v>
      </c>
      <c r="EH13" s="15" t="b">
        <v>1</v>
      </c>
      <c r="EI13" s="15" t="b">
        <v>0</v>
      </c>
      <c r="EJ13" s="15" t="inlineStr">
        <is>
          <t>wf=log|dst=-90.0|ceil=20000.0|fft=adaptive_tier</t>
        </is>
      </c>
      <c r="EK13" s="15" t="inlineStr">
        <is>
          <t>wf=log|dst=runtime_configured|ceil=runtime_configured|fft=fixed</t>
        </is>
      </c>
      <c r="EL13" s="15" t="n">
        <v>0.6985990617654154</v>
      </c>
      <c r="EM13" s="15" t="n">
        <v>0.9754329481102767</v>
      </c>
      <c r="EN13" s="15" t="n">
        <v>0.5193798449612403</v>
      </c>
      <c r="EO13" s="15" t="n">
        <v>0.3893564468967838</v>
      </c>
      <c r="EP13" s="15" t="inlineStr">
        <is>
          <t>warn:power_outlier_detected</t>
        </is>
      </c>
      <c r="EQ13" s="15" t="n">
        <v>360.1183998793402</v>
      </c>
      <c r="ER13" s="15" t="inlineStr">
        <is>
          <t>winsorize_p95_for_robust_diagnostics</t>
        </is>
      </c>
      <c r="ES13" s="15" t="n">
        <v>0.09988093844616637</v>
      </c>
      <c r="ET13" s="15" t="n">
        <v>0.05475481837794914</v>
      </c>
      <c r="EU13" s="15" t="n">
        <v>0.1360936984365751</v>
      </c>
      <c r="EV13" t="inlineStr">
        <is>
          <t>computed</t>
        </is>
      </c>
      <c r="EW13" s="15" t="inlineStr">
        <is>
          <t>computed</t>
        </is>
      </c>
      <c r="EX13" s="15" t="inlineStr">
        <is>
          <t>computed</t>
        </is>
      </c>
      <c r="EY13" s="15" t="inlineStr">
        <is>
          <t>available_from_curve</t>
        </is>
      </c>
      <c r="EZ13" s="15" t="n">
        <v>20000</v>
      </c>
      <c r="FA13" s="15" t="n">
        <v>20000</v>
      </c>
      <c r="FB13" s="15" t="n">
        <v>0.07223548458569974</v>
      </c>
      <c r="FC13" s="15" t="n">
        <v>0.7277106182566683</v>
      </c>
      <c r="FD13" s="15" t="n">
        <v>2.963437252640283</v>
      </c>
      <c r="FE13" s="15" t="n">
        <v>2.012494453686371</v>
      </c>
      <c r="FF13" s="15" t="n">
        <v>0.6604836064074656</v>
      </c>
      <c r="FG13" s="15" t="n">
        <v>2.271889559983847</v>
      </c>
      <c r="FH13" s="15" t="n">
        <v>0.3327237974683493</v>
      </c>
      <c r="FI13" s="15" t="n">
        <v>0.04493332128617987</v>
      </c>
      <c r="FJ13" s="15" t="n">
        <v>39253.55954263236</v>
      </c>
      <c r="FK13" s="15" t="n">
        <v>273.4698586208182</v>
      </c>
      <c r="FL13" s="15" t="n">
        <v>0.7760588861159821</v>
      </c>
      <c r="FM13" s="15" t="n">
        <v>0.004414126960439319</v>
      </c>
      <c r="FN13" t="n">
        <v>0.9999991554095432</v>
      </c>
      <c r="FO13" t="n">
        <v>0</v>
      </c>
      <c r="FP13" t="n">
        <v>8.445904568066415e-07</v>
      </c>
      <c r="FQ13" t="inlineStr">
        <is>
          <t>excellent</t>
        </is>
      </c>
      <c r="FR13" s="19" t="n">
        <v>0.8671875</v>
      </c>
      <c r="FS13" s="15" t="n">
        <v>2.871585269810503</v>
      </c>
      <c r="FT13" s="15" t="n">
        <v>17.49232296516097</v>
      </c>
      <c r="FU13" t="inlineStr">
        <is>
          <t>passed</t>
        </is>
      </c>
      <c r="FV13" t="n">
        <v>918.2576498201556</v>
      </c>
      <c r="FW13" t="n">
        <v>101.9187383503455</v>
      </c>
      <c r="FX13" t="n">
        <v>3.575974613352629</v>
      </c>
      <c r="FY13" t="n">
        <v>0.8250065741359487</v>
      </c>
      <c r="FZ13" t="n">
        <v>0.7134311291411484</v>
      </c>
      <c r="GA13" t="n">
        <v>0.7137260990536241</v>
      </c>
      <c r="GB13" t="n">
        <v>0.5875869864673015</v>
      </c>
      <c r="GC13" t="n">
        <v>0.5876668632612054</v>
      </c>
      <c r="GD13" t="n">
        <v>0.6789010393405076</v>
      </c>
      <c r="GE13" t="n">
        <v>0.2866340587273751</v>
      </c>
      <c r="GF13" t="n">
        <v>0.8800148151758667</v>
      </c>
      <c r="GG13" t="n">
        <v>0.1639879568091576</v>
      </c>
      <c r="GH13" t="n">
        <v>0.606358523173406</v>
      </c>
      <c r="GI13" t="n">
        <v>0.3708712526766595</v>
      </c>
      <c r="GJ13" t="n">
        <v>0.7603448275862067</v>
      </c>
      <c r="GK13" t="n">
        <v>0.8297872340425529</v>
      </c>
      <c r="GL13" t="n">
        <v>0.1127799720335338</v>
      </c>
      <c r="GM13" t="n">
        <v>0.1127799720335338</v>
      </c>
      <c r="GN13" t="n">
        <v>0.6923670168747039</v>
      </c>
      <c r="GO13" t="n">
        <v>0.6610245166001858</v>
      </c>
      <c r="GP13" t="n">
        <v>3230.505971461748</v>
      </c>
      <c r="GQ13" t="inlineStr">
        <is>
          <t>compiled workbook density_weighted_sum = density_component_ratio_weighted_sum (per-note component ratios); research density_weighted_sum maps body-ceiling richness</t>
        </is>
      </c>
      <c r="GR13" s="15" t="inlineStr">
        <is>
          <t>individual_exact</t>
        </is>
      </c>
      <c r="GS13" s="15" t="inlineStr">
        <is>
          <t>density_weight</t>
        </is>
      </c>
      <c r="GT13" s="15" t="n">
        <v>0.9096550582299636</v>
      </c>
      <c r="GU13" s="15" t="n">
        <v>0.09034494177003624</v>
      </c>
      <c r="GV13" s="15" t="n">
        <v>0</v>
      </c>
      <c r="GW13" s="15" t="inlineStr">
        <is>
          <t>log</t>
        </is>
      </c>
      <c r="GX13" s="15" t="n">
        <v>0.5</v>
      </c>
      <c r="GY13" s="15" t="inlineStr">
        <is>
          <t>EWSD-R v18.1</t>
        </is>
      </c>
      <c r="GZ13" s="15" t="n">
        <v>61.0202812945943</v>
      </c>
      <c r="HA13" s="15" t="n">
        <v>101.7276772966114</v>
      </c>
      <c r="HB13" s="15" t="n">
        <v>0.1360204052444245</v>
      </c>
      <c r="HC13" s="15" t="n">
        <v>78.6608191567903</v>
      </c>
      <c r="HD13" s="15" t="n">
        <v>119.3205710427346</v>
      </c>
      <c r="HE13" s="15" t="n">
        <v>0.1137835330950211</v>
      </c>
      <c r="HF13" s="15" t="inlineStr">
        <is>
          <t>partials+ratios</t>
        </is>
      </c>
      <c r="HG13" s="15" t="inlineStr">
        <is>
          <t>merged_individual_exact</t>
        </is>
      </c>
      <c r="HH13" s="15" t="inlineStr">
        <is>
          <t>passed</t>
        </is>
      </c>
      <c r="HI13" s="15" t="inlineStr">
        <is>
          <t>passed</t>
        </is>
      </c>
    </row>
    <row r="14">
      <c r="A14" t="inlineStr">
        <is>
          <t>incomplete_inference</t>
        </is>
      </c>
      <c r="B14" t="inlineStr">
        <is>
          <t>missing_instrument_technique</t>
        </is>
      </c>
      <c r="C14" t="inlineStr">
        <is>
          <t>prior_constrained_harmonic_fit</t>
        </is>
      </c>
      <c r="D14" t="inlineStr">
        <is>
          <t>IOWA_Trb.T_ff.E3_SustainStable/E3/component_amplitude_mass_pie.png</t>
        </is>
      </c>
      <c r="E14" t="inlineStr">
        <is>
          <t>IOWA_Trb.T_ff.E3_SustainStable/E3/component_energy_ratio_pie.png</t>
        </is>
      </c>
      <c r="F14" s="15" t="n">
        <v>164.4835995337705</v>
      </c>
      <c r="G14" s="15" t="inlineStr">
        <is>
          <t>prior_constrained_harmonic_fit</t>
        </is>
      </c>
      <c r="H14" s="15" t="inlineStr">
        <is>
          <t>fit_accepted_acoustically_verified</t>
        </is>
      </c>
      <c r="I14" s="16" t="n">
        <v>3401.961775520417</v>
      </c>
      <c r="J14" t="inlineStr">
        <is>
          <t>richness_weighted_body_density_body_ceiling</t>
        </is>
      </c>
      <c r="K14" t="inlineStr">
        <is>
          <t>research_body_ceiling_richness_metric</t>
        </is>
      </c>
      <c r="L14" s="15" t="n">
        <v>38820.85844443753</v>
      </c>
      <c r="M14" s="15" t="n">
        <v>38820.89512487105</v>
      </c>
      <c r="N14" s="15" t="n">
        <v>171.8137183077948</v>
      </c>
      <c r="O14" s="15" t="n">
        <v>0.7207850548913001</v>
      </c>
      <c r="P14" s="15" t="n">
        <v>-0.9211726758928148</v>
      </c>
      <c r="Q14" s="15" t="n">
        <v>49</v>
      </c>
      <c r="R14" s="15" t="n">
        <v>96</v>
      </c>
      <c r="S14" s="15" t="n">
        <v>38821.06877980885</v>
      </c>
      <c r="T14" s="15" t="n">
        <v>122</v>
      </c>
      <c r="U14" s="15" t="n">
        <v>0.2684878753354278</v>
      </c>
      <c r="V14" s="15" t="n">
        <v>141.6789340598704</v>
      </c>
      <c r="W14" s="15" t="n">
        <v>0.6112995889530789</v>
      </c>
      <c r="X14" s="15" t="n">
        <v>0.9212844378897344</v>
      </c>
      <c r="Y14" s="15" t="n">
        <v>69</v>
      </c>
      <c r="Z14" s="15" t="n">
        <v>121</v>
      </c>
      <c r="AA14" s="15" t="n">
        <v>0.5702479338842975</v>
      </c>
      <c r="AB14" s="15" t="n">
        <v>121</v>
      </c>
      <c r="AC14" s="15" t="n">
        <v>69</v>
      </c>
      <c r="AD14" s="15" t="n">
        <v>0.5702479338842975</v>
      </c>
      <c r="AE14" s="15" t="n">
        <v>2427.09786031939</v>
      </c>
      <c r="AF14" s="15" t="n">
        <v>69</v>
      </c>
      <c r="AG14" s="15" t="n">
        <v>121</v>
      </c>
      <c r="AH14" s="15" t="n">
        <v>0.5702479338842975</v>
      </c>
      <c r="AI14" s="15" t="n">
        <v>2427.09786031939</v>
      </c>
      <c r="AJ14" s="15" t="n">
        <v>35</v>
      </c>
      <c r="AK14" s="15" t="n">
        <v>34</v>
      </c>
      <c r="AL14" s="15" t="n">
        <v>1.223932661743796</v>
      </c>
      <c r="AM14" s="15" t="n">
        <v>71</v>
      </c>
      <c r="AN14" s="15" t="n">
        <v>0</v>
      </c>
      <c r="AO14" s="15" t="n">
        <v>71</v>
      </c>
      <c r="AP14" s="15" t="n">
        <v>0</v>
      </c>
      <c r="AQ14" s="15" t="n">
        <v>69.15427283787787</v>
      </c>
      <c r="AR14" s="15" t="n">
        <v>45.19248231426921</v>
      </c>
      <c r="AS14" s="15" t="n">
        <v>0.577292182651134</v>
      </c>
      <c r="AT14" s="17" t="n">
        <v>2.937933018315236</v>
      </c>
      <c r="AU14" s="18" t="n">
        <v>76.63462297581492</v>
      </c>
      <c r="AV14" s="15" t="n">
        <v>88.0435361275952</v>
      </c>
      <c r="AW14" s="15" t="b">
        <v>1</v>
      </c>
      <c r="AX14" s="15" t="n">
        <v>45.63907596221922</v>
      </c>
      <c r="AY14" s="15" t="n">
        <v>39.8494158497428</v>
      </c>
      <c r="AZ14" s="15" t="n">
        <v>0</v>
      </c>
      <c r="BA14" s="15" t="n">
        <v>1</v>
      </c>
      <c r="BB14" s="15" t="n">
        <v>0.5</v>
      </c>
      <c r="BC14" s="15" t="n">
        <v>0.25</v>
      </c>
      <c r="BD14" s="15" t="inlineStr">
        <is>
          <t>his_note_adaptive</t>
        </is>
      </c>
      <c r="BE14" s="15" t="n">
        <v>-90</v>
      </c>
      <c r="BF14" s="15" t="n">
        <v>20000</v>
      </c>
      <c r="BG14" s="15" t="n">
        <v>69</v>
      </c>
      <c r="BH14" s="15" t="n">
        <v>0.5702479338842975</v>
      </c>
      <c r="BI14" s="15" t="n">
        <v>121</v>
      </c>
      <c r="BJ14" s="15" t="n">
        <v>69</v>
      </c>
      <c r="BK14" s="15" t="n">
        <v>121</v>
      </c>
      <c r="BL14" s="15" t="n">
        <v>105</v>
      </c>
      <c r="BM14" s="15" t="n">
        <v>0.8677685950413223</v>
      </c>
      <c r="BN14" s="15" t="n">
        <v>0.5432977511455531</v>
      </c>
      <c r="BO14" s="15" t="n">
        <v>0.5916666666666667</v>
      </c>
      <c r="BP14" s="19" t="n">
        <v>0.9396898456621892</v>
      </c>
      <c r="BQ14" s="19" t="n">
        <v>0.06030926644217233</v>
      </c>
      <c r="BR14" s="19" t="n">
        <v>8.878956385201809e-07</v>
      </c>
      <c r="BS14" s="15" t="n">
        <v>0.03797311324955836</v>
      </c>
      <c r="BT14" s="19" t="n">
        <v>0.9999990551192995</v>
      </c>
      <c r="BU14" s="19" t="n">
        <v>0</v>
      </c>
      <c r="BV14" s="19" t="n">
        <v>9.448807004390244e-07</v>
      </c>
      <c r="BW14" t="inlineStr">
        <is>
          <t>E3</t>
        </is>
      </c>
      <c r="BX14" t="n">
        <v>52</v>
      </c>
      <c r="BY14" t="inlineStr">
        <is>
          <t>E</t>
        </is>
      </c>
      <c r="BZ14" t="n">
        <v>3</v>
      </c>
      <c r="CA14" t="inlineStr">
        <is>
          <t>Middle</t>
        </is>
      </c>
      <c r="CB14" t="inlineStr">
        <is>
          <t>ff</t>
        </is>
      </c>
      <c r="CC14" s="15" t="n">
        <v>164.813778456435</v>
      </c>
      <c r="CD14" s="15" t="n">
        <v>164.4835995337705</v>
      </c>
      <c r="CE14" t="inlineStr">
        <is>
          <t>prior_constrained_harmonic_fit</t>
        </is>
      </c>
      <c r="CF14" t="n">
        <v>164.4835995337705</v>
      </c>
      <c r="CG14" s="15" t="n">
        <v>1</v>
      </c>
      <c r="CH14" t="inlineStr">
        <is>
          <t>free_fit_acoustically_verified</t>
        </is>
      </c>
      <c r="CI14" s="15" t="inlineStr">
        <is>
          <t>free_f0_fit</t>
        </is>
      </c>
      <c r="CJ14" s="15" t="n">
        <v>164.813778456435</v>
      </c>
      <c r="CK14" s="15" t="n">
        <v>164.4835995337705</v>
      </c>
      <c r="CL14" s="15" t="n">
        <v>-3.471738452642895</v>
      </c>
      <c r="CM14" s="15" t="n">
        <v>20000</v>
      </c>
      <c r="CN14" s="15" t="n">
        <v>-3.471738452642895</v>
      </c>
      <c r="CO14" s="15" t="n">
        <v>2.595506255464624</v>
      </c>
      <c r="CP14" s="15" t="n">
        <v>38820.85844443753</v>
      </c>
      <c r="CQ14" t="n">
        <v>10.60351036374812</v>
      </c>
      <c r="CR14" t="n">
        <v>0.08763231705576958</v>
      </c>
      <c r="CS14" t="n">
        <v>320.8335408574915</v>
      </c>
      <c r="CT14" t="n">
        <v>320.8338440071988</v>
      </c>
      <c r="CU14" t="n">
        <v>3401.961775520417</v>
      </c>
      <c r="CV14" t="n">
        <v>0.7207850548913001</v>
      </c>
      <c r="CW14" s="15" t="n">
        <v>38820.89512487105</v>
      </c>
      <c r="CX14" s="15" t="n">
        <v>171.8137183077948</v>
      </c>
      <c r="CY14" s="15" t="n">
        <v>0.7207850548913001</v>
      </c>
      <c r="CZ14" s="15" t="n">
        <v>2.937933078350756</v>
      </c>
      <c r="DA14" s="15" t="n">
        <v>2.937935173293113</v>
      </c>
      <c r="DB14" s="15" t="n">
        <v>1.805214816516288</v>
      </c>
      <c r="DC14" s="15" t="n">
        <v>0</v>
      </c>
      <c r="DD14" s="15" t="n">
        <v>7.567924038969105e-05</v>
      </c>
      <c r="DE14" s="15" t="n">
        <v>0</v>
      </c>
      <c r="DF14" s="15" t="n">
        <v>49</v>
      </c>
      <c r="DG14" s="15" t="inlineStr">
        <is>
          <t>Density_Metrics</t>
        </is>
      </c>
      <c r="DH14" s="15" t="n">
        <v>2.595506255464624</v>
      </c>
      <c r="DI14" t="n">
        <v>0.9579114642340336</v>
      </c>
      <c r="DJ14" s="15" t="n">
        <v>0.5952683247976608</v>
      </c>
      <c r="DK14" s="15" t="n">
        <v>5.400397372886873</v>
      </c>
      <c r="DL14" s="15" t="n">
        <v>10.69787503373047</v>
      </c>
      <c r="DM14" s="15" t="n">
        <v>6.608672877198076</v>
      </c>
      <c r="DN14" s="15" t="n">
        <v>16.28940155159237</v>
      </c>
      <c r="DO14" s="15" t="n">
        <v>0.2324397580906443</v>
      </c>
      <c r="DP14" s="15" t="n">
        <v>4.25</v>
      </c>
      <c r="DQ14" s="15" t="n">
        <v>90</v>
      </c>
      <c r="DR14" s="15" t="b">
        <v>1</v>
      </c>
      <c r="DS14" s="15" t="n">
        <v>10.60351036374812</v>
      </c>
      <c r="DT14" s="15" t="n">
        <v>111.4754169846579</v>
      </c>
      <c r="DU14" t="n">
        <v>121</v>
      </c>
      <c r="DV14" s="15" t="n">
        <v>0.03797311324955836</v>
      </c>
      <c r="DW14" s="15" t="n">
        <v>2.752229157563756</v>
      </c>
      <c r="DX14" s="15" t="n">
        <v>3.061241606265523</v>
      </c>
      <c r="DY14" s="15" t="n">
        <v>0.02712597190477925</v>
      </c>
      <c r="DZ14" s="15" t="b">
        <v>1</v>
      </c>
      <c r="EA14" s="15" t="n">
        <v>0.4010421896199393</v>
      </c>
      <c r="EB14" s="15" t="n">
        <v>20000</v>
      </c>
      <c r="EC14" s="15" t="n">
        <v>8059.696377154754</v>
      </c>
      <c r="ED14" s="15" t="n">
        <v>49</v>
      </c>
      <c r="EE14" s="15" t="n">
        <v>0</v>
      </c>
      <c r="EF14" s="15" t="n">
        <v>0.03266292922635083</v>
      </c>
      <c r="EG14" s="15" t="b">
        <v>0</v>
      </c>
      <c r="EH14" s="15" t="b">
        <v>1</v>
      </c>
      <c r="EI14" s="15" t="b">
        <v>0</v>
      </c>
      <c r="EJ14" s="15" t="inlineStr">
        <is>
          <t>wf=log|dst=-90.0|ceil=20000.0|fft=adaptive_tier</t>
        </is>
      </c>
      <c r="EK14" s="15" t="inlineStr">
        <is>
          <t>wf=log|dst=runtime_configured|ceil=runtime_configured|fft=fixed</t>
        </is>
      </c>
      <c r="EL14" s="15" t="n">
        <v>0.6663566673799394</v>
      </c>
      <c r="EM14" s="15" t="n">
        <v>0.9909629832658453</v>
      </c>
      <c r="EN14" s="15" t="n">
        <v>0.4016393442622951</v>
      </c>
      <c r="EO14" s="15" t="n">
        <v>0.3992477720925285</v>
      </c>
      <c r="EP14" s="15" t="inlineStr">
        <is>
          <t>warn:power_outlier_detected</t>
        </is>
      </c>
      <c r="EQ14" s="15" t="n">
        <v>309.676184049571</v>
      </c>
      <c r="ER14" s="15" t="inlineStr">
        <is>
          <t>winsorize_p95_for_robust_diagnostics</t>
        </is>
      </c>
      <c r="ES14" s="15" t="n">
        <v>0.1153132115812537</v>
      </c>
      <c r="ET14" s="15" t="n">
        <v>0.05675934953158052</v>
      </c>
      <c r="EU14" s="15" t="n">
        <v>0.1385572629554079</v>
      </c>
      <c r="EV14" t="inlineStr">
        <is>
          <t>computed</t>
        </is>
      </c>
      <c r="EW14" s="15" t="inlineStr">
        <is>
          <t>computed</t>
        </is>
      </c>
      <c r="EX14" s="15" t="inlineStr">
        <is>
          <t>computed</t>
        </is>
      </c>
      <c r="EY14" s="15" t="inlineStr">
        <is>
          <t>available_from_curve</t>
        </is>
      </c>
      <c r="EZ14" s="15" t="n">
        <v>20000</v>
      </c>
      <c r="FA14" s="15" t="n">
        <v>20000</v>
      </c>
      <c r="FB14" s="15" t="n">
        <v>0.06030926644217233</v>
      </c>
      <c r="FC14" s="15" t="n">
        <v>0.7995334568838133</v>
      </c>
      <c r="FD14" s="15" t="n">
        <v>2.937935173293113</v>
      </c>
      <c r="FE14" s="15" t="n">
        <v>1.805214816516288</v>
      </c>
      <c r="FF14" s="15" t="n">
        <v>0.6572473830774727</v>
      </c>
      <c r="FG14" s="15" t="n">
        <v>2.252338645661265</v>
      </c>
      <c r="FH14" s="15" t="n">
        <v>0.2984544518357379</v>
      </c>
      <c r="FI14" s="15" t="n">
        <v>0.04471315796762099</v>
      </c>
      <c r="FJ14" s="15" t="n">
        <v>38820.89512487105</v>
      </c>
      <c r="FK14" s="15" t="n">
        <v>171.8137183077948</v>
      </c>
      <c r="FL14" s="15" t="n">
        <v>0.7207850548913001</v>
      </c>
      <c r="FM14" s="15" t="n">
        <v>0.004031204025186715</v>
      </c>
      <c r="FN14" t="n">
        <v>0.9999990551192995</v>
      </c>
      <c r="FO14" t="n">
        <v>0</v>
      </c>
      <c r="FP14" t="n">
        <v>9.448807004390244e-07</v>
      </c>
      <c r="FQ14" t="inlineStr">
        <is>
          <t>excellent</t>
        </is>
      </c>
      <c r="FR14" s="19" t="n">
        <v>0.8677685950413223</v>
      </c>
      <c r="FS14" s="15" t="n">
        <v>2.792506540643495</v>
      </c>
      <c r="FT14" s="15" t="n">
        <v>15.73207637593295</v>
      </c>
      <c r="FU14" t="inlineStr">
        <is>
          <t>passed</t>
        </is>
      </c>
      <c r="FV14" t="n">
        <v>865.8324748762732</v>
      </c>
      <c r="FW14" t="n">
        <v>62.85792706625041</v>
      </c>
      <c r="FX14" t="n">
        <v>3.542002647987538</v>
      </c>
      <c r="FY14" t="n">
        <v>0.6673957705693476</v>
      </c>
      <c r="FZ14" t="n">
        <v>0.7538217295326222</v>
      </c>
      <c r="GA14" t="n">
        <v>0.4833760539213572</v>
      </c>
      <c r="GB14" t="n">
        <v>0.5888203977787452</v>
      </c>
      <c r="GC14" t="n">
        <v>0.5930538980857476</v>
      </c>
      <c r="GD14" t="n">
        <v>0.6009271522134163</v>
      </c>
      <c r="GE14" t="n">
        <v>0.3241007921836123</v>
      </c>
      <c r="GF14" t="n">
        <v>0.851647162215676</v>
      </c>
      <c r="GG14" t="n">
        <v>0.05729225079568592</v>
      </c>
      <c r="GH14" t="n">
        <v>0.5322374513727177</v>
      </c>
      <c r="GI14" t="n">
        <v>0.3092077087794432</v>
      </c>
      <c r="GJ14" t="n">
        <v>0.7638073525220859</v>
      </c>
      <c r="GK14" t="n">
        <v>0.7872340425531914</v>
      </c>
      <c r="GL14" t="n">
        <v>0.0448597836136224</v>
      </c>
      <c r="GM14" t="n">
        <v>0.0448597836136224</v>
      </c>
      <c r="GN14" t="n">
        <v>0.8422700467922708</v>
      </c>
      <c r="GO14" t="n">
        <v>0.5730806123381809</v>
      </c>
      <c r="GP14" t="n">
        <v>3401.961775520417</v>
      </c>
      <c r="GQ14" t="inlineStr">
        <is>
          <t>compiled workbook density_weighted_sum = density_component_ratio_weighted_sum (per-note component ratios); research density_weighted_sum maps body-ceiling richness</t>
        </is>
      </c>
      <c r="GR14" s="15" t="inlineStr">
        <is>
          <t>individual_exact</t>
        </is>
      </c>
      <c r="GS14" s="15" t="inlineStr">
        <is>
          <t>density_weight</t>
        </is>
      </c>
      <c r="GT14" s="15" t="n">
        <v>0.9228635810610659</v>
      </c>
      <c r="GU14" s="15" t="n">
        <v>0.07713641893893412</v>
      </c>
      <c r="GV14" s="15" t="n">
        <v>0</v>
      </c>
      <c r="GW14" s="15" t="inlineStr">
        <is>
          <t>log</t>
        </is>
      </c>
      <c r="GX14" s="15" t="n">
        <v>0.5</v>
      </c>
      <c r="GY14" s="15" t="inlineStr">
        <is>
          <t>EWSD-R v18.1</t>
        </is>
      </c>
      <c r="GZ14" s="15" t="n">
        <v>64.68519699849644</v>
      </c>
      <c r="HA14" s="15" t="n">
        <v>98.1871555837761</v>
      </c>
      <c r="HB14" s="15" t="n">
        <v>0.1151232075619882</v>
      </c>
      <c r="HC14" s="15" t="n">
        <v>76.47617072402343</v>
      </c>
      <c r="HD14" s="15" t="n">
        <v>109.6995964506056</v>
      </c>
      <c r="HE14" s="15" t="n">
        <v>0.09782565572784684</v>
      </c>
      <c r="HF14" s="15" t="inlineStr">
        <is>
          <t>partials+ratios</t>
        </is>
      </c>
      <c r="HG14" s="15" t="inlineStr">
        <is>
          <t>merged_individual_exact</t>
        </is>
      </c>
      <c r="HH14" s="15" t="inlineStr">
        <is>
          <t>passed</t>
        </is>
      </c>
      <c r="HI14" s="15" t="inlineStr">
        <is>
          <t>passed</t>
        </is>
      </c>
    </row>
    <row r="15">
      <c r="A15" t="inlineStr">
        <is>
          <t>incomplete_inference</t>
        </is>
      </c>
      <c r="B15" t="inlineStr">
        <is>
          <t>missing_instrument_technique</t>
        </is>
      </c>
      <c r="C15" t="inlineStr">
        <is>
          <t>prior_constrained_harmonic_fit</t>
        </is>
      </c>
      <c r="D15" t="inlineStr">
        <is>
          <t>IOWA_Trb.T_ff.F3_SustainStable/F3/component_amplitude_mass_pie.png</t>
        </is>
      </c>
      <c r="E15" t="inlineStr">
        <is>
          <t>IOWA_Trb.T_ff.F3_SustainStable/F3/component_energy_ratio_pie.png</t>
        </is>
      </c>
      <c r="F15" s="15" t="n">
        <v>174.540883236281</v>
      </c>
      <c r="G15" s="15" t="inlineStr">
        <is>
          <t>prior_constrained_harmonic_fit</t>
        </is>
      </c>
      <c r="H15" s="15" t="inlineStr">
        <is>
          <t>fit_accepted_acoustically_verified</t>
        </is>
      </c>
      <c r="I15" s="16" t="n">
        <v>4204.501911630484</v>
      </c>
      <c r="J15" t="inlineStr">
        <is>
          <t>richness_weighted_body_density_body_ceiling</t>
        </is>
      </c>
      <c r="K15" t="inlineStr">
        <is>
          <t>research_body_ceiling_richness_metric</t>
        </is>
      </c>
      <c r="L15" s="15" t="n">
        <v>43788.55298627805</v>
      </c>
      <c r="M15" s="15" t="n">
        <v>43788.59548498478</v>
      </c>
      <c r="N15" s="15" t="n">
        <v>511.8449651196249</v>
      </c>
      <c r="O15" s="15" t="n">
        <v>0.7008042006660034</v>
      </c>
      <c r="P15" s="15" t="n">
        <v>-0.797460095846387</v>
      </c>
      <c r="Q15" s="15" t="n">
        <v>83</v>
      </c>
      <c r="R15" s="15" t="n">
        <v>99</v>
      </c>
      <c r="S15" s="15" t="n">
        <v>43788.60321504335</v>
      </c>
      <c r="T15" s="15" t="n">
        <v>115</v>
      </c>
      <c r="U15" s="15" t="n">
        <v>0.0163618208007178</v>
      </c>
      <c r="V15" s="15" t="n">
        <v>122.1384575347923</v>
      </c>
      <c r="W15" s="15" t="n">
        <v>0.6089401825943098</v>
      </c>
      <c r="X15" s="15" t="n">
        <v>0.8698397872409609</v>
      </c>
      <c r="Y15" s="15" t="n">
        <v>75</v>
      </c>
      <c r="Z15" s="15" t="n">
        <v>114</v>
      </c>
      <c r="AA15" s="15" t="n">
        <v>0.6578947368421053</v>
      </c>
      <c r="AB15" s="15" t="n">
        <v>114</v>
      </c>
      <c r="AC15" s="15" t="n">
        <v>75</v>
      </c>
      <c r="AD15" s="15" t="n">
        <v>0.6578947368421053</v>
      </c>
      <c r="AE15" s="15" t="n">
        <v>2630.760715328284</v>
      </c>
      <c r="AF15" s="15" t="n">
        <v>75</v>
      </c>
      <c r="AG15" s="15" t="n">
        <v>114</v>
      </c>
      <c r="AH15" s="15" t="n">
        <v>0.6578947368421053</v>
      </c>
      <c r="AI15" s="15" t="n">
        <v>2630.760715328284</v>
      </c>
      <c r="AJ15" s="15" t="n">
        <v>38</v>
      </c>
      <c r="AK15" s="15" t="n">
        <v>37</v>
      </c>
      <c r="AL15" s="15" t="n">
        <v>0.8421509185810581</v>
      </c>
      <c r="AM15" s="15" t="n">
        <v>67</v>
      </c>
      <c r="AN15" s="15" t="n">
        <v>0</v>
      </c>
      <c r="AO15" s="15" t="n">
        <v>67</v>
      </c>
      <c r="AP15" s="15" t="n">
        <v>0</v>
      </c>
      <c r="AQ15" s="15" t="n">
        <v>74.52678724179154</v>
      </c>
      <c r="AR15" s="15" t="n">
        <v>47.68456238247896</v>
      </c>
      <c r="AS15" s="15" t="n">
        <v>0.6212341631174995</v>
      </c>
      <c r="AT15" s="17" t="n">
        <v>2.975695174493094</v>
      </c>
      <c r="AU15" s="18" t="n">
        <v>62.80326843452453</v>
      </c>
      <c r="AV15" s="15" t="n">
        <v>85.61836161117751</v>
      </c>
      <c r="AW15" s="15" t="b">
        <v>1</v>
      </c>
      <c r="AX15" s="15" t="n">
        <v>48.43679756268789</v>
      </c>
      <c r="AY15" s="15" t="n">
        <v>35.71972403226484</v>
      </c>
      <c r="AZ15" s="15" t="n">
        <v>0</v>
      </c>
      <c r="BA15" s="15" t="n">
        <v>1</v>
      </c>
      <c r="BB15" s="15" t="n">
        <v>0.5</v>
      </c>
      <c r="BC15" s="15" t="n">
        <v>0.25</v>
      </c>
      <c r="BD15" s="15" t="inlineStr">
        <is>
          <t>his_note_adaptive</t>
        </is>
      </c>
      <c r="BE15" s="15" t="n">
        <v>-90</v>
      </c>
      <c r="BF15" s="15" t="n">
        <v>20000</v>
      </c>
      <c r="BG15" s="15" t="n">
        <v>75</v>
      </c>
      <c r="BH15" s="15" t="n">
        <v>0.6578947368421053</v>
      </c>
      <c r="BI15" s="15" t="n">
        <v>114</v>
      </c>
      <c r="BJ15" s="15" t="n">
        <v>75</v>
      </c>
      <c r="BK15" s="15" t="n">
        <v>114</v>
      </c>
      <c r="BL15" s="15" t="n">
        <v>101</v>
      </c>
      <c r="BM15" s="15" t="n">
        <v>0.8859649122807017</v>
      </c>
      <c r="BN15" s="15" t="n">
        <v>0.5487398546802988</v>
      </c>
      <c r="BO15" s="15" t="n">
        <v>0.5583333333333333</v>
      </c>
      <c r="BP15" s="19" t="n">
        <v>0.9435592197024215</v>
      </c>
      <c r="BQ15" s="19" t="n">
        <v>0.05643986451741183</v>
      </c>
      <c r="BR15" s="19" t="n">
        <v>9.157801666369161e-07</v>
      </c>
      <c r="BS15" s="15" t="n">
        <v>0.03339719060171102</v>
      </c>
      <c r="BT15" s="19" t="n">
        <v>0.9999990294416516</v>
      </c>
      <c r="BU15" s="19" t="n">
        <v>0</v>
      </c>
      <c r="BV15" s="19" t="n">
        <v>9.705583483224798e-07</v>
      </c>
      <c r="BW15" t="inlineStr">
        <is>
          <t>F3</t>
        </is>
      </c>
      <c r="BX15" t="n">
        <v>53</v>
      </c>
      <c r="BY15" t="inlineStr">
        <is>
          <t>F</t>
        </is>
      </c>
      <c r="BZ15" t="n">
        <v>3</v>
      </c>
      <c r="CA15" t="inlineStr">
        <is>
          <t>Middle</t>
        </is>
      </c>
      <c r="CB15" t="inlineStr">
        <is>
          <t>ff</t>
        </is>
      </c>
      <c r="CC15" s="15" t="n">
        <v>174.6141157165019</v>
      </c>
      <c r="CD15" s="15" t="n">
        <v>174.540883236281</v>
      </c>
      <c r="CE15" t="inlineStr">
        <is>
          <t>prior_constrained_harmonic_fit</t>
        </is>
      </c>
      <c r="CF15" t="n">
        <v>174.540883236281</v>
      </c>
      <c r="CG15" s="15" t="n">
        <v>1</v>
      </c>
      <c r="CH15" t="inlineStr">
        <is>
          <t>free_fit_acoustically_verified</t>
        </is>
      </c>
      <c r="CI15" s="15" t="inlineStr">
        <is>
          <t>free_f0_fit</t>
        </is>
      </c>
      <c r="CJ15" s="15" t="n">
        <v>174.6141157165019</v>
      </c>
      <c r="CK15" s="15" t="n">
        <v>174.540883236281</v>
      </c>
      <c r="CL15" s="15" t="n">
        <v>-0.7262251177581081</v>
      </c>
      <c r="CM15" s="15" t="n">
        <v>20000</v>
      </c>
      <c r="CN15" s="15" t="n">
        <v>-0.7262251177581081</v>
      </c>
      <c r="CO15" s="15" t="n">
        <v>2.706000161846109</v>
      </c>
      <c r="CP15" s="15" t="n">
        <v>43788.55298627805</v>
      </c>
      <c r="CQ15" t="n">
        <v>10.94608488395408</v>
      </c>
      <c r="CR15" t="n">
        <v>0.09601828845573751</v>
      </c>
      <c r="CS15" t="n">
        <v>384.1101139087534</v>
      </c>
      <c r="CT15" t="n">
        <v>384.1104867103929</v>
      </c>
      <c r="CU15" t="n">
        <v>4204.501911630484</v>
      </c>
      <c r="CV15" t="n">
        <v>0.7008042006660034</v>
      </c>
      <c r="CW15" s="15" t="n">
        <v>43788.59548498478</v>
      </c>
      <c r="CX15" s="15" t="n">
        <v>511.8449651196249</v>
      </c>
      <c r="CY15" s="15" t="n">
        <v>0.7008042006660034</v>
      </c>
      <c r="CZ15" s="15" t="n">
        <v>2.975695219485424</v>
      </c>
      <c r="DA15" s="15" t="n">
        <v>2.975697427402037</v>
      </c>
      <c r="DB15" s="15" t="n">
        <v>2.299588680736368</v>
      </c>
      <c r="DC15" s="15" t="n">
        <v>0</v>
      </c>
      <c r="DD15" s="15" t="n">
        <v>6.795600714227559e-05</v>
      </c>
      <c r="DE15" s="15" t="n">
        <v>0</v>
      </c>
      <c r="DF15" s="15" t="n">
        <v>83</v>
      </c>
      <c r="DG15" s="15" t="inlineStr">
        <is>
          <t>Density_Metrics</t>
        </is>
      </c>
      <c r="DH15" s="15" t="n">
        <v>2.706000161846109</v>
      </c>
      <c r="DI15" t="n">
        <v>0.9986909381528433</v>
      </c>
      <c r="DJ15" s="15" t="n">
        <v>0.5994130786652772</v>
      </c>
      <c r="DK15" s="15" t="n">
        <v>5.929733146879113</v>
      </c>
      <c r="DL15" s="15" t="n">
        <v>11.20361330222341</v>
      </c>
      <c r="DM15" s="15" t="n">
        <v>7.026323765087476</v>
      </c>
      <c r="DN15" s="15" t="n">
        <v>17.3143796290293</v>
      </c>
      <c r="DO15" s="15" t="n">
        <v>0.2387309926451034</v>
      </c>
      <c r="DP15" s="15" t="n">
        <v>3.875</v>
      </c>
      <c r="DQ15" s="15" t="n">
        <v>178</v>
      </c>
      <c r="DR15" s="15" t="b">
        <v>1</v>
      </c>
      <c r="DS15" s="15" t="n">
        <v>10.94608488395408</v>
      </c>
      <c r="DT15" s="15" t="n">
        <v>99.16173574546954</v>
      </c>
      <c r="DU15" t="n">
        <v>114</v>
      </c>
      <c r="DV15" s="15" t="n">
        <v>0.03339719060171102</v>
      </c>
      <c r="DW15" s="15" t="n">
        <v>2.78074563470893</v>
      </c>
      <c r="DX15" s="15" t="n">
        <v>3.111393959141453</v>
      </c>
      <c r="DY15" s="15" t="n">
        <v>0.02869419186443165</v>
      </c>
      <c r="DZ15" s="15" t="b">
        <v>1</v>
      </c>
      <c r="EA15" s="15" t="n">
        <v>0.5178789399883569</v>
      </c>
      <c r="EB15" s="15" t="n">
        <v>20000</v>
      </c>
      <c r="EC15" s="15" t="n">
        <v>14486.89330861132</v>
      </c>
      <c r="ED15" s="15" t="n">
        <v>83</v>
      </c>
      <c r="EE15" s="15" t="n">
        <v>0</v>
      </c>
      <c r="EF15" s="15" t="n">
        <v>0.03082969987369269</v>
      </c>
      <c r="EG15" s="15" t="b">
        <v>0</v>
      </c>
      <c r="EH15" s="15" t="b">
        <v>1</v>
      </c>
      <c r="EI15" s="15" t="b">
        <v>0</v>
      </c>
      <c r="EJ15" s="15" t="inlineStr">
        <is>
          <t>wf=log|dst=-90.0|ceil=20000.0|fft=adaptive_tier</t>
        </is>
      </c>
      <c r="EK15" s="15" t="inlineStr">
        <is>
          <t>wf=log|dst=runtime_configured|ceil=runtime_configured|fft=fixed</t>
        </is>
      </c>
      <c r="EL15" s="15" t="n">
        <v>0.7808875810258962</v>
      </c>
      <c r="EM15" s="15" t="n">
        <v>0.9993340159151294</v>
      </c>
      <c r="EN15" s="15" t="n">
        <v>0.7217391304347827</v>
      </c>
      <c r="EO15" s="15" t="n">
        <v>0.3928928910595694</v>
      </c>
      <c r="EP15" s="15" t="inlineStr">
        <is>
          <t>warn:power_outlier_detected</t>
        </is>
      </c>
      <c r="EQ15" s="15" t="n">
        <v>340.9319760177055</v>
      </c>
      <c r="ER15" s="15" t="inlineStr">
        <is>
          <t>winsorize_p95_for_robust_diagnostics</t>
        </is>
      </c>
      <c r="ES15" s="15" t="n">
        <v>0.1088657353357422</v>
      </c>
      <c r="ET15" s="15" t="n">
        <v>0.04940844736962616</v>
      </c>
      <c r="EU15" s="15" t="n">
        <v>0.1168787334320377</v>
      </c>
      <c r="EV15" t="inlineStr">
        <is>
          <t>computed</t>
        </is>
      </c>
      <c r="EW15" s="15" t="inlineStr">
        <is>
          <t>computed</t>
        </is>
      </c>
      <c r="EX15" s="15" t="inlineStr">
        <is>
          <t>computed</t>
        </is>
      </c>
      <c r="EY15" s="15" t="inlineStr">
        <is>
          <t>available_from_curve</t>
        </is>
      </c>
      <c r="EZ15" s="15" t="n">
        <v>20000</v>
      </c>
      <c r="FA15" s="15" t="n">
        <v>20000</v>
      </c>
      <c r="FB15" s="15" t="n">
        <v>0.05643986451741183</v>
      </c>
      <c r="FC15" s="15" t="n">
        <v>0.6148888640453856</v>
      </c>
      <c r="FD15" s="15" t="n">
        <v>2.975697427402037</v>
      </c>
      <c r="FE15" s="15" t="n">
        <v>2.299588680736368</v>
      </c>
      <c r="FF15" s="15" t="n">
        <v>0.6544470387407086</v>
      </c>
      <c r="FG15" s="15" t="n">
        <v>2.281288700465053</v>
      </c>
      <c r="FH15" s="15" t="n">
        <v>0.3801888134739048</v>
      </c>
      <c r="FI15" s="15" t="n">
        <v>0.04452264790715156</v>
      </c>
      <c r="FJ15" s="15" t="n">
        <v>43788.59548498478</v>
      </c>
      <c r="FK15" s="15" t="n">
        <v>511.8449651196249</v>
      </c>
      <c r="FL15" s="15" t="n">
        <v>0.7008042006660034</v>
      </c>
      <c r="FM15" s="15" t="n">
        <v>0.00504383981519857</v>
      </c>
      <c r="FN15" t="n">
        <v>0.9999990294416516</v>
      </c>
      <c r="FO15" t="n">
        <v>0</v>
      </c>
      <c r="FP15" t="n">
        <v>9.705583483224798e-07</v>
      </c>
      <c r="FQ15" t="inlineStr">
        <is>
          <t>excellent</t>
        </is>
      </c>
      <c r="FR15" s="19" t="n">
        <v>0.8859649122807017</v>
      </c>
      <c r="FS15" s="15" t="n">
        <v>2.146212245903476</v>
      </c>
      <c r="FT15" s="15" t="n">
        <v>17.39141313180133</v>
      </c>
      <c r="FU15" t="inlineStr">
        <is>
          <t>passed</t>
        </is>
      </c>
      <c r="FV15" t="n">
        <v>944.5781483299157</v>
      </c>
      <c r="FW15" t="n">
        <v>198.3373501395816</v>
      </c>
      <c r="FX15" t="n">
        <v>3.512809892586617</v>
      </c>
      <c r="FY15" t="n">
        <v>0.9896551519546383</v>
      </c>
      <c r="FZ15" t="n">
        <v>0.9428796509818652</v>
      </c>
      <c r="GA15" t="n">
        <v>1</v>
      </c>
      <c r="GB15" t="n">
        <v>0.627557357935058</v>
      </c>
      <c r="GC15" t="n">
        <v>0.6196825530684569</v>
      </c>
      <c r="GD15" t="n">
        <v>0.4980057335006902</v>
      </c>
      <c r="GE15" t="n">
        <v>0.3165439537898824</v>
      </c>
      <c r="GF15" t="n">
        <v>0.7709031191957401</v>
      </c>
      <c r="GG15" t="n">
        <v>0.005306014426523739</v>
      </c>
      <c r="GH15" t="n">
        <v>0.4032174679834413</v>
      </c>
      <c r="GI15" t="n">
        <v>0.4817987152034262</v>
      </c>
      <c r="GJ15" t="n">
        <v>0.8722323049001811</v>
      </c>
      <c r="GK15" t="n">
        <v>0.7021276595744681</v>
      </c>
      <c r="GL15" t="n">
        <v>0.02282341763077026</v>
      </c>
      <c r="GM15" t="n">
        <v>0.02282341763077026</v>
      </c>
      <c r="GN15" t="n">
        <v>0.4568942463722251</v>
      </c>
      <c r="GO15" t="n">
        <v>0.6362096825757572</v>
      </c>
      <c r="GP15" t="n">
        <v>4204.501911630484</v>
      </c>
      <c r="GQ15" t="inlineStr">
        <is>
          <t>compiled workbook density_weighted_sum = density_component_ratio_weighted_sum (per-note component ratios); research density_weighted_sum maps body-ceiling richness</t>
        </is>
      </c>
      <c r="GR15" s="15" t="inlineStr">
        <is>
          <t>individual_exact</t>
        </is>
      </c>
      <c r="GS15" s="15" t="inlineStr">
        <is>
          <t>density_weight</t>
        </is>
      </c>
      <c r="GT15" s="15" t="n">
        <v>0.940848405223941</v>
      </c>
      <c r="GU15" s="15" t="n">
        <v>0.05915159477605914</v>
      </c>
      <c r="GV15" s="15" t="n">
        <v>0</v>
      </c>
      <c r="GW15" s="15" t="inlineStr">
        <is>
          <t>log</t>
        </is>
      </c>
      <c r="GX15" s="15" t="n">
        <v>0.5</v>
      </c>
      <c r="GY15" s="15" t="inlineStr">
        <is>
          <t>EWSD-R v18.1</t>
        </is>
      </c>
      <c r="GZ15" s="15" t="n">
        <v>44.9181193225419</v>
      </c>
      <c r="HA15" s="15" t="n">
        <v>85.28409528509364</v>
      </c>
      <c r="HB15" s="15" t="n">
        <v>0.1647118677643659</v>
      </c>
      <c r="HC15" s="15" t="n">
        <v>66.70964244649251</v>
      </c>
      <c r="HD15" s="15" t="n">
        <v>111.3469675571682</v>
      </c>
      <c r="HE15" s="15" t="n">
        <v>0.1351119983727714</v>
      </c>
      <c r="HF15" s="15" t="inlineStr">
        <is>
          <t>partials+ratios</t>
        </is>
      </c>
      <c r="HG15" s="15" t="inlineStr">
        <is>
          <t>merged_individual_exact</t>
        </is>
      </c>
      <c r="HH15" s="15" t="inlineStr">
        <is>
          <t>passed</t>
        </is>
      </c>
      <c r="HI15" s="15" t="inlineStr">
        <is>
          <t>passed</t>
        </is>
      </c>
    </row>
    <row r="16">
      <c r="A16" t="inlineStr">
        <is>
          <t>incomplete_inference</t>
        </is>
      </c>
      <c r="B16" t="inlineStr">
        <is>
          <t>missing_instrument_technique</t>
        </is>
      </c>
      <c r="C16" t="inlineStr">
        <is>
          <t>prior_constrained_harmonic_fit</t>
        </is>
      </c>
      <c r="D16" t="inlineStr">
        <is>
          <t>IOWA_Trb.T_ff.F#3_SustainStable/F#3/component_amplitude_mass_pie.png</t>
        </is>
      </c>
      <c r="E16" t="inlineStr">
        <is>
          <t>IOWA_Trb.T_ff.F#3_SustainStable/F#3/component_energy_ratio_pie.png</t>
        </is>
      </c>
      <c r="F16" s="15" t="n">
        <v>184.9719495637959</v>
      </c>
      <c r="G16" s="15" t="inlineStr">
        <is>
          <t>prior_constrained_harmonic_fit</t>
        </is>
      </c>
      <c r="H16" s="15" t="inlineStr">
        <is>
          <t>fit_accepted_acoustically_verified</t>
        </is>
      </c>
      <c r="I16" s="16" t="n">
        <v>3731.642221247376</v>
      </c>
      <c r="J16" t="inlineStr">
        <is>
          <t>richness_weighted_body_density_body_ceiling</t>
        </is>
      </c>
      <c r="K16" t="inlineStr">
        <is>
          <t>research_body_ceiling_richness_metric</t>
        </is>
      </c>
      <c r="L16" s="15" t="n">
        <v>37969.04724486607</v>
      </c>
      <c r="M16" s="15" t="n">
        <v>37969.07590632542</v>
      </c>
      <c r="N16" s="15" t="n">
        <v>136.4652433968089</v>
      </c>
      <c r="O16" s="15" t="n">
        <v>0.9805035311899426</v>
      </c>
      <c r="P16" s="15" t="n">
        <v>-0.8593314242363475</v>
      </c>
      <c r="Q16" s="15" t="n">
        <v>30</v>
      </c>
      <c r="R16" s="15" t="n">
        <v>63</v>
      </c>
      <c r="S16" s="15" t="n">
        <v>37970.6958189517</v>
      </c>
      <c r="T16" s="15" t="n">
        <v>109</v>
      </c>
      <c r="U16" s="15" t="n">
        <v>0.2466250660241984</v>
      </c>
      <c r="V16" s="15" t="n">
        <v>146.0603572219348</v>
      </c>
      <c r="W16" s="15" t="n">
        <v>0.5334740026700827</v>
      </c>
      <c r="X16" s="15" t="n">
        <v>1.015804846171548</v>
      </c>
      <c r="Y16" s="15" t="n">
        <v>75</v>
      </c>
      <c r="Z16" s="15" t="n">
        <v>108</v>
      </c>
      <c r="AA16" s="15" t="n">
        <v>0.6944444444444444</v>
      </c>
      <c r="AB16" s="15" t="n">
        <v>108</v>
      </c>
      <c r="AC16" s="15" t="n">
        <v>75</v>
      </c>
      <c r="AD16" s="15" t="n">
        <v>0.6944444444444444</v>
      </c>
      <c r="AE16" s="15" t="n">
        <v>2486.86767196288</v>
      </c>
      <c r="AF16" s="15" t="n">
        <v>75</v>
      </c>
      <c r="AG16" s="15" t="n">
        <v>108</v>
      </c>
      <c r="AH16" s="15" t="n">
        <v>0.6944444444444444</v>
      </c>
      <c r="AI16" s="15" t="n">
        <v>2486.86767196288</v>
      </c>
      <c r="AJ16" s="15" t="n">
        <v>38</v>
      </c>
      <c r="AK16" s="15" t="n">
        <v>37</v>
      </c>
      <c r="AL16" s="15" t="n">
        <v>0.8113115886208254</v>
      </c>
      <c r="AM16" s="15" t="n">
        <v>75</v>
      </c>
      <c r="AN16" s="15" t="n">
        <v>0</v>
      </c>
      <c r="AO16" s="15" t="n">
        <v>75</v>
      </c>
      <c r="AP16" s="15" t="n">
        <v>0</v>
      </c>
      <c r="AQ16" s="15" t="n">
        <v>75.00000000000001</v>
      </c>
      <c r="AR16" s="15" t="n">
        <v>48.76661562711841</v>
      </c>
      <c r="AS16" s="15" t="n">
        <v>0.640313631368161</v>
      </c>
      <c r="AT16" s="17" t="n">
        <v>2.926041013005847</v>
      </c>
      <c r="AU16" s="18" t="n">
        <v>80.38796610133684</v>
      </c>
      <c r="AV16" s="15" t="n">
        <v>83.21704423495238</v>
      </c>
      <c r="AW16" s="15" t="b">
        <v>1</v>
      </c>
      <c r="AX16" s="15" t="n">
        <v>49.2946466544251</v>
      </c>
      <c r="AY16" s="15" t="n">
        <v>42.78099375318132</v>
      </c>
      <c r="AZ16" s="15" t="n">
        <v>0</v>
      </c>
      <c r="BA16" s="15" t="n">
        <v>1</v>
      </c>
      <c r="BB16" s="15" t="n">
        <v>0.5</v>
      </c>
      <c r="BC16" s="15" t="n">
        <v>0.25</v>
      </c>
      <c r="BD16" s="15" t="inlineStr">
        <is>
          <t>his_note_adaptive</t>
        </is>
      </c>
      <c r="BE16" s="15" t="n">
        <v>-90</v>
      </c>
      <c r="BF16" s="15" t="n">
        <v>20000</v>
      </c>
      <c r="BG16" s="15" t="n">
        <v>75</v>
      </c>
      <c r="BH16" s="15" t="n">
        <v>0.6944444444444444</v>
      </c>
      <c r="BI16" s="15" t="n">
        <v>108</v>
      </c>
      <c r="BJ16" s="15" t="n">
        <v>75</v>
      </c>
      <c r="BK16" s="15" t="n">
        <v>108</v>
      </c>
      <c r="BL16" s="15" t="n">
        <v>92</v>
      </c>
      <c r="BM16" s="15" t="n">
        <v>0.8518518518518519</v>
      </c>
      <c r="BN16" s="15" t="n">
        <v>0.6188258734231589</v>
      </c>
      <c r="BO16" s="15" t="n">
        <v>0.625</v>
      </c>
      <c r="BP16" s="19" t="n">
        <v>0.9289989228590375</v>
      </c>
      <c r="BQ16" s="19" t="n">
        <v>0.07100037585519375</v>
      </c>
      <c r="BR16" s="19" t="n">
        <v>7.012857688466683e-07</v>
      </c>
      <c r="BS16" s="15" t="n">
        <v>0.04776668768875537</v>
      </c>
      <c r="BT16" s="19" t="n">
        <v>0.9999992451172739</v>
      </c>
      <c r="BU16" s="19" t="n">
        <v>0</v>
      </c>
      <c r="BV16" s="19" t="n">
        <v>7.548827261283762e-07</v>
      </c>
      <c r="BW16" t="inlineStr">
        <is>
          <t>F#3</t>
        </is>
      </c>
      <c r="BX16" t="n">
        <v>54</v>
      </c>
      <c r="BY16" t="inlineStr">
        <is>
          <t>F#</t>
        </is>
      </c>
      <c r="BZ16" t="n">
        <v>3</v>
      </c>
      <c r="CA16" t="inlineStr">
        <is>
          <t>Middle</t>
        </is>
      </c>
      <c r="CB16" t="inlineStr">
        <is>
          <t>ff</t>
        </is>
      </c>
      <c r="CC16" s="15" t="n">
        <v>184.9972113558172</v>
      </c>
      <c r="CD16" s="15" t="n">
        <v>184.9719495637959</v>
      </c>
      <c r="CE16" t="inlineStr">
        <is>
          <t>prior_constrained_harmonic_fit</t>
        </is>
      </c>
      <c r="CF16" t="n">
        <v>184.9719495637959</v>
      </c>
      <c r="CG16" s="15" t="n">
        <v>1</v>
      </c>
      <c r="CH16" t="inlineStr">
        <is>
          <t>free_fit_acoustically_verified</t>
        </is>
      </c>
      <c r="CI16" s="15" t="inlineStr">
        <is>
          <t>free_f0_fit</t>
        </is>
      </c>
      <c r="CJ16" s="15" t="n">
        <v>184.9972113558172</v>
      </c>
      <c r="CK16" s="15" t="n">
        <v>184.9719495637959</v>
      </c>
      <c r="CL16" s="15" t="n">
        <v>-0.236420108351758</v>
      </c>
      <c r="CM16" s="15" t="n">
        <v>20000</v>
      </c>
      <c r="CN16" s="15" t="n">
        <v>-0.236420108351758</v>
      </c>
      <c r="CO16" s="15" t="n">
        <v>2.572815141251787</v>
      </c>
      <c r="CP16" s="15" t="n">
        <v>37969.04724486607</v>
      </c>
      <c r="CQ16" t="n">
        <v>10.614365888706</v>
      </c>
      <c r="CR16" t="n">
        <v>0.09828116563616671</v>
      </c>
      <c r="CS16" t="n">
        <v>351.565252260425</v>
      </c>
      <c r="CT16" t="n">
        <v>351.5655176511613</v>
      </c>
      <c r="CU16" t="n">
        <v>3731.642221247376</v>
      </c>
      <c r="CV16" t="n">
        <v>0.9805035311899426</v>
      </c>
      <c r="CW16" s="15" t="n">
        <v>37969.07590632542</v>
      </c>
      <c r="CX16" s="15" t="n">
        <v>136.4652433968089</v>
      </c>
      <c r="CY16" s="15" t="n">
        <v>0.9805035311899426</v>
      </c>
      <c r="CZ16" s="15" t="n">
        <v>2.926041221613743</v>
      </c>
      <c r="DA16" s="15" t="n">
        <v>2.926042690267648</v>
      </c>
      <c r="DB16" s="15" t="n">
        <v>1.703809251507587</v>
      </c>
      <c r="DC16" s="15" t="n">
        <v>0</v>
      </c>
      <c r="DD16" s="15" t="n">
        <v>7.706385685011846e-05</v>
      </c>
      <c r="DE16" s="15" t="n">
        <v>0</v>
      </c>
      <c r="DF16" s="15" t="n">
        <v>30</v>
      </c>
      <c r="DG16" s="15" t="inlineStr">
        <is>
          <t>Density_Metrics</t>
        </is>
      </c>
      <c r="DH16" s="15" t="n">
        <v>2.572815141251787</v>
      </c>
      <c r="DI16" t="n">
        <v>0.949536959878686</v>
      </c>
      <c r="DJ16" s="15" t="n">
        <v>0.5939548321027778</v>
      </c>
      <c r="DK16" s="15" t="n">
        <v>5.334010698080497</v>
      </c>
      <c r="DL16" s="15" t="n">
        <v>10.69127023210581</v>
      </c>
      <c r="DM16" s="15" t="n">
        <v>6.581686999478719</v>
      </c>
      <c r="DN16" s="15" t="n">
        <v>16.70361292721065</v>
      </c>
      <c r="DO16" s="15" t="n">
        <v>0.2402163103925502</v>
      </c>
      <c r="DP16" s="15" t="n">
        <v>3.4375</v>
      </c>
      <c r="DQ16" s="15" t="n">
        <v>66</v>
      </c>
      <c r="DR16" s="15" t="b">
        <v>1</v>
      </c>
      <c r="DS16" s="15" t="n">
        <v>10.614365888706</v>
      </c>
      <c r="DT16" s="15" t="n">
        <v>109.7069233865272</v>
      </c>
      <c r="DU16" t="n">
        <v>108</v>
      </c>
      <c r="DV16" s="15" t="n">
        <v>0.04776668768875537</v>
      </c>
      <c r="DW16" s="15" t="n">
        <v>2.7885765025131</v>
      </c>
      <c r="DX16" s="15" t="n">
        <v>3.030410704009283</v>
      </c>
      <c r="DY16" s="15" t="n">
        <v>0.02160983603712798</v>
      </c>
      <c r="DZ16" s="15" t="b">
        <v>0</v>
      </c>
      <c r="EA16" s="15" t="n">
        <v>0.5844784335221096</v>
      </c>
      <c r="EB16" s="15" t="n">
        <v>20000</v>
      </c>
      <c r="EC16" s="15" t="n">
        <v>5549.158486913876</v>
      </c>
      <c r="ED16" s="15" t="n">
        <v>30</v>
      </c>
      <c r="EE16" s="15" t="n">
        <v>14</v>
      </c>
      <c r="EF16" s="15" t="n">
        <v>0.02909936177846458</v>
      </c>
      <c r="EG16" s="15" t="b">
        <v>0</v>
      </c>
      <c r="EH16" s="15" t="b">
        <v>1</v>
      </c>
      <c r="EI16" s="15" t="b">
        <v>0</v>
      </c>
      <c r="EJ16" s="15" t="inlineStr">
        <is>
          <t>wf=log|dst=-90.0|ceil=20000.0|fft=adaptive_tier</t>
        </is>
      </c>
      <c r="EK16" s="15" t="inlineStr">
        <is>
          <t>wf=log|dst=runtime_configured|ceil=runtime_configured|fft=fixed</t>
        </is>
      </c>
      <c r="EL16" s="15" t="n">
        <v>0.6181057203277895</v>
      </c>
      <c r="EM16" s="15" t="n">
        <v>0.9844781033169986</v>
      </c>
      <c r="EN16" s="15" t="n">
        <v>0.2752293577981652</v>
      </c>
      <c r="EO16" s="15" t="n">
        <v>0.3938014930289118</v>
      </c>
      <c r="EP16" s="15" t="inlineStr">
        <is>
          <t>warn:power_outlier_detected</t>
        </is>
      </c>
      <c r="EQ16" s="15" t="n">
        <v>336.2186461034702</v>
      </c>
      <c r="ER16" s="15" t="inlineStr">
        <is>
          <t>winsorize_p95_for_robust_diagnostics</t>
        </is>
      </c>
      <c r="ES16" s="15" t="n">
        <v>0.1214699554387194</v>
      </c>
      <c r="ET16" s="15" t="n">
        <v>0.1117950122047704</v>
      </c>
      <c r="EU16" s="15" t="n">
        <v>0.1837322439728758</v>
      </c>
      <c r="EV16" t="inlineStr">
        <is>
          <t>computed</t>
        </is>
      </c>
      <c r="EW16" s="15" t="inlineStr">
        <is>
          <t>computed</t>
        </is>
      </c>
      <c r="EX16" s="15" t="inlineStr">
        <is>
          <t>computed</t>
        </is>
      </c>
      <c r="EY16" s="15" t="inlineStr">
        <is>
          <t>available_from_curve</t>
        </is>
      </c>
      <c r="EZ16" s="15" t="n">
        <v>20000</v>
      </c>
      <c r="FA16" s="15" t="n">
        <v>20000</v>
      </c>
      <c r="FB16" s="15" t="n">
        <v>0.07100037585519375</v>
      </c>
      <c r="FC16" s="15" t="n">
        <v>0.834129576706849</v>
      </c>
      <c r="FD16" s="15" t="n">
        <v>2.926042690267648</v>
      </c>
      <c r="FE16" s="15" t="n">
        <v>1.703809251507587</v>
      </c>
      <c r="FF16" s="15" t="n">
        <v>0.7041587563052616</v>
      </c>
      <c r="FG16" s="15" t="n">
        <v>2.243221392375823</v>
      </c>
      <c r="FH16" s="15" t="n">
        <v>0.2816891660421222</v>
      </c>
      <c r="FI16" s="15" t="n">
        <v>0.04790458283384203</v>
      </c>
      <c r="FJ16" s="15" t="n">
        <v>37969.07590632542</v>
      </c>
      <c r="FK16" s="15" t="n">
        <v>136.4652433968089</v>
      </c>
      <c r="FL16" s="15" t="n">
        <v>0.9805035311899426</v>
      </c>
      <c r="FM16" s="15" t="n">
        <v>0.003987994002986926</v>
      </c>
      <c r="FN16" t="n">
        <v>0.9999992451172739</v>
      </c>
      <c r="FO16" t="n">
        <v>0</v>
      </c>
      <c r="FP16" t="n">
        <v>7.548827261283762e-07</v>
      </c>
      <c r="FQ16" t="inlineStr">
        <is>
          <t>excellent</t>
        </is>
      </c>
      <c r="FR16" s="19" t="n">
        <v>0.8518518518518519</v>
      </c>
      <c r="FS16" s="15" t="n">
        <v>3.498047223027851</v>
      </c>
      <c r="FT16" s="15" t="n">
        <v>17.03051550653316</v>
      </c>
      <c r="FU16" t="inlineStr">
        <is>
          <t>passed</t>
        </is>
      </c>
      <c r="FV16" t="n">
        <v>842.4176599367751</v>
      </c>
      <c r="FW16" t="n">
        <v>49.56025451907951</v>
      </c>
      <c r="FX16" t="n">
        <v>4.060095999586614</v>
      </c>
      <c r="FY16" t="n">
        <v>0.6012163343574958</v>
      </c>
      <c r="FZ16" t="n">
        <v>0.8314860070025412</v>
      </c>
      <c r="GA16" t="n">
        <v>0.4185836337022531</v>
      </c>
      <c r="GB16" t="n">
        <v>0.5883145038147838</v>
      </c>
      <c r="GC16" t="n">
        <v>0.5938977087363057</v>
      </c>
      <c r="GD16" t="n">
        <v>0.6240044956569978</v>
      </c>
      <c r="GE16" t="n">
        <v>0.074836660020848</v>
      </c>
      <c r="GF16" t="n">
        <v>1</v>
      </c>
      <c r="GG16" t="n">
        <v>0.1685552932194017</v>
      </c>
      <c r="GH16" t="n">
        <v>0.5210496378030994</v>
      </c>
      <c r="GI16" t="n">
        <v>0.5537711158696168</v>
      </c>
      <c r="GJ16" t="n">
        <v>0.6689655172413792</v>
      </c>
      <c r="GK16" t="n">
        <v>0.8723404255319148</v>
      </c>
      <c r="GL16" t="n">
        <v>0.1057459888642277</v>
      </c>
      <c r="GM16" t="n">
        <v>0.1057459888642277</v>
      </c>
      <c r="GN16" t="n">
        <v>0.9144763711870324</v>
      </c>
      <c r="GO16" t="n">
        <v>0.6417701109346832</v>
      </c>
      <c r="GP16" t="n">
        <v>3731.642221247376</v>
      </c>
      <c r="GQ16" t="inlineStr">
        <is>
          <t>compiled workbook density_weighted_sum = density_component_ratio_weighted_sum (per-note component ratios); research density_weighted_sum maps body-ceiling richness</t>
        </is>
      </c>
      <c r="GR16" s="15" t="inlineStr">
        <is>
          <t>individual_exact</t>
        </is>
      </c>
      <c r="GS16" s="15" t="inlineStr">
        <is>
          <t>density_weight</t>
        </is>
      </c>
      <c r="GT16" s="15" t="n">
        <v>0.9189347305862946</v>
      </c>
      <c r="GU16" s="15" t="n">
        <v>0.08106526941370547</v>
      </c>
      <c r="GV16" s="15" t="n">
        <v>0</v>
      </c>
      <c r="GW16" s="15" t="inlineStr">
        <is>
          <t>log</t>
        </is>
      </c>
      <c r="GX16" s="15" t="n">
        <v>0.5</v>
      </c>
      <c r="GY16" s="15" t="inlineStr">
        <is>
          <t>EWSD-R v18.1</t>
        </is>
      </c>
      <c r="GZ16" s="15" t="n">
        <v>74.91710537677203</v>
      </c>
      <c r="HA16" s="15" t="n">
        <v>94.21479124243842</v>
      </c>
      <c r="HB16" s="15" t="n">
        <v>0.06153303919627631</v>
      </c>
      <c r="HC16" s="15" t="n">
        <v>78.10008603839336</v>
      </c>
      <c r="HD16" s="15" t="n">
        <v>96.84792389033063</v>
      </c>
      <c r="HE16" s="15" t="n">
        <v>0.05744630844462473</v>
      </c>
      <c r="HF16" s="15" t="inlineStr">
        <is>
          <t>partials+ratios</t>
        </is>
      </c>
      <c r="HG16" s="15" t="inlineStr">
        <is>
          <t>merged_individual_exact</t>
        </is>
      </c>
      <c r="HH16" s="15" t="inlineStr">
        <is>
          <t>passed</t>
        </is>
      </c>
      <c r="HI16" s="15" t="inlineStr">
        <is>
          <t>passed</t>
        </is>
      </c>
    </row>
    <row r="17">
      <c r="A17" t="inlineStr">
        <is>
          <t>incomplete_inference</t>
        </is>
      </c>
      <c r="B17" t="inlineStr">
        <is>
          <t>missing_instrument_technique</t>
        </is>
      </c>
      <c r="C17" t="inlineStr">
        <is>
          <t>prior_constrained_harmonic_fit</t>
        </is>
      </c>
      <c r="D17" t="inlineStr">
        <is>
          <t>IOWA_Trb.T_ff.G3_SustainStable/G3/component_amplitude_mass_pie.png</t>
        </is>
      </c>
      <c r="E17" t="inlineStr">
        <is>
          <t>IOWA_Trb.T_ff.G3_SustainStable/G3/component_energy_ratio_pie.png</t>
        </is>
      </c>
      <c r="F17" s="15" t="n">
        <v>195.9687567348571</v>
      </c>
      <c r="G17" s="15" t="inlineStr">
        <is>
          <t>prior_constrained_harmonic_fit</t>
        </is>
      </c>
      <c r="H17" s="15" t="inlineStr">
        <is>
          <t>fit_accepted_acoustically_verified</t>
        </is>
      </c>
      <c r="I17" s="16" t="n">
        <v>4446.974548186871</v>
      </c>
      <c r="J17" t="inlineStr">
        <is>
          <t>richness_weighted_body_density_body_ceiling</t>
        </is>
      </c>
      <c r="K17" t="inlineStr">
        <is>
          <t>research_body_ceiling_richness_metric</t>
        </is>
      </c>
      <c r="L17" s="15" t="n">
        <v>45067.23408242106</v>
      </c>
      <c r="M17" s="15" t="n">
        <v>45067.25913986832</v>
      </c>
      <c r="N17" s="15" t="n">
        <v>405.3043070025632</v>
      </c>
      <c r="O17" s="15" t="n">
        <v>0.6145821662693778</v>
      </c>
      <c r="P17" s="15" t="n">
        <v>-0.8066177021825259</v>
      </c>
      <c r="Q17" s="15" t="n">
        <v>71</v>
      </c>
      <c r="R17" s="15" t="n">
        <v>81</v>
      </c>
      <c r="S17" s="15" t="n">
        <v>45067.26605292987</v>
      </c>
      <c r="T17" s="15" t="n">
        <v>103</v>
      </c>
      <c r="U17" s="15" t="n">
        <v>-0.1096920907774731</v>
      </c>
      <c r="V17" s="15" t="n">
        <v>117.1991173170478</v>
      </c>
      <c r="W17" s="15" t="n">
        <v>0.5627487645425764</v>
      </c>
      <c r="X17" s="15" t="n">
        <v>0.9072983784614362</v>
      </c>
      <c r="Y17" s="15" t="n">
        <v>76</v>
      </c>
      <c r="Z17" s="15" t="n">
        <v>102</v>
      </c>
      <c r="AA17" s="15" t="n">
        <v>0.7450980392156863</v>
      </c>
      <c r="AB17" s="15" t="n">
        <v>102</v>
      </c>
      <c r="AC17" s="15" t="n">
        <v>76</v>
      </c>
      <c r="AD17" s="15" t="n">
        <v>0.7450980392156863</v>
      </c>
      <c r="AE17" s="15" t="n">
        <v>2620.357066116526</v>
      </c>
      <c r="AF17" s="15" t="n">
        <v>76</v>
      </c>
      <c r="AG17" s="15" t="n">
        <v>102</v>
      </c>
      <c r="AH17" s="15" t="n">
        <v>0.7450980392156863</v>
      </c>
      <c r="AI17" s="15" t="n">
        <v>2620.357066116526</v>
      </c>
      <c r="AJ17" s="15" t="n">
        <v>39</v>
      </c>
      <c r="AK17" s="15" t="n">
        <v>37</v>
      </c>
      <c r="AL17" s="15" t="n">
        <v>0.7472115331805811</v>
      </c>
      <c r="AM17" s="15" t="n">
        <v>71</v>
      </c>
      <c r="AN17" s="15" t="n">
        <v>0</v>
      </c>
      <c r="AO17" s="15" t="n">
        <v>71</v>
      </c>
      <c r="AP17" s="15" t="n">
        <v>0</v>
      </c>
      <c r="AQ17" s="15" t="n">
        <v>75.7394579159629</v>
      </c>
      <c r="AR17" s="15" t="n">
        <v>48.13367104911237</v>
      </c>
      <c r="AS17" s="15" t="n">
        <v>0.6291531399225497</v>
      </c>
      <c r="AT17" s="17" t="n">
        <v>2.973476910648802</v>
      </c>
      <c r="AU17" s="18" t="n">
        <v>71.78496064663268</v>
      </c>
      <c r="AV17" s="15" t="n">
        <v>91.46365119190365</v>
      </c>
      <c r="AW17" s="15" t="b">
        <v>1</v>
      </c>
      <c r="AX17" s="15" t="n">
        <v>48.66646513548837</v>
      </c>
      <c r="AY17" s="15" t="n">
        <v>38.44174293091415</v>
      </c>
      <c r="AZ17" s="15" t="n">
        <v>0</v>
      </c>
      <c r="BA17" s="15" t="n">
        <v>1</v>
      </c>
      <c r="BB17" s="15" t="n">
        <v>0.5</v>
      </c>
      <c r="BC17" s="15" t="n">
        <v>0.25</v>
      </c>
      <c r="BD17" s="15" t="inlineStr">
        <is>
          <t>his_note_adaptive</t>
        </is>
      </c>
      <c r="BE17" s="15" t="n">
        <v>-90</v>
      </c>
      <c r="BF17" s="15" t="n">
        <v>20000</v>
      </c>
      <c r="BG17" s="15" t="n">
        <v>76</v>
      </c>
      <c r="BH17" s="15" t="n">
        <v>0.7450980392156863</v>
      </c>
      <c r="BI17" s="15" t="n">
        <v>102</v>
      </c>
      <c r="BJ17" s="15" t="n">
        <v>76</v>
      </c>
      <c r="BK17" s="15" t="n">
        <v>102</v>
      </c>
      <c r="BL17" s="15" t="n">
        <v>90</v>
      </c>
      <c r="BM17" s="15" t="n">
        <v>0.8823529411764706</v>
      </c>
      <c r="BN17" s="15" t="n">
        <v>0.5758756252545293</v>
      </c>
      <c r="BO17" s="15" t="n">
        <v>0.5916666666666667</v>
      </c>
      <c r="BP17" s="19" t="n">
        <v>0.9472772291980852</v>
      </c>
      <c r="BQ17" s="19" t="n">
        <v>0.05272224410722395</v>
      </c>
      <c r="BR17" s="19" t="n">
        <v>5.266946907227811e-07</v>
      </c>
      <c r="BS17" s="15" t="n">
        <v>0.0329301456051908</v>
      </c>
      <c r="BT17" s="19" t="n">
        <v>0.9999994439912819</v>
      </c>
      <c r="BU17" s="19" t="n">
        <v>0</v>
      </c>
      <c r="BV17" s="19" t="n">
        <v>5.560087180833144e-07</v>
      </c>
      <c r="BW17" t="inlineStr">
        <is>
          <t>G3</t>
        </is>
      </c>
      <c r="BX17" t="n">
        <v>55</v>
      </c>
      <c r="BY17" t="inlineStr">
        <is>
          <t>G</t>
        </is>
      </c>
      <c r="BZ17" t="n">
        <v>3</v>
      </c>
      <c r="CA17" t="inlineStr">
        <is>
          <t>Middle</t>
        </is>
      </c>
      <c r="CB17" t="inlineStr">
        <is>
          <t>ff</t>
        </is>
      </c>
      <c r="CC17" s="15" t="n">
        <v>195.9977179908747</v>
      </c>
      <c r="CD17" s="15" t="n">
        <v>195.9687567348571</v>
      </c>
      <c r="CE17" t="inlineStr">
        <is>
          <t>prior_constrained_harmonic_fit</t>
        </is>
      </c>
      <c r="CF17" t="n">
        <v>195.9687567348571</v>
      </c>
      <c r="CG17" s="15" t="n">
        <v>1</v>
      </c>
      <c r="CH17" t="inlineStr">
        <is>
          <t>free_fit_acoustically_verified</t>
        </is>
      </c>
      <c r="CI17" s="15" t="inlineStr">
        <is>
          <t>free_f0_fit</t>
        </is>
      </c>
      <c r="CJ17" s="15" t="n">
        <v>195.9977179908747</v>
      </c>
      <c r="CK17" s="15" t="n">
        <v>195.9687567348571</v>
      </c>
      <c r="CL17" s="15" t="n">
        <v>-0.2558316378850329</v>
      </c>
      <c r="CM17" s="15" t="n">
        <v>20000</v>
      </c>
      <c r="CN17" s="15" t="n">
        <v>-0.2558316378850329</v>
      </c>
      <c r="CO17" s="15" t="n">
        <v>2.691287687371772</v>
      </c>
      <c r="CP17" s="15" t="n">
        <v>45067.23408242106</v>
      </c>
      <c r="CQ17" t="n">
        <v>10.06477129457182</v>
      </c>
      <c r="CR17" t="n">
        <v>0.09867422837815508</v>
      </c>
      <c r="CS17" t="n">
        <v>441.8356282556798</v>
      </c>
      <c r="CT17" t="n">
        <v>441.8358739202777</v>
      </c>
      <c r="CU17" t="n">
        <v>4446.974548186871</v>
      </c>
      <c r="CV17" t="n">
        <v>0.6145821662693778</v>
      </c>
      <c r="CW17" s="15" t="n">
        <v>45067.25913986832</v>
      </c>
      <c r="CX17" s="15" t="n">
        <v>405.3043070025632</v>
      </c>
      <c r="CY17" s="15" t="n">
        <v>0.6145821662693778</v>
      </c>
      <c r="CZ17" s="15" t="n">
        <v>2.973476901929541</v>
      </c>
      <c r="DA17" s="15" t="n">
        <v>2.973478213496308</v>
      </c>
      <c r="DB17" s="15" t="n">
        <v>2.230841267989598</v>
      </c>
      <c r="DC17" s="15" t="n">
        <v>0</v>
      </c>
      <c r="DD17" s="15" t="n">
        <v>6.597868634430744e-05</v>
      </c>
      <c r="DE17" s="15" t="n">
        <v>0</v>
      </c>
      <c r="DF17" s="15" t="n">
        <v>71</v>
      </c>
      <c r="DG17" s="15" t="inlineStr">
        <is>
          <t>Density_Metrics</t>
        </is>
      </c>
      <c r="DH17" s="15" t="n">
        <v>2.691287687371772</v>
      </c>
      <c r="DI17" t="n">
        <v>0.993261073386944</v>
      </c>
      <c r="DJ17" s="15" t="n">
        <v>0.5991706937321873</v>
      </c>
      <c r="DK17" s="15" t="n">
        <v>5.834583526460857</v>
      </c>
      <c r="DL17" s="15" t="n">
        <v>10.24677353534445</v>
      </c>
      <c r="DM17" s="15" t="n">
        <v>6.214638230909894</v>
      </c>
      <c r="DN17" s="15" t="n">
        <v>16.55918928944818</v>
      </c>
      <c r="DO17" s="15" t="n">
        <v>0.2593794809850736</v>
      </c>
      <c r="DP17" s="15" t="n">
        <v>3.5</v>
      </c>
      <c r="DQ17" s="15" t="n">
        <v>160</v>
      </c>
      <c r="DR17" s="15" t="b">
        <v>1</v>
      </c>
      <c r="DS17" s="15" t="n">
        <v>10.06477129457182</v>
      </c>
      <c r="DT17" s="15" t="n">
        <v>92.54443460306649</v>
      </c>
      <c r="DU17" t="n">
        <v>102</v>
      </c>
      <c r="DV17" s="15" t="n">
        <v>0.0329301456051908</v>
      </c>
      <c r="DW17" s="15" t="n">
        <v>2.78593948570883</v>
      </c>
      <c r="DX17" s="15" t="n">
        <v>3.111407742251377</v>
      </c>
      <c r="DY17" s="15" t="n">
        <v>0.02878530527867971</v>
      </c>
      <c r="DZ17" s="15" t="b">
        <v>1</v>
      </c>
      <c r="EA17" s="15" t="n">
        <v>0.5722630846483101</v>
      </c>
      <c r="EB17" s="15" t="n">
        <v>20000</v>
      </c>
      <c r="EC17" s="15" t="n">
        <v>13913.78172817486</v>
      </c>
      <c r="ED17" s="15" t="n">
        <v>71</v>
      </c>
      <c r="EE17" s="15" t="n">
        <v>0</v>
      </c>
      <c r="EF17" s="15" t="n">
        <v>0.02746614009812419</v>
      </c>
      <c r="EG17" s="15" t="b">
        <v>0</v>
      </c>
      <c r="EH17" s="15" t="b">
        <v>1</v>
      </c>
      <c r="EI17" s="15" t="b">
        <v>0</v>
      </c>
      <c r="EJ17" s="15" t="inlineStr">
        <is>
          <t>wf=log|dst=-90.0|ceil=20000.0|fft=adaptive_tier</t>
        </is>
      </c>
      <c r="EK17" s="15" t="inlineStr">
        <is>
          <t>wf=log|dst=runtime_configured|ceil=runtime_configured|fft=fixed</t>
        </is>
      </c>
      <c r="EL17" s="15" t="n">
        <v>0.7683008563452418</v>
      </c>
      <c r="EM17" s="15" t="n">
        <v>0.9992595835217514</v>
      </c>
      <c r="EN17" s="15" t="n">
        <v>0.6893203883495146</v>
      </c>
      <c r="EO17" s="15" t="n">
        <v>0.3868595391906181</v>
      </c>
      <c r="EP17" s="15" t="inlineStr">
        <is>
          <t>warn:power_outlier_detected</t>
        </is>
      </c>
      <c r="EQ17" s="15" t="n">
        <v>374.5187469306408</v>
      </c>
      <c r="ER17" s="15" t="inlineStr">
        <is>
          <t>winsorize_p95_for_robust_diagnostics</t>
        </is>
      </c>
      <c r="ES17" s="15" t="n">
        <v>0.1304028886091688</v>
      </c>
      <c r="ET17" s="15" t="n">
        <v>0.08968771019576723</v>
      </c>
      <c r="EU17" s="15" t="n">
        <v>0.1552347214494375</v>
      </c>
      <c r="EV17" t="inlineStr">
        <is>
          <t>computed</t>
        </is>
      </c>
      <c r="EW17" s="15" t="inlineStr">
        <is>
          <t>computed</t>
        </is>
      </c>
      <c r="EX17" s="15" t="inlineStr">
        <is>
          <t>computed</t>
        </is>
      </c>
      <c r="EY17" s="15" t="inlineStr">
        <is>
          <t>available_from_curve</t>
        </is>
      </c>
      <c r="EZ17" s="15" t="n">
        <v>20000</v>
      </c>
      <c r="FA17" s="15" t="n">
        <v>20000</v>
      </c>
      <c r="FB17" s="15" t="n">
        <v>0.05272224410722395</v>
      </c>
      <c r="FC17" s="15" t="n">
        <v>0.613472435934719</v>
      </c>
      <c r="FD17" s="15" t="n">
        <v>2.973478213496308</v>
      </c>
      <c r="FE17" s="15" t="n">
        <v>2.230841267989598</v>
      </c>
      <c r="FF17" s="15" t="n">
        <v>0.6302640449749517</v>
      </c>
      <c r="FG17" s="15" t="n">
        <v>2.279587362297928</v>
      </c>
      <c r="FH17" s="15" t="n">
        <v>0.3688228689897697</v>
      </c>
      <c r="FI17" s="15" t="n">
        <v>0.04287745608407385</v>
      </c>
      <c r="FJ17" s="15" t="n">
        <v>45067.25913986832</v>
      </c>
      <c r="FK17" s="15" t="n">
        <v>405.3043070025632</v>
      </c>
      <c r="FL17" s="15" t="n">
        <v>0.6145821662693778</v>
      </c>
      <c r="FM17" s="15" t="n">
        <v>0.005217958128400355</v>
      </c>
      <c r="FN17" t="n">
        <v>0.9999994439912819</v>
      </c>
      <c r="FO17" t="n">
        <v>0</v>
      </c>
      <c r="FP17" t="n">
        <v>5.560087180833144e-07</v>
      </c>
      <c r="FQ17" t="inlineStr">
        <is>
          <t>excellent</t>
        </is>
      </c>
      <c r="FR17" s="19" t="n">
        <v>0.8823529411764706</v>
      </c>
      <c r="FS17" s="15" t="n">
        <v>2.563555023916048</v>
      </c>
      <c r="FT17" s="15" t="n">
        <v>17.42795877129876</v>
      </c>
      <c r="FU17" t="inlineStr">
        <is>
          <t>passed</t>
        </is>
      </c>
      <c r="FV17" t="n">
        <v>939.7586354337632</v>
      </c>
      <c r="FW17" t="n">
        <v>169.1536493417865</v>
      </c>
      <c r="FX17" t="n">
        <v>3.268389520447103</v>
      </c>
      <c r="FY17" t="n">
        <v>0.9467457004019217</v>
      </c>
      <c r="FZ17" t="n">
        <v>1</v>
      </c>
      <c r="GA17" t="n">
        <v>0.9071353670324862</v>
      </c>
      <c r="GB17" t="n">
        <v>0.5542683342746241</v>
      </c>
      <c r="GC17" t="n">
        <v>0.5511771794372716</v>
      </c>
      <c r="GD17" t="n">
        <v>0.4719897915628025</v>
      </c>
      <c r="GE17" t="n">
        <v>0.1685995015352593</v>
      </c>
      <c r="GF17" t="n">
        <v>0.8296955896047965</v>
      </c>
      <c r="GG17" t="n">
        <v>0</v>
      </c>
      <c r="GH17" t="n">
        <v>0.3387121410429741</v>
      </c>
      <c r="GI17" t="n">
        <v>0.6535163958517025</v>
      </c>
      <c r="GJ17" t="n">
        <v>0.8507099391480727</v>
      </c>
      <c r="GK17" t="n">
        <v>0.7872340425531914</v>
      </c>
      <c r="GL17" t="n">
        <v>0.001651452159829524</v>
      </c>
      <c r="GM17" t="n">
        <v>0.001651452159829524</v>
      </c>
      <c r="GN17" t="n">
        <v>0.4539379880356313</v>
      </c>
      <c r="GO17" t="n">
        <v>0.6504590202990856</v>
      </c>
      <c r="GP17" t="n">
        <v>4446.974548186871</v>
      </c>
      <c r="GQ17" t="inlineStr">
        <is>
          <t>compiled workbook density_weighted_sum = density_component_ratio_weighted_sum (per-note component ratios); research density_weighted_sum maps body-ceiling richness</t>
        </is>
      </c>
      <c r="GR17" s="15" t="inlineStr">
        <is>
          <t>individual_exact</t>
        </is>
      </c>
      <c r="GS17" s="15" t="inlineStr">
        <is>
          <t>density_weight</t>
        </is>
      </c>
      <c r="GT17" s="15" t="n">
        <v>0.9478915831925829</v>
      </c>
      <c r="GU17" s="15" t="n">
        <v>0.05210841680741701</v>
      </c>
      <c r="GV17" s="15" t="n">
        <v>0</v>
      </c>
      <c r="GW17" s="15" t="inlineStr">
        <is>
          <t>log</t>
        </is>
      </c>
      <c r="GX17" s="15" t="n">
        <v>0.5</v>
      </c>
      <c r="GY17" s="15" t="inlineStr">
        <is>
          <t>EWSD-R v18.1</t>
        </is>
      </c>
      <c r="GZ17" s="15" t="n">
        <v>53.9474703233515</v>
      </c>
      <c r="HA17" s="15" t="n">
        <v>93.52163496416676</v>
      </c>
      <c r="HB17" s="15" t="n">
        <v>0.1431256447602312</v>
      </c>
      <c r="HC17" s="15" t="n">
        <v>72.97381694823613</v>
      </c>
      <c r="HD17" s="15" t="n">
        <v>114.7009853714986</v>
      </c>
      <c r="HE17" s="15" t="n">
        <v>0.1186644197319663</v>
      </c>
      <c r="HF17" s="15" t="inlineStr">
        <is>
          <t>partials+ratios</t>
        </is>
      </c>
      <c r="HG17" s="15" t="inlineStr">
        <is>
          <t>merged_individual_exact</t>
        </is>
      </c>
      <c r="HH17" s="15" t="inlineStr">
        <is>
          <t>passed</t>
        </is>
      </c>
      <c r="HI17" s="15" t="inlineStr">
        <is>
          <t>passed</t>
        </is>
      </c>
    </row>
    <row r="18">
      <c r="A18" t="inlineStr">
        <is>
          <t>incomplete_inference</t>
        </is>
      </c>
      <c r="B18" t="inlineStr">
        <is>
          <t>missing_instrument_technique</t>
        </is>
      </c>
      <c r="C18" t="inlineStr">
        <is>
          <t>prior_constrained_harmonic_fit</t>
        </is>
      </c>
      <c r="D18" t="inlineStr">
        <is>
          <t>IOWA_Trb.T_ff.G#3_SustainStable/G#3/component_amplitude_mass_pie.png</t>
        </is>
      </c>
      <c r="E18" t="inlineStr">
        <is>
          <t>IOWA_Trb.T_ff.G#3_SustainStable/G#3/component_energy_ratio_pie.png</t>
        </is>
      </c>
      <c r="F18" s="15" t="n">
        <v>207.4116577663625</v>
      </c>
      <c r="G18" s="15" t="inlineStr">
        <is>
          <t>prior_constrained_harmonic_fit</t>
        </is>
      </c>
      <c r="H18" s="15" t="inlineStr">
        <is>
          <t>fit_accepted_acoustically_verified</t>
        </is>
      </c>
      <c r="I18" s="16" t="n">
        <v>998.0240004162467</v>
      </c>
      <c r="J18" t="inlineStr">
        <is>
          <t>richness_weighted_body_density_body_ceiling</t>
        </is>
      </c>
      <c r="K18" t="inlineStr">
        <is>
          <t>research_body_ceiling_richness_metric</t>
        </is>
      </c>
      <c r="L18" s="15" t="n">
        <v>37598.72016833266</v>
      </c>
      <c r="M18" s="15" t="n">
        <v>37598.72016833266</v>
      </c>
      <c r="N18" s="15" t="n">
        <v>809.2703880742628</v>
      </c>
      <c r="O18" s="15" t="n">
        <v>0.8307935900257346</v>
      </c>
      <c r="P18" s="15" t="n">
        <v>-0.8565779660824862</v>
      </c>
      <c r="Q18" s="15" t="n">
        <v>46</v>
      </c>
      <c r="R18" s="15" t="n">
        <v>80</v>
      </c>
      <c r="S18" s="15" t="n">
        <v>9399.864605070625</v>
      </c>
      <c r="T18" s="15" t="n">
        <v>97</v>
      </c>
      <c r="U18" s="15" t="n">
        <v>-0.1287458610947479</v>
      </c>
      <c r="V18" s="15" t="n">
        <v>106.0630604754822</v>
      </c>
      <c r="W18" s="15" t="n">
        <v>0.5217155524283708</v>
      </c>
      <c r="X18" s="15" t="n">
        <v>0.7693373283740114</v>
      </c>
      <c r="Y18" s="15" t="n">
        <v>79</v>
      </c>
      <c r="Z18" s="15" t="n">
        <v>96</v>
      </c>
      <c r="AA18" s="15" t="n">
        <v>0.8229166666666666</v>
      </c>
      <c r="AB18" s="15" t="n">
        <v>96</v>
      </c>
      <c r="AC18" s="15" t="n">
        <v>79</v>
      </c>
      <c r="AD18" s="15" t="n">
        <v>0.8229166666666666</v>
      </c>
      <c r="AE18" s="15" t="n">
        <v>1190.062254741234</v>
      </c>
      <c r="AF18" s="15" t="n">
        <v>79</v>
      </c>
      <c r="AG18" s="15" t="n">
        <v>96</v>
      </c>
      <c r="AH18" s="15" t="n">
        <v>0.8229166666666666</v>
      </c>
      <c r="AI18" s="15" t="n">
        <v>1190.062254741234</v>
      </c>
      <c r="AJ18" s="15" t="n">
        <v>40</v>
      </c>
      <c r="AK18" s="15" t="n">
        <v>39</v>
      </c>
      <c r="AL18" s="15" t="n">
        <v>0.8933292106981998</v>
      </c>
      <c r="AM18" s="15" t="n">
        <v>80</v>
      </c>
      <c r="AN18" s="15" t="n">
        <v>0</v>
      </c>
      <c r="AO18" s="15" t="n">
        <v>80</v>
      </c>
      <c r="AP18" s="15" t="n">
        <v>0</v>
      </c>
      <c r="AQ18" s="15" t="n">
        <v>79.17874818127054</v>
      </c>
      <c r="AR18" s="15" t="n">
        <v>49.87497627198775</v>
      </c>
      <c r="AS18" s="15" t="n">
        <v>0.6598569688507019</v>
      </c>
      <c r="AT18" s="17" t="n">
        <v>2.926465322815754</v>
      </c>
      <c r="AU18" s="18" t="n">
        <v>55.86000921128833</v>
      </c>
      <c r="AV18" s="15" t="n">
        <v>63.87081851330468</v>
      </c>
      <c r="AW18" s="15" t="b">
        <v>1</v>
      </c>
      <c r="AX18" s="15" t="n">
        <v>50.46997795618358</v>
      </c>
      <c r="AY18" s="15" t="n">
        <v>47.14126333673086</v>
      </c>
      <c r="AZ18" s="15" t="n">
        <v>0</v>
      </c>
      <c r="BA18" s="15" t="n">
        <v>1</v>
      </c>
      <c r="BB18" s="15" t="n">
        <v>0.5</v>
      </c>
      <c r="BC18" s="15" t="n">
        <v>0.25</v>
      </c>
      <c r="BD18" s="15" t="inlineStr">
        <is>
          <t>his_note_adaptive</t>
        </is>
      </c>
      <c r="BE18" s="15" t="n">
        <v>-90</v>
      </c>
      <c r="BF18" s="15" t="n">
        <v>20000</v>
      </c>
      <c r="BG18" s="15" t="n">
        <v>79</v>
      </c>
      <c r="BH18" s="15" t="n">
        <v>0.8229166666666666</v>
      </c>
      <c r="BI18" s="15" t="n">
        <v>96</v>
      </c>
      <c r="BJ18" s="15" t="n">
        <v>79</v>
      </c>
      <c r="BK18" s="15" t="n">
        <v>96</v>
      </c>
      <c r="BL18" s="15" t="n">
        <v>79</v>
      </c>
      <c r="BM18" s="15" t="n">
        <v>0.8229166666666666</v>
      </c>
      <c r="BN18" s="15" t="n">
        <v>0.5639590506584075</v>
      </c>
      <c r="BO18" s="15" t="n">
        <v>0.6666666666666666</v>
      </c>
      <c r="BP18" s="19" t="n">
        <v>0.8464333465036575</v>
      </c>
      <c r="BQ18" s="19" t="n">
        <v>0.1535666534963425</v>
      </c>
      <c r="BR18" s="19" t="n">
        <v>0</v>
      </c>
      <c r="BS18" s="15" t="n">
        <v>0.1209519561350591</v>
      </c>
      <c r="BT18" s="19" t="n">
        <v>1</v>
      </c>
      <c r="BU18" s="19" t="n">
        <v>0</v>
      </c>
      <c r="BV18" s="19" t="n">
        <v>0</v>
      </c>
      <c r="BW18" t="inlineStr">
        <is>
          <t>G#3</t>
        </is>
      </c>
      <c r="BX18" t="n">
        <v>56</v>
      </c>
      <c r="BY18" t="inlineStr">
        <is>
          <t>G#</t>
        </is>
      </c>
      <c r="BZ18" t="n">
        <v>3</v>
      </c>
      <c r="CA18" t="inlineStr">
        <is>
          <t>Middle</t>
        </is>
      </c>
      <c r="CB18" t="inlineStr">
        <is>
          <t>ff</t>
        </is>
      </c>
      <c r="CC18" s="15" t="n">
        <v>207.6523487899725</v>
      </c>
      <c r="CD18" s="15" t="n">
        <v>207.4116577663625</v>
      </c>
      <c r="CE18" t="inlineStr">
        <is>
          <t>prior_constrained_harmonic_fit</t>
        </is>
      </c>
      <c r="CF18" t="n">
        <v>207.4116577663625</v>
      </c>
      <c r="CG18" s="15" t="n">
        <v>1</v>
      </c>
      <c r="CH18" t="inlineStr">
        <is>
          <t>free_fit_acoustically_verified</t>
        </is>
      </c>
      <c r="CI18" s="15" t="inlineStr">
        <is>
          <t>free_f0_fit</t>
        </is>
      </c>
      <c r="CJ18" s="15" t="n">
        <v>207.6523487899725</v>
      </c>
      <c r="CK18" s="15" t="n">
        <v>207.4116577663625</v>
      </c>
      <c r="CL18" s="15" t="n">
        <v>-2.007847153709778</v>
      </c>
      <c r="CM18" s="15" t="n">
        <v>20000</v>
      </c>
      <c r="CN18" s="15" t="n">
        <v>-2.007847153709778</v>
      </c>
      <c r="CO18" s="15" t="n">
        <v>2.642594451583289</v>
      </c>
      <c r="CP18" s="15" t="n">
        <v>37598.72016833266</v>
      </c>
      <c r="CQ18" t="n">
        <v>10.19293248397912</v>
      </c>
      <c r="CR18" t="n">
        <v>0.1061763800414492</v>
      </c>
      <c r="CS18" t="n">
        <v>97.91333377169963</v>
      </c>
      <c r="CT18" t="n">
        <v>97.91333377169963</v>
      </c>
      <c r="CU18" t="n">
        <v>998.0240004162467</v>
      </c>
      <c r="CV18" t="n">
        <v>0.8307935900257346</v>
      </c>
      <c r="CW18" s="15" t="n">
        <v>37598.72016833266</v>
      </c>
      <c r="CX18" s="15" t="n">
        <v>809.2703880742628</v>
      </c>
      <c r="CY18" s="15" t="n">
        <v>0.8307935900257346</v>
      </c>
      <c r="CZ18" s="15" t="n">
        <v>2.926465322815754</v>
      </c>
      <c r="DA18" s="15" t="n">
        <v>2.926465322815754</v>
      </c>
      <c r="DB18" s="15" t="n">
        <v>2.180362137137325</v>
      </c>
      <c r="DC18" s="15" t="n">
        <v>0</v>
      </c>
      <c r="DD18" s="15" t="n">
        <v>7.783417386851788e-05</v>
      </c>
      <c r="DE18" s="15" t="n">
        <v>0</v>
      </c>
      <c r="DF18" s="15" t="n">
        <v>46</v>
      </c>
      <c r="DG18" s="15" t="inlineStr">
        <is>
          <t>Density_Metrics</t>
        </is>
      </c>
      <c r="DH18" s="15" t="n">
        <v>2.642594451583289</v>
      </c>
      <c r="DI18" t="n">
        <v>0.9752900865344816</v>
      </c>
      <c r="DJ18" s="15" t="n">
        <v>0.5940017662665615</v>
      </c>
      <c r="DK18" s="15" t="n">
        <v>5.673802565525179</v>
      </c>
      <c r="DL18" s="15" t="n">
        <v>10.6350995322623</v>
      </c>
      <c r="DM18" s="15" t="n">
        <v>6.665017708389883</v>
      </c>
      <c r="DN18" s="15" t="n">
        <v>16.13497395422671</v>
      </c>
      <c r="DO18" s="15" t="n">
        <v>0.2238100356500581</v>
      </c>
      <c r="DP18" s="15" t="n">
        <v>6.375</v>
      </c>
      <c r="DQ18" s="15" t="n">
        <v>83</v>
      </c>
      <c r="DR18" s="15" t="b">
        <v>1</v>
      </c>
      <c r="DS18" s="15" t="n">
        <v>10.19293248397912</v>
      </c>
      <c r="DT18" s="15" t="n">
        <v>73.85638352390509</v>
      </c>
      <c r="DU18" t="n">
        <v>96</v>
      </c>
      <c r="DV18" s="15" t="n">
        <v>0.1209519561350591</v>
      </c>
      <c r="DW18" s="15" t="n">
        <v>2.433218021408886</v>
      </c>
      <c r="DX18" s="15" t="n">
        <v>2.75777891986346</v>
      </c>
      <c r="DY18" s="15" t="n">
        <v>0.03076318897215547</v>
      </c>
      <c r="DZ18" s="15" t="b">
        <v>1</v>
      </c>
      <c r="EA18" s="15" t="n">
        <v>0.1219100199897216</v>
      </c>
      <c r="EB18" s="15" t="n">
        <v>20000</v>
      </c>
      <c r="EC18" s="15" t="n">
        <v>9748.347915019036</v>
      </c>
      <c r="ED18" s="15" t="n">
        <v>47</v>
      </c>
      <c r="EE18" s="15" t="n">
        <v>0</v>
      </c>
      <c r="EF18" s="15" t="n">
        <v>0.05184916821427216</v>
      </c>
      <c r="EG18" s="15" t="b">
        <v>0</v>
      </c>
      <c r="EH18" s="15" t="b">
        <v>1</v>
      </c>
      <c r="EI18" s="15" t="b">
        <v>0</v>
      </c>
      <c r="EJ18" s="15" t="inlineStr">
        <is>
          <t>wf=log|dst=-90.0|ceil=20000.0|fft=adaptive_tier</t>
        </is>
      </c>
      <c r="EK18" s="15" t="inlineStr">
        <is>
          <t>wf=log|dst=runtime_configured|ceil=runtime_configured|fft=fixed</t>
        </is>
      </c>
      <c r="EL18" s="15" t="n">
        <v>0.701232296650697</v>
      </c>
      <c r="EM18" s="15" t="n">
        <v>0.9886792169400567</v>
      </c>
      <c r="EN18" s="15" t="n">
        <v>0.4742268041237113</v>
      </c>
      <c r="EO18" s="15" t="n">
        <v>0.4517363379218628</v>
      </c>
      <c r="EP18" s="15" t="inlineStr">
        <is>
          <t>warn:power_outlier_detected</t>
        </is>
      </c>
      <c r="EQ18" s="15" t="n">
        <v>153.5613444690307</v>
      </c>
      <c r="ER18" s="15" t="inlineStr">
        <is>
          <t>winsorize_p95_for_robust_diagnostics</t>
        </is>
      </c>
      <c r="ES18" s="15" t="n">
        <v>0.09947333789802228</v>
      </c>
      <c r="ET18" s="15" t="n">
        <v>0.1300949201979731</v>
      </c>
      <c r="EU18" s="15" t="n">
        <v>0.1840176372687807</v>
      </c>
      <c r="EV18" t="inlineStr">
        <is>
          <t>computed</t>
        </is>
      </c>
      <c r="EW18" s="15" t="inlineStr">
        <is>
          <t>computed</t>
        </is>
      </c>
      <c r="EX18" s="15" t="inlineStr">
        <is>
          <t>computed</t>
        </is>
      </c>
      <c r="EY18" s="15" t="inlineStr">
        <is>
          <t>available_from_curve</t>
        </is>
      </c>
      <c r="EZ18" s="15" t="n">
        <v>20000</v>
      </c>
      <c r="FA18" s="15" t="n">
        <v>20000</v>
      </c>
      <c r="FB18" s="15" t="n">
        <v>0.1535666534963425</v>
      </c>
      <c r="FC18" s="15" t="n">
        <v>0.7645306442929961</v>
      </c>
      <c r="FD18" s="15" t="n">
        <v>2.926465322815754</v>
      </c>
      <c r="FE18" s="15" t="n">
        <v>2.180362137137325</v>
      </c>
      <c r="FF18" s="15" t="n">
        <v>0.5669751055720996</v>
      </c>
      <c r="FG18" s="15" t="n">
        <v>2.243545399396014</v>
      </c>
      <c r="FH18" s="15" t="n">
        <v>0.3604772022082763</v>
      </c>
      <c r="FI18" s="15" t="n">
        <v>0.03857184997899887</v>
      </c>
      <c r="FJ18" s="15" t="n">
        <v>9399.680042083164</v>
      </c>
      <c r="FK18" s="15" t="n">
        <v>202.3175970185657</v>
      </c>
      <c r="FL18" s="15" t="n">
        <v>0.2076983975064337</v>
      </c>
      <c r="FM18" s="15" t="n">
        <v>0.004271919441326794</v>
      </c>
      <c r="FN18" t="n">
        <v>1</v>
      </c>
      <c r="FO18" t="n">
        <v>0</v>
      </c>
      <c r="FP18" t="n">
        <v>0</v>
      </c>
      <c r="FQ18" t="inlineStr">
        <is>
          <t>good</t>
        </is>
      </c>
      <c r="FR18" s="19" t="n">
        <v>0.8229166666666666</v>
      </c>
      <c r="FS18" s="15" t="n">
        <v>4.933421391559317</v>
      </c>
      <c r="FT18" s="15" t="n">
        <v>16.10876579083273</v>
      </c>
      <c r="FU18" t="inlineStr">
        <is>
          <t>passed</t>
        </is>
      </c>
      <c r="FV18" t="n">
        <v>421.6194145692394</v>
      </c>
      <c r="FW18" t="n">
        <v>75.24119301039225</v>
      </c>
      <c r="FX18" t="n">
        <v>1.344782244063361</v>
      </c>
      <c r="FY18" t="n">
        <v>0.8047301580364645</v>
      </c>
      <c r="FZ18" t="n">
        <v>0.1875154993452997</v>
      </c>
      <c r="GA18" t="n">
        <v>0.750215509025451</v>
      </c>
      <c r="GB18" t="n">
        <v>0.5840121160040409</v>
      </c>
      <c r="GC18" t="n">
        <v>0.5611392749627908</v>
      </c>
      <c r="GD18" t="n">
        <v>0.4133351949091054</v>
      </c>
      <c r="GE18" t="n">
        <v>0.03717603920108874</v>
      </c>
      <c r="GF18" t="n">
        <v>0.6131612595461244</v>
      </c>
      <c r="GG18" t="n">
        <v>1</v>
      </c>
      <c r="GH18" t="n">
        <v>0.3289617916220282</v>
      </c>
      <c r="GI18" t="n">
        <v>0.8067541042112776</v>
      </c>
      <c r="GJ18" t="n">
        <v>0.4965517241379306</v>
      </c>
      <c r="GK18" t="n">
        <v>0.9787234042553189</v>
      </c>
      <c r="GL18" t="n">
        <v>0.5759635437528301</v>
      </c>
      <c r="GM18" t="n">
        <v>0.5759635437528301</v>
      </c>
      <c r="GN18" t="n">
        <v>0.7692149049558527</v>
      </c>
      <c r="GO18" t="n">
        <v>0.6908719778833138</v>
      </c>
      <c r="GP18" t="n">
        <v>998.0240004162467</v>
      </c>
      <c r="GQ18" t="inlineStr">
        <is>
          <t>compiled workbook density_weighted_sum = density_component_ratio_weighted_sum (per-note component ratios); research density_weighted_sum maps body-ceiling richness</t>
        </is>
      </c>
      <c r="GR18" s="15" t="inlineStr">
        <is>
          <t>individual_exact</t>
        </is>
      </c>
      <c r="GS18" s="15" t="inlineStr">
        <is>
          <t>density_weight</t>
        </is>
      </c>
      <c r="GT18" s="15" t="n">
        <v>0.8212518187294586</v>
      </c>
      <c r="GU18" s="15" t="n">
        <v>0.1787481812705414</v>
      </c>
      <c r="GV18" s="15" t="n">
        <v>0</v>
      </c>
      <c r="GW18" s="15" t="inlineStr">
        <is>
          <t>log</t>
        </is>
      </c>
      <c r="GX18" s="15" t="n">
        <v>0.5</v>
      </c>
      <c r="GY18" s="15" t="inlineStr">
        <is>
          <t>EWSD-R v18.1</t>
        </is>
      </c>
      <c r="GZ18" s="15" t="n">
        <v>47.54250169134233</v>
      </c>
      <c r="HA18" s="15" t="n">
        <v>75.19465551245617</v>
      </c>
      <c r="HB18" s="15" t="n">
        <v>0.1232075608730365</v>
      </c>
      <c r="HC18" s="15" t="n">
        <v>56.63494390264155</v>
      </c>
      <c r="HD18" s="15" t="n">
        <v>84.14459882479083</v>
      </c>
      <c r="HE18" s="15" t="n">
        <v>0.1074093179438813</v>
      </c>
      <c r="HF18" s="15" t="inlineStr">
        <is>
          <t>partials+ratios</t>
        </is>
      </c>
      <c r="HG18" s="15" t="inlineStr">
        <is>
          <t>merged_individual_exact</t>
        </is>
      </c>
      <c r="HH18" s="15" t="inlineStr">
        <is>
          <t>passed</t>
        </is>
      </c>
      <c r="HI18" s="15" t="inlineStr">
        <is>
          <t>passed</t>
        </is>
      </c>
    </row>
    <row r="19">
      <c r="A19" t="inlineStr">
        <is>
          <t>incomplete_inference</t>
        </is>
      </c>
      <c r="B19" t="inlineStr">
        <is>
          <t>missing_instrument_technique</t>
        </is>
      </c>
      <c r="C19" t="inlineStr">
        <is>
          <t>prior_constrained_harmonic_fit</t>
        </is>
      </c>
      <c r="D19" t="inlineStr">
        <is>
          <t>IOWA_Trb.T_ff.A3_SustainStable/A3/component_amplitude_mass_pie.png</t>
        </is>
      </c>
      <c r="E19" t="inlineStr">
        <is>
          <t>IOWA_Trb.T_ff.A3_SustainStable/A3/component_energy_ratio_pie.png</t>
        </is>
      </c>
      <c r="F19" s="15" t="n">
        <v>219.4850098710671</v>
      </c>
      <c r="G19" s="15" t="inlineStr">
        <is>
          <t>prior_constrained_harmonic_fit</t>
        </is>
      </c>
      <c r="H19" s="15" t="inlineStr">
        <is>
          <t>fit_accepted_acoustically_verified</t>
        </is>
      </c>
      <c r="I19" s="16" t="n">
        <v>984.5501986727672</v>
      </c>
      <c r="J19" t="inlineStr">
        <is>
          <t>richness_weighted_body_density_body_ceiling</t>
        </is>
      </c>
      <c r="K19" t="inlineStr">
        <is>
          <t>research_body_ceiling_richness_metric</t>
        </is>
      </c>
      <c r="L19" s="15" t="n">
        <v>37652.78792511222</v>
      </c>
      <c r="M19" s="15" t="n">
        <v>37652.78792511222</v>
      </c>
      <c r="N19" s="15" t="n">
        <v>656.7308038016857</v>
      </c>
      <c r="O19" s="15" t="n">
        <v>0.8299581174326319</v>
      </c>
      <c r="P19" s="15" t="n">
        <v>-1.031934986374174</v>
      </c>
      <c r="Q19" s="15" t="n">
        <v>46</v>
      </c>
      <c r="R19" s="15" t="n">
        <v>75</v>
      </c>
      <c r="S19" s="15" t="n">
        <v>9413.219434691651</v>
      </c>
      <c r="T19" s="15" t="n">
        <v>92</v>
      </c>
      <c r="U19" s="15" t="n">
        <v>-0.02576340955880504</v>
      </c>
      <c r="V19" s="15" t="n">
        <v>96.6370548068686</v>
      </c>
      <c r="W19" s="15" t="n">
        <v>0.6004740846865249</v>
      </c>
      <c r="X19" s="15" t="n">
        <v>0.7689669095827695</v>
      </c>
      <c r="Y19" s="15" t="n">
        <v>65</v>
      </c>
      <c r="Z19" s="15" t="n">
        <v>91</v>
      </c>
      <c r="AA19" s="15" t="n">
        <v>0.7142857142857143</v>
      </c>
      <c r="AB19" s="15" t="n">
        <v>91</v>
      </c>
      <c r="AC19" s="15" t="n">
        <v>65</v>
      </c>
      <c r="AD19" s="15" t="n">
        <v>0.7142857142857143</v>
      </c>
      <c r="AE19" s="15" t="n">
        <v>1106.365574443612</v>
      </c>
      <c r="AF19" s="15" t="n">
        <v>65</v>
      </c>
      <c r="AG19" s="15" t="n">
        <v>91</v>
      </c>
      <c r="AH19" s="15" t="n">
        <v>0.7142857142857143</v>
      </c>
      <c r="AI19" s="15" t="n">
        <v>1106.365574443612</v>
      </c>
      <c r="AJ19" s="15" t="n">
        <v>33</v>
      </c>
      <c r="AK19" s="15" t="n">
        <v>32</v>
      </c>
      <c r="AL19" s="15" t="n">
        <v>1.035825645404051</v>
      </c>
      <c r="AM19" s="15" t="n">
        <v>75</v>
      </c>
      <c r="AN19" s="15" t="n">
        <v>0</v>
      </c>
      <c r="AO19" s="15" t="n">
        <v>75</v>
      </c>
      <c r="AP19" s="15" t="n">
        <v>0</v>
      </c>
      <c r="AQ19" s="15" t="n">
        <v>66.75301362962607</v>
      </c>
      <c r="AR19" s="15" t="n">
        <v>42.51075748523626</v>
      </c>
      <c r="AS19" s="15" t="n">
        <v>0.5300062621236339</v>
      </c>
      <c r="AT19" s="17" t="n">
        <v>2.898425707526854</v>
      </c>
      <c r="AU19" s="18" t="n">
        <v>45.07864355619853</v>
      </c>
      <c r="AV19" s="15" t="n">
        <v>54.33140690486828</v>
      </c>
      <c r="AW19" s="15" t="b">
        <v>1</v>
      </c>
      <c r="AX19" s="15" t="n">
        <v>42.35152287771383</v>
      </c>
      <c r="AY19" s="15" t="n">
        <v>43.25987067850307</v>
      </c>
      <c r="AZ19" s="15" t="n">
        <v>0</v>
      </c>
      <c r="BA19" s="15" t="n">
        <v>1</v>
      </c>
      <c r="BB19" s="15" t="n">
        <v>0.5</v>
      </c>
      <c r="BC19" s="15" t="n">
        <v>0.25</v>
      </c>
      <c r="BD19" s="15" t="inlineStr">
        <is>
          <t>his_note_adaptive</t>
        </is>
      </c>
      <c r="BE19" s="15" t="n">
        <v>-90</v>
      </c>
      <c r="BF19" s="15" t="n">
        <v>20000</v>
      </c>
      <c r="BG19" s="15" t="n">
        <v>65</v>
      </c>
      <c r="BH19" s="15" t="n">
        <v>0.7142857142857143</v>
      </c>
      <c r="BI19" s="15" t="n">
        <v>91</v>
      </c>
      <c r="BJ19" s="15" t="n">
        <v>65</v>
      </c>
      <c r="BK19" s="15" t="n">
        <v>91</v>
      </c>
      <c r="BL19" s="15" t="n">
        <v>76</v>
      </c>
      <c r="BM19" s="15" t="n">
        <v>0.8351648351648352</v>
      </c>
      <c r="BN19" s="15" t="n">
        <v>0.5678672097396366</v>
      </c>
      <c r="BO19" s="15" t="n">
        <v>0.625</v>
      </c>
      <c r="BP19" s="19" t="n">
        <v>0.8553364649417736</v>
      </c>
      <c r="BQ19" s="19" t="n">
        <v>0.1446635350582265</v>
      </c>
      <c r="BR19" s="19" t="n">
        <v>0</v>
      </c>
      <c r="BS19" s="15" t="n">
        <v>0.1057065998203952</v>
      </c>
      <c r="BT19" s="19" t="n">
        <v>1</v>
      </c>
      <c r="BU19" s="19" t="n">
        <v>0</v>
      </c>
      <c r="BV19" s="19" t="n">
        <v>0</v>
      </c>
      <c r="BW19" t="inlineStr">
        <is>
          <t>A3</t>
        </is>
      </c>
      <c r="BX19" t="n">
        <v>57</v>
      </c>
      <c r="BY19" t="inlineStr">
        <is>
          <t>A</t>
        </is>
      </c>
      <c r="BZ19" t="n">
        <v>3</v>
      </c>
      <c r="CA19" t="inlineStr">
        <is>
          <t>Middle</t>
        </is>
      </c>
      <c r="CB19" t="inlineStr">
        <is>
          <t>ff</t>
        </is>
      </c>
      <c r="CC19" s="15" t="n">
        <v>220</v>
      </c>
      <c r="CD19" s="15" t="n">
        <v>219.4850098710671</v>
      </c>
      <c r="CE19" t="inlineStr">
        <is>
          <t>prior_constrained_harmonic_fit</t>
        </is>
      </c>
      <c r="CF19" t="n">
        <v>219.4850098710671</v>
      </c>
      <c r="CG19" s="15" t="n">
        <v>1</v>
      </c>
      <c r="CH19" t="inlineStr">
        <is>
          <t>free_fit_acoustically_verified</t>
        </is>
      </c>
      <c r="CI19" s="15" t="inlineStr">
        <is>
          <t>free_f0_fit</t>
        </is>
      </c>
      <c r="CJ19" s="15" t="n">
        <v>220</v>
      </c>
      <c r="CK19" s="15" t="n">
        <v>219.4850098710671</v>
      </c>
      <c r="CL19" s="15" t="n">
        <v>-4.057334535626929</v>
      </c>
      <c r="CM19" s="15" t="n">
        <v>20000</v>
      </c>
      <c r="CN19" s="15" t="n">
        <v>-4.057334535626929</v>
      </c>
      <c r="CO19" s="15" t="n">
        <v>2.60931319421254</v>
      </c>
      <c r="CP19" s="15" t="n">
        <v>37652.78792511222</v>
      </c>
      <c r="CQ19" t="n">
        <v>9.517921303189111</v>
      </c>
      <c r="CR19" t="n">
        <v>0.1045925417932869</v>
      </c>
      <c r="CS19" t="n">
        <v>103.4417250689896</v>
      </c>
      <c r="CT19" t="n">
        <v>103.4417250689896</v>
      </c>
      <c r="CU19" t="n">
        <v>984.5501986727672</v>
      </c>
      <c r="CV19" t="n">
        <v>0.8299581174326319</v>
      </c>
      <c r="CW19" s="15" t="n">
        <v>37652.78792511222</v>
      </c>
      <c r="CX19" s="15" t="n">
        <v>656.7308038016857</v>
      </c>
      <c r="CY19" s="15" t="n">
        <v>0.8299581174326319</v>
      </c>
      <c r="CZ19" s="15" t="n">
        <v>2.898425707526854</v>
      </c>
      <c r="DA19" s="15" t="n">
        <v>2.898425707526854</v>
      </c>
      <c r="DB19" s="15" t="n">
        <v>2.110601995608403</v>
      </c>
      <c r="DC19" s="15" t="n">
        <v>0</v>
      </c>
      <c r="DD19" s="15" t="n">
        <v>7.69777184438917e-05</v>
      </c>
      <c r="DE19" s="15" t="n">
        <v>0</v>
      </c>
      <c r="DF19" s="15" t="n">
        <v>46</v>
      </c>
      <c r="DG19" s="15" t="inlineStr">
        <is>
          <t>Density_Metrics</t>
        </is>
      </c>
      <c r="DH19" s="15" t="n">
        <v>2.60931319421254</v>
      </c>
      <c r="DI19" t="n">
        <v>0.9630071271262961</v>
      </c>
      <c r="DJ19" s="15" t="n">
        <v>0.59088926226618</v>
      </c>
      <c r="DK19" s="15" t="n">
        <v>5.572304660532241</v>
      </c>
      <c r="DL19" s="15" t="n">
        <v>9.852111781654557</v>
      </c>
      <c r="DM19" s="15" t="n">
        <v>5.908061805390493</v>
      </c>
      <c r="DN19" s="15" t="n">
        <v>15.02228230319715</v>
      </c>
      <c r="DO19" s="15" t="n">
        <v>0.236588118506606</v>
      </c>
      <c r="DP19" s="15" t="n">
        <v>8.25</v>
      </c>
      <c r="DQ19" s="15" t="n">
        <v>80</v>
      </c>
      <c r="DR19" s="15" t="b">
        <v>1</v>
      </c>
      <c r="DS19" s="15" t="n">
        <v>9.517921303189111</v>
      </c>
      <c r="DT19" s="15" t="n">
        <v>69.97598877203203</v>
      </c>
      <c r="DU19" t="n">
        <v>91</v>
      </c>
      <c r="DV19" s="15" t="n">
        <v>0.1057065998203952</v>
      </c>
      <c r="DW19" s="15" t="n">
        <v>2.372917225822653</v>
      </c>
      <c r="DX19" s="15" t="n">
        <v>2.737488024759517</v>
      </c>
      <c r="DY19" s="15" t="n">
        <v>0.03521069587230975</v>
      </c>
      <c r="DZ19" s="15" t="b">
        <v>1</v>
      </c>
      <c r="EA19" s="15" t="n">
        <v>0.134165632244279</v>
      </c>
      <c r="EB19" s="15" t="n">
        <v>20000</v>
      </c>
      <c r="EC19" s="15" t="n">
        <v>10754.76548368229</v>
      </c>
      <c r="ED19" s="15" t="n">
        <v>49</v>
      </c>
      <c r="EE19" s="15" t="n">
        <v>0</v>
      </c>
      <c r="EF19" s="15" t="n">
        <v>0.04893909801136364</v>
      </c>
      <c r="EG19" s="15" t="b">
        <v>0</v>
      </c>
      <c r="EH19" s="15" t="b">
        <v>1</v>
      </c>
      <c r="EI19" s="15" t="b">
        <v>0</v>
      </c>
      <c r="EJ19" s="15" t="inlineStr">
        <is>
          <t>wf=log|dst=-90.0|ceil=20000.0|fft=adaptive_tier</t>
        </is>
      </c>
      <c r="EK19" s="15" t="inlineStr">
        <is>
          <t>wf=log|dst=runtime_configured|ceil=runtime_configured|fft=fixed</t>
        </is>
      </c>
      <c r="EL19" s="15" t="n">
        <v>0.7139102113261639</v>
      </c>
      <c r="EM19" s="15" t="n">
        <v>0.9896852243546964</v>
      </c>
      <c r="EN19" s="15" t="n">
        <v>0.5054945054945055</v>
      </c>
      <c r="EO19" s="15" t="n">
        <v>0.4581439172173682</v>
      </c>
      <c r="EP19" s="15" t="inlineStr">
        <is>
          <t>warn:power_outlier_detected</t>
        </is>
      </c>
      <c r="EQ19" s="15" t="n">
        <v>142.3071311817128</v>
      </c>
      <c r="ER19" s="15" t="inlineStr">
        <is>
          <t>winsorize_p95_for_robust_diagnostics</t>
        </is>
      </c>
      <c r="ES19" s="15" t="n">
        <v>0.09004181835473252</v>
      </c>
      <c r="ET19" s="15" t="n">
        <v>0.05767756967845326</v>
      </c>
      <c r="EU19" s="15" t="n">
        <v>0.1133627570302315</v>
      </c>
      <c r="EV19" t="inlineStr">
        <is>
          <t>computed</t>
        </is>
      </c>
      <c r="EW19" s="15" t="inlineStr">
        <is>
          <t>computed</t>
        </is>
      </c>
      <c r="EX19" s="15" t="inlineStr">
        <is>
          <t>computed</t>
        </is>
      </c>
      <c r="EY19" s="15" t="inlineStr">
        <is>
          <t>available_from_curve</t>
        </is>
      </c>
      <c r="EZ19" s="15" t="n">
        <v>20000</v>
      </c>
      <c r="FA19" s="15" t="n">
        <v>20000</v>
      </c>
      <c r="FB19" s="15" t="n">
        <v>0.1446635350582265</v>
      </c>
      <c r="FC19" s="15" t="n">
        <v>0.7504627258332914</v>
      </c>
      <c r="FD19" s="15" t="n">
        <v>2.898425707526854</v>
      </c>
      <c r="FE19" s="15" t="n">
        <v>2.110601995608403</v>
      </c>
      <c r="FF19" s="15" t="n">
        <v>0.563276957396985</v>
      </c>
      <c r="FG19" s="15" t="n">
        <v>2.222049108497984</v>
      </c>
      <c r="FH19" s="15" t="n">
        <v>0.3489438242360209</v>
      </c>
      <c r="FI19" s="15" t="n">
        <v>0.03832026147853606</v>
      </c>
      <c r="FJ19" s="15" t="n">
        <v>9413.196981278055</v>
      </c>
      <c r="FK19" s="15" t="n">
        <v>164.1827009504214</v>
      </c>
      <c r="FL19" s="15" t="n">
        <v>0.207489529358158</v>
      </c>
      <c r="FM19" s="15" t="n">
        <v>0.004134623167867338</v>
      </c>
      <c r="FN19" t="n">
        <v>1</v>
      </c>
      <c r="FO19" t="n">
        <v>0</v>
      </c>
      <c r="FP19" t="n">
        <v>0</v>
      </c>
      <c r="FQ19" t="inlineStr">
        <is>
          <t>good</t>
        </is>
      </c>
      <c r="FR19" s="19" t="n">
        <v>0.8351648351648352</v>
      </c>
      <c r="FS19" s="15" t="n">
        <v>2.689220436904221</v>
      </c>
      <c r="FT19" s="15" t="n">
        <v>15.34094221395734</v>
      </c>
      <c r="FU19" t="inlineStr">
        <is>
          <t>passed</t>
        </is>
      </c>
      <c r="FV19" t="n">
        <v>395.2270265803089</v>
      </c>
      <c r="FW19" t="n">
        <v>64.00182459985398</v>
      </c>
      <c r="FX19" t="n">
        <v>1.329140061697227</v>
      </c>
      <c r="FY19" t="n">
        <v>0.7076641951860521</v>
      </c>
      <c r="FZ19" t="n">
        <v>0.1843414164091012</v>
      </c>
      <c r="GA19" t="n">
        <v>0.6511550434901376</v>
      </c>
      <c r="GB19" t="n">
        <v>0.524039266038473</v>
      </c>
      <c r="GC19" t="n">
        <v>0.5086699908142739</v>
      </c>
      <c r="GD19" t="n">
        <v>0.3636875890811286</v>
      </c>
      <c r="GE19" t="n">
        <v>0.2894282628124271</v>
      </c>
      <c r="GF19" t="n">
        <v>0.6125798752731584</v>
      </c>
      <c r="GG19" t="n">
        <v>0.8268002416345355</v>
      </c>
      <c r="GH19" t="n">
        <v>0.3816608044673077</v>
      </c>
      <c r="GI19" t="n">
        <v>0.5928418476598348</v>
      </c>
      <c r="GJ19" t="n">
        <v>0.5695339143615006</v>
      </c>
      <c r="GK19" t="n">
        <v>0.8723404255319148</v>
      </c>
      <c r="GL19" t="n">
        <v>0.5252600034884911</v>
      </c>
      <c r="GM19" t="n">
        <v>0.5252600034884911</v>
      </c>
      <c r="GN19" t="n">
        <v>0.7398534421948141</v>
      </c>
      <c r="GO19" t="n">
        <v>0.5448649111190408</v>
      </c>
      <c r="GP19" t="n">
        <v>984.5501986727672</v>
      </c>
      <c r="GQ19" t="inlineStr">
        <is>
          <t>compiled workbook density_weighted_sum = density_component_ratio_weighted_sum (per-note component ratios); research density_weighted_sum maps body-ceiling richness</t>
        </is>
      </c>
      <c r="GR19" s="15" t="inlineStr">
        <is>
          <t>individual_exact</t>
        </is>
      </c>
      <c r="GS19" s="15" t="inlineStr">
        <is>
          <t>density_weight</t>
        </is>
      </c>
      <c r="GT19" s="15" t="n">
        <v>0.8246986370373928</v>
      </c>
      <c r="GU19" s="15" t="n">
        <v>0.1753013629626072</v>
      </c>
      <c r="GV19" s="15" t="n">
        <v>0</v>
      </c>
      <c r="GW19" s="15" t="inlineStr">
        <is>
          <t>log</t>
        </is>
      </c>
      <c r="GX19" s="15" t="n">
        <v>0.5</v>
      </c>
      <c r="GY19" s="15" t="inlineStr">
        <is>
          <t>EWSD-R v18.1</t>
        </is>
      </c>
      <c r="GZ19" s="15" t="n">
        <v>34.78398974607326</v>
      </c>
      <c r="HA19" s="15" t="n">
        <v>64.61900300951108</v>
      </c>
      <c r="HB19" s="15" t="n">
        <v>0.1658219457223833</v>
      </c>
      <c r="HC19" s="15" t="n">
        <v>44.92035418512431</v>
      </c>
      <c r="HD19" s="15" t="n">
        <v>75.21414713966632</v>
      </c>
      <c r="HE19" s="15" t="n">
        <v>0.1406758887017809</v>
      </c>
      <c r="HF19" s="15" t="inlineStr">
        <is>
          <t>partials+ratios</t>
        </is>
      </c>
      <c r="HG19" s="15" t="inlineStr">
        <is>
          <t>merged_individual_exact</t>
        </is>
      </c>
      <c r="HH19" s="15" t="inlineStr">
        <is>
          <t>passed</t>
        </is>
      </c>
      <c r="HI19" s="15" t="inlineStr">
        <is>
          <t>passed</t>
        </is>
      </c>
    </row>
    <row r="20">
      <c r="A20" t="inlineStr">
        <is>
          <t>incomplete_inference</t>
        </is>
      </c>
      <c r="B20" t="inlineStr">
        <is>
          <t>missing_instrument_technique</t>
        </is>
      </c>
      <c r="C20" t="inlineStr">
        <is>
          <t>prior_constrained_harmonic_fit</t>
        </is>
      </c>
      <c r="D20" t="inlineStr">
        <is>
          <t>IOWA_Trb.T_ff.A#3_SustainStable/A#3/component_amplitude_mass_pie.png</t>
        </is>
      </c>
      <c r="E20" t="inlineStr">
        <is>
          <t>IOWA_Trb.T_ff.A#3_SustainStable/A#3/component_energy_ratio_pie.png</t>
        </is>
      </c>
      <c r="F20" s="15" t="n">
        <v>233.16382510172</v>
      </c>
      <c r="G20" s="15" t="inlineStr">
        <is>
          <t>prior_constrained_harmonic_fit</t>
        </is>
      </c>
      <c r="H20" s="15" t="inlineStr">
        <is>
          <t>fit_accepted_acoustically_verified</t>
        </is>
      </c>
      <c r="I20" s="16" t="n">
        <v>1016.997522615676</v>
      </c>
      <c r="J20" t="inlineStr">
        <is>
          <t>richness_weighted_body_density_body_ceiling</t>
        </is>
      </c>
      <c r="K20" t="inlineStr">
        <is>
          <t>research_body_ceiling_richness_metric</t>
        </is>
      </c>
      <c r="L20" s="15" t="n">
        <v>40095.78040754363</v>
      </c>
      <c r="M20" s="15" t="n">
        <v>40095.82766265036</v>
      </c>
      <c r="N20" s="15" t="n">
        <v>890.9064937058038</v>
      </c>
      <c r="O20" s="15" t="n">
        <v>0.6959941858425117</v>
      </c>
      <c r="P20" s="15" t="n">
        <v>-0.9683921168610105</v>
      </c>
      <c r="Q20" s="15" t="n">
        <v>58</v>
      </c>
      <c r="R20" s="15" t="n">
        <v>66</v>
      </c>
      <c r="S20" s="15" t="n">
        <v>10023.95839763007</v>
      </c>
      <c r="T20" s="15" t="n">
        <v>86</v>
      </c>
      <c r="U20" s="15" t="n">
        <v>-0.2341416550960549</v>
      </c>
      <c r="V20" s="15" t="n">
        <v>85.90754104658173</v>
      </c>
      <c r="W20" s="15" t="n">
        <v>0.5782509375051196</v>
      </c>
      <c r="X20" s="15" t="n">
        <v>0.716299863911721</v>
      </c>
      <c r="Y20" s="15" t="n">
        <v>64</v>
      </c>
      <c r="Z20" s="15" t="n">
        <v>85</v>
      </c>
      <c r="AA20" s="15" t="n">
        <v>0.7529411764705882</v>
      </c>
      <c r="AB20" s="15" t="n">
        <v>85</v>
      </c>
      <c r="AC20" s="15" t="n">
        <v>64</v>
      </c>
      <c r="AD20" s="15" t="n">
        <v>0.7529411764705882</v>
      </c>
      <c r="AE20" s="15" t="n">
        <v>1148.32290363032</v>
      </c>
      <c r="AF20" s="15" t="n">
        <v>64</v>
      </c>
      <c r="AG20" s="15" t="n">
        <v>85</v>
      </c>
      <c r="AH20" s="15" t="n">
        <v>0.7529411764705882</v>
      </c>
      <c r="AI20" s="15" t="n">
        <v>1148.32290363032</v>
      </c>
      <c r="AJ20" s="15" t="n">
        <v>32</v>
      </c>
      <c r="AK20" s="15" t="n">
        <v>32</v>
      </c>
      <c r="AL20" s="15" t="n">
        <v>1.195906737482369</v>
      </c>
      <c r="AM20" s="15" t="n">
        <v>69</v>
      </c>
      <c r="AN20" s="15" t="n">
        <v>0</v>
      </c>
      <c r="AO20" s="15" t="n">
        <v>69</v>
      </c>
      <c r="AP20" s="15" t="n">
        <v>0</v>
      </c>
      <c r="AQ20" s="15" t="n">
        <v>64.87978313757107</v>
      </c>
      <c r="AR20" s="15" t="n">
        <v>40.88837209663841</v>
      </c>
      <c r="AS20" s="15" t="n">
        <v>0.5013993052428717</v>
      </c>
      <c r="AT20" s="17" t="n">
        <v>2.916121372647971</v>
      </c>
      <c r="AU20" s="18" t="n">
        <v>47.0238009859679</v>
      </c>
      <c r="AV20" s="15" t="n">
        <v>58.97773059035731</v>
      </c>
      <c r="AW20" s="15" t="b">
        <v>1</v>
      </c>
      <c r="AX20" s="15" t="n">
        <v>41.431474134265</v>
      </c>
      <c r="AY20" s="15" t="n">
        <v>38.34490646529373</v>
      </c>
      <c r="AZ20" s="15" t="n">
        <v>0</v>
      </c>
      <c r="BA20" s="15" t="n">
        <v>1</v>
      </c>
      <c r="BB20" s="15" t="n">
        <v>0.5</v>
      </c>
      <c r="BC20" s="15" t="n">
        <v>0.25</v>
      </c>
      <c r="BD20" s="15" t="inlineStr">
        <is>
          <t>his_note_adaptive</t>
        </is>
      </c>
      <c r="BE20" s="15" t="n">
        <v>-90</v>
      </c>
      <c r="BF20" s="15" t="n">
        <v>20000</v>
      </c>
      <c r="BG20" s="15" t="n">
        <v>64</v>
      </c>
      <c r="BH20" s="15" t="n">
        <v>0.7529411764705882</v>
      </c>
      <c r="BI20" s="15" t="n">
        <v>85</v>
      </c>
      <c r="BJ20" s="15" t="n">
        <v>64</v>
      </c>
      <c r="BK20" s="15" t="n">
        <v>85</v>
      </c>
      <c r="BL20" s="15" t="n">
        <v>72</v>
      </c>
      <c r="BM20" s="15" t="n">
        <v>0.8470588235294118</v>
      </c>
      <c r="BN20" s="15" t="n">
        <v>0.5189140730382004</v>
      </c>
      <c r="BO20" s="15" t="n">
        <v>0.575</v>
      </c>
      <c r="BP20" s="19" t="n">
        <v>0.839275345157529</v>
      </c>
      <c r="BQ20" s="19" t="n">
        <v>0.1607236656926391</v>
      </c>
      <c r="BR20" s="19" t="n">
        <v>9.891498319781117e-07</v>
      </c>
      <c r="BS20" s="15" t="n">
        <v>0.1101140399121783</v>
      </c>
      <c r="BT20" s="19" t="n">
        <v>0.9999988214253261</v>
      </c>
      <c r="BU20" s="19" t="n">
        <v>0</v>
      </c>
      <c r="BV20" s="19" t="n">
        <v>1.178574673852133e-06</v>
      </c>
      <c r="BW20" t="inlineStr">
        <is>
          <t>A#3</t>
        </is>
      </c>
      <c r="BX20" t="n">
        <v>58</v>
      </c>
      <c r="BY20" t="inlineStr">
        <is>
          <t>A#</t>
        </is>
      </c>
      <c r="BZ20" t="n">
        <v>3</v>
      </c>
      <c r="CA20" t="inlineStr">
        <is>
          <t>Middle</t>
        </is>
      </c>
      <c r="CB20" t="inlineStr">
        <is>
          <t>ff</t>
        </is>
      </c>
      <c r="CC20" s="15" t="n">
        <v>233.081880759045</v>
      </c>
      <c r="CD20" s="15" t="n">
        <v>233.16382510172</v>
      </c>
      <c r="CE20" t="inlineStr">
        <is>
          <t>prior_constrained_harmonic_fit</t>
        </is>
      </c>
      <c r="CF20" t="n">
        <v>233.16382510172</v>
      </c>
      <c r="CG20" s="15" t="n">
        <v>1</v>
      </c>
      <c r="CH20" t="inlineStr">
        <is>
          <t>free_fit_acoustically_verified</t>
        </is>
      </c>
      <c r="CI20" s="15" t="inlineStr">
        <is>
          <t>free_f0_fit</t>
        </is>
      </c>
      <c r="CJ20" s="15" t="n">
        <v>233.081880759045</v>
      </c>
      <c r="CK20" s="15" t="n">
        <v>233.16382510172</v>
      </c>
      <c r="CL20" s="15" t="n">
        <v>0.6085411011614178</v>
      </c>
      <c r="CM20" s="15" t="n">
        <v>20000</v>
      </c>
      <c r="CN20" s="15" t="n">
        <v>0.6085411011614178</v>
      </c>
      <c r="CO20" s="15" t="n">
        <v>2.661430508097722</v>
      </c>
      <c r="CP20" s="15" t="n">
        <v>40095.78040754363</v>
      </c>
      <c r="CQ20" t="n">
        <v>8.623829095775594</v>
      </c>
      <c r="CR20" t="n">
        <v>0.1014568128914776</v>
      </c>
      <c r="CS20" t="n">
        <v>117.9287659021275</v>
      </c>
      <c r="CT20" t="n">
        <v>117.9289048901481</v>
      </c>
      <c r="CU20" t="n">
        <v>1016.997522615676</v>
      </c>
      <c r="CV20" t="n">
        <v>0.6959941858425117</v>
      </c>
      <c r="CW20" s="15" t="n">
        <v>40095.82766265036</v>
      </c>
      <c r="CX20" s="15" t="n">
        <v>890.9064937058038</v>
      </c>
      <c r="CY20" s="15" t="n">
        <v>0.6959941858425117</v>
      </c>
      <c r="CZ20" s="15" t="n">
        <v>2.916121556753446</v>
      </c>
      <c r="DA20" s="15" t="n">
        <v>2.916124173342423</v>
      </c>
      <c r="DB20" s="15" t="n">
        <v>2.353434189690892</v>
      </c>
      <c r="DC20" s="15" t="n">
        <v>0</v>
      </c>
      <c r="DD20" s="15" t="n">
        <v>7.272888885347165e-05</v>
      </c>
      <c r="DE20" s="15" t="n">
        <v>0</v>
      </c>
      <c r="DF20" s="15" t="n">
        <v>58</v>
      </c>
      <c r="DG20" s="15" t="inlineStr">
        <is>
          <t>Density_Metrics</t>
        </is>
      </c>
      <c r="DH20" s="15" t="n">
        <v>2.661430508097722</v>
      </c>
      <c r="DI20" t="n">
        <v>0.9822418226122303</v>
      </c>
      <c r="DJ20" s="15" t="n">
        <v>0.5928561434616451</v>
      </c>
      <c r="DK20" s="15" t="n">
        <v>5.809342271746933</v>
      </c>
      <c r="DL20" s="15" t="n">
        <v>9.010895605441517</v>
      </c>
      <c r="DM20" s="15" t="n">
        <v>5.24905753833673</v>
      </c>
      <c r="DN20" s="15" t="n">
        <v>14.6947475811297</v>
      </c>
      <c r="DO20" s="15" t="n">
        <v>0.2648356837662653</v>
      </c>
      <c r="DP20" s="15" t="n">
        <v>6.5625</v>
      </c>
      <c r="DQ20" s="15" t="n">
        <v>125</v>
      </c>
      <c r="DR20" s="15" t="b">
        <v>1</v>
      </c>
      <c r="DS20" s="15" t="n">
        <v>8.623829095775594</v>
      </c>
      <c r="DT20" s="15" t="n">
        <v>60.88548843249628</v>
      </c>
      <c r="DU20" t="n">
        <v>85</v>
      </c>
      <c r="DV20" s="15" t="n">
        <v>0.1101140399121783</v>
      </c>
      <c r="DW20" s="15" t="n">
        <v>2.395309773580797</v>
      </c>
      <c r="DX20" s="15" t="n">
        <v>2.770609971238581</v>
      </c>
      <c r="DY20" s="15" t="n">
        <v>0.03635700148780979</v>
      </c>
      <c r="DZ20" s="15" t="b">
        <v>1</v>
      </c>
      <c r="EA20" s="15" t="n">
        <v>0.1238046322589085</v>
      </c>
      <c r="EB20" s="15" t="n">
        <v>20000</v>
      </c>
      <c r="EC20" s="15" t="n">
        <v>13523.50185589976</v>
      </c>
      <c r="ED20" s="15" t="n">
        <v>58</v>
      </c>
      <c r="EE20" s="15" t="n">
        <v>0</v>
      </c>
      <c r="EF20" s="15" t="n">
        <v>0.04619235749873789</v>
      </c>
      <c r="EG20" s="15" t="b">
        <v>0</v>
      </c>
      <c r="EH20" s="15" t="b">
        <v>1</v>
      </c>
      <c r="EI20" s="15" t="b">
        <v>0</v>
      </c>
      <c r="EJ20" s="15" t="inlineStr">
        <is>
          <t>wf=log|dst=-90.0|ceil=20000.0|fft=adaptive_tier</t>
        </is>
      </c>
      <c r="EK20" s="15" t="inlineStr">
        <is>
          <t>wf=log|dst=runtime_configured|ceil=runtime_configured|fft=fixed</t>
        </is>
      </c>
      <c r="EL20" s="15" t="n">
        <v>0.7653996884550012</v>
      </c>
      <c r="EM20" s="15" t="n">
        <v>0.9870104484379147</v>
      </c>
      <c r="EN20" s="15" t="n">
        <v>0.6744186046511628</v>
      </c>
      <c r="EO20" s="15" t="n">
        <v>0.4259923751501627</v>
      </c>
      <c r="EP20" s="15" t="inlineStr">
        <is>
          <t>warn:power_outlier_detected</t>
        </is>
      </c>
      <c r="EQ20" s="15" t="n">
        <v>212.5665310451421</v>
      </c>
      <c r="ER20" s="15" t="inlineStr">
        <is>
          <t>winsorize_p95_for_robust_diagnostics</t>
        </is>
      </c>
      <c r="ES20" s="15" t="n">
        <v>0.08289282924939777</v>
      </c>
      <c r="ET20" s="15" t="n">
        <v>0.04586543313663229</v>
      </c>
      <c r="EU20" s="15" t="n">
        <v>0.09441495156662101</v>
      </c>
      <c r="EV20" t="inlineStr">
        <is>
          <t>computed</t>
        </is>
      </c>
      <c r="EW20" s="15" t="inlineStr">
        <is>
          <t>computed</t>
        </is>
      </c>
      <c r="EX20" s="15" t="inlineStr">
        <is>
          <t>computed</t>
        </is>
      </c>
      <c r="EY20" s="15" t="inlineStr">
        <is>
          <t>available_from_curve</t>
        </is>
      </c>
      <c r="EZ20" s="15" t="n">
        <v>20000</v>
      </c>
      <c r="FA20" s="15" t="n">
        <v>20000</v>
      </c>
      <c r="FB20" s="15" t="n">
        <v>0.1607236656926391</v>
      </c>
      <c r="FC20" s="15" t="n">
        <v>0.6094069143280071</v>
      </c>
      <c r="FD20" s="15" t="n">
        <v>2.916124173342423</v>
      </c>
      <c r="FE20" s="15" t="n">
        <v>2.353434189690892</v>
      </c>
      <c r="FF20" s="15" t="n">
        <v>0.5397839087136174</v>
      </c>
      <c r="FG20" s="15" t="n">
        <v>2.235617460477866</v>
      </c>
      <c r="FH20" s="15" t="n">
        <v>0.3890910403511758</v>
      </c>
      <c r="FI20" s="15" t="n">
        <v>0.03672200726868003</v>
      </c>
      <c r="FJ20" s="15" t="n">
        <v>10023.95691566259</v>
      </c>
      <c r="FK20" s="15" t="n">
        <v>222.7266234264509</v>
      </c>
      <c r="FL20" s="15" t="n">
        <v>0.1739985464606279</v>
      </c>
      <c r="FM20" s="15" t="n">
        <v>0.004645075729289018</v>
      </c>
      <c r="FN20" t="n">
        <v>0.9999988214253261</v>
      </c>
      <c r="FO20" t="n">
        <v>0</v>
      </c>
      <c r="FP20" t="n">
        <v>1.178574673852133e-06</v>
      </c>
      <c r="FQ20" t="inlineStr">
        <is>
          <t>good</t>
        </is>
      </c>
      <c r="FR20" s="19" t="n">
        <v>0.8470588235294118</v>
      </c>
      <c r="FS20" s="15" t="n">
        <v>2.413337203643342</v>
      </c>
      <c r="FT20" s="15" t="n">
        <v>15.41144454776091</v>
      </c>
      <c r="FU20" t="inlineStr">
        <is>
          <t>passed</t>
        </is>
      </c>
      <c r="FV20" t="n">
        <v>411.6868930074739</v>
      </c>
      <c r="FW20" t="n">
        <v>112.3247017194991</v>
      </c>
      <c r="FX20" t="n">
        <v>1.232821840032597</v>
      </c>
      <c r="FY20" t="n">
        <v>0.8596661822831074</v>
      </c>
      <c r="FZ20" t="n">
        <v>0.1919851756994095</v>
      </c>
      <c r="GA20" t="n">
        <v>0.8825002729107827</v>
      </c>
      <c r="GB20" t="n">
        <v>0.4596064170118123</v>
      </c>
      <c r="GC20" t="n">
        <v>0.4391713226131786</v>
      </c>
      <c r="GD20" t="n">
        <v>0.3071742908056645</v>
      </c>
      <c r="GE20" t="n">
        <v>0.2182507264691042</v>
      </c>
      <c r="GF20" t="n">
        <v>0.5299172437309716</v>
      </c>
      <c r="GG20" t="n">
        <v>0.8768723779068008</v>
      </c>
      <c r="GH20" t="n">
        <v>0.2750278036554011</v>
      </c>
      <c r="GI20" t="n">
        <v>0.6689608263005415</v>
      </c>
      <c r="GJ20" t="n">
        <v>0.6404056795131843</v>
      </c>
      <c r="GK20" t="n">
        <v>0.7446808510638296</v>
      </c>
      <c r="GL20" t="n">
        <v>0.6167229539066584</v>
      </c>
      <c r="GM20" t="n">
        <v>0.6167229539066584</v>
      </c>
      <c r="GN20" t="n">
        <v>0.445452748261063</v>
      </c>
      <c r="GO20" t="n">
        <v>0.5228537464364547</v>
      </c>
      <c r="GP20" t="n">
        <v>1016.997522615676</v>
      </c>
      <c r="GQ20" t="inlineStr">
        <is>
          <t>compiled workbook density_weighted_sum = density_component_ratio_weighted_sum (per-note component ratios); research density_weighted_sum maps body-ceiling richness</t>
        </is>
      </c>
      <c r="GR20" s="15" t="inlineStr">
        <is>
          <t>individual_exact</t>
        </is>
      </c>
      <c r="GS20" s="15" t="inlineStr">
        <is>
          <t>density_weight</t>
        </is>
      </c>
      <c r="GT20" s="15" t="n">
        <v>0.8240433724857856</v>
      </c>
      <c r="GU20" s="15" t="n">
        <v>0.1759566275142143</v>
      </c>
      <c r="GV20" s="15" t="n">
        <v>0</v>
      </c>
      <c r="GW20" s="15" t="inlineStr">
        <is>
          <t>log</t>
        </is>
      </c>
      <c r="GX20" s="15" t="n">
        <v>0.5</v>
      </c>
      <c r="GY20" s="15" t="inlineStr">
        <is>
          <t>EWSD-R v18.1</t>
        </is>
      </c>
      <c r="GZ20" s="15" t="n">
        <v>31.16656573433241</v>
      </c>
      <c r="HA20" s="15" t="n">
        <v>59.96701008771137</v>
      </c>
      <c r="HB20" s="15" t="n">
        <v>0.1592852367355116</v>
      </c>
      <c r="HC20" s="15" t="n">
        <v>43.32648989585543</v>
      </c>
      <c r="HD20" s="15" t="n">
        <v>74.94051861721555</v>
      </c>
      <c r="HE20" s="15" t="n">
        <v>0.1380633091416624</v>
      </c>
      <c r="HF20" s="15" t="inlineStr">
        <is>
          <t>partials+ratios</t>
        </is>
      </c>
      <c r="HG20" s="15" t="inlineStr">
        <is>
          <t>merged_individual_exact</t>
        </is>
      </c>
      <c r="HH20" s="15" t="inlineStr">
        <is>
          <t>passed</t>
        </is>
      </c>
      <c r="HI20" s="15" t="inlineStr">
        <is>
          <t>passed</t>
        </is>
      </c>
    </row>
    <row r="21">
      <c r="A21" t="inlineStr">
        <is>
          <t>incomplete_inference</t>
        </is>
      </c>
      <c r="B21" t="inlineStr">
        <is>
          <t>missing_instrument_technique</t>
        </is>
      </c>
      <c r="C21" t="inlineStr">
        <is>
          <t>prior_constrained_harmonic_fit</t>
        </is>
      </c>
      <c r="D21" t="inlineStr">
        <is>
          <t>IOWA_Trb.T_ff.B3_SustainStable/B3/component_amplitude_mass_pie.png</t>
        </is>
      </c>
      <c r="E21" t="inlineStr">
        <is>
          <t>IOWA_Trb.T_ff.B3_SustainStable/B3/component_energy_ratio_pie.png</t>
        </is>
      </c>
      <c r="F21" s="15" t="n">
        <v>247.134475092839</v>
      </c>
      <c r="G21" s="15" t="inlineStr">
        <is>
          <t>prior_constrained_harmonic_fit</t>
        </is>
      </c>
      <c r="H21" s="15" t="inlineStr">
        <is>
          <t>fit_accepted_acoustically_verified</t>
        </is>
      </c>
      <c r="I21" s="16" t="n">
        <v>1061.138394089166</v>
      </c>
      <c r="J21" t="inlineStr">
        <is>
          <t>richness_weighted_body_density_body_ceiling</t>
        </is>
      </c>
      <c r="K21" t="inlineStr">
        <is>
          <t>research_body_ceiling_richness_metric</t>
        </is>
      </c>
      <c r="L21" s="15" t="n">
        <v>40944.53698497191</v>
      </c>
      <c r="M21" s="15" t="n">
        <v>40944.53698497191</v>
      </c>
      <c r="N21" s="15" t="n">
        <v>455.6378420895347</v>
      </c>
      <c r="O21" s="15" t="n">
        <v>0.4816088747276586</v>
      </c>
      <c r="P21" s="15" t="n">
        <v>-0.9702751952721922</v>
      </c>
      <c r="Q21" s="15" t="n">
        <v>61</v>
      </c>
      <c r="R21" s="15" t="n">
        <v>67</v>
      </c>
      <c r="S21" s="15" t="n">
        <v>10236.13531060077</v>
      </c>
      <c r="T21" s="15" t="n">
        <v>81</v>
      </c>
      <c r="U21" s="15" t="n">
        <v>-0.3959876498948626</v>
      </c>
      <c r="V21" s="15" t="n">
        <v>79.46205251196665</v>
      </c>
      <c r="W21" s="15" t="n">
        <v>0.5823037966765411</v>
      </c>
      <c r="X21" s="15" t="n">
        <v>0.7555779150785746</v>
      </c>
      <c r="Y21" s="15" t="n">
        <v>62</v>
      </c>
      <c r="Z21" s="15" t="n">
        <v>80</v>
      </c>
      <c r="AA21" s="15" t="n">
        <v>0.775</v>
      </c>
      <c r="AB21" s="15" t="n">
        <v>80</v>
      </c>
      <c r="AC21" s="15" t="n">
        <v>62</v>
      </c>
      <c r="AD21" s="15" t="n">
        <v>0.775</v>
      </c>
      <c r="AE21" s="15" t="n">
        <v>1157.331313073022</v>
      </c>
      <c r="AF21" s="15" t="n">
        <v>62</v>
      </c>
      <c r="AG21" s="15" t="n">
        <v>80</v>
      </c>
      <c r="AH21" s="15" t="n">
        <v>0.775</v>
      </c>
      <c r="AI21" s="15" t="n">
        <v>1157.331313073022</v>
      </c>
      <c r="AJ21" s="15" t="n">
        <v>31</v>
      </c>
      <c r="AK21" s="15" t="n">
        <v>31</v>
      </c>
      <c r="AL21" s="15" t="n">
        <v>1.205679549127292</v>
      </c>
      <c r="AM21" s="15" t="n">
        <v>61</v>
      </c>
      <c r="AN21" s="15" t="n">
        <v>0</v>
      </c>
      <c r="AO21" s="15" t="n">
        <v>61</v>
      </c>
      <c r="AP21" s="15" t="n">
        <v>0</v>
      </c>
      <c r="AQ21" s="15" t="n">
        <v>61.89321026485037</v>
      </c>
      <c r="AR21" s="15" t="n">
        <v>39.66063029413826</v>
      </c>
      <c r="AS21" s="15" t="n">
        <v>0.4797509613588173</v>
      </c>
      <c r="AT21" s="17" t="n">
        <v>2.919800797995055</v>
      </c>
      <c r="AU21" s="18" t="n">
        <v>42.82090164907291</v>
      </c>
      <c r="AV21" s="15" t="n">
        <v>56.49913869551152</v>
      </c>
      <c r="AW21" s="15" t="b">
        <v>1</v>
      </c>
      <c r="AX21" s="15" t="n">
        <v>40.55074974152413</v>
      </c>
      <c r="AY21" s="15" t="n">
        <v>32.21549686222092</v>
      </c>
      <c r="AZ21" s="15" t="n">
        <v>0</v>
      </c>
      <c r="BA21" s="15" t="n">
        <v>1</v>
      </c>
      <c r="BB21" s="15" t="n">
        <v>0.5</v>
      </c>
      <c r="BC21" s="15" t="n">
        <v>0.25</v>
      </c>
      <c r="BD21" s="15" t="inlineStr">
        <is>
          <t>his_note_adaptive</t>
        </is>
      </c>
      <c r="BE21" s="15" t="n">
        <v>-90</v>
      </c>
      <c r="BF21" s="15" t="n">
        <v>20000</v>
      </c>
      <c r="BG21" s="15" t="n">
        <v>62</v>
      </c>
      <c r="BH21" s="15" t="n">
        <v>0.775</v>
      </c>
      <c r="BI21" s="15" t="n">
        <v>80</v>
      </c>
      <c r="BJ21" s="15" t="n">
        <v>62</v>
      </c>
      <c r="BK21" s="15" t="n">
        <v>80</v>
      </c>
      <c r="BL21" s="15" t="n">
        <v>68</v>
      </c>
      <c r="BM21" s="15" t="n">
        <v>0.85</v>
      </c>
      <c r="BN21" s="15" t="n">
        <v>0.5430419457749643</v>
      </c>
      <c r="BO21" s="15" t="n">
        <v>0.5083333333333333</v>
      </c>
      <c r="BP21" s="19" t="n">
        <v>0.8800336863184764</v>
      </c>
      <c r="BQ21" s="19" t="n">
        <v>0.1199663136815235</v>
      </c>
      <c r="BR21" s="19" t="n">
        <v>0</v>
      </c>
      <c r="BS21" s="15" t="n">
        <v>0.06929607021812566</v>
      </c>
      <c r="BT21" s="19" t="n">
        <v>1</v>
      </c>
      <c r="BU21" s="19" t="n">
        <v>0</v>
      </c>
      <c r="BV21" s="19" t="n">
        <v>0</v>
      </c>
      <c r="BW21" t="inlineStr">
        <is>
          <t>B3</t>
        </is>
      </c>
      <c r="BX21" t="n">
        <v>59</v>
      </c>
      <c r="BY21" t="inlineStr">
        <is>
          <t>B</t>
        </is>
      </c>
      <c r="BZ21" t="n">
        <v>3</v>
      </c>
      <c r="CA21" t="inlineStr">
        <is>
          <t>Middle</t>
        </is>
      </c>
      <c r="CB21" t="inlineStr">
        <is>
          <t>ff</t>
        </is>
      </c>
      <c r="CC21" s="15" t="n">
        <v>246.941650628062</v>
      </c>
      <c r="CD21" s="15" t="n">
        <v>247.134475092839</v>
      </c>
      <c r="CE21" t="inlineStr">
        <is>
          <t>prior_constrained_harmonic_fit</t>
        </is>
      </c>
      <c r="CF21" t="n">
        <v>247.134475092839</v>
      </c>
      <c r="CG21" s="15" t="n">
        <v>1</v>
      </c>
      <c r="CH21" t="inlineStr">
        <is>
          <t>free_fit_acoustically_verified</t>
        </is>
      </c>
      <c r="CI21" s="15" t="inlineStr">
        <is>
          <t>free_f0_fit</t>
        </is>
      </c>
      <c r="CJ21" s="15" t="n">
        <v>246.941650628062</v>
      </c>
      <c r="CK21" s="15" t="n">
        <v>247.134475092839</v>
      </c>
      <c r="CL21" s="15" t="n">
        <v>1.351307130562164</v>
      </c>
      <c r="CM21" s="15" t="n">
        <v>20000</v>
      </c>
      <c r="CN21" s="15" t="n">
        <v>1.351307130562164</v>
      </c>
      <c r="CO21" s="15" t="n">
        <v>2.634717199799915</v>
      </c>
      <c r="CP21" s="15" t="n">
        <v>40944.53698497191</v>
      </c>
      <c r="CQ21" t="n">
        <v>8.29327453948655</v>
      </c>
      <c r="CR21" t="n">
        <v>0.1036659317435819</v>
      </c>
      <c r="CS21" t="n">
        <v>127.9516780780372</v>
      </c>
      <c r="CT21" t="n">
        <v>127.9516780780372</v>
      </c>
      <c r="CU21" t="n">
        <v>1061.138394089166</v>
      </c>
      <c r="CV21" t="n">
        <v>0.4816088747276586</v>
      </c>
      <c r="CW21" s="15" t="n">
        <v>40944.53698497191</v>
      </c>
      <c r="CX21" s="15" t="n">
        <v>455.6378420895347</v>
      </c>
      <c r="CY21" s="15" t="n">
        <v>0.4816088747276586</v>
      </c>
      <c r="CZ21" s="15" t="n">
        <v>2.919800797995055</v>
      </c>
      <c r="DA21" s="15" t="n">
        <v>2.919800797995055</v>
      </c>
      <c r="DB21" s="15" t="n">
        <v>2.199236877821623</v>
      </c>
      <c r="DC21" s="15" t="n">
        <v>0</v>
      </c>
      <c r="DD21" s="15" t="n">
        <v>7.131112018843258e-05</v>
      </c>
      <c r="DE21" s="15" t="n">
        <v>0</v>
      </c>
      <c r="DF21" s="15" t="n">
        <v>61</v>
      </c>
      <c r="DG21" s="15" t="inlineStr">
        <is>
          <t>Density_Metrics</t>
        </is>
      </c>
      <c r="DH21" s="15" t="n">
        <v>2.634717199799915</v>
      </c>
      <c r="DI21" t="n">
        <v>0.9723828657277257</v>
      </c>
      <c r="DJ21" s="15" t="n">
        <v>0.5932639969873583</v>
      </c>
      <c r="DK21" s="15" t="n">
        <v>5.599456527896434</v>
      </c>
      <c r="DL21" s="15" t="n">
        <v>8.478854245868163</v>
      </c>
      <c r="DM21" s="15" t="n">
        <v>4.992683325860897</v>
      </c>
      <c r="DN21" s="15" t="n">
        <v>14.07422610942645</v>
      </c>
      <c r="DO21" s="15" t="n">
        <v>0.2776642779144132</v>
      </c>
      <c r="DP21" s="15" t="n">
        <v>7.9375</v>
      </c>
      <c r="DQ21" s="15" t="n">
        <v>131</v>
      </c>
      <c r="DR21" s="15" t="b">
        <v>1</v>
      </c>
      <c r="DS21" s="15" t="n">
        <v>8.29327453948655</v>
      </c>
      <c r="DT21" s="15" t="n">
        <v>60.44623320628597</v>
      </c>
      <c r="DU21" t="n">
        <v>80</v>
      </c>
      <c r="DV21" s="15" t="n">
        <v>0.06929607021812566</v>
      </c>
      <c r="DW21" s="15" t="n">
        <v>2.397100042270277</v>
      </c>
      <c r="DX21" s="15" t="n">
        <v>2.765391236684121</v>
      </c>
      <c r="DY21" s="15" t="n">
        <v>0.03575527520630006</v>
      </c>
      <c r="DZ21" s="15" t="b">
        <v>1</v>
      </c>
      <c r="EA21" s="15" t="n">
        <v>0.1500923025391683</v>
      </c>
      <c r="EB21" s="15" t="n">
        <v>20000</v>
      </c>
      <c r="EC21" s="15" t="n">
        <v>15075.20298066318</v>
      </c>
      <c r="ED21" s="15" t="n">
        <v>61</v>
      </c>
      <c r="EE21" s="15" t="n">
        <v>0</v>
      </c>
      <c r="EF21" s="15" t="n">
        <v>0.0435997796852683</v>
      </c>
      <c r="EG21" s="15" t="b">
        <v>0</v>
      </c>
      <c r="EH21" s="15" t="b">
        <v>1</v>
      </c>
      <c r="EI21" s="15" t="b">
        <v>0</v>
      </c>
      <c r="EJ21" s="15" t="inlineStr">
        <is>
          <t>wf=log|dst=-90.0|ceil=20000.0|fft=adaptive_tier</t>
        </is>
      </c>
      <c r="EK21" s="15" t="inlineStr">
        <is>
          <t>wf=log|dst=runtime_configured|ceil=runtime_configured|fft=fixed</t>
        </is>
      </c>
      <c r="EL21" s="15" t="n">
        <v>0.7940087632565402</v>
      </c>
      <c r="EM21" s="15" t="n">
        <v>0.9914056340901901</v>
      </c>
      <c r="EN21" s="15" t="n">
        <v>0.7530864197530864</v>
      </c>
      <c r="EO21" s="15" t="n">
        <v>0.4214799050118723</v>
      </c>
      <c r="EP21" s="15" t="inlineStr">
        <is>
          <t>warn:power_outlier_detected</t>
        </is>
      </c>
      <c r="EQ21" s="15" t="n">
        <v>225.8263634400926</v>
      </c>
      <c r="ER21" s="15" t="inlineStr">
        <is>
          <t>winsorize_p95_for_robust_diagnostics</t>
        </is>
      </c>
      <c r="ES21" s="15" t="n">
        <v>0.08036582934811243</v>
      </c>
      <c r="ET21" s="15" t="n">
        <v>0.04181252617950423</v>
      </c>
      <c r="EU21" s="15" t="n">
        <v>0.07909130496179832</v>
      </c>
      <c r="EV21" t="inlineStr">
        <is>
          <t>computed</t>
        </is>
      </c>
      <c r="EW21" s="15" t="inlineStr">
        <is>
          <t>computed</t>
        </is>
      </c>
      <c r="EX21" s="15" t="inlineStr">
        <is>
          <t>computed</t>
        </is>
      </c>
      <c r="EY21" s="15" t="inlineStr">
        <is>
          <t>available_from_curve</t>
        </is>
      </c>
      <c r="EZ21" s="15" t="n">
        <v>20000</v>
      </c>
      <c r="FA21" s="15" t="n">
        <v>20000</v>
      </c>
      <c r="FB21" s="15" t="n">
        <v>0.1199663136815235</v>
      </c>
      <c r="FC21" s="15" t="n">
        <v>0.5950032469642753</v>
      </c>
      <c r="FD21" s="15" t="n">
        <v>2.919800797995055</v>
      </c>
      <c r="FE21" s="15" t="n">
        <v>2.199236877821623</v>
      </c>
      <c r="FF21" s="15" t="n">
        <v>0.4804188520797558</v>
      </c>
      <c r="FG21" s="15" t="n">
        <v>2.238436108032106</v>
      </c>
      <c r="FH21" s="15" t="n">
        <v>0.363597745166895</v>
      </c>
      <c r="FI21" s="15" t="n">
        <v>0.0326833466009148</v>
      </c>
      <c r="FJ21" s="15" t="n">
        <v>10236.13424624298</v>
      </c>
      <c r="FK21" s="15" t="n">
        <v>113.9094605223837</v>
      </c>
      <c r="FL21" s="15" t="n">
        <v>0.1204022186819147</v>
      </c>
      <c r="FM21" s="15" t="n">
        <v>0.004703243500908445</v>
      </c>
      <c r="FN21" t="n">
        <v>1</v>
      </c>
      <c r="FO21" t="n">
        <v>0</v>
      </c>
      <c r="FP21" t="n">
        <v>0</v>
      </c>
      <c r="FQ21" t="inlineStr">
        <is>
          <t>excellent</t>
        </is>
      </c>
      <c r="FR21" s="19" t="n">
        <v>0.85</v>
      </c>
      <c r="FS21" s="15" t="n">
        <v>2.652237598056104</v>
      </c>
      <c r="FT21" s="15" t="n">
        <v>16.90419851773084</v>
      </c>
      <c r="FU21" t="inlineStr">
        <is>
          <t>passed</t>
        </is>
      </c>
      <c r="FV21" t="n">
        <v>415.1911727694861</v>
      </c>
      <c r="FW21" t="n">
        <v>78.60553683792615</v>
      </c>
      <c r="FX21" t="n">
        <v>1.011432847655048</v>
      </c>
      <c r="FY21" t="n">
        <v>0.7817558749301917</v>
      </c>
      <c r="FZ21" t="n">
        <v>0.2023836355847749</v>
      </c>
      <c r="GA21" t="n">
        <v>0.6776548675154431</v>
      </c>
      <c r="GB21" t="n">
        <v>0.4188547748457592</v>
      </c>
      <c r="GC21" t="n">
        <v>0.4134769912685956</v>
      </c>
      <c r="GD21" t="n">
        <v>0.2732253324254623</v>
      </c>
      <c r="GE21" t="n">
        <v>0.2312314500638971</v>
      </c>
      <c r="GF21" t="n">
        <v>0.5915654153709767</v>
      </c>
      <c r="GG21" t="n">
        <v>0.4131467461759931</v>
      </c>
      <c r="GH21" t="n">
        <v>0.1922066624643452</v>
      </c>
      <c r="GI21" t="n">
        <v>0.7123982869379015</v>
      </c>
      <c r="GJ21" t="n">
        <v>0.6579310344827582</v>
      </c>
      <c r="GK21" t="n">
        <v>0.5744680851063828</v>
      </c>
      <c r="GL21" t="n">
        <v>0.3846085489228785</v>
      </c>
      <c r="GM21" t="n">
        <v>0.3846085489228785</v>
      </c>
      <c r="GN21" t="n">
        <v>0.4153905365604504</v>
      </c>
      <c r="GO21" t="n">
        <v>0.4877603889362345</v>
      </c>
      <c r="GP21" t="n">
        <v>1061.138394089166</v>
      </c>
      <c r="GQ21" t="inlineStr">
        <is>
          <t>compiled workbook density_weighted_sum = density_component_ratio_weighted_sum (per-note component ratios); research density_weighted_sum maps body-ceiling richness</t>
        </is>
      </c>
      <c r="GR21" s="15" t="inlineStr">
        <is>
          <t>individual_exact</t>
        </is>
      </c>
      <c r="GS21" s="15" t="inlineStr">
        <is>
          <t>density_weight</t>
        </is>
      </c>
      <c r="GT21" s="15" t="n">
        <v>0.8932102648503838</v>
      </c>
      <c r="GU21" s="15" t="n">
        <v>0.1067897351496161</v>
      </c>
      <c r="GV21" s="15" t="n">
        <v>0</v>
      </c>
      <c r="GW21" s="15" t="inlineStr">
        <is>
          <t>log</t>
        </is>
      </c>
      <c r="GX21" s="15" t="n">
        <v>0.5</v>
      </c>
      <c r="GY21" s="15" t="inlineStr">
        <is>
          <t>EWSD-R v18.1</t>
        </is>
      </c>
      <c r="GZ21" s="15" t="n">
        <v>29.30792585657371</v>
      </c>
      <c r="HA21" s="15" t="n">
        <v>58.61357525796547</v>
      </c>
      <c r="HB21" s="15" t="n">
        <v>0.1732830230558531</v>
      </c>
      <c r="HC21" s="15" t="n">
        <v>42.41373529593452</v>
      </c>
      <c r="HD21" s="15" t="n">
        <v>74.786494095013</v>
      </c>
      <c r="HE21" s="15" t="n">
        <v>0.1439812006450037</v>
      </c>
      <c r="HF21" s="15" t="inlineStr">
        <is>
          <t>partials+ratios</t>
        </is>
      </c>
      <c r="HG21" s="15" t="inlineStr">
        <is>
          <t>merged_individual_exact</t>
        </is>
      </c>
      <c r="HH21" s="15" t="inlineStr">
        <is>
          <t>passed</t>
        </is>
      </c>
      <c r="HI21" s="15" t="inlineStr">
        <is>
          <t>passed</t>
        </is>
      </c>
    </row>
    <row r="22">
      <c r="A22" t="inlineStr">
        <is>
          <t>incomplete_inference</t>
        </is>
      </c>
      <c r="B22" t="inlineStr">
        <is>
          <t>missing_instrument_technique</t>
        </is>
      </c>
      <c r="C22" t="inlineStr">
        <is>
          <t>prior_constrained_harmonic_fit</t>
        </is>
      </c>
      <c r="D22" t="inlineStr">
        <is>
          <t>IOWA_Trb.T_ff.C4_SustainStable/C4/component_amplitude_mass_pie.png</t>
        </is>
      </c>
      <c r="E22" t="inlineStr">
        <is>
          <t>IOWA_Trb.T_ff.C4_SustainStable/C4/component_energy_ratio_pie.png</t>
        </is>
      </c>
      <c r="F22" s="15" t="n">
        <v>261.5631780895109</v>
      </c>
      <c r="G22" s="15" t="inlineStr">
        <is>
          <t>prior_constrained_harmonic_fit</t>
        </is>
      </c>
      <c r="H22" s="15" t="inlineStr">
        <is>
          <t>fit_accepted_acoustically_verified</t>
        </is>
      </c>
      <c r="I22" s="16" t="n">
        <v>956.1242095869538</v>
      </c>
      <c r="J22" t="inlineStr">
        <is>
          <t>richness_weighted_body_density_body_ceiling</t>
        </is>
      </c>
      <c r="K22" t="inlineStr">
        <is>
          <t>research_body_ceiling_richness_metric</t>
        </is>
      </c>
      <c r="L22" s="15" t="n">
        <v>41367.08541061734</v>
      </c>
      <c r="M22" s="15" t="n">
        <v>41367.11038925841</v>
      </c>
      <c r="N22" s="15" t="n">
        <v>385.5918758252118</v>
      </c>
      <c r="O22" s="15" t="n">
        <v>0.4838007483563126</v>
      </c>
      <c r="P22" s="15" t="n">
        <v>-0.8754425292236946</v>
      </c>
      <c r="Q22" s="15" t="n">
        <v>66</v>
      </c>
      <c r="R22" s="15" t="n">
        <v>66</v>
      </c>
      <c r="S22" s="15" t="n">
        <v>10341.7775973146</v>
      </c>
      <c r="T22" s="15" t="n">
        <v>77</v>
      </c>
      <c r="U22" s="15" t="n">
        <v>-0.6334436916960943</v>
      </c>
      <c r="V22" s="15" t="n">
        <v>70.95005295097775</v>
      </c>
      <c r="W22" s="15" t="n">
        <v>0.5575891587292788</v>
      </c>
      <c r="X22" s="15" t="n">
        <v>0.7021951540838988</v>
      </c>
      <c r="Y22" s="15" t="n">
        <v>70</v>
      </c>
      <c r="Z22" s="15" t="n">
        <v>76</v>
      </c>
      <c r="AA22" s="15" t="n">
        <v>0.9210526315789473</v>
      </c>
      <c r="AB22" s="15" t="n">
        <v>76</v>
      </c>
      <c r="AC22" s="15" t="n">
        <v>70</v>
      </c>
      <c r="AD22" s="15" t="n">
        <v>0.9210526315789473</v>
      </c>
      <c r="AE22" s="15" t="n">
        <v>1113.97090913473</v>
      </c>
      <c r="AF22" s="15" t="n">
        <v>70</v>
      </c>
      <c r="AG22" s="15" t="n">
        <v>76</v>
      </c>
      <c r="AH22" s="15" t="n">
        <v>0.9210526315789473</v>
      </c>
      <c r="AI22" s="15" t="n">
        <v>1113.97090913473</v>
      </c>
      <c r="AJ22" s="15" t="n">
        <v>35</v>
      </c>
      <c r="AK22" s="15" t="n">
        <v>35</v>
      </c>
      <c r="AL22" s="15" t="n">
        <v>1.200408668237433</v>
      </c>
      <c r="AM22" s="15" t="n">
        <v>56</v>
      </c>
      <c r="AN22" s="15" t="n">
        <v>0</v>
      </c>
      <c r="AO22" s="15" t="n">
        <v>56</v>
      </c>
      <c r="AP22" s="15" t="n">
        <v>0</v>
      </c>
      <c r="AQ22" s="15" t="n">
        <v>68.75600794666431</v>
      </c>
      <c r="AR22" s="15" t="n">
        <v>41.62199616083726</v>
      </c>
      <c r="AS22" s="15" t="n">
        <v>0.5143350430267061</v>
      </c>
      <c r="AT22" s="17" t="n">
        <v>2.90305266628343</v>
      </c>
      <c r="AU22" s="18" t="n">
        <v>38.44040586437721</v>
      </c>
      <c r="AV22" s="15" t="n">
        <v>52.86406591143196</v>
      </c>
      <c r="AW22" s="15" t="b">
        <v>1</v>
      </c>
      <c r="AX22" s="15" t="n">
        <v>42.8427686143222</v>
      </c>
      <c r="AY22" s="15" t="n">
        <v>29.10408410829083</v>
      </c>
      <c r="AZ22" s="15" t="n">
        <v>0</v>
      </c>
      <c r="BA22" s="15" t="n">
        <v>1</v>
      </c>
      <c r="BB22" s="15" t="n">
        <v>0.5</v>
      </c>
      <c r="BC22" s="15" t="n">
        <v>0.25</v>
      </c>
      <c r="BD22" s="15" t="inlineStr">
        <is>
          <t>his_note_adaptive</t>
        </is>
      </c>
      <c r="BE22" s="15" t="n">
        <v>-90</v>
      </c>
      <c r="BF22" s="15" t="n">
        <v>20000</v>
      </c>
      <c r="BG22" s="15" t="n">
        <v>70</v>
      </c>
      <c r="BH22" s="15" t="n">
        <v>0.9210526315789473</v>
      </c>
      <c r="BI22" s="15" t="n">
        <v>76</v>
      </c>
      <c r="BJ22" s="15" t="n">
        <v>70</v>
      </c>
      <c r="BK22" s="15" t="n">
        <v>76</v>
      </c>
      <c r="BL22" s="15" t="n">
        <v>66</v>
      </c>
      <c r="BM22" s="15" t="n">
        <v>0.868421052631579</v>
      </c>
      <c r="BN22" s="15" t="n">
        <v>0.4755521913897976</v>
      </c>
      <c r="BO22" s="15" t="n">
        <v>0.4666666666666667</v>
      </c>
      <c r="BP22" s="19" t="n">
        <v>0.8768820560860309</v>
      </c>
      <c r="BQ22" s="19" t="n">
        <v>0.123117414421062</v>
      </c>
      <c r="BR22" s="19" t="n">
        <v>5.294929071856865e-07</v>
      </c>
      <c r="BS22" s="15" t="n">
        <v>0.06552164946754262</v>
      </c>
      <c r="BT22" s="19" t="n">
        <v>0.9999993961644171</v>
      </c>
      <c r="BU22" s="19" t="n">
        <v>0</v>
      </c>
      <c r="BV22" s="19" t="n">
        <v>6.038355828860522e-07</v>
      </c>
      <c r="BW22" t="inlineStr">
        <is>
          <t>C4</t>
        </is>
      </c>
      <c r="BX22" t="n">
        <v>60</v>
      </c>
      <c r="BY22" t="inlineStr">
        <is>
          <t>C</t>
        </is>
      </c>
      <c r="BZ22" t="n">
        <v>4</v>
      </c>
      <c r="CA22" t="inlineStr">
        <is>
          <t>High</t>
        </is>
      </c>
      <c r="CB22" t="inlineStr">
        <is>
          <t>ff</t>
        </is>
      </c>
      <c r="CC22" s="15" t="n">
        <v>261.6255653005986</v>
      </c>
      <c r="CD22" s="15" t="n">
        <v>261.5631780895109</v>
      </c>
      <c r="CE22" t="inlineStr">
        <is>
          <t>prior_constrained_harmonic_fit</t>
        </is>
      </c>
      <c r="CF22" t="n">
        <v>261.5631780895109</v>
      </c>
      <c r="CG22" s="15" t="n">
        <v>1</v>
      </c>
      <c r="CH22" t="inlineStr">
        <is>
          <t>free_fit_acoustically_verified</t>
        </is>
      </c>
      <c r="CI22" s="15" t="inlineStr">
        <is>
          <t>free_f0_fit</t>
        </is>
      </c>
      <c r="CJ22" s="15" t="n">
        <v>261.6255653005986</v>
      </c>
      <c r="CK22" s="15" t="n">
        <v>261.5631780895109</v>
      </c>
      <c r="CL22" s="15" t="n">
        <v>-0.4128791604858451</v>
      </c>
      <c r="CM22" s="15" t="n">
        <v>20000</v>
      </c>
      <c r="CN22" s="15" t="n">
        <v>-0.4128791604858451</v>
      </c>
      <c r="CO22" s="15" t="n">
        <v>2.620197986184917</v>
      </c>
      <c r="CP22" s="15" t="n">
        <v>41367.08541061734</v>
      </c>
      <c r="CQ22" t="n">
        <v>7.026401711199237</v>
      </c>
      <c r="CR22" t="n">
        <v>0.0924526540947268</v>
      </c>
      <c r="CS22" t="n">
        <v>136.075938849754</v>
      </c>
      <c r="CT22" t="n">
        <v>136.0760210172974</v>
      </c>
      <c r="CU22" t="n">
        <v>956.1242095869538</v>
      </c>
      <c r="CV22" t="n">
        <v>0.4838007483563126</v>
      </c>
      <c r="CW22" s="15" t="n">
        <v>41367.11038925841</v>
      </c>
      <c r="CX22" s="15" t="n">
        <v>385.5918758252118</v>
      </c>
      <c r="CY22" s="15" t="n">
        <v>0.4838007483563126</v>
      </c>
      <c r="CZ22" s="15" t="n">
        <v>2.90305266489749</v>
      </c>
      <c r="DA22" s="15" t="n">
        <v>2.903054125728763</v>
      </c>
      <c r="DB22" s="15" t="n">
        <v>2.186735960922304</v>
      </c>
      <c r="DC22" s="15" t="n">
        <v>0</v>
      </c>
      <c r="DD22" s="15" t="n">
        <v>7.017783912212457e-05</v>
      </c>
      <c r="DE22" s="15" t="n">
        <v>0</v>
      </c>
      <c r="DF22" s="15" t="n">
        <v>66</v>
      </c>
      <c r="DG22" s="15" t="inlineStr">
        <is>
          <t>Density_Metrics</t>
        </is>
      </c>
      <c r="DH22" s="15" t="n">
        <v>2.620197986184917</v>
      </c>
      <c r="DI22" t="n">
        <v>0.9670243268514709</v>
      </c>
      <c r="DJ22" s="15" t="n">
        <v>0.5914044115225907</v>
      </c>
      <c r="DK22" s="15" t="n">
        <v>5.575886062517147</v>
      </c>
      <c r="DL22" s="15" t="n">
        <v>7.158063049447263</v>
      </c>
      <c r="DM22" s="15" t="n">
        <v>4.081729600939536</v>
      </c>
      <c r="DN22" s="15" t="n">
        <v>12.65289632549109</v>
      </c>
      <c r="DO22" s="15" t="n">
        <v>0.307330531396432</v>
      </c>
      <c r="DP22" s="15" t="n">
        <v>7.8125</v>
      </c>
      <c r="DQ22" s="15" t="n">
        <v>141</v>
      </c>
      <c r="DR22" s="15" t="b">
        <v>1</v>
      </c>
      <c r="DS22" s="15" t="n">
        <v>7.026401711199237</v>
      </c>
      <c r="DT22" s="15" t="n">
        <v>53.36683171037631</v>
      </c>
      <c r="DU22" t="n">
        <v>76</v>
      </c>
      <c r="DV22" s="15" t="n">
        <v>0.06552164946754262</v>
      </c>
      <c r="DW22" s="15" t="n">
        <v>2.368715978895235</v>
      </c>
      <c r="DX22" s="15" t="n">
        <v>2.765159244520174</v>
      </c>
      <c r="DY22" s="15" t="n">
        <v>0.03909680322712768</v>
      </c>
      <c r="DZ22" s="15" t="b">
        <v>1</v>
      </c>
      <c r="EA22" s="15" t="n">
        <v>0.1329899287941301</v>
      </c>
      <c r="EB22" s="15" t="n">
        <v>20000</v>
      </c>
      <c r="EC22" s="15" t="n">
        <v>17263.16975390772</v>
      </c>
      <c r="ED22" s="15" t="n">
        <v>66</v>
      </c>
      <c r="EE22" s="15" t="n">
        <v>0</v>
      </c>
      <c r="EF22" s="15" t="n">
        <v>0.04115271208350588</v>
      </c>
      <c r="EG22" s="15" t="b">
        <v>0</v>
      </c>
      <c r="EH22" s="15" t="b">
        <v>1</v>
      </c>
      <c r="EI22" s="15" t="b">
        <v>0</v>
      </c>
      <c r="EJ22" s="15" t="inlineStr">
        <is>
          <t>wf=log|dst=-90.0|ceil=20000.0|fft=adaptive_tier</t>
        </is>
      </c>
      <c r="EK22" s="15" t="inlineStr">
        <is>
          <t>wf=log|dst=runtime_configured|ceil=runtime_configured|fft=fixed</t>
        </is>
      </c>
      <c r="EL22" s="15" t="n">
        <v>0.830168695576166</v>
      </c>
      <c r="EM22" s="15" t="n">
        <v>0.9966944924283554</v>
      </c>
      <c r="EN22" s="15" t="n">
        <v>0.8571428571428571</v>
      </c>
      <c r="EO22" s="15" t="n">
        <v>0.4082808699170302</v>
      </c>
      <c r="EP22" s="15" t="inlineStr">
        <is>
          <t>warn:power_outlier_detected</t>
        </is>
      </c>
      <c r="EQ22" s="15" t="n">
        <v>271.3806844190535</v>
      </c>
      <c r="ER22" s="15" t="inlineStr">
        <is>
          <t>winsorize_p95_for_robust_diagnostics</t>
        </is>
      </c>
      <c r="ES22" s="15" t="n">
        <v>0.08156624943620744</v>
      </c>
      <c r="ET22" s="15" t="n">
        <v>0.054304240637825</v>
      </c>
      <c r="EU22" s="15" t="n">
        <v>0.0854929094605431</v>
      </c>
      <c r="EV22" t="inlineStr">
        <is>
          <t>computed</t>
        </is>
      </c>
      <c r="EW22" s="15" t="inlineStr">
        <is>
          <t>computed</t>
        </is>
      </c>
      <c r="EX22" s="15" t="inlineStr">
        <is>
          <t>computed</t>
        </is>
      </c>
      <c r="EY22" s="15" t="inlineStr">
        <is>
          <t>available_from_curve</t>
        </is>
      </c>
      <c r="EZ22" s="15" t="n">
        <v>20000</v>
      </c>
      <c r="FA22" s="15" t="n">
        <v>20000</v>
      </c>
      <c r="FB22" s="15" t="n">
        <v>0.123117414421062</v>
      </c>
      <c r="FC22" s="15" t="n">
        <v>0.556679542501815</v>
      </c>
      <c r="FD22" s="15" t="n">
        <v>2.903054125728763</v>
      </c>
      <c r="FE22" s="15" t="n">
        <v>2.186735960922304</v>
      </c>
      <c r="FF22" s="15" t="n">
        <v>0.4860959758660796</v>
      </c>
      <c r="FG22" s="15" t="n">
        <v>2.225597439066747</v>
      </c>
      <c r="FH22" s="15" t="n">
        <v>0.3615309804436635</v>
      </c>
      <c r="FI22" s="15" t="n">
        <v>0.03306956667450574</v>
      </c>
      <c r="FJ22" s="15" t="n">
        <v>10341.7775973146</v>
      </c>
      <c r="FK22" s="15" t="n">
        <v>96.39796895630295</v>
      </c>
      <c r="FL22" s="15" t="n">
        <v>0.1209501870890782</v>
      </c>
      <c r="FM22" s="15" t="n">
        <v>0.004804195536317166</v>
      </c>
      <c r="FN22" t="n">
        <v>0.9999993961644171</v>
      </c>
      <c r="FO22" t="n">
        <v>0</v>
      </c>
      <c r="FP22" t="n">
        <v>6.038355828860522e-07</v>
      </c>
      <c r="FQ22" t="inlineStr">
        <is>
          <t>excellent</t>
        </is>
      </c>
      <c r="FR22" s="19" t="n">
        <v>0.868421052631579</v>
      </c>
      <c r="FS22" s="15" t="n">
        <v>2.912077780998519</v>
      </c>
      <c r="FT22" s="15" t="n">
        <v>17.79878249833719</v>
      </c>
      <c r="FU22" t="inlineStr">
        <is>
          <t>passed</t>
        </is>
      </c>
      <c r="FV22" t="n">
        <v>399.466971919637</v>
      </c>
      <c r="FW22" t="n">
        <v>76.3609884441765</v>
      </c>
      <c r="FX22" t="n">
        <v>1.031320089860823</v>
      </c>
      <c r="FY22" t="n">
        <v>0.7394100755010732</v>
      </c>
      <c r="FZ22" t="n">
        <v>0.1776449807171102</v>
      </c>
      <c r="GA22" t="n">
        <v>0.6546504392612968</v>
      </c>
      <c r="GB22" t="n">
        <v>0.3176889364309043</v>
      </c>
      <c r="GC22" t="n">
        <v>0.3150017181188296</v>
      </c>
      <c r="GD22" t="n">
        <v>0.2283918776335721</v>
      </c>
      <c r="GE22" t="n">
        <v>0.152074028014547</v>
      </c>
      <c r="GF22" t="n">
        <v>0.5077794454806389</v>
      </c>
      <c r="GG22" t="n">
        <v>0.370266229087535</v>
      </c>
      <c r="GH22" t="n">
        <v>0.07069373661692736</v>
      </c>
      <c r="GI22" t="n">
        <v>1</v>
      </c>
      <c r="GJ22" t="n">
        <v>0.7676950998185118</v>
      </c>
      <c r="GK22" t="n">
        <v>0.4680851063829787</v>
      </c>
      <c r="GL22" t="n">
        <v>0.4025541670043098</v>
      </c>
      <c r="GM22" t="n">
        <v>0.4025541670043098</v>
      </c>
      <c r="GN22" t="n">
        <v>0.3354042880857632</v>
      </c>
      <c r="GO22" t="n">
        <v>0.5684008496795148</v>
      </c>
      <c r="GP22" t="n">
        <v>956.1242095869538</v>
      </c>
      <c r="GQ22" t="inlineStr">
        <is>
          <t>compiled workbook density_weighted_sum = density_component_ratio_weighted_sum (per-note component ratios); research density_weighted_sum maps body-ceiling richness</t>
        </is>
      </c>
      <c r="GR22" s="15" t="inlineStr">
        <is>
          <t>individual_exact</t>
        </is>
      </c>
      <c r="GS22" s="15" t="inlineStr">
        <is>
          <t>density_weight</t>
        </is>
      </c>
      <c r="GT22" s="15" t="n">
        <v>0.9111434247617368</v>
      </c>
      <c r="GU22" s="15" t="n">
        <v>0.08885657523826308</v>
      </c>
      <c r="GV22" s="15" t="n">
        <v>0</v>
      </c>
      <c r="GW22" s="15" t="inlineStr">
        <is>
          <t>log</t>
        </is>
      </c>
      <c r="GX22" s="15" t="n">
        <v>0.5</v>
      </c>
      <c r="GY22" s="15" t="inlineStr">
        <is>
          <t>EWSD-R v18.1</t>
        </is>
      </c>
      <c r="GZ22" s="15" t="n">
        <v>25.03218634552704</v>
      </c>
      <c r="HA22" s="15" t="n">
        <v>53.67795853493165</v>
      </c>
      <c r="HB22" s="15" t="n">
        <v>0.187488633464404</v>
      </c>
      <c r="HC22" s="15" t="n">
        <v>38.08821995666514</v>
      </c>
      <c r="HD22" s="15" t="n">
        <v>70.80440512001815</v>
      </c>
      <c r="HE22" s="15" t="n">
        <v>0.1572886795724622</v>
      </c>
      <c r="HF22" s="15" t="inlineStr">
        <is>
          <t>partials+ratios</t>
        </is>
      </c>
      <c r="HG22" s="15" t="inlineStr">
        <is>
          <t>merged_individual_exact</t>
        </is>
      </c>
      <c r="HH22" s="15" t="inlineStr">
        <is>
          <t>passed</t>
        </is>
      </c>
      <c r="HI22" s="15" t="inlineStr">
        <is>
          <t>passed</t>
        </is>
      </c>
    </row>
    <row r="23">
      <c r="A23" t="inlineStr">
        <is>
          <t>incomplete_inference</t>
        </is>
      </c>
      <c r="B23" t="inlineStr">
        <is>
          <t>missing_instrument_technique</t>
        </is>
      </c>
      <c r="C23" t="inlineStr">
        <is>
          <t>prior_constrained_harmonic_fit</t>
        </is>
      </c>
      <c r="D23" t="inlineStr">
        <is>
          <t>IOWA_Trb.T_ff.C#4_SustainStable/C#4/component_amplitude_mass_pie.png</t>
        </is>
      </c>
      <c r="E23" t="inlineStr">
        <is>
          <t>IOWA_Trb.T_ff.C#4_SustainStable/C#4/component_energy_ratio_pie.png</t>
        </is>
      </c>
      <c r="F23" s="15" t="n">
        <v>276.8547833031037</v>
      </c>
      <c r="G23" s="15" t="inlineStr">
        <is>
          <t>prior_constrained_harmonic_fit</t>
        </is>
      </c>
      <c r="H23" s="15" t="inlineStr">
        <is>
          <t>fit_accepted_acoustically_verified</t>
        </is>
      </c>
      <c r="I23" s="16" t="n">
        <v>1119.191980057101</v>
      </c>
      <c r="J23" t="inlineStr">
        <is>
          <t>richness_weighted_body_density_body_ceiling</t>
        </is>
      </c>
      <c r="K23" t="inlineStr">
        <is>
          <t>research_body_ceiling_richness_metric</t>
        </is>
      </c>
      <c r="L23" s="15" t="n">
        <v>39299.38746328358</v>
      </c>
      <c r="M23" s="15" t="n">
        <v>39299.38746328358</v>
      </c>
      <c r="N23" s="15" t="n">
        <v>555.83533098356</v>
      </c>
      <c r="O23" s="15" t="n">
        <v>0.5219032128153581</v>
      </c>
      <c r="P23" s="15" t="n">
        <v>-0.9680904735708817</v>
      </c>
      <c r="Q23" s="15" t="n">
        <v>60</v>
      </c>
      <c r="R23" s="15" t="n">
        <v>63</v>
      </c>
      <c r="S23" s="15" t="n">
        <v>9824.848397325353</v>
      </c>
      <c r="T23" s="15" t="n">
        <v>73</v>
      </c>
      <c r="U23" s="15" t="n">
        <v>-0.5070182391088666</v>
      </c>
      <c r="V23" s="15" t="n">
        <v>77.18683178298133</v>
      </c>
      <c r="W23" s="15" t="n">
        <v>0.5363986316950947</v>
      </c>
      <c r="X23" s="15" t="n">
        <v>0.8016914045250837</v>
      </c>
      <c r="Y23" s="15" t="n">
        <v>63</v>
      </c>
      <c r="Z23" s="15" t="n">
        <v>72</v>
      </c>
      <c r="AA23" s="15" t="n">
        <v>0.875</v>
      </c>
      <c r="AB23" s="15" t="n">
        <v>72</v>
      </c>
      <c r="AC23" s="15" t="n">
        <v>63</v>
      </c>
      <c r="AD23" s="15" t="n">
        <v>0.875</v>
      </c>
      <c r="AE23" s="15" t="n">
        <v>1112.062397841298</v>
      </c>
      <c r="AF23" s="15" t="n">
        <v>63</v>
      </c>
      <c r="AG23" s="15" t="n">
        <v>72</v>
      </c>
      <c r="AH23" s="15" t="n">
        <v>0.875</v>
      </c>
      <c r="AI23" s="15" t="n">
        <v>1112.062397841298</v>
      </c>
      <c r="AJ23" s="15" t="n">
        <v>32</v>
      </c>
      <c r="AK23" s="15" t="n">
        <v>31</v>
      </c>
      <c r="AL23" s="15" t="n">
        <v>1.15928482212349</v>
      </c>
      <c r="AM23" s="15" t="n">
        <v>58</v>
      </c>
      <c r="AN23" s="15" t="n">
        <v>0</v>
      </c>
      <c r="AO23" s="15" t="n">
        <v>58</v>
      </c>
      <c r="AP23" s="15" t="n">
        <v>0</v>
      </c>
      <c r="AQ23" s="15" t="n">
        <v>62.54950954271271</v>
      </c>
      <c r="AR23" s="15" t="n">
        <v>39.61001738737033</v>
      </c>
      <c r="AS23" s="15" t="n">
        <v>0.4788585215897612</v>
      </c>
      <c r="AT23" s="17" t="n">
        <v>2.902423034855061</v>
      </c>
      <c r="AU23" s="18" t="n">
        <v>40.73376244240658</v>
      </c>
      <c r="AV23" s="15" t="n">
        <v>54.30281545320242</v>
      </c>
      <c r="AW23" s="15" t="b">
        <v>1</v>
      </c>
      <c r="AX23" s="15" t="n">
        <v>40.51243579811419</v>
      </c>
      <c r="AY23" s="15" t="n">
        <v>30.49648100766268</v>
      </c>
      <c r="AZ23" s="15" t="n">
        <v>0</v>
      </c>
      <c r="BA23" s="15" t="n">
        <v>1</v>
      </c>
      <c r="BB23" s="15" t="n">
        <v>0.5</v>
      </c>
      <c r="BC23" s="15" t="n">
        <v>0.25</v>
      </c>
      <c r="BD23" s="15" t="inlineStr">
        <is>
          <t>his_note_adaptive</t>
        </is>
      </c>
      <c r="BE23" s="15" t="n">
        <v>-90</v>
      </c>
      <c r="BF23" s="15" t="n">
        <v>20000</v>
      </c>
      <c r="BG23" s="15" t="n">
        <v>63</v>
      </c>
      <c r="BH23" s="15" t="n">
        <v>0.875</v>
      </c>
      <c r="BI23" s="15" t="n">
        <v>72</v>
      </c>
      <c r="BJ23" s="15" t="n">
        <v>63</v>
      </c>
      <c r="BK23" s="15" t="n">
        <v>72</v>
      </c>
      <c r="BL23" s="15" t="n">
        <v>61</v>
      </c>
      <c r="BM23" s="15" t="n">
        <v>0.8472222222222222</v>
      </c>
      <c r="BN23" s="15" t="n">
        <v>0.6053508252054445</v>
      </c>
      <c r="BO23" s="15" t="n">
        <v>0.4833333333333333</v>
      </c>
      <c r="BP23" s="19" t="n">
        <v>0.882013037724436</v>
      </c>
      <c r="BQ23" s="19" t="n">
        <v>0.1179869622755641</v>
      </c>
      <c r="BR23" s="19" t="n">
        <v>0</v>
      </c>
      <c r="BS23" s="15" t="n">
        <v>0.06465554286323305</v>
      </c>
      <c r="BT23" s="19" t="n">
        <v>1</v>
      </c>
      <c r="BU23" s="19" t="n">
        <v>0</v>
      </c>
      <c r="BV23" s="19" t="n">
        <v>0</v>
      </c>
      <c r="BW23" t="inlineStr">
        <is>
          <t>C#4</t>
        </is>
      </c>
      <c r="BX23" t="n">
        <v>61</v>
      </c>
      <c r="BY23" t="inlineStr">
        <is>
          <t>C#</t>
        </is>
      </c>
      <c r="BZ23" t="n">
        <v>4</v>
      </c>
      <c r="CA23" t="inlineStr">
        <is>
          <t>High</t>
        </is>
      </c>
      <c r="CB23" t="inlineStr">
        <is>
          <t>ff</t>
        </is>
      </c>
      <c r="CC23" s="15" t="n">
        <v>277.182630976872</v>
      </c>
      <c r="CD23" s="15" t="n">
        <v>276.8547833031037</v>
      </c>
      <c r="CE23" t="inlineStr">
        <is>
          <t>prior_constrained_harmonic_fit</t>
        </is>
      </c>
      <c r="CF23" t="n">
        <v>276.8547833031037</v>
      </c>
      <c r="CG23" s="15" t="n">
        <v>1</v>
      </c>
      <c r="CH23" t="inlineStr">
        <is>
          <t>free_fit_acoustically_verified</t>
        </is>
      </c>
      <c r="CI23" s="15" t="inlineStr">
        <is>
          <t>free_f0_fit</t>
        </is>
      </c>
      <c r="CJ23" s="15" t="n">
        <v>277.182630976872</v>
      </c>
      <c r="CK23" s="15" t="n">
        <v>276.8547833031037</v>
      </c>
      <c r="CL23" s="15" t="n">
        <v>-2.048890949795354</v>
      </c>
      <c r="CM23" s="15" t="n">
        <v>20000</v>
      </c>
      <c r="CN23" s="15" t="n">
        <v>-2.048890949795354</v>
      </c>
      <c r="CO23" s="15" t="n">
        <v>2.62880989364166</v>
      </c>
      <c r="CP23" s="15" t="n">
        <v>39299.38746328358</v>
      </c>
      <c r="CQ23" t="n">
        <v>8.201840055588329</v>
      </c>
      <c r="CR23" t="n">
        <v>0.1139144452165046</v>
      </c>
      <c r="CS23" t="n">
        <v>136.4562064697346</v>
      </c>
      <c r="CT23" t="n">
        <v>136.4562064697346</v>
      </c>
      <c r="CU23" t="n">
        <v>1119.191980057101</v>
      </c>
      <c r="CV23" t="n">
        <v>0.5219032128153581</v>
      </c>
      <c r="CW23" s="15" t="n">
        <v>39299.38746328358</v>
      </c>
      <c r="CX23" s="15" t="n">
        <v>555.83533098356</v>
      </c>
      <c r="CY23" s="15" t="n">
        <v>0.5219032128153581</v>
      </c>
      <c r="CZ23" s="15" t="n">
        <v>2.902423034855061</v>
      </c>
      <c r="DA23" s="15" t="n">
        <v>2.902423034855061</v>
      </c>
      <c r="DB23" s="15" t="n">
        <v>2.236971794731716</v>
      </c>
      <c r="DC23" s="15" t="n">
        <v>0</v>
      </c>
      <c r="DD23" s="15" t="n">
        <v>7.385415453527669e-05</v>
      </c>
      <c r="DE23" s="15" t="n">
        <v>0</v>
      </c>
      <c r="DF23" s="15" t="n">
        <v>60</v>
      </c>
      <c r="DG23" s="15" t="inlineStr">
        <is>
          <t>Density_Metrics</t>
        </is>
      </c>
      <c r="DH23" s="15" t="n">
        <v>2.62880989364166</v>
      </c>
      <c r="DI23" t="n">
        <v>0.9702026836226665</v>
      </c>
      <c r="DJ23" s="15" t="n">
        <v>0.5913343464897761</v>
      </c>
      <c r="DK23" s="15" t="n">
        <v>5.637107347057835</v>
      </c>
      <c r="DL23" s="15" t="n">
        <v>8.43538217989804</v>
      </c>
      <c r="DM23" s="15" t="n">
        <v>4.554431567267023</v>
      </c>
      <c r="DN23" s="15" t="n">
        <v>14.20464144528498</v>
      </c>
      <c r="DO23" s="15" t="n">
        <v>0.2799329863584505</v>
      </c>
      <c r="DP23" s="15" t="n">
        <v>8.5</v>
      </c>
      <c r="DQ23" s="15" t="n">
        <v>126</v>
      </c>
      <c r="DR23" s="15" t="b">
        <v>1</v>
      </c>
      <c r="DS23" s="15" t="n">
        <v>8.201840055588329</v>
      </c>
      <c r="DT23" s="15" t="n">
        <v>57.72178112580603</v>
      </c>
      <c r="DU23" t="n">
        <v>72</v>
      </c>
      <c r="DV23" s="15" t="n">
        <v>0.06465554286323305</v>
      </c>
      <c r="DW23" s="15" t="n">
        <v>2.373069601968888</v>
      </c>
      <c r="DX23" s="15" t="n">
        <v>2.759132238241496</v>
      </c>
      <c r="DY23" s="15" t="n">
        <v>0.03781753203497076</v>
      </c>
      <c r="DZ23" s="15" t="b">
        <v>1</v>
      </c>
      <c r="EA23" s="15" t="n">
        <v>0.1194653157072747</v>
      </c>
      <c r="EB23" s="15" t="n">
        <v>20000</v>
      </c>
      <c r="EC23" s="15" t="n">
        <v>16611.28699818622</v>
      </c>
      <c r="ED23" s="15" t="n">
        <v>60</v>
      </c>
      <c r="EE23" s="15" t="n">
        <v>0</v>
      </c>
      <c r="EF23" s="15" t="n">
        <v>0.03884298783280674</v>
      </c>
      <c r="EG23" s="15" t="b">
        <v>0</v>
      </c>
      <c r="EH23" s="15" t="b">
        <v>1</v>
      </c>
      <c r="EI23" s="15" t="b">
        <v>0</v>
      </c>
      <c r="EJ23" s="15" t="inlineStr">
        <is>
          <t>wf=log|dst=-90.0|ceil=20000.0|fft=adaptive_tier</t>
        </is>
      </c>
      <c r="EK23" s="15" t="inlineStr">
        <is>
          <t>wf=log|dst=runtime_configured|ceil=runtime_configured|fft=fixed</t>
        </is>
      </c>
      <c r="EL23" s="15" t="n">
        <v>0.8183647069522761</v>
      </c>
      <c r="EM23" s="15" t="n">
        <v>0.9912731789391923</v>
      </c>
      <c r="EN23" s="15" t="n">
        <v>0.821917808219178</v>
      </c>
      <c r="EO23" s="15" t="n">
        <v>0.4231027177646364</v>
      </c>
      <c r="EP23" s="15" t="inlineStr">
        <is>
          <t>warn:power_outlier_detected</t>
        </is>
      </c>
      <c r="EQ23" s="15" t="n">
        <v>220.936331838239</v>
      </c>
      <c r="ER23" s="15" t="inlineStr">
        <is>
          <t>winsorize_p95_for_robust_diagnostics</t>
        </is>
      </c>
      <c r="ES23" s="15" t="n">
        <v>0.08263456422745642</v>
      </c>
      <c r="ET23" s="15" t="n">
        <v>0.06782465153793725</v>
      </c>
      <c r="EU23" s="15" t="n">
        <v>0.09948182741314367</v>
      </c>
      <c r="EV23" t="inlineStr">
        <is>
          <t>computed</t>
        </is>
      </c>
      <c r="EW23" s="15" t="inlineStr">
        <is>
          <t>computed</t>
        </is>
      </c>
      <c r="EX23" s="15" t="inlineStr">
        <is>
          <t>computed</t>
        </is>
      </c>
      <c r="EY23" s="15" t="inlineStr">
        <is>
          <t>available_from_curve</t>
        </is>
      </c>
      <c r="EZ23" s="15" t="n">
        <v>20000</v>
      </c>
      <c r="FA23" s="15" t="n">
        <v>20000</v>
      </c>
      <c r="FB23" s="15" t="n">
        <v>0.1179869622755641</v>
      </c>
      <c r="FC23" s="15" t="n">
        <v>0.5947054800565512</v>
      </c>
      <c r="FD23" s="15" t="n">
        <v>2.902423034855061</v>
      </c>
      <c r="FE23" s="15" t="n">
        <v>2.236971794731716</v>
      </c>
      <c r="FF23" s="15" t="n">
        <v>0.4977125174710585</v>
      </c>
      <c r="FG23" s="15" t="n">
        <v>2.225113619554089</v>
      </c>
      <c r="FH23" s="15" t="n">
        <v>0.3698364231560345</v>
      </c>
      <c r="FI23" s="15" t="n">
        <v>0.03385985093153661</v>
      </c>
      <c r="FJ23" s="15" t="n">
        <v>9824.846865820895</v>
      </c>
      <c r="FK23" s="15" t="n">
        <v>138.95883274589</v>
      </c>
      <c r="FL23" s="15" t="n">
        <v>0.1304758032038395</v>
      </c>
      <c r="FM23" s="15" t="n">
        <v>0.004525071345338228</v>
      </c>
      <c r="FN23" t="n">
        <v>1</v>
      </c>
      <c r="FO23" t="n">
        <v>0</v>
      </c>
      <c r="FP23" t="n">
        <v>0</v>
      </c>
      <c r="FQ23" t="inlineStr">
        <is>
          <t>good</t>
        </is>
      </c>
      <c r="FR23" s="19" t="n">
        <v>0.8472222222222222</v>
      </c>
      <c r="FS23" s="15" t="n">
        <v>3.320194444465334</v>
      </c>
      <c r="FT23" s="15" t="n">
        <v>17.31423996401347</v>
      </c>
      <c r="FU23" t="inlineStr">
        <is>
          <t>passed</t>
        </is>
      </c>
      <c r="FV23" t="n">
        <v>398.8861858229124</v>
      </c>
      <c r="FW23" t="n">
        <v>85.78629055178061</v>
      </c>
      <c r="FX23" t="n">
        <v>1.072832671098779</v>
      </c>
      <c r="FY23" t="n">
        <v>0.7645270078319449</v>
      </c>
      <c r="FZ23" t="n">
        <v>0.2160595750199927</v>
      </c>
      <c r="GA23" t="n">
        <v>0.7144015143962217</v>
      </c>
      <c r="GB23" t="n">
        <v>0.4155250373267548</v>
      </c>
      <c r="GC23" t="n">
        <v>0.4063696987478792</v>
      </c>
      <c r="GD23" t="n">
        <v>0.261241543544406</v>
      </c>
      <c r="GE23" t="n">
        <v>0.08420382512213971</v>
      </c>
      <c r="GF23" t="n">
        <v>0.66394202846315</v>
      </c>
      <c r="GG23" t="n">
        <v>0.3604265473189389</v>
      </c>
      <c r="GH23" t="n">
        <v>0.1353891915269247</v>
      </c>
      <c r="GI23" t="n">
        <v>0.9093147751605996</v>
      </c>
      <c r="GJ23" t="n">
        <v>0.6413793103448273</v>
      </c>
      <c r="GK23" t="n">
        <v>0.5106382978723403</v>
      </c>
      <c r="GL23" t="n">
        <v>0.3733360802472204</v>
      </c>
      <c r="GM23" t="n">
        <v>0.3733360802472204</v>
      </c>
      <c r="GN23" t="n">
        <v>0.4147690606827182</v>
      </c>
      <c r="GO23" t="n">
        <v>0.4954721529435792</v>
      </c>
      <c r="GP23" t="n">
        <v>1119.191980057101</v>
      </c>
      <c r="GQ23" t="inlineStr">
        <is>
          <t>compiled workbook density_weighted_sum = density_component_ratio_weighted_sum (per-note component ratios); research density_weighted_sum maps body-ceiling richness</t>
        </is>
      </c>
      <c r="GR23" s="15" t="inlineStr">
        <is>
          <t>individual_exact</t>
        </is>
      </c>
      <c r="GS23" s="15" t="inlineStr">
        <is>
          <t>density_weight</t>
        </is>
      </c>
      <c r="GT23" s="15" t="n">
        <v>0.9099019085425424</v>
      </c>
      <c r="GU23" s="15" t="n">
        <v>0.0900980914574577</v>
      </c>
      <c r="GV23" s="15" t="n">
        <v>0</v>
      </c>
      <c r="GW23" s="15" t="inlineStr">
        <is>
          <t>log</t>
        </is>
      </c>
      <c r="GX23" s="15" t="n">
        <v>0.5</v>
      </c>
      <c r="GY23" s="15" t="inlineStr">
        <is>
          <t>EWSD-R v18.1</t>
        </is>
      </c>
      <c r="GZ23" s="15" t="n">
        <v>27.22481980953522</v>
      </c>
      <c r="HA23" s="15" t="n">
        <v>56.51997986007111</v>
      </c>
      <c r="HB23" s="15" t="n">
        <v>0.1875082862026674</v>
      </c>
      <c r="HC23" s="15" t="n">
        <v>39.62891175406219</v>
      </c>
      <c r="HD23" s="15" t="n">
        <v>72.2094392224443</v>
      </c>
      <c r="HE23" s="15" t="n">
        <v>0.1556565034047178</v>
      </c>
      <c r="HF23" s="15" t="inlineStr">
        <is>
          <t>partials+ratios</t>
        </is>
      </c>
      <c r="HG23" s="15" t="inlineStr">
        <is>
          <t>merged_individual_exact</t>
        </is>
      </c>
      <c r="HH23" s="15" t="inlineStr">
        <is>
          <t>passed</t>
        </is>
      </c>
      <c r="HI23" s="15" t="inlineStr">
        <is>
          <t>passed</t>
        </is>
      </c>
    </row>
    <row r="24">
      <c r="A24" t="inlineStr">
        <is>
          <t>incomplete_inference</t>
        </is>
      </c>
      <c r="B24" t="inlineStr">
        <is>
          <t>missing_instrument_technique</t>
        </is>
      </c>
      <c r="C24" t="inlineStr">
        <is>
          <t>prior_constrained_harmonic_fit</t>
        </is>
      </c>
      <c r="D24" t="inlineStr">
        <is>
          <t>IOWA_Trb.T_ff.D4_SustainStable/D4/component_amplitude_mass_pie.png</t>
        </is>
      </c>
      <c r="E24" t="inlineStr">
        <is>
          <t>IOWA_Trb.T_ff.D4_SustainStable/D4/component_energy_ratio_pie.png</t>
        </is>
      </c>
      <c r="F24" s="15" t="n">
        <v>293.9139830452642</v>
      </c>
      <c r="G24" s="15" t="inlineStr">
        <is>
          <t>prior_constrained_harmonic_fit</t>
        </is>
      </c>
      <c r="H24" s="15" t="inlineStr">
        <is>
          <t>fit_accepted_acoustically_verified</t>
        </is>
      </c>
      <c r="I24" s="16" t="n">
        <v>1206.429227063567</v>
      </c>
      <c r="J24" t="inlineStr">
        <is>
          <t>richness_weighted_body_density_body_ceiling</t>
        </is>
      </c>
      <c r="K24" t="inlineStr">
        <is>
          <t>research_body_ceiling_richness_metric</t>
        </is>
      </c>
      <c r="L24" s="15" t="n">
        <v>39149.90330612362</v>
      </c>
      <c r="M24" s="15" t="n">
        <v>39149.90330612362</v>
      </c>
      <c r="N24" s="15" t="n">
        <v>576.3448055220451</v>
      </c>
      <c r="O24" s="15" t="n">
        <v>0.4693638927425781</v>
      </c>
      <c r="P24" s="15" t="n">
        <v>-1.100037851890418</v>
      </c>
      <c r="Q24" s="15" t="n">
        <v>56</v>
      </c>
      <c r="R24" s="15" t="n">
        <v>58</v>
      </c>
      <c r="S24" s="15" t="n">
        <v>9787.47635380606</v>
      </c>
      <c r="T24" s="15" t="n">
        <v>69</v>
      </c>
      <c r="U24" s="15" t="n">
        <v>-0.552600114193756</v>
      </c>
      <c r="V24" s="15" t="n">
        <v>76.33573144780534</v>
      </c>
      <c r="W24" s="15" t="n">
        <v>0.5101083989185543</v>
      </c>
      <c r="X24" s="15" t="n">
        <v>0.8341031832615391</v>
      </c>
      <c r="Y24" s="15" t="n">
        <v>57</v>
      </c>
      <c r="Z24" s="15" t="n">
        <v>68</v>
      </c>
      <c r="AA24" s="15" t="n">
        <v>0.8382352941176471</v>
      </c>
      <c r="AB24" s="15" t="n">
        <v>68</v>
      </c>
      <c r="AC24" s="15" t="n">
        <v>57</v>
      </c>
      <c r="AD24" s="15" t="n">
        <v>0.8382352941176471</v>
      </c>
      <c r="AE24" s="15" t="n">
        <v>1062.712200985735</v>
      </c>
      <c r="AF24" s="15" t="n">
        <v>57</v>
      </c>
      <c r="AG24" s="15" t="n">
        <v>68</v>
      </c>
      <c r="AH24" s="15" t="n">
        <v>0.8382352941176471</v>
      </c>
      <c r="AI24" s="15" t="n">
        <v>1062.712200985735</v>
      </c>
      <c r="AJ24" s="15" t="n">
        <v>29</v>
      </c>
      <c r="AK24" s="15" t="n">
        <v>28</v>
      </c>
      <c r="AL24" s="15" t="n">
        <v>1.053392710475251</v>
      </c>
      <c r="AM24" s="15" t="n">
        <v>60</v>
      </c>
      <c r="AN24" s="15" t="n">
        <v>0</v>
      </c>
      <c r="AO24" s="15" t="n">
        <v>60</v>
      </c>
      <c r="AP24" s="15" t="n">
        <v>0</v>
      </c>
      <c r="AQ24" s="15" t="n">
        <v>57.27434487199521</v>
      </c>
      <c r="AR24" s="15" t="n">
        <v>36.60079229130351</v>
      </c>
      <c r="AS24" s="15" t="n">
        <v>0.4257979028411603</v>
      </c>
      <c r="AT24" s="17" t="n">
        <v>2.882807000377577</v>
      </c>
      <c r="AU24" s="18" t="n">
        <v>36.43229636038794</v>
      </c>
      <c r="AV24" s="15" t="n">
        <v>49.25888070636548</v>
      </c>
      <c r="AW24" s="15" t="b">
        <v>1</v>
      </c>
      <c r="AX24" s="15" t="n">
        <v>37.03533891381043</v>
      </c>
      <c r="AY24" s="15" t="n">
        <v>32.28351010053651</v>
      </c>
      <c r="AZ24" s="15" t="n">
        <v>0</v>
      </c>
      <c r="BA24" s="15" t="n">
        <v>1</v>
      </c>
      <c r="BB24" s="15" t="n">
        <v>0.5</v>
      </c>
      <c r="BC24" s="15" t="n">
        <v>0.25</v>
      </c>
      <c r="BD24" s="15" t="inlineStr">
        <is>
          <t>his_note_adaptive</t>
        </is>
      </c>
      <c r="BE24" s="15" t="n">
        <v>-90</v>
      </c>
      <c r="BF24" s="15" t="n">
        <v>20000</v>
      </c>
      <c r="BG24" s="15" t="n">
        <v>57</v>
      </c>
      <c r="BH24" s="15" t="n">
        <v>0.8382352941176471</v>
      </c>
      <c r="BI24" s="15" t="n">
        <v>68</v>
      </c>
      <c r="BJ24" s="15" t="n">
        <v>57</v>
      </c>
      <c r="BK24" s="15" t="n">
        <v>68</v>
      </c>
      <c r="BL24" s="15" t="n">
        <v>57</v>
      </c>
      <c r="BM24" s="15" t="n">
        <v>0.8382352941176471</v>
      </c>
      <c r="BN24" s="15" t="n">
        <v>0.6613526908241592</v>
      </c>
      <c r="BO24" s="15" t="n">
        <v>0.5</v>
      </c>
      <c r="BP24" s="19" t="n">
        <v>0.8877198615691385</v>
      </c>
      <c r="BQ24" s="19" t="n">
        <v>0.1122801384308615</v>
      </c>
      <c r="BR24" s="19" t="n">
        <v>0</v>
      </c>
      <c r="BS24" s="15" t="n">
        <v>0.06324074930147133</v>
      </c>
      <c r="BT24" s="19" t="n">
        <v>1</v>
      </c>
      <c r="BU24" s="19" t="n">
        <v>0</v>
      </c>
      <c r="BV24" s="19" t="n">
        <v>0</v>
      </c>
      <c r="BW24" t="inlineStr">
        <is>
          <t>D4</t>
        </is>
      </c>
      <c r="BX24" t="n">
        <v>62</v>
      </c>
      <c r="BY24" t="inlineStr">
        <is>
          <t>D</t>
        </is>
      </c>
      <c r="BZ24" t="n">
        <v>4</v>
      </c>
      <c r="CA24" t="inlineStr">
        <is>
          <t>High</t>
        </is>
      </c>
      <c r="CB24" t="inlineStr">
        <is>
          <t>ff</t>
        </is>
      </c>
      <c r="CC24" s="15" t="n">
        <v>293.6647679174076</v>
      </c>
      <c r="CD24" s="15" t="n">
        <v>293.9139830452642</v>
      </c>
      <c r="CE24" t="inlineStr">
        <is>
          <t>prior_constrained_harmonic_fit</t>
        </is>
      </c>
      <c r="CF24" t="n">
        <v>293.9139830452642</v>
      </c>
      <c r="CG24" s="15" t="n">
        <v>1</v>
      </c>
      <c r="CH24" t="inlineStr">
        <is>
          <t>free_fit_acoustically_verified</t>
        </is>
      </c>
      <c r="CI24" s="15" t="inlineStr">
        <is>
          <t>free_f0_fit</t>
        </is>
      </c>
      <c r="CJ24" s="15" t="n">
        <v>293.6647679174076</v>
      </c>
      <c r="CK24" s="15" t="n">
        <v>293.9139830452642</v>
      </c>
      <c r="CL24" s="15" t="n">
        <v>1.468568221885617</v>
      </c>
      <c r="CM24" s="15" t="n">
        <v>20000</v>
      </c>
      <c r="CN24" s="15" t="n">
        <v>1.468568221885617</v>
      </c>
      <c r="CO24" s="15" t="n">
        <v>2.613804223562382</v>
      </c>
      <c r="CP24" s="15" t="n">
        <v>39149.90330612362</v>
      </c>
      <c r="CQ24" t="n">
        <v>8.381853390426199</v>
      </c>
      <c r="CR24" t="n">
        <v>0.1232625498592088</v>
      </c>
      <c r="CS24" t="n">
        <v>143.9334680372192</v>
      </c>
      <c r="CT24" t="n">
        <v>143.9334680372192</v>
      </c>
      <c r="CU24" t="n">
        <v>1206.429227063567</v>
      </c>
      <c r="CV24" t="n">
        <v>0.4693638927425781</v>
      </c>
      <c r="CW24" s="15" t="n">
        <v>39149.90330612362</v>
      </c>
      <c r="CX24" s="15" t="n">
        <v>576.3448055220451</v>
      </c>
      <c r="CY24" s="15" t="n">
        <v>0.4693638927425781</v>
      </c>
      <c r="CZ24" s="15" t="n">
        <v>2.882807000377577</v>
      </c>
      <c r="DA24" s="15" t="n">
        <v>2.882807000377577</v>
      </c>
      <c r="DB24" s="15" t="n">
        <v>2.243635841023536</v>
      </c>
      <c r="DC24" s="15" t="n">
        <v>0</v>
      </c>
      <c r="DD24" s="15" t="n">
        <v>7.363509886183202e-05</v>
      </c>
      <c r="DE24" s="15" t="n">
        <v>0</v>
      </c>
      <c r="DF24" s="15" t="n">
        <v>56</v>
      </c>
      <c r="DG24" s="15" t="inlineStr">
        <is>
          <t>Density_Metrics</t>
        </is>
      </c>
      <c r="DH24" s="15" t="n">
        <v>2.613804223562382</v>
      </c>
      <c r="DI24" t="n">
        <v>0.9646646105137343</v>
      </c>
      <c r="DJ24" s="15" t="n">
        <v>0.5891458039495635</v>
      </c>
      <c r="DK24" s="15" t="n">
        <v>5.608442013223064</v>
      </c>
      <c r="DL24" s="15" t="n">
        <v>8.630299449276249</v>
      </c>
      <c r="DM24" s="15" t="n">
        <v>4.844968756923327</v>
      </c>
      <c r="DN24" s="15" t="n">
        <v>13.6185957982904</v>
      </c>
      <c r="DO24" s="15" t="n">
        <v>0.2619762056970312</v>
      </c>
      <c r="DP24" s="15" t="n">
        <v>8.3125</v>
      </c>
      <c r="DQ24" s="15" t="n">
        <v>121</v>
      </c>
      <c r="DR24" s="15" t="b">
        <v>1</v>
      </c>
      <c r="DS24" s="15" t="n">
        <v>8.381853390426199</v>
      </c>
      <c r="DT24" s="15" t="n">
        <v>56.71901646178466</v>
      </c>
      <c r="DU24" t="n">
        <v>68</v>
      </c>
      <c r="DV24" s="15" t="n">
        <v>0.06324074930147133</v>
      </c>
      <c r="DW24" s="15" t="n">
        <v>2.33881588750668</v>
      </c>
      <c r="DX24" s="15" t="n">
        <v>2.738296466486592</v>
      </c>
      <c r="DY24" s="15" t="n">
        <v>0.03890814531691981</v>
      </c>
      <c r="DZ24" s="15" t="b">
        <v>1</v>
      </c>
      <c r="EA24" s="15" t="n">
        <v>0.1345339498659721</v>
      </c>
      <c r="EB24" s="15" t="n">
        <v>20000</v>
      </c>
      <c r="EC24" s="15" t="n">
        <v>16753.09703358006</v>
      </c>
      <c r="ED24" s="15" t="n">
        <v>57</v>
      </c>
      <c r="EE24" s="15" t="n">
        <v>0</v>
      </c>
      <c r="EF24" s="15" t="n">
        <v>0.03666289844319382</v>
      </c>
      <c r="EG24" s="15" t="b">
        <v>0</v>
      </c>
      <c r="EH24" s="15" t="b">
        <v>1</v>
      </c>
      <c r="EI24" s="15" t="b">
        <v>0</v>
      </c>
      <c r="EJ24" s="15" t="inlineStr">
        <is>
          <t>wf=log|dst=-90.0|ceil=20000.0|fft=adaptive_tier</t>
        </is>
      </c>
      <c r="EK24" s="15" t="inlineStr">
        <is>
          <t>wf=log|dst=runtime_configured|ceil=runtime_configured|fft=fixed</t>
        </is>
      </c>
      <c r="EL24" s="15" t="n">
        <v>0.8176139966661964</v>
      </c>
      <c r="EM24" s="15" t="n">
        <v>0.9915225911997719</v>
      </c>
      <c r="EN24" s="15" t="n">
        <v>0.8115942028985508</v>
      </c>
      <c r="EO24" s="15" t="n">
        <v>0.4368542980590309</v>
      </c>
      <c r="EP24" s="15" t="inlineStr">
        <is>
          <t>warn:power_outlier_detected</t>
        </is>
      </c>
      <c r="EQ24" s="15" t="n">
        <v>184.577551976897</v>
      </c>
      <c r="ER24" s="15" t="inlineStr">
        <is>
          <t>winsorize_p95_for_robust_diagnostics</t>
        </is>
      </c>
      <c r="ES24" s="15" t="n">
        <v>0.08498807407382918</v>
      </c>
      <c r="ET24" s="15" t="n">
        <v>0.05195108134921714</v>
      </c>
      <c r="EU24" s="15" t="n">
        <v>0.08833966741938996</v>
      </c>
      <c r="EV24" t="inlineStr">
        <is>
          <t>computed</t>
        </is>
      </c>
      <c r="EW24" s="15" t="inlineStr">
        <is>
          <t>computed</t>
        </is>
      </c>
      <c r="EX24" s="15" t="inlineStr">
        <is>
          <t>computed</t>
        </is>
      </c>
      <c r="EY24" s="15" t="inlineStr">
        <is>
          <t>available_from_curve</t>
        </is>
      </c>
      <c r="EZ24" s="15" t="n">
        <v>20000</v>
      </c>
      <c r="FA24" s="15" t="n">
        <v>20000</v>
      </c>
      <c r="FB24" s="15" t="n">
        <v>0.1122801384308615</v>
      </c>
      <c r="FC24" s="15" t="n">
        <v>0.5890137925483863</v>
      </c>
      <c r="FD24" s="15" t="n">
        <v>2.882807000377577</v>
      </c>
      <c r="FE24" s="15" t="n">
        <v>2.243635841023536</v>
      </c>
      <c r="FF24" s="15" t="n">
        <v>0.4819991718219517</v>
      </c>
      <c r="FG24" s="15" t="n">
        <v>2.210075182719304</v>
      </c>
      <c r="FH24" s="15" t="n">
        <v>0.3709381836029553</v>
      </c>
      <c r="FI24" s="15" t="n">
        <v>0.03279085724012236</v>
      </c>
      <c r="FJ24" s="15" t="n">
        <v>9787.475826530905</v>
      </c>
      <c r="FK24" s="15" t="n">
        <v>144.0862013805113</v>
      </c>
      <c r="FL24" s="15" t="n">
        <v>0.1173409731856445</v>
      </c>
      <c r="FM24" s="15" t="n">
        <v>0.004505024869293463</v>
      </c>
      <c r="FN24" t="n">
        <v>1</v>
      </c>
      <c r="FO24" t="n">
        <v>0</v>
      </c>
      <c r="FP24" t="n">
        <v>0</v>
      </c>
      <c r="FQ24" t="inlineStr">
        <is>
          <t>good</t>
        </is>
      </c>
      <c r="FR24" s="19" t="n">
        <v>0.8382352941176471</v>
      </c>
      <c r="FS24" s="15" t="n">
        <v>3.470634894166625</v>
      </c>
      <c r="FT24" s="15" t="n">
        <v>15.34177089105929</v>
      </c>
      <c r="FU24" t="inlineStr">
        <is>
          <t>passed</t>
        </is>
      </c>
      <c r="FV24" t="n">
        <v>381.2482059279459</v>
      </c>
      <c r="FW24" t="n">
        <v>87.12052385545746</v>
      </c>
      <c r="FX24" t="n">
        <v>1.016942699359847</v>
      </c>
      <c r="FY24" t="n">
        <v>0.7207624409396818</v>
      </c>
      <c r="FZ24" t="n">
        <v>0.236610438272687</v>
      </c>
      <c r="GA24" t="n">
        <v>0.6864245693095697</v>
      </c>
      <c r="GB24" t="n">
        <v>0.4304547014792835</v>
      </c>
      <c r="GC24" t="n">
        <v>0.4203623126258835</v>
      </c>
      <c r="GD24" t="n">
        <v>0.2567587227774319</v>
      </c>
      <c r="GE24" t="n">
        <v>0</v>
      </c>
      <c r="GF24" t="n">
        <v>0.7148133634541555</v>
      </c>
      <c r="GG24" t="n">
        <v>0.3443533314506782</v>
      </c>
      <c r="GH24" t="n">
        <v>0.1120636658205171</v>
      </c>
      <c r="GI24" t="n">
        <v>0.8369190074316665</v>
      </c>
      <c r="GJ24" t="n">
        <v>0.5878296146044624</v>
      </c>
      <c r="GK24" t="n">
        <v>0.553191489361702</v>
      </c>
      <c r="GL24" t="n">
        <v>0.3408355384873157</v>
      </c>
      <c r="GM24" t="n">
        <v>0.3408355384873157</v>
      </c>
      <c r="GN24" t="n">
        <v>0.4028898142044895</v>
      </c>
      <c r="GO24" t="n">
        <v>0.4334869787819396</v>
      </c>
      <c r="GP24" t="n">
        <v>1206.429227063567</v>
      </c>
      <c r="GQ24" t="inlineStr">
        <is>
          <t>compiled workbook density_weighted_sum = density_component_ratio_weighted_sum (per-note component ratios); research density_weighted_sum maps body-ceiling richness</t>
        </is>
      </c>
      <c r="GR24" s="15" t="inlineStr">
        <is>
          <t>individual_exact</t>
        </is>
      </c>
      <c r="GS24" s="15" t="inlineStr">
        <is>
          <t>density_weight</t>
        </is>
      </c>
      <c r="GT24" s="15" t="n">
        <v>0.9085517093349295</v>
      </c>
      <c r="GU24" s="15" t="n">
        <v>0.09144829066507057</v>
      </c>
      <c r="GV24" s="15" t="n">
        <v>0</v>
      </c>
      <c r="GW24" s="15" t="inlineStr">
        <is>
          <t>log</t>
        </is>
      </c>
      <c r="GX24" s="15" t="n">
        <v>0.5</v>
      </c>
      <c r="GY24" s="15" t="inlineStr">
        <is>
          <t>EWSD-R v18.1</t>
        </is>
      </c>
      <c r="GZ24" s="15" t="n">
        <v>22.73673909880129</v>
      </c>
      <c r="HA24" s="15" t="n">
        <v>51.4968670986222</v>
      </c>
      <c r="HB24" s="15" t="n">
        <v>0.2012545964756682</v>
      </c>
      <c r="HC24" s="15" t="n">
        <v>34.18605856549462</v>
      </c>
      <c r="HD24" s="15" t="n">
        <v>66.67287037999714</v>
      </c>
      <c r="HE24" s="15" t="n">
        <v>0.1682448375338677</v>
      </c>
      <c r="HF24" s="15" t="inlineStr">
        <is>
          <t>partials+ratios</t>
        </is>
      </c>
      <c r="HG24" s="15" t="inlineStr">
        <is>
          <t>merged_individual_exact</t>
        </is>
      </c>
      <c r="HH24" s="15" t="inlineStr">
        <is>
          <t>passed</t>
        </is>
      </c>
      <c r="HI24" s="15" t="inlineStr">
        <is>
          <t>passed</t>
        </is>
      </c>
    </row>
    <row r="25">
      <c r="A25" t="inlineStr">
        <is>
          <t>incomplete_inference</t>
        </is>
      </c>
      <c r="B25" t="inlineStr">
        <is>
          <t>missing_instrument_technique</t>
        </is>
      </c>
      <c r="C25" t="inlineStr">
        <is>
          <t>prior_constrained_harmonic_fit</t>
        </is>
      </c>
      <c r="D25" t="inlineStr">
        <is>
          <t>IOWA_Trb.T_ff.D#4_SustainStable/D#4/component_amplitude_mass_pie.png</t>
        </is>
      </c>
      <c r="E25" t="inlineStr">
        <is>
          <t>IOWA_Trb.T_ff.D#4_SustainStable/D#4/component_energy_ratio_pie.png</t>
        </is>
      </c>
      <c r="F25" s="15" t="n">
        <v>310.6964413638715</v>
      </c>
      <c r="G25" s="15" t="inlineStr">
        <is>
          <t>prior_constrained_harmonic_fit</t>
        </is>
      </c>
      <c r="H25" s="15" t="inlineStr">
        <is>
          <t>fit_accepted_acoustically_verified</t>
        </is>
      </c>
      <c r="I25" s="16" t="n">
        <v>1210.754448759857</v>
      </c>
      <c r="J25" t="inlineStr">
        <is>
          <t>richness_weighted_body_density_body_ceiling</t>
        </is>
      </c>
      <c r="K25" t="inlineStr">
        <is>
          <t>research_body_ceiling_richness_metric</t>
        </is>
      </c>
      <c r="L25" s="15" t="n">
        <v>39519.28753479493</v>
      </c>
      <c r="M25" s="15" t="n">
        <v>39519.28753479493</v>
      </c>
      <c r="N25" s="15" t="n">
        <v>512.6872307255176</v>
      </c>
      <c r="O25" s="15" t="n">
        <v>0.5076029104060539</v>
      </c>
      <c r="P25" s="15" t="n">
        <v>-1.3841877771211</v>
      </c>
      <c r="Q25" s="15" t="n">
        <v>48</v>
      </c>
      <c r="R25" s="15" t="n">
        <v>56</v>
      </c>
      <c r="S25" s="15" t="n">
        <v>9879.822699116223</v>
      </c>
      <c r="T25" s="15" t="n">
        <v>65</v>
      </c>
      <c r="U25" s="15" t="n">
        <v>-0.4551643115474869</v>
      </c>
      <c r="V25" s="15" t="n">
        <v>68.99359730655857</v>
      </c>
      <c r="W25" s="15" t="n">
        <v>0.5734269969776787</v>
      </c>
      <c r="X25" s="15" t="n">
        <v>0.7997279159563777</v>
      </c>
      <c r="Y25" s="15" t="n">
        <v>46</v>
      </c>
      <c r="Z25" s="15" t="n">
        <v>64</v>
      </c>
      <c r="AA25" s="15" t="n">
        <v>0.71875</v>
      </c>
      <c r="AB25" s="15" t="n">
        <v>64</v>
      </c>
      <c r="AC25" s="15" t="n">
        <v>46</v>
      </c>
      <c r="AD25" s="15" t="n">
        <v>0.71875</v>
      </c>
      <c r="AE25" s="15" t="n">
        <v>994.3477024018141</v>
      </c>
      <c r="AF25" s="15" t="n">
        <v>46</v>
      </c>
      <c r="AG25" s="15" t="n">
        <v>64</v>
      </c>
      <c r="AH25" s="15" t="n">
        <v>0.71875</v>
      </c>
      <c r="AI25" s="15" t="n">
        <v>994.3477024018141</v>
      </c>
      <c r="AJ25" s="15" t="n">
        <v>23</v>
      </c>
      <c r="AK25" s="15" t="n">
        <v>23</v>
      </c>
      <c r="AL25" s="15" t="n">
        <v>1.041908946989965</v>
      </c>
      <c r="AM25" s="15" t="n">
        <v>56</v>
      </c>
      <c r="AN25" s="15" t="n">
        <v>0</v>
      </c>
      <c r="AO25" s="15" t="n">
        <v>56</v>
      </c>
      <c r="AP25" s="15" t="n">
        <v>0</v>
      </c>
      <c r="AQ25" s="15" t="n">
        <v>47.07514335941859</v>
      </c>
      <c r="AR25" s="15" t="n">
        <v>30.51813467607584</v>
      </c>
      <c r="AS25" s="15" t="n">
        <v>0.3185445182001386</v>
      </c>
      <c r="AT25" s="17" t="n">
        <v>2.854106341194472</v>
      </c>
      <c r="AU25" s="18" t="n">
        <v>31.35393743546898</v>
      </c>
      <c r="AV25" s="15" t="n">
        <v>42.53517906371905</v>
      </c>
      <c r="AW25" s="15" t="b">
        <v>1</v>
      </c>
      <c r="AX25" s="15" t="n">
        <v>30.64912459226327</v>
      </c>
      <c r="AY25" s="15" t="n">
        <v>29.43077622002139</v>
      </c>
      <c r="AZ25" s="15" t="n">
        <v>0</v>
      </c>
      <c r="BA25" s="15" t="n">
        <v>1</v>
      </c>
      <c r="BB25" s="15" t="n">
        <v>0.5</v>
      </c>
      <c r="BC25" s="15" t="n">
        <v>0.25</v>
      </c>
      <c r="BD25" s="15" t="inlineStr">
        <is>
          <t>his_note_adaptive</t>
        </is>
      </c>
      <c r="BE25" s="15" t="n">
        <v>-90</v>
      </c>
      <c r="BF25" s="15" t="n">
        <v>20000</v>
      </c>
      <c r="BG25" s="15" t="n">
        <v>46</v>
      </c>
      <c r="BH25" s="15" t="n">
        <v>0.71875</v>
      </c>
      <c r="BI25" s="15" t="n">
        <v>64</v>
      </c>
      <c r="BJ25" s="15" t="n">
        <v>46</v>
      </c>
      <c r="BK25" s="15" t="n">
        <v>64</v>
      </c>
      <c r="BL25" s="15" t="n">
        <v>55</v>
      </c>
      <c r="BM25" s="15" t="n">
        <v>0.859375</v>
      </c>
      <c r="BN25" s="15" t="n">
        <v>0.6347128585702717</v>
      </c>
      <c r="BO25" s="15" t="n">
        <v>0.4666666666666667</v>
      </c>
      <c r="BP25" s="19" t="n">
        <v>0.8775724921579116</v>
      </c>
      <c r="BQ25" s="19" t="n">
        <v>0.1224275078420885</v>
      </c>
      <c r="BR25" s="19" t="n">
        <v>0</v>
      </c>
      <c r="BS25" s="15" t="n">
        <v>0.06510326782518844</v>
      </c>
      <c r="BT25" s="19" t="n">
        <v>1</v>
      </c>
      <c r="BU25" s="19" t="n">
        <v>0</v>
      </c>
      <c r="BV25" s="19" t="n">
        <v>0</v>
      </c>
      <c r="BW25" t="inlineStr">
        <is>
          <t>D#4</t>
        </is>
      </c>
      <c r="BX25" t="n">
        <v>63</v>
      </c>
      <c r="BY25" t="inlineStr">
        <is>
          <t>D#</t>
        </is>
      </c>
      <c r="BZ25" t="n">
        <v>4</v>
      </c>
      <c r="CA25" t="inlineStr">
        <is>
          <t>High</t>
        </is>
      </c>
      <c r="CB25" t="inlineStr">
        <is>
          <t>ff</t>
        </is>
      </c>
      <c r="CC25" s="15" t="n">
        <v>311.1269837220809</v>
      </c>
      <c r="CD25" s="15" t="n">
        <v>310.6964413638715</v>
      </c>
      <c r="CE25" t="inlineStr">
        <is>
          <t>prior_constrained_harmonic_fit</t>
        </is>
      </c>
      <c r="CF25" t="n">
        <v>310.6964413638715</v>
      </c>
      <c r="CG25" s="15" t="n">
        <v>1</v>
      </c>
      <c r="CH25" t="inlineStr">
        <is>
          <t>free_fit_acoustically_verified</t>
        </is>
      </c>
      <c r="CI25" s="15" t="inlineStr">
        <is>
          <t>free_f0_fit</t>
        </is>
      </c>
      <c r="CJ25" s="15" t="n">
        <v>311.1269837220809</v>
      </c>
      <c r="CK25" s="15" t="n">
        <v>310.6964413638715</v>
      </c>
      <c r="CL25" s="15" t="n">
        <v>-2.397367738613267</v>
      </c>
      <c r="CM25" s="15" t="n">
        <v>20000</v>
      </c>
      <c r="CN25" s="15" t="n">
        <v>-2.397367738613267</v>
      </c>
      <c r="CO25" s="15" t="n">
        <v>2.582231907648556</v>
      </c>
      <c r="CP25" s="15" t="n">
        <v>39519.28753479493</v>
      </c>
      <c r="CQ25" t="n">
        <v>7.843085192505654</v>
      </c>
      <c r="CR25" t="n">
        <v>0.1225482061329008</v>
      </c>
      <c r="CS25" t="n">
        <v>154.3722169327927</v>
      </c>
      <c r="CT25" t="n">
        <v>154.3722169327927</v>
      </c>
      <c r="CU25" t="n">
        <v>1210.754448759857</v>
      </c>
      <c r="CV25" t="n">
        <v>0.5076029104060539</v>
      </c>
      <c r="CW25" s="15" t="n">
        <v>39519.28753479493</v>
      </c>
      <c r="CX25" s="15" t="n">
        <v>512.6872307255176</v>
      </c>
      <c r="CY25" s="15" t="n">
        <v>0.5076029104060539</v>
      </c>
      <c r="CZ25" s="15" t="n">
        <v>2.854106341194472</v>
      </c>
      <c r="DA25" s="15" t="n">
        <v>2.854106341194472</v>
      </c>
      <c r="DB25" s="15" t="n">
        <v>2.182258119638218</v>
      </c>
      <c r="DC25" s="15" t="n">
        <v>0</v>
      </c>
      <c r="DD25" s="15" t="n">
        <v>7.222059200033811e-05</v>
      </c>
      <c r="DE25" s="15" t="n">
        <v>0</v>
      </c>
      <c r="DF25" s="15" t="n">
        <v>48</v>
      </c>
      <c r="DG25" s="15" t="inlineStr">
        <is>
          <t>Density_Metrics</t>
        </is>
      </c>
      <c r="DH25" s="15" t="n">
        <v>2.582231907648556</v>
      </c>
      <c r="DI25" t="n">
        <v>0.9530123622085732</v>
      </c>
      <c r="DJ25" s="15" t="n">
        <v>0.5859236933907404</v>
      </c>
      <c r="DK25" s="15" t="n">
        <v>5.526863854460396</v>
      </c>
      <c r="DL25" s="15" t="n">
        <v>8.047829657337223</v>
      </c>
      <c r="DM25" s="15" t="n">
        <v>4.059361044601689</v>
      </c>
      <c r="DN25" s="15" t="n">
        <v>13.10860612109313</v>
      </c>
      <c r="DO25" s="15" t="n">
        <v>0.2851082358358266</v>
      </c>
      <c r="DP25" s="15" t="n">
        <v>8.75</v>
      </c>
      <c r="DQ25" s="15" t="n">
        <v>104</v>
      </c>
      <c r="DR25" s="15" t="b">
        <v>1</v>
      </c>
      <c r="DS25" s="15" t="n">
        <v>7.843085192505654</v>
      </c>
      <c r="DT25" s="15" t="n">
        <v>51.18258662120817</v>
      </c>
      <c r="DU25" t="n">
        <v>64</v>
      </c>
      <c r="DV25" s="15" t="n">
        <v>0.06510326782518844</v>
      </c>
      <c r="DW25" s="15" t="n">
        <v>2.285452353460047</v>
      </c>
      <c r="DX25" s="15" t="n">
        <v>2.712554245809427</v>
      </c>
      <c r="DY25" s="15" t="n">
        <v>0.04289197841040499</v>
      </c>
      <c r="DZ25" s="15" t="b">
        <v>1</v>
      </c>
      <c r="EA25" s="15" t="n">
        <v>0.1357608392027086</v>
      </c>
      <c r="EB25" s="15" t="n">
        <v>20000</v>
      </c>
      <c r="EC25" s="15" t="n">
        <v>14913.42918546583</v>
      </c>
      <c r="ED25" s="15" t="n">
        <v>48</v>
      </c>
      <c r="EE25" s="15" t="n">
        <v>0</v>
      </c>
      <c r="EF25" s="15" t="n">
        <v>0.03460516806898831</v>
      </c>
      <c r="EG25" s="15" t="b">
        <v>0</v>
      </c>
      <c r="EH25" s="15" t="b">
        <v>1</v>
      </c>
      <c r="EI25" s="15" t="b">
        <v>0</v>
      </c>
      <c r="EJ25" s="15" t="inlineStr">
        <is>
          <t>wf=log|dst=-90.0|ceil=20000.0|fft=adaptive_tier</t>
        </is>
      </c>
      <c r="EK25" s="15" t="inlineStr">
        <is>
          <t>wf=log|dst=runtime_configured|ceil=runtime_configured|fft=fixed</t>
        </is>
      </c>
      <c r="EL25" s="15" t="n">
        <v>0.7943456672352804</v>
      </c>
      <c r="EM25" s="15" t="n">
        <v>0.9949258938504445</v>
      </c>
      <c r="EN25" s="15" t="n">
        <v>0.7384615384615385</v>
      </c>
      <c r="EO25" s="15" t="n">
        <v>0.44083738270521</v>
      </c>
      <c r="EP25" s="15" t="inlineStr">
        <is>
          <t>warn:power_outlier_detected</t>
        </is>
      </c>
      <c r="EQ25" s="15" t="n">
        <v>175.5282998989722</v>
      </c>
      <c r="ER25" s="15" t="inlineStr">
        <is>
          <t>winsorize_p95_for_robust_diagnostics</t>
        </is>
      </c>
      <c r="ES25" s="15" t="n">
        <v>0.08529767561024952</v>
      </c>
      <c r="ET25" s="15" t="n">
        <v>0.03196327757835932</v>
      </c>
      <c r="EU25" s="15" t="n">
        <v>0.06828584922547977</v>
      </c>
      <c r="EV25" t="inlineStr">
        <is>
          <t>computed</t>
        </is>
      </c>
      <c r="EW25" s="15" t="inlineStr">
        <is>
          <t>computed</t>
        </is>
      </c>
      <c r="EX25" s="15" t="inlineStr">
        <is>
          <t>computed</t>
        </is>
      </c>
      <c r="EY25" s="15" t="inlineStr">
        <is>
          <t>available_from_curve</t>
        </is>
      </c>
      <c r="EZ25" s="15" t="n">
        <v>20000</v>
      </c>
      <c r="FA25" s="15" t="n">
        <v>20000</v>
      </c>
      <c r="FB25" s="15" t="n">
        <v>0.1224275078420885</v>
      </c>
      <c r="FC25" s="15" t="n">
        <v>0.5833049238424285</v>
      </c>
      <c r="FD25" s="15" t="n">
        <v>2.854106341194472</v>
      </c>
      <c r="FE25" s="15" t="n">
        <v>2.182258119638218</v>
      </c>
      <c r="FF25" s="15" t="n">
        <v>0.4904993936277064</v>
      </c>
      <c r="FG25" s="15" t="n">
        <v>2.188072109124729</v>
      </c>
      <c r="FH25" s="15" t="n">
        <v>0.3607906631951999</v>
      </c>
      <c r="FI25" s="15" t="n">
        <v>0.03336913532862671</v>
      </c>
      <c r="FJ25" s="15" t="n">
        <v>9879.821883698733</v>
      </c>
      <c r="FK25" s="15" t="n">
        <v>128.1718076813794</v>
      </c>
      <c r="FL25" s="15" t="n">
        <v>0.1269007276015135</v>
      </c>
      <c r="FM25" s="15" t="n">
        <v>0.004463908776380132</v>
      </c>
      <c r="FN25" t="n">
        <v>1</v>
      </c>
      <c r="FO25" t="n">
        <v>0</v>
      </c>
      <c r="FP25" t="n">
        <v>0</v>
      </c>
      <c r="FQ25" t="inlineStr">
        <is>
          <t>excellent</t>
        </is>
      </c>
      <c r="FR25" s="19" t="n">
        <v>0.859375</v>
      </c>
      <c r="FS25" s="15" t="n">
        <v>3.98151412601453</v>
      </c>
      <c r="FT25" s="15" t="n">
        <v>17.4637278834773</v>
      </c>
      <c r="FU25" t="inlineStr">
        <is>
          <t>passed</t>
        </is>
      </c>
      <c r="FV25" t="n">
        <v>356.8356494081263</v>
      </c>
      <c r="FW25" t="n">
        <v>75.57257621312844</v>
      </c>
      <c r="FX25" t="n">
        <v>1.046925497870115</v>
      </c>
      <c r="FY25" t="n">
        <v>0.6286806662202443</v>
      </c>
      <c r="FZ25" t="n">
        <v>0.237629349834757</v>
      </c>
      <c r="GA25" t="n">
        <v>0.6068054837224749</v>
      </c>
      <c r="GB25" t="n">
        <v>0.3858404997700987</v>
      </c>
      <c r="GC25" t="n">
        <v>0.3784833297714178</v>
      </c>
      <c r="GD25" t="n">
        <v>0.2180870526558538</v>
      </c>
      <c r="GE25" t="n">
        <v>0.2028003404635953</v>
      </c>
      <c r="GF25" t="n">
        <v>0.6608602696512738</v>
      </c>
      <c r="GG25" t="n">
        <v>0.3655130702984164</v>
      </c>
      <c r="GH25" t="n">
        <v>0.1619243026441969</v>
      </c>
      <c r="GI25" t="n">
        <v>0.6016327623126337</v>
      </c>
      <c r="GJ25" t="n">
        <v>0.7137931034482756</v>
      </c>
      <c r="GK25" t="n">
        <v>0.4680851063829787</v>
      </c>
      <c r="GL25" t="n">
        <v>0.3986251272808957</v>
      </c>
      <c r="GM25" t="n">
        <v>0.3986251272808957</v>
      </c>
      <c r="GN25" t="n">
        <v>0.3909747084695679</v>
      </c>
      <c r="GO25" t="n">
        <v>0.3136425148591233</v>
      </c>
      <c r="GP25" t="n">
        <v>1210.754448759857</v>
      </c>
      <c r="GQ25" t="inlineStr">
        <is>
          <t>compiled workbook density_weighted_sum = density_component_ratio_weighted_sum (per-note component ratios); research density_weighted_sum maps body-ceiling richness</t>
        </is>
      </c>
      <c r="GR25" s="15" t="inlineStr">
        <is>
          <t>individual_exact</t>
        </is>
      </c>
      <c r="GS25" s="15" t="inlineStr">
        <is>
          <t>density_weight</t>
        </is>
      </c>
      <c r="GT25" s="15" t="n">
        <v>0.8924856640581414</v>
      </c>
      <c r="GU25" s="15" t="n">
        <v>0.1075143359418585</v>
      </c>
      <c r="GV25" s="15" t="n">
        <v>0</v>
      </c>
      <c r="GW25" s="15" t="inlineStr">
        <is>
          <t>log</t>
        </is>
      </c>
      <c r="GX25" s="15" t="n">
        <v>0.5</v>
      </c>
      <c r="GY25" s="15" t="inlineStr">
        <is>
          <t>EWSD-R v18.1</t>
        </is>
      </c>
      <c r="GZ25" s="15" t="n">
        <v>18.95096510820283</v>
      </c>
      <c r="HA25" s="15" t="n">
        <v>46.85256604842781</v>
      </c>
      <c r="HB25" s="15" t="n">
        <v>0.2241669641798732</v>
      </c>
      <c r="HC25" s="15" t="n">
        <v>28.71342441748837</v>
      </c>
      <c r="HD25" s="15" t="n">
        <v>59.9890985926636</v>
      </c>
      <c r="HE25" s="15" t="n">
        <v>0.1867836577971997</v>
      </c>
      <c r="HF25" s="15" t="inlineStr">
        <is>
          <t>partials+ratios</t>
        </is>
      </c>
      <c r="HG25" s="15" t="inlineStr">
        <is>
          <t>merged_individual_exact</t>
        </is>
      </c>
      <c r="HH25" s="15" t="inlineStr">
        <is>
          <t>passed</t>
        </is>
      </c>
      <c r="HI25" s="15" t="inlineStr">
        <is>
          <t>passed</t>
        </is>
      </c>
    </row>
    <row r="26">
      <c r="A26" t="inlineStr">
        <is>
          <t>incomplete_inference</t>
        </is>
      </c>
      <c r="B26" t="inlineStr">
        <is>
          <t>missing_instrument_technique</t>
        </is>
      </c>
      <c r="C26" t="inlineStr">
        <is>
          <t>prior_constrained_harmonic_fit</t>
        </is>
      </c>
      <c r="D26" t="inlineStr">
        <is>
          <t>IOWA_Trb.T_ff.E4_SustainStable/E4/component_amplitude_mass_pie.png</t>
        </is>
      </c>
      <c r="E26" t="inlineStr">
        <is>
          <t>IOWA_Trb.T_ff.E4_SustainStable/E4/component_energy_ratio_pie.png</t>
        </is>
      </c>
      <c r="F26" s="15" t="n">
        <v>330.0163999143277</v>
      </c>
      <c r="G26" s="15" t="inlineStr">
        <is>
          <t>prior_constrained_harmonic_fit</t>
        </is>
      </c>
      <c r="H26" s="15" t="inlineStr">
        <is>
          <t>fit_accepted_acoustically_verified</t>
        </is>
      </c>
      <c r="I26" s="16" t="n">
        <v>1285.686746024418</v>
      </c>
      <c r="J26" t="inlineStr">
        <is>
          <t>richness_weighted_body_density_body_ceiling</t>
        </is>
      </c>
      <c r="K26" t="inlineStr">
        <is>
          <t>research_body_ceiling_richness_metric</t>
        </is>
      </c>
      <c r="L26" s="15" t="n">
        <v>40607.65840928606</v>
      </c>
      <c r="M26" s="15" t="n">
        <v>40607.65840928606</v>
      </c>
      <c r="N26" s="15" t="n">
        <v>399.9764497423866</v>
      </c>
      <c r="O26" s="15" t="n">
        <v>0.5474453638095906</v>
      </c>
      <c r="P26" s="15" t="n">
        <v>-1.303473317392992</v>
      </c>
      <c r="Q26" s="15" t="n">
        <v>49</v>
      </c>
      <c r="R26" s="15" t="n">
        <v>49</v>
      </c>
      <c r="S26" s="15" t="n">
        <v>10151.91460232152</v>
      </c>
      <c r="T26" s="15" t="n">
        <v>61</v>
      </c>
      <c r="U26" s="15" t="n">
        <v>-0.5280525565762021</v>
      </c>
      <c r="V26" s="15" t="n">
        <v>63.59045529738221</v>
      </c>
      <c r="W26" s="15" t="n">
        <v>0.5579797526443528</v>
      </c>
      <c r="X26" s="15" t="n">
        <v>0.8033203752688487</v>
      </c>
      <c r="Y26" s="15" t="n">
        <v>48</v>
      </c>
      <c r="Z26" s="15" t="n">
        <v>60</v>
      </c>
      <c r="AA26" s="15" t="n">
        <v>0.8</v>
      </c>
      <c r="AB26" s="15" t="n">
        <v>60</v>
      </c>
      <c r="AC26" s="15" t="n">
        <v>48</v>
      </c>
      <c r="AD26" s="15" t="n">
        <v>0.8</v>
      </c>
      <c r="AE26" s="15" t="n">
        <v>1025.415272665153</v>
      </c>
      <c r="AF26" s="15" t="n">
        <v>48</v>
      </c>
      <c r="AG26" s="15" t="n">
        <v>60</v>
      </c>
      <c r="AH26" s="15" t="n">
        <v>0.8</v>
      </c>
      <c r="AI26" s="15" t="n">
        <v>1025.415272665153</v>
      </c>
      <c r="AJ26" s="15" t="n">
        <v>24</v>
      </c>
      <c r="AK26" s="15" t="n">
        <v>24</v>
      </c>
      <c r="AL26" s="15" t="n">
        <v>0.9929142940288069</v>
      </c>
      <c r="AM26" s="15" t="n">
        <v>52</v>
      </c>
      <c r="AN26" s="15" t="n">
        <v>0</v>
      </c>
      <c r="AO26" s="15" t="n">
        <v>52</v>
      </c>
      <c r="AP26" s="15" t="n">
        <v>0</v>
      </c>
      <c r="AQ26" s="15" t="n">
        <v>48.40669289774077</v>
      </c>
      <c r="AR26" s="15" t="n">
        <v>31.21672887026386</v>
      </c>
      <c r="AS26" s="15" t="n">
        <v>0.3308625864783296</v>
      </c>
      <c r="AT26" s="17" t="n">
        <v>2.867389912519999</v>
      </c>
      <c r="AU26" s="18" t="n">
        <v>31.80441148100429</v>
      </c>
      <c r="AV26" s="15" t="n">
        <v>43.26621785201353</v>
      </c>
      <c r="AW26" s="15" t="b">
        <v>1</v>
      </c>
      <c r="AX26" s="15" t="n">
        <v>31.75336008981481</v>
      </c>
      <c r="AY26" s="15" t="n">
        <v>26.47536067028238</v>
      </c>
      <c r="AZ26" s="15" t="n">
        <v>0</v>
      </c>
      <c r="BA26" s="15" t="n">
        <v>1</v>
      </c>
      <c r="BB26" s="15" t="n">
        <v>0.5</v>
      </c>
      <c r="BC26" s="15" t="n">
        <v>0.25</v>
      </c>
      <c r="BD26" s="15" t="inlineStr">
        <is>
          <t>his_note_adaptive</t>
        </is>
      </c>
      <c r="BE26" s="15" t="n">
        <v>-90</v>
      </c>
      <c r="BF26" s="15" t="n">
        <v>20000</v>
      </c>
      <c r="BG26" s="15" t="n">
        <v>48</v>
      </c>
      <c r="BH26" s="15" t="n">
        <v>0.8</v>
      </c>
      <c r="BI26" s="15" t="n">
        <v>60</v>
      </c>
      <c r="BJ26" s="15" t="n">
        <v>48</v>
      </c>
      <c r="BK26" s="15" t="n">
        <v>60</v>
      </c>
      <c r="BL26" s="15" t="n">
        <v>51</v>
      </c>
      <c r="BM26" s="15" t="n">
        <v>0.85</v>
      </c>
      <c r="BN26" s="15" t="n">
        <v>0.6553467381421257</v>
      </c>
      <c r="BO26" s="15" t="n">
        <v>0.4333333333333333</v>
      </c>
      <c r="BP26" s="19" t="n">
        <v>0.8654767553043909</v>
      </c>
      <c r="BQ26" s="19" t="n">
        <v>0.134523244695609</v>
      </c>
      <c r="BR26" s="19" t="n">
        <v>0</v>
      </c>
      <c r="BS26" s="15" t="n">
        <v>0.06735409781659812</v>
      </c>
      <c r="BT26" s="19" t="n">
        <v>1</v>
      </c>
      <c r="BU26" s="19" t="n">
        <v>0</v>
      </c>
      <c r="BV26" s="19" t="n">
        <v>0</v>
      </c>
      <c r="BW26" t="inlineStr">
        <is>
          <t>E4</t>
        </is>
      </c>
      <c r="BX26" t="n">
        <v>64</v>
      </c>
      <c r="BY26" t="inlineStr">
        <is>
          <t>E</t>
        </is>
      </c>
      <c r="BZ26" t="n">
        <v>4</v>
      </c>
      <c r="CA26" t="inlineStr">
        <is>
          <t>High</t>
        </is>
      </c>
      <c r="CB26" t="inlineStr">
        <is>
          <t>ff</t>
        </is>
      </c>
      <c r="CC26" s="15" t="n">
        <v>329.6275569128699</v>
      </c>
      <c r="CD26" s="15" t="n">
        <v>330.0163999143277</v>
      </c>
      <c r="CE26" t="inlineStr">
        <is>
          <t>prior_constrained_harmonic_fit</t>
        </is>
      </c>
      <c r="CF26" t="n">
        <v>330.0163999143277</v>
      </c>
      <c r="CG26" s="15" t="n">
        <v>1</v>
      </c>
      <c r="CH26" t="inlineStr">
        <is>
          <t>free_fit_acoustically_verified</t>
        </is>
      </c>
      <c r="CI26" s="15" t="inlineStr">
        <is>
          <t>free_f0_fit</t>
        </is>
      </c>
      <c r="CJ26" s="15" t="n">
        <v>329.6275569128699</v>
      </c>
      <c r="CK26" s="15" t="n">
        <v>330.0163999143277</v>
      </c>
      <c r="CL26" s="15" t="n">
        <v>2.041035364213641</v>
      </c>
      <c r="CM26" s="15" t="n">
        <v>20000</v>
      </c>
      <c r="CN26" s="15" t="n">
        <v>2.041035364213641</v>
      </c>
      <c r="CO26" s="15" t="n">
        <v>2.565579526559916</v>
      </c>
      <c r="CP26" s="15" t="n">
        <v>40607.65840928606</v>
      </c>
      <c r="CQ26" t="n">
        <v>7.598685349837814</v>
      </c>
      <c r="CR26" t="n">
        <v>0.1266447558306302</v>
      </c>
      <c r="CS26" t="n">
        <v>169.1985767053586</v>
      </c>
      <c r="CT26" t="n">
        <v>169.1985767053586</v>
      </c>
      <c r="CU26" t="n">
        <v>1285.686746024418</v>
      </c>
      <c r="CV26" t="n">
        <v>0.5474453638095906</v>
      </c>
      <c r="CW26" s="15" t="n">
        <v>40607.65840928606</v>
      </c>
      <c r="CX26" s="15" t="n">
        <v>399.9764497423866</v>
      </c>
      <c r="CY26" s="15" t="n">
        <v>0.5474453638095906</v>
      </c>
      <c r="CZ26" s="15" t="n">
        <v>2.867389912519999</v>
      </c>
      <c r="DA26" s="15" t="n">
        <v>2.867389912519999</v>
      </c>
      <c r="DB26" s="15" t="n">
        <v>2.013932743920755</v>
      </c>
      <c r="DC26" s="15" t="n">
        <v>0</v>
      </c>
      <c r="DD26" s="15" t="n">
        <v>7.061204769847777e-05</v>
      </c>
      <c r="DE26" s="15" t="n">
        <v>0</v>
      </c>
      <c r="DF26" s="15" t="n">
        <v>49</v>
      </c>
      <c r="DG26" s="15" t="inlineStr">
        <is>
          <t>Density_Metrics</t>
        </is>
      </c>
      <c r="DH26" s="15" t="n">
        <v>2.565579526559916</v>
      </c>
      <c r="DI26" t="n">
        <v>0.9468665450994764</v>
      </c>
      <c r="DJ26" s="15" t="n">
        <v>0.5874179601049385</v>
      </c>
      <c r="DK26" s="15" t="n">
        <v>5.386418000567495</v>
      </c>
      <c r="DL26" s="15" t="n">
        <v>7.749079915424287</v>
      </c>
      <c r="DM26" s="15" t="n">
        <v>4.233734541989075</v>
      </c>
      <c r="DN26" s="15" t="n">
        <v>12.63152049714241</v>
      </c>
      <c r="DO26" s="15" t="n">
        <v>0.2821855955387426</v>
      </c>
      <c r="DP26" s="15" t="n">
        <v>8.6875</v>
      </c>
      <c r="DQ26" s="15" t="n">
        <v>85</v>
      </c>
      <c r="DR26" s="15" t="b">
        <v>1</v>
      </c>
      <c r="DS26" s="15" t="n">
        <v>7.598685349837814</v>
      </c>
      <c r="DT26" s="15" t="n">
        <v>48.19922251613092</v>
      </c>
      <c r="DU26" t="n">
        <v>60</v>
      </c>
      <c r="DV26" s="15" t="n">
        <v>0.06735409781659812</v>
      </c>
      <c r="DW26" s="15" t="n">
        <v>2.302704825281631</v>
      </c>
      <c r="DX26" s="15" t="n">
        <v>2.726314275450294</v>
      </c>
      <c r="DY26" s="15" t="n">
        <v>0.04338786870769543</v>
      </c>
      <c r="DZ26" s="15" t="b">
        <v>1</v>
      </c>
      <c r="EA26" s="15" t="n">
        <v>0.158095501264966</v>
      </c>
      <c r="EB26" s="15" t="n">
        <v>20000</v>
      </c>
      <c r="EC26" s="15" t="n">
        <v>16500.81999571639</v>
      </c>
      <c r="ED26" s="15" t="n">
        <v>50</v>
      </c>
      <c r="EE26" s="15" t="n">
        <v>0</v>
      </c>
      <c r="EF26" s="15" t="n">
        <v>0.03266292922635083</v>
      </c>
      <c r="EG26" s="15" t="b">
        <v>0</v>
      </c>
      <c r="EH26" s="15" t="b">
        <v>1</v>
      </c>
      <c r="EI26" s="15" t="b">
        <v>0</v>
      </c>
      <c r="EJ26" s="15" t="inlineStr">
        <is>
          <t>wf=log|dst=-90.0|ceil=20000.0|fft=adaptive_tier</t>
        </is>
      </c>
      <c r="EK26" s="15" t="inlineStr">
        <is>
          <t>wf=log|dst=runtime_configured|ceil=runtime_configured|fft=fixed</t>
        </is>
      </c>
      <c r="EL26" s="15" t="n">
        <v>0.8145334457908359</v>
      </c>
      <c r="EM26" s="15" t="n">
        <v>0.994543538229204</v>
      </c>
      <c r="EN26" s="15" t="n">
        <v>0.8032786885245902</v>
      </c>
      <c r="EO26" s="15" t="n">
        <v>0.429206563020437</v>
      </c>
      <c r="EP26" s="15" t="inlineStr">
        <is>
          <t>warn:power_outlier_detected</t>
        </is>
      </c>
      <c r="EQ26" s="15" t="n">
        <v>203.7373872135432</v>
      </c>
      <c r="ER26" s="15" t="inlineStr">
        <is>
          <t>winsorize_p95_for_robust_diagnostics</t>
        </is>
      </c>
      <c r="ES26" s="15" t="n">
        <v>0.07660861513710208</v>
      </c>
      <c r="ET26" s="15" t="n">
        <v>0.03663888978435467</v>
      </c>
      <c r="EU26" s="15" t="n">
        <v>0.06470008259801793</v>
      </c>
      <c r="EV26" t="inlineStr">
        <is>
          <t>computed</t>
        </is>
      </c>
      <c r="EW26" s="15" t="inlineStr">
        <is>
          <t>computed</t>
        </is>
      </c>
      <c r="EX26" s="15" t="inlineStr">
        <is>
          <t>computed</t>
        </is>
      </c>
      <c r="EY26" s="15" t="inlineStr">
        <is>
          <t>available_from_curve</t>
        </is>
      </c>
      <c r="EZ26" s="15" t="n">
        <v>20000</v>
      </c>
      <c r="FA26" s="15" t="n">
        <v>20000</v>
      </c>
      <c r="FB26" s="15" t="n">
        <v>0.134523244695609</v>
      </c>
      <c r="FC26" s="15" t="n">
        <v>0.6821736226847314</v>
      </c>
      <c r="FD26" s="15" t="n">
        <v>2.867389912519999</v>
      </c>
      <c r="FE26" s="15" t="n">
        <v>2.013932743920755</v>
      </c>
      <c r="FF26" s="15" t="n">
        <v>0.5050953441267404</v>
      </c>
      <c r="FG26" s="15" t="n">
        <v>2.198255826356089</v>
      </c>
      <c r="FH26" s="15" t="n">
        <v>0.3329615886273606</v>
      </c>
      <c r="FI26" s="15" t="n">
        <v>0.03436211157646664</v>
      </c>
      <c r="FJ26" s="15" t="n">
        <v>10151.91460232152</v>
      </c>
      <c r="FK26" s="15" t="n">
        <v>99.99411243559665</v>
      </c>
      <c r="FL26" s="15" t="n">
        <v>0.1368613409523977</v>
      </c>
      <c r="FM26" s="15" t="n">
        <v>0.004577946266400088</v>
      </c>
      <c r="FN26" t="n">
        <v>1</v>
      </c>
      <c r="FO26" t="n">
        <v>0</v>
      </c>
      <c r="FP26" t="n">
        <v>0</v>
      </c>
      <c r="FQ26" t="inlineStr">
        <is>
          <t>excellent</t>
        </is>
      </c>
      <c r="FR26" s="19" t="n">
        <v>0.85</v>
      </c>
      <c r="FS26" s="15" t="n">
        <v>3.094075680365099</v>
      </c>
      <c r="FT26" s="15" t="n">
        <v>17.13391555312715</v>
      </c>
      <c r="FU26" t="inlineStr">
        <is>
          <t>passed</t>
        </is>
      </c>
      <c r="FV26" t="n">
        <v>367.9341830010102</v>
      </c>
      <c r="FW26" t="n">
        <v>51.13007408874294</v>
      </c>
      <c r="FX26" t="n">
        <v>1.099798732853956</v>
      </c>
      <c r="FY26" t="n">
        <v>0.5801134084957367</v>
      </c>
      <c r="FZ26" t="n">
        <v>0.2552814817753728</v>
      </c>
      <c r="GA26" t="n">
        <v>0.4697323917201974</v>
      </c>
      <c r="GB26" t="n">
        <v>0.3629578002194481</v>
      </c>
      <c r="GC26" t="n">
        <v>0.3594858892019392</v>
      </c>
      <c r="GD26" t="n">
        <v>0.1896282256473586</v>
      </c>
      <c r="GE26" t="n">
        <v>0.1533250440096587</v>
      </c>
      <c r="GF26" t="n">
        <v>0.666498750729781</v>
      </c>
      <c r="GG26" t="n">
        <v>0.3910843460749572</v>
      </c>
      <c r="GH26" t="n">
        <v>0.1246253405030839</v>
      </c>
      <c r="GI26" t="n">
        <v>0.7616274089935761</v>
      </c>
      <c r="GJ26" t="n">
        <v>0.6579310344827582</v>
      </c>
      <c r="GK26" t="n">
        <v>0.3829787234042552</v>
      </c>
      <c r="GL26" t="n">
        <v>0.4675107300999797</v>
      </c>
      <c r="GM26" t="n">
        <v>0.4675107300999797</v>
      </c>
      <c r="GN26" t="n">
        <v>0.5973257494999518</v>
      </c>
      <c r="GO26" t="n">
        <v>0.3292887240658066</v>
      </c>
      <c r="GP26" t="n">
        <v>1285.686746024418</v>
      </c>
      <c r="GQ26" t="inlineStr">
        <is>
          <t>compiled workbook density_weighted_sum = density_component_ratio_weighted_sum (per-note component ratios); research density_weighted_sum maps body-ceiling richness</t>
        </is>
      </c>
      <c r="GR26" s="15" t="inlineStr">
        <is>
          <t>individual_exact</t>
        </is>
      </c>
      <c r="GS26" s="15" t="inlineStr">
        <is>
          <t>density_weight</t>
        </is>
      </c>
      <c r="GT26" s="15" t="n">
        <v>0.898326775564806</v>
      </c>
      <c r="GU26" s="15" t="n">
        <v>0.1016732244351939</v>
      </c>
      <c r="GV26" s="15" t="n">
        <v>0</v>
      </c>
      <c r="GW26" s="15" t="inlineStr">
        <is>
          <t>log</t>
        </is>
      </c>
      <c r="GX26" s="15" t="n">
        <v>0.5</v>
      </c>
      <c r="GY26" s="15" t="inlineStr">
        <is>
          <t>EWSD-R v18.1</t>
        </is>
      </c>
      <c r="GZ26" s="15" t="n">
        <v>20.13506280356285</v>
      </c>
      <c r="HA26" s="15" t="n">
        <v>49.30824519134254</v>
      </c>
      <c r="HB26" s="15" t="n">
        <v>0.2368327007043091</v>
      </c>
      <c r="HC26" s="15" t="n">
        <v>30.14395938152476</v>
      </c>
      <c r="HD26" s="15" t="n">
        <v>63.04852522616022</v>
      </c>
      <c r="HE26" s="15" t="n">
        <v>0.1931523463770831</v>
      </c>
      <c r="HF26" s="15" t="inlineStr">
        <is>
          <t>partials+ratios</t>
        </is>
      </c>
      <c r="HG26" s="15" t="inlineStr">
        <is>
          <t>merged_individual_exact</t>
        </is>
      </c>
      <c r="HH26" s="15" t="inlineStr">
        <is>
          <t>passed</t>
        </is>
      </c>
      <c r="HI26" s="15" t="inlineStr">
        <is>
          <t>passed</t>
        </is>
      </c>
    </row>
    <row r="27">
      <c r="A27" t="inlineStr">
        <is>
          <t>incomplete_inference</t>
        </is>
      </c>
      <c r="B27" t="inlineStr">
        <is>
          <t>missing_instrument_technique</t>
        </is>
      </c>
      <c r="C27" t="inlineStr">
        <is>
          <t>prior_constrained_harmonic_fit</t>
        </is>
      </c>
      <c r="D27" t="inlineStr">
        <is>
          <t>IOWA_Trb.T_ff.F4_SustainStable/F4/component_amplitude_mass_pie.png</t>
        </is>
      </c>
      <c r="E27" t="inlineStr">
        <is>
          <t>IOWA_Trb.T_ff.F4_SustainStable/F4/component_energy_ratio_pie.png</t>
        </is>
      </c>
      <c r="F27" s="15" t="n">
        <v>349.6022245381592</v>
      </c>
      <c r="G27" s="15" t="inlineStr">
        <is>
          <t>prior_constrained_harmonic_fit</t>
        </is>
      </c>
      <c r="H27" s="15" t="inlineStr">
        <is>
          <t>fit_accepted_acoustically_verified</t>
        </is>
      </c>
      <c r="I27" s="16" t="n">
        <v>945.9305028244131</v>
      </c>
      <c r="J27" t="inlineStr">
        <is>
          <t>richness_weighted_body_density_body_ceiling</t>
        </is>
      </c>
      <c r="K27" t="inlineStr">
        <is>
          <t>research_body_ceiling_richness_metric</t>
        </is>
      </c>
      <c r="L27" s="15" t="n">
        <v>40253.10110469134</v>
      </c>
      <c r="M27" s="15" t="n">
        <v>40253.13404965635</v>
      </c>
      <c r="N27" s="15" t="n">
        <v>403.6764530360325</v>
      </c>
      <c r="O27" s="15" t="n">
        <v>0.4908805738561805</v>
      </c>
      <c r="P27" s="15" t="n">
        <v>-1.301928858109917</v>
      </c>
      <c r="Q27" s="15" t="n">
        <v>52</v>
      </c>
      <c r="R27" s="15" t="n">
        <v>52</v>
      </c>
      <c r="S27" s="15" t="n">
        <v>10063.28351241409</v>
      </c>
      <c r="T27" s="15" t="n">
        <v>58</v>
      </c>
      <c r="U27" s="15" t="n">
        <v>-0.6950370218739251</v>
      </c>
      <c r="V27" s="15" t="n">
        <v>52.94923170855063</v>
      </c>
      <c r="W27" s="15" t="n">
        <v>0.5808768270369431</v>
      </c>
      <c r="X27" s="15" t="n">
        <v>0.6984033920679154</v>
      </c>
      <c r="Y27" s="15" t="n">
        <v>45</v>
      </c>
      <c r="Z27" s="15" t="n">
        <v>57</v>
      </c>
      <c r="AA27" s="15" t="n">
        <v>0.7894736842105263</v>
      </c>
      <c r="AB27" s="15" t="n">
        <v>57</v>
      </c>
      <c r="AC27" s="15" t="n">
        <v>45</v>
      </c>
      <c r="AD27" s="15" t="n">
        <v>0.7894736842105263</v>
      </c>
      <c r="AE27" s="15" t="n">
        <v>912.021899886194</v>
      </c>
      <c r="AF27" s="15" t="n">
        <v>45</v>
      </c>
      <c r="AG27" s="15" t="n">
        <v>57</v>
      </c>
      <c r="AH27" s="15" t="n">
        <v>0.7894736842105263</v>
      </c>
      <c r="AI27" s="15" t="n">
        <v>912.021899886194</v>
      </c>
      <c r="AJ27" s="15" t="n">
        <v>23</v>
      </c>
      <c r="AK27" s="15" t="n">
        <v>22</v>
      </c>
      <c r="AL27" s="15" t="n">
        <v>0.7975131853132461</v>
      </c>
      <c r="AM27" s="15" t="n">
        <v>44</v>
      </c>
      <c r="AN27" s="15" t="n">
        <v>0</v>
      </c>
      <c r="AO27" s="15" t="n">
        <v>44</v>
      </c>
      <c r="AP27" s="15" t="n">
        <v>0</v>
      </c>
      <c r="AQ27" s="15" t="n">
        <v>44.89213941279383</v>
      </c>
      <c r="AR27" s="15" t="n">
        <v>27.19468748375587</v>
      </c>
      <c r="AS27" s="15" t="n">
        <v>0.2599433305943037</v>
      </c>
      <c r="AT27" s="17" t="n">
        <v>2.81690375444294</v>
      </c>
      <c r="AU27" s="18" t="n">
        <v>24.5468683143467</v>
      </c>
      <c r="AV27" s="15" t="n">
        <v>35.6805374148857</v>
      </c>
      <c r="AW27" s="15" t="b">
        <v>1</v>
      </c>
      <c r="AX27" s="15" t="n">
        <v>27.81572352223723</v>
      </c>
      <c r="AY27" s="15" t="n">
        <v>22.05795736716971</v>
      </c>
      <c r="AZ27" s="15" t="n">
        <v>0</v>
      </c>
      <c r="BA27" s="15" t="n">
        <v>1</v>
      </c>
      <c r="BB27" s="15" t="n">
        <v>0.5</v>
      </c>
      <c r="BC27" s="15" t="n">
        <v>0.25</v>
      </c>
      <c r="BD27" s="15" t="inlineStr">
        <is>
          <t>his_note_adaptive</t>
        </is>
      </c>
      <c r="BE27" s="15" t="n">
        <v>-90</v>
      </c>
      <c r="BF27" s="15" t="n">
        <v>20000</v>
      </c>
      <c r="BG27" s="15" t="n">
        <v>45</v>
      </c>
      <c r="BH27" s="15" t="n">
        <v>0.7894736842105263</v>
      </c>
      <c r="BI27" s="15" t="n">
        <v>57</v>
      </c>
      <c r="BJ27" s="15" t="n">
        <v>45</v>
      </c>
      <c r="BK27" s="15" t="n">
        <v>57</v>
      </c>
      <c r="BL27" s="15" t="n">
        <v>48</v>
      </c>
      <c r="BM27" s="15" t="n">
        <v>0.8421052631578947</v>
      </c>
      <c r="BN27" s="15" t="n">
        <v>0.486211358449328</v>
      </c>
      <c r="BO27" s="15" t="n">
        <v>0.3666666666666666</v>
      </c>
      <c r="BP27" s="19" t="n">
        <v>0.8450871113213229</v>
      </c>
      <c r="BQ27" s="19" t="n">
        <v>0.1549121970125927</v>
      </c>
      <c r="BR27" s="19" t="n">
        <v>6.916660845443456e-07</v>
      </c>
      <c r="BS27" s="15" t="n">
        <v>0.06721329867005986</v>
      </c>
      <c r="BT27" s="19" t="n">
        <v>0.9999991815452997</v>
      </c>
      <c r="BU27" s="19" t="n">
        <v>0</v>
      </c>
      <c r="BV27" s="19" t="n">
        <v>8.184547003273364e-07</v>
      </c>
      <c r="BW27" t="inlineStr">
        <is>
          <t>F4</t>
        </is>
      </c>
      <c r="BX27" t="n">
        <v>65</v>
      </c>
      <c r="BY27" t="inlineStr">
        <is>
          <t>F</t>
        </is>
      </c>
      <c r="BZ27" t="n">
        <v>4</v>
      </c>
      <c r="CA27" t="inlineStr">
        <is>
          <t>High</t>
        </is>
      </c>
      <c r="CB27" t="inlineStr">
        <is>
          <t>ff</t>
        </is>
      </c>
      <c r="CC27" s="15" t="n">
        <v>349.2282314330039</v>
      </c>
      <c r="CD27" s="15" t="n">
        <v>349.6022245381592</v>
      </c>
      <c r="CE27" t="inlineStr">
        <is>
          <t>prior_constrained_harmonic_fit</t>
        </is>
      </c>
      <c r="CF27" t="n">
        <v>349.6022245381592</v>
      </c>
      <c r="CG27" s="15" t="n">
        <v>1</v>
      </c>
      <c r="CH27" t="inlineStr">
        <is>
          <t>free_fit_acoustically_verified</t>
        </is>
      </c>
      <c r="CI27" s="15" t="inlineStr">
        <is>
          <t>free_f0_fit</t>
        </is>
      </c>
      <c r="CJ27" s="15" t="n">
        <v>349.2282314330039</v>
      </c>
      <c r="CK27" s="15" t="n">
        <v>349.6022245381592</v>
      </c>
      <c r="CL27" s="15" t="n">
        <v>1.8530092786939</v>
      </c>
      <c r="CM27" s="15" t="n">
        <v>20000</v>
      </c>
      <c r="CN27" s="15" t="n">
        <v>1.8530092786939</v>
      </c>
      <c r="CO27" s="15" t="n">
        <v>2.5463832688271</v>
      </c>
      <c r="CP27" s="15" t="n">
        <v>40253.10110469134</v>
      </c>
      <c r="CQ27" t="n">
        <v>5.357901595834638</v>
      </c>
      <c r="CR27" t="n">
        <v>0.093998273611134</v>
      </c>
      <c r="CS27" t="n">
        <v>176.5486890539017</v>
      </c>
      <c r="CT27" t="n">
        <v>176.5488335511243</v>
      </c>
      <c r="CU27" t="n">
        <v>945.9305028244131</v>
      </c>
      <c r="CV27" t="n">
        <v>0.4908805738561805</v>
      </c>
      <c r="CW27" s="15" t="n">
        <v>40253.13404965635</v>
      </c>
      <c r="CX27" s="15" t="n">
        <v>403.6764530360325</v>
      </c>
      <c r="CY27" s="15" t="n">
        <v>0.4908805738561805</v>
      </c>
      <c r="CZ27" s="15" t="n">
        <v>2.816903756265919</v>
      </c>
      <c r="DA27" s="15" t="n">
        <v>2.816905660012084</v>
      </c>
      <c r="DB27" s="15" t="n">
        <v>2.138687360855974</v>
      </c>
      <c r="DC27" s="15" t="n">
        <v>0</v>
      </c>
      <c r="DD27" s="15" t="n">
        <v>6.99797948222583e-05</v>
      </c>
      <c r="DE27" s="15" t="n">
        <v>0</v>
      </c>
      <c r="DF27" s="15" t="n">
        <v>52</v>
      </c>
      <c r="DG27" s="15" t="inlineStr">
        <is>
          <t>Density_Metrics</t>
        </is>
      </c>
      <c r="DH27" s="15" t="n">
        <v>2.5463832688271</v>
      </c>
      <c r="DI27" t="n">
        <v>0.9397818712274946</v>
      </c>
      <c r="DJ27" s="15" t="n">
        <v>0.5817112090868177</v>
      </c>
      <c r="DK27" s="15" t="n">
        <v>5.444246252981617</v>
      </c>
      <c r="DL27" s="15" t="n">
        <v>5.465943770081065</v>
      </c>
      <c r="DM27" s="15" t="n">
        <v>2.859653302966247</v>
      </c>
      <c r="DN27" s="15" t="n">
        <v>10.45816049282816</v>
      </c>
      <c r="DO27" s="15" t="n">
        <v>0.3520718717507492</v>
      </c>
      <c r="DP27" s="15" t="n">
        <v>8.4375</v>
      </c>
      <c r="DQ27" s="15" t="n">
        <v>113</v>
      </c>
      <c r="DR27" s="15" t="b">
        <v>1</v>
      </c>
      <c r="DS27" s="15" t="n">
        <v>5.357901595834638</v>
      </c>
      <c r="DT27" s="15" t="n">
        <v>39.80899334787117</v>
      </c>
      <c r="DU27" t="n">
        <v>57</v>
      </c>
      <c r="DV27" s="15" t="n">
        <v>0.06721329867005986</v>
      </c>
      <c r="DW27" s="15" t="n">
        <v>2.227772076323468</v>
      </c>
      <c r="DX27" s="15" t="n">
        <v>2.720574106144703</v>
      </c>
      <c r="DY27" s="15" t="n">
        <v>0.05048108796270023</v>
      </c>
      <c r="DZ27" s="15" t="b">
        <v>1</v>
      </c>
      <c r="EA27" s="15" t="n">
        <v>0.1164918441277626</v>
      </c>
      <c r="EB27" s="15" t="n">
        <v>20000</v>
      </c>
      <c r="EC27" s="15" t="n">
        <v>18179.31567598428</v>
      </c>
      <c r="ED27" s="15" t="n">
        <v>52</v>
      </c>
      <c r="EE27" s="15" t="n">
        <v>0</v>
      </c>
      <c r="EF27" s="15" t="n">
        <v>0.03082969987369268</v>
      </c>
      <c r="EG27" s="15" t="b">
        <v>0</v>
      </c>
      <c r="EH27" s="15" t="b">
        <v>1</v>
      </c>
      <c r="EI27" s="15" t="b">
        <v>0</v>
      </c>
      <c r="EJ27" s="15" t="inlineStr">
        <is>
          <t>wf=log|dst=-90.0|ceil=20000.0|fft=adaptive_tier</t>
        </is>
      </c>
      <c r="EK27" s="15" t="inlineStr">
        <is>
          <t>wf=log|dst=runtime_configured|ceil=runtime_configured|fft=fixed</t>
        </is>
      </c>
      <c r="EL27" s="15" t="n">
        <v>0.8397069540173818</v>
      </c>
      <c r="EM27" s="15" t="n">
        <v>0.9929176781464737</v>
      </c>
      <c r="EN27" s="15" t="n">
        <v>0.896551724137931</v>
      </c>
      <c r="EO27" s="15" t="n">
        <v>0.3955044770159645</v>
      </c>
      <c r="EP27" s="15" t="inlineStr">
        <is>
          <t>warn:power_outlier_detected</t>
        </is>
      </c>
      <c r="EQ27" s="15" t="n">
        <v>327.6108418935589</v>
      </c>
      <c r="ER27" s="15" t="inlineStr">
        <is>
          <t>winsorize_p95_for_robust_diagnostics</t>
        </is>
      </c>
      <c r="ES27" s="15" t="n">
        <v>0.08373861239965211</v>
      </c>
      <c r="ET27" s="15" t="n">
        <v>0.02633735942290254</v>
      </c>
      <c r="EU27" s="15" t="n">
        <v>0.05278372275900787</v>
      </c>
      <c r="EV27" t="inlineStr">
        <is>
          <t>computed</t>
        </is>
      </c>
      <c r="EW27" s="15" t="inlineStr">
        <is>
          <t>computed</t>
        </is>
      </c>
      <c r="EX27" s="15" t="inlineStr">
        <is>
          <t>computed</t>
        </is>
      </c>
      <c r="EY27" s="15" t="inlineStr">
        <is>
          <t>available_from_curve</t>
        </is>
      </c>
      <c r="EZ27" s="15" t="n">
        <v>20000</v>
      </c>
      <c r="FA27" s="15" t="n">
        <v>20000</v>
      </c>
      <c r="FB27" s="15" t="n">
        <v>0.1549121970125927</v>
      </c>
      <c r="FC27" s="15" t="n">
        <v>0.5051404899234857</v>
      </c>
      <c r="FD27" s="15" t="n">
        <v>2.816905660012084</v>
      </c>
      <c r="FE27" s="15" t="n">
        <v>2.138687360855974</v>
      </c>
      <c r="FF27" s="15" t="n">
        <v>0.4886532321135592</v>
      </c>
      <c r="FG27" s="15" t="n">
        <v>2.159552578594007</v>
      </c>
      <c r="FH27" s="15" t="n">
        <v>0.3535871510095881</v>
      </c>
      <c r="FI27" s="15" t="n">
        <v>0.03324353922350524</v>
      </c>
      <c r="FJ27" s="15" t="n">
        <v>10063.28351241409</v>
      </c>
      <c r="FK27" s="15" t="n">
        <v>100.9191132590081</v>
      </c>
      <c r="FL27" s="15" t="n">
        <v>0.1227201434640451</v>
      </c>
      <c r="FM27" s="15" t="n">
        <v>0.004559915339947728</v>
      </c>
      <c r="FN27" t="n">
        <v>0.9999991815452997</v>
      </c>
      <c r="FO27" t="n">
        <v>0</v>
      </c>
      <c r="FP27" t="n">
        <v>8.184547003273364e-07</v>
      </c>
      <c r="FQ27" t="inlineStr">
        <is>
          <t>good</t>
        </is>
      </c>
      <c r="FR27" s="19" t="n">
        <v>0.8421052631578947</v>
      </c>
      <c r="FS27" s="15" t="n">
        <v>3.292884982951713</v>
      </c>
      <c r="FT27" s="15" t="n">
        <v>14.5088832368859</v>
      </c>
      <c r="FU27" t="inlineStr">
        <is>
          <t>passed</t>
        </is>
      </c>
      <c r="FV27" t="n">
        <v>327.5013750347373</v>
      </c>
      <c r="FW27" t="n">
        <v>68.3109201271007</v>
      </c>
      <c r="FX27" t="n">
        <v>1.040363561328544</v>
      </c>
      <c r="FY27" t="n">
        <v>0.5241268446708336</v>
      </c>
      <c r="FZ27" t="n">
        <v>0.1752436042305332</v>
      </c>
      <c r="GA27" t="n">
        <v>0.5261719173008984</v>
      </c>
      <c r="GB27" t="n">
        <v>0.1880812694060935</v>
      </c>
      <c r="GC27" t="n">
        <v>0.1853075602347503</v>
      </c>
      <c r="GD27" t="n">
        <v>0.1335799595164743</v>
      </c>
      <c r="GE27" t="n">
        <v>0.2266610720452388</v>
      </c>
      <c r="GF27" t="n">
        <v>0.5018281523631062</v>
      </c>
      <c r="GG27" t="n">
        <v>0.3894847522278108</v>
      </c>
      <c r="GH27" t="n">
        <v>0.03917469963719337</v>
      </c>
      <c r="GI27" t="n">
        <v>0.740899357601713</v>
      </c>
      <c r="GJ27" t="n">
        <v>0.6108892921960067</v>
      </c>
      <c r="GK27" t="n">
        <v>0.2127659574468083</v>
      </c>
      <c r="GL27" t="n">
        <v>0.5836264565095028</v>
      </c>
      <c r="GM27" t="n">
        <v>0.5836264565095028</v>
      </c>
      <c r="GN27" t="n">
        <v>0.2278359952105718</v>
      </c>
      <c r="GO27" t="n">
        <v>0.2879913952688267</v>
      </c>
      <c r="GP27" t="n">
        <v>945.9305028244131</v>
      </c>
      <c r="GQ27" t="inlineStr">
        <is>
          <t>compiled workbook density_weighted_sum = density_component_ratio_weighted_sum (per-note component ratios); research density_weighted_sum maps body-ceiling richness</t>
        </is>
      </c>
      <c r="GR27" s="15" t="inlineStr">
        <is>
          <t>individual_exact</t>
        </is>
      </c>
      <c r="GS27" s="15" t="inlineStr">
        <is>
          <t>density_weight</t>
        </is>
      </c>
      <c r="GT27" s="15" t="n">
        <v>0.8921394127938357</v>
      </c>
      <c r="GU27" s="15" t="n">
        <v>0.1078605872061643</v>
      </c>
      <c r="GV27" s="15" t="n">
        <v>0</v>
      </c>
      <c r="GW27" s="15" t="inlineStr">
        <is>
          <t>log</t>
        </is>
      </c>
      <c r="GX27" s="15" t="n">
        <v>0.5</v>
      </c>
      <c r="GY27" s="15" t="inlineStr">
        <is>
          <t>EWSD-R v18.1</t>
        </is>
      </c>
      <c r="GZ27" s="15" t="n">
        <v>13.08561642365811</v>
      </c>
      <c r="HA27" s="15" t="n">
        <v>36.25381463055643</v>
      </c>
      <c r="HB27" s="15" t="n">
        <v>0.2406772123211856</v>
      </c>
      <c r="HC27" s="15" t="n">
        <v>22.02464234011669</v>
      </c>
      <c r="HD27" s="15" t="n">
        <v>50.94500244454039</v>
      </c>
      <c r="HE27" s="15" t="n">
        <v>0.2052746918349503</v>
      </c>
      <c r="HF27" s="15" t="inlineStr">
        <is>
          <t>partials+ratios</t>
        </is>
      </c>
      <c r="HG27" s="15" t="inlineStr">
        <is>
          <t>merged_individual_exact</t>
        </is>
      </c>
      <c r="HH27" s="15" t="inlineStr">
        <is>
          <t>passed</t>
        </is>
      </c>
      <c r="HI27" s="15" t="inlineStr">
        <is>
          <t>passed</t>
        </is>
      </c>
    </row>
    <row r="28">
      <c r="A28" t="inlineStr">
        <is>
          <t>incomplete_inference</t>
        </is>
      </c>
      <c r="B28" t="inlineStr">
        <is>
          <t>missing_instrument_technique</t>
        </is>
      </c>
      <c r="C28" t="inlineStr">
        <is>
          <t>prior_constrained_harmonic_fit</t>
        </is>
      </c>
      <c r="D28" t="inlineStr">
        <is>
          <t>IOWA_Trb.T_ff.F#4_SustainStable/F#4/component_amplitude_mass_pie.png</t>
        </is>
      </c>
      <c r="E28" t="inlineStr">
        <is>
          <t>IOWA_Trb.T_ff.F#4_SustainStable/F#4/component_energy_ratio_pie.png</t>
        </is>
      </c>
      <c r="F28" s="15" t="n">
        <v>370.3561731481509</v>
      </c>
      <c r="G28" s="15" t="inlineStr">
        <is>
          <t>prior_constrained_harmonic_fit</t>
        </is>
      </c>
      <c r="H28" s="15" t="inlineStr">
        <is>
          <t>fit_accepted_acoustically_verified</t>
        </is>
      </c>
      <c r="I28" s="16" t="n">
        <v>849.7745176996428</v>
      </c>
      <c r="J28" t="inlineStr">
        <is>
          <t>richness_weighted_body_density_body_ceiling</t>
        </is>
      </c>
      <c r="K28" t="inlineStr">
        <is>
          <t>research_body_ceiling_richness_metric</t>
        </is>
      </c>
      <c r="L28" s="15" t="n">
        <v>41153.04200228539</v>
      </c>
      <c r="M28" s="15" t="n">
        <v>41158.9172349036</v>
      </c>
      <c r="N28" s="15" t="n">
        <v>369.7576986650101</v>
      </c>
      <c r="O28" s="15" t="n">
        <v>0.4152180984784343</v>
      </c>
      <c r="P28" s="15" t="n">
        <v>-1.557972787127393</v>
      </c>
      <c r="Q28" s="15" t="n">
        <v>45</v>
      </c>
      <c r="R28" s="15" t="n">
        <v>50</v>
      </c>
      <c r="S28" s="15" t="n">
        <v>10289.7301185257</v>
      </c>
      <c r="T28" s="15" t="n">
        <v>55</v>
      </c>
      <c r="U28" s="15" t="n">
        <v>-0.7715907633769552</v>
      </c>
      <c r="V28" s="15" t="n">
        <v>44.92842435827199</v>
      </c>
      <c r="W28" s="15" t="n">
        <v>0.6499875989593153</v>
      </c>
      <c r="X28" s="15" t="n">
        <v>0.6234471860571097</v>
      </c>
      <c r="Y28" s="15" t="n">
        <v>37</v>
      </c>
      <c r="Z28" s="15" t="n">
        <v>54</v>
      </c>
      <c r="AA28" s="15" t="n">
        <v>0.6851851851851852</v>
      </c>
      <c r="AB28" s="15" t="n">
        <v>54</v>
      </c>
      <c r="AC28" s="15" t="n">
        <v>37</v>
      </c>
      <c r="AD28" s="15" t="n">
        <v>0.6851851851851852</v>
      </c>
      <c r="AE28" s="15" t="n">
        <v>856.1811379702818</v>
      </c>
      <c r="AF28" s="15" t="n">
        <v>37</v>
      </c>
      <c r="AG28" s="15" t="n">
        <v>54</v>
      </c>
      <c r="AH28" s="15" t="n">
        <v>0.6851851851851852</v>
      </c>
      <c r="AI28" s="15" t="n">
        <v>856.1811379702818</v>
      </c>
      <c r="AJ28" s="15" t="n">
        <v>19</v>
      </c>
      <c r="AK28" s="15" t="n">
        <v>18</v>
      </c>
      <c r="AL28" s="15" t="n">
        <v>0.8408293371578034</v>
      </c>
      <c r="AM28" s="15" t="n">
        <v>34</v>
      </c>
      <c r="AN28" s="15" t="n">
        <v>0</v>
      </c>
      <c r="AO28" s="15" t="n">
        <v>34</v>
      </c>
      <c r="AP28" s="15" t="n">
        <v>0</v>
      </c>
      <c r="AQ28" s="15" t="n">
        <v>36.77443198367418</v>
      </c>
      <c r="AR28" s="15" t="n">
        <v>23.25119801958017</v>
      </c>
      <c r="AS28" s="15" t="n">
        <v>0.1904091534165173</v>
      </c>
      <c r="AT28" s="17" t="n">
        <v>2.789432674260584</v>
      </c>
      <c r="AU28" s="18" t="n">
        <v>22.53598250195954</v>
      </c>
      <c r="AV28" s="15" t="n">
        <v>32.78595956291282</v>
      </c>
      <c r="AW28" s="15" t="b">
        <v>1</v>
      </c>
      <c r="AX28" s="15" t="n">
        <v>23.71324035240269</v>
      </c>
      <c r="AY28" s="15" t="n">
        <v>17.56818920088921</v>
      </c>
      <c r="AZ28" s="15" t="n">
        <v>0</v>
      </c>
      <c r="BA28" s="15" t="n">
        <v>1</v>
      </c>
      <c r="BB28" s="15" t="n">
        <v>0.5</v>
      </c>
      <c r="BC28" s="15" t="n">
        <v>0.25</v>
      </c>
      <c r="BD28" s="15" t="inlineStr">
        <is>
          <t>his_note_adaptive</t>
        </is>
      </c>
      <c r="BE28" s="15" t="n">
        <v>-90</v>
      </c>
      <c r="BF28" s="15" t="n">
        <v>20000</v>
      </c>
      <c r="BG28" s="15" t="n">
        <v>37</v>
      </c>
      <c r="BH28" s="15" t="n">
        <v>0.6851851851851852</v>
      </c>
      <c r="BI28" s="15" t="n">
        <v>54</v>
      </c>
      <c r="BJ28" s="15" t="n">
        <v>37</v>
      </c>
      <c r="BK28" s="15" t="n">
        <v>54</v>
      </c>
      <c r="BL28" s="15" t="n">
        <v>47</v>
      </c>
      <c r="BM28" s="15" t="n">
        <v>0.8703703703703703</v>
      </c>
      <c r="BN28" s="15" t="n">
        <v>0.4119345619075186</v>
      </c>
      <c r="BO28" s="15" t="n">
        <v>0.2833333333333333</v>
      </c>
      <c r="BP28" s="19" t="n">
        <v>0.8730238783558282</v>
      </c>
      <c r="BQ28" s="19" t="n">
        <v>0.1269761216441718</v>
      </c>
      <c r="BR28" s="19" t="n">
        <v>0</v>
      </c>
      <c r="BS28" s="15" t="n">
        <v>0.04120320951077367</v>
      </c>
      <c r="BT28" s="19" t="n">
        <v>0.9998559609296928</v>
      </c>
      <c r="BU28" s="19" t="n">
        <v>0.0001440390703072673</v>
      </c>
      <c r="BV28" s="19" t="n">
        <v>0</v>
      </c>
      <c r="BW28" t="inlineStr">
        <is>
          <t>F#4</t>
        </is>
      </c>
      <c r="BX28" t="n">
        <v>66</v>
      </c>
      <c r="BY28" t="inlineStr">
        <is>
          <t>F#</t>
        </is>
      </c>
      <c r="BZ28" t="n">
        <v>4</v>
      </c>
      <c r="CA28" t="inlineStr">
        <is>
          <t>High</t>
        </is>
      </c>
      <c r="CB28" t="inlineStr">
        <is>
          <t>ff</t>
        </is>
      </c>
      <c r="CC28" s="15" t="n">
        <v>369.9944227116344</v>
      </c>
      <c r="CD28" s="15" t="n">
        <v>370.3561731481509</v>
      </c>
      <c r="CE28" t="inlineStr">
        <is>
          <t>prior_constrained_harmonic_fit</t>
        </is>
      </c>
      <c r="CF28" t="n">
        <v>370.3561731481509</v>
      </c>
      <c r="CG28" s="15" t="n">
        <v>1</v>
      </c>
      <c r="CH28" t="inlineStr">
        <is>
          <t>free_fit_acoustically_verified</t>
        </is>
      </c>
      <c r="CI28" s="15" t="inlineStr">
        <is>
          <t>free_f0_fit</t>
        </is>
      </c>
      <c r="CJ28" s="15" t="n">
        <v>369.9944227116344</v>
      </c>
      <c r="CK28" s="15" t="n">
        <v>370.3561731481509</v>
      </c>
      <c r="CL28" s="15" t="n">
        <v>1.691832832459297</v>
      </c>
      <c r="CM28" s="15" t="n">
        <v>20000</v>
      </c>
      <c r="CN28" s="15" t="n">
        <v>1.691832832459297</v>
      </c>
      <c r="CO28" s="15" t="n">
        <v>2.513329608318809</v>
      </c>
      <c r="CP28" s="15" t="n">
        <v>41153.04200228539</v>
      </c>
      <c r="CQ28" t="n">
        <v>4.460217779913613</v>
      </c>
      <c r="CR28" t="n">
        <v>0.08259662555395579</v>
      </c>
      <c r="CS28" t="n">
        <v>190.5230999092833</v>
      </c>
      <c r="CT28" t="n">
        <v>190.5505427541833</v>
      </c>
      <c r="CU28" t="n">
        <v>849.7745176996428</v>
      </c>
      <c r="CV28" t="n">
        <v>0.4152180984784343</v>
      </c>
      <c r="CW28" s="15" t="n">
        <v>41158.9172349036</v>
      </c>
      <c r="CX28" s="15" t="n">
        <v>369.7576986650101</v>
      </c>
      <c r="CY28" s="15" t="n">
        <v>0.4152180984784343</v>
      </c>
      <c r="CZ28" s="15" t="n">
        <v>2.789432674260584</v>
      </c>
      <c r="DA28" s="15" t="n">
        <v>2.789535307823855</v>
      </c>
      <c r="DB28" s="15" t="n">
        <v>2.076995556964949</v>
      </c>
      <c r="DC28" s="15" t="n">
        <v>0</v>
      </c>
      <c r="DD28" s="15" t="n">
        <v>6.778193150595468e-05</v>
      </c>
      <c r="DE28" s="15" t="n">
        <v>0</v>
      </c>
      <c r="DF28" s="15" t="n">
        <v>45</v>
      </c>
      <c r="DG28" s="15" t="inlineStr">
        <is>
          <t>Density_Metrics</t>
        </is>
      </c>
      <c r="DH28" s="15" t="n">
        <v>2.513329608318809</v>
      </c>
      <c r="DI28" t="n">
        <v>0.9275829099384866</v>
      </c>
      <c r="DJ28" s="15" t="n">
        <v>0.5785741954876702</v>
      </c>
      <c r="DK28" s="15" t="n">
        <v>5.327681815140084</v>
      </c>
      <c r="DL28" s="15" t="n">
        <v>4.54075517046723</v>
      </c>
      <c r="DM28" s="15" t="n">
        <v>2.206294985599144</v>
      </c>
      <c r="DN28" s="15" t="n">
        <v>8.875969655034678</v>
      </c>
      <c r="DO28" s="15" t="n">
        <v>0.3790049733704383</v>
      </c>
      <c r="DP28" s="15" t="n">
        <v>8.6875</v>
      </c>
      <c r="DQ28" s="15" t="n">
        <v>94</v>
      </c>
      <c r="DR28" s="15" t="b">
        <v>1</v>
      </c>
      <c r="DS28" s="15" t="n">
        <v>4.460217779913613</v>
      </c>
      <c r="DT28" s="15" t="n">
        <v>33.66614804708392</v>
      </c>
      <c r="DU28" t="n">
        <v>54</v>
      </c>
      <c r="DV28" s="15" t="n">
        <v>0.04120320951077367</v>
      </c>
      <c r="DW28" s="15" t="n">
        <v>2.155181489502747</v>
      </c>
      <c r="DX28" s="15" t="n">
        <v>2.706892527602365</v>
      </c>
      <c r="DY28" s="15" t="n">
        <v>0.05570916402685937</v>
      </c>
      <c r="DZ28" s="15" t="b">
        <v>1</v>
      </c>
      <c r="EA28" s="15" t="n">
        <v>0.1156863060712381</v>
      </c>
      <c r="EB28" s="15" t="n">
        <v>20000</v>
      </c>
      <c r="EC28" s="15" t="n">
        <v>16666.02779166679</v>
      </c>
      <c r="ED28" s="15" t="n">
        <v>45</v>
      </c>
      <c r="EE28" s="15" t="n">
        <v>0</v>
      </c>
      <c r="EF28" s="15" t="n">
        <v>0.02909936177846458</v>
      </c>
      <c r="EG28" s="15" t="b">
        <v>0</v>
      </c>
      <c r="EH28" s="15" t="b">
        <v>1</v>
      </c>
      <c r="EI28" s="15" t="b">
        <v>0</v>
      </c>
      <c r="EJ28" s="15" t="inlineStr">
        <is>
          <t>wf=log|dst=-90.0|ceil=20000.0|fft=adaptive_tier</t>
        </is>
      </c>
      <c r="EK28" s="15" t="inlineStr">
        <is>
          <t>wf=log|dst=runtime_configured|ceil=runtime_configured|fft=fixed</t>
        </is>
      </c>
      <c r="EL28" s="15" t="n">
        <v>0.8125107352930472</v>
      </c>
      <c r="EM28" s="15" t="n">
        <v>0.9969263858317406</v>
      </c>
      <c r="EN28" s="15" t="n">
        <v>0.8181818181818182</v>
      </c>
      <c r="EO28" s="15" t="n">
        <v>0.3876511265256377</v>
      </c>
      <c r="EP28" s="15" t="inlineStr">
        <is>
          <t>warn:power_outlier_detected</t>
        </is>
      </c>
      <c r="EQ28" s="15" t="n">
        <v>369.8735819480031</v>
      </c>
      <c r="ER28" s="15" t="inlineStr">
        <is>
          <t>winsorize_p95_for_robust_diagnostics</t>
        </is>
      </c>
      <c r="ES28" s="15" t="n">
        <v>0.08870943231496403</v>
      </c>
      <c r="ET28" s="15" t="n">
        <v>0.01810164872506337</v>
      </c>
      <c r="EU28" s="15" t="n">
        <v>0.03994254922825651</v>
      </c>
      <c r="EV28" t="inlineStr">
        <is>
          <t>computed</t>
        </is>
      </c>
      <c r="EW28" s="15" t="inlineStr">
        <is>
          <t>computed</t>
        </is>
      </c>
      <c r="EX28" s="15" t="inlineStr">
        <is>
          <t>computed</t>
        </is>
      </c>
      <c r="EY28" s="15" t="inlineStr">
        <is>
          <t>available_from_curve</t>
        </is>
      </c>
      <c r="EZ28" s="15" t="n">
        <v>20000</v>
      </c>
      <c r="FA28" s="15" t="n">
        <v>20000</v>
      </c>
      <c r="FB28" s="15" t="n">
        <v>0.1269761216441718</v>
      </c>
      <c r="FC28" s="15" t="n">
        <v>0.4965005202729885</v>
      </c>
      <c r="FD28" s="15" t="n">
        <v>2.789535307823855</v>
      </c>
      <c r="FE28" s="15" t="n">
        <v>2.076995556964949</v>
      </c>
      <c r="FF28" s="15" t="n">
        <v>0.4611509503512803</v>
      </c>
      <c r="FG28" s="15" t="n">
        <v>2.138569371565034</v>
      </c>
      <c r="FH28" s="15" t="n">
        <v>0.343387703639338</v>
      </c>
      <c r="FI28" s="15" t="n">
        <v>0.03137253311443741</v>
      </c>
      <c r="FJ28" s="15" t="n">
        <v>10289.7293087259</v>
      </c>
      <c r="FK28" s="15" t="n">
        <v>92.43942466625253</v>
      </c>
      <c r="FL28" s="15" t="n">
        <v>0.1038045246196086</v>
      </c>
      <c r="FM28" s="15" t="n">
        <v>0.004674672642244525</v>
      </c>
      <c r="FN28" t="n">
        <v>0.9998559609296928</v>
      </c>
      <c r="FO28" t="n">
        <v>0.0001440390703072673</v>
      </c>
      <c r="FP28" t="n">
        <v>0</v>
      </c>
      <c r="FQ28" t="inlineStr">
        <is>
          <t>excellent</t>
        </is>
      </c>
      <c r="FR28" s="19" t="n">
        <v>0.8703703703703703</v>
      </c>
      <c r="FS28" s="15" t="n">
        <v>2.449390373878499</v>
      </c>
      <c r="FT28" s="15" t="n">
        <v>16.99934306620994</v>
      </c>
      <c r="FU28" t="inlineStr">
        <is>
          <t>passed</t>
        </is>
      </c>
      <c r="FV28" t="n">
        <v>307.4678010969957</v>
      </c>
      <c r="FW28" t="n">
        <v>59.19879447358595</v>
      </c>
      <c r="FX28" t="n">
        <v>0.9458423940147508</v>
      </c>
      <c r="FY28" t="n">
        <v>0.427724676110104</v>
      </c>
      <c r="FZ28" t="n">
        <v>0.1525917144811834</v>
      </c>
      <c r="GA28" t="n">
        <v>0.4124067368447331</v>
      </c>
      <c r="GB28" t="n">
        <v>0.1172165629896434</v>
      </c>
      <c r="GC28" t="n">
        <v>0.1155297127656758</v>
      </c>
      <c r="GD28" t="n">
        <v>0.09133365755691444</v>
      </c>
      <c r="GE28" t="n">
        <v>0.4480129102914311</v>
      </c>
      <c r="GF28" t="n">
        <v>0.3841819627900027</v>
      </c>
      <c r="GG28" t="n">
        <v>0.09398879500184315</v>
      </c>
      <c r="GH28" t="n">
        <v>0</v>
      </c>
      <c r="GI28" t="n">
        <v>0.5355381077008486</v>
      </c>
      <c r="GJ28" t="n">
        <v>0.7793103448275859</v>
      </c>
      <c r="GK28" t="n">
        <v>0</v>
      </c>
      <c r="GL28" t="n">
        <v>0.4245296263240045</v>
      </c>
      <c r="GM28" t="n">
        <v>0.4245296263240045</v>
      </c>
      <c r="GN28" t="n">
        <v>0.2098033240747382</v>
      </c>
      <c r="GO28" t="n">
        <v>0.1926052717644058</v>
      </c>
      <c r="GP28" t="n">
        <v>849.7745176996428</v>
      </c>
      <c r="GQ28" t="inlineStr">
        <is>
          <t>compiled workbook density_weighted_sum = density_component_ratio_weighted_sum (per-note component ratios); research density_weighted_sum maps body-ceiling richness</t>
        </is>
      </c>
      <c r="GR28" s="15" t="inlineStr">
        <is>
          <t>individual_exact</t>
        </is>
      </c>
      <c r="GS28" s="15" t="inlineStr">
        <is>
          <t>density_weight</t>
        </is>
      </c>
      <c r="GT28" s="15" t="n">
        <v>0.924810661224729</v>
      </c>
      <c r="GU28" s="15" t="n">
        <v>0.07518933877527088</v>
      </c>
      <c r="GV28" s="15" t="n">
        <v>0</v>
      </c>
      <c r="GW28" s="15" t="inlineStr">
        <is>
          <t>log</t>
        </is>
      </c>
      <c r="GX28" s="15" t="n">
        <v>0.5</v>
      </c>
      <c r="GY28" s="15" t="inlineStr">
        <is>
          <t>EWSD-R v18.1</t>
        </is>
      </c>
      <c r="GZ28" s="15" t="n">
        <v>12.43260822514628</v>
      </c>
      <c r="HA28" s="15" t="n">
        <v>36.18865221296468</v>
      </c>
      <c r="HB28" s="15" t="n">
        <v>0.2777079679377861</v>
      </c>
      <c r="HC28" s="15" t="n">
        <v>20.40551371233462</v>
      </c>
      <c r="HD28" s="15" t="n">
        <v>48.93610522343396</v>
      </c>
      <c r="HE28" s="15" t="n">
        <v>0.2270038086502046</v>
      </c>
      <c r="HF28" s="15" t="inlineStr">
        <is>
          <t>partials+ratios</t>
        </is>
      </c>
      <c r="HG28" s="15" t="inlineStr">
        <is>
          <t>merged_individual_exact</t>
        </is>
      </c>
      <c r="HH28" s="15" t="inlineStr">
        <is>
          <t>passed</t>
        </is>
      </c>
      <c r="HI28" s="15" t="inlineStr">
        <is>
          <t>passed</t>
        </is>
      </c>
    </row>
    <row r="29">
      <c r="A29" t="inlineStr">
        <is>
          <t>incomplete_inference</t>
        </is>
      </c>
      <c r="B29" t="inlineStr">
        <is>
          <t>missing_instrument_technique</t>
        </is>
      </c>
      <c r="C29" t="inlineStr">
        <is>
          <t>prior_constrained_harmonic_fit</t>
        </is>
      </c>
      <c r="D29" t="inlineStr">
        <is>
          <t>IOWA_Trb.T_ff.G4_SustainStable/G4/component_amplitude_mass_pie.png</t>
        </is>
      </c>
      <c r="E29" t="inlineStr">
        <is>
          <t>IOWA_Trb.T_ff.G4_SustainStable/G4/component_energy_ratio_pie.png</t>
        </is>
      </c>
      <c r="F29" s="15" t="n">
        <v>392.3376611788245</v>
      </c>
      <c r="G29" s="15" t="inlineStr">
        <is>
          <t>prior_constrained_harmonic_fit</t>
        </is>
      </c>
      <c r="H29" s="15" t="inlineStr">
        <is>
          <t>fit_accepted_acoustically_verified</t>
        </is>
      </c>
      <c r="I29" s="16" t="n">
        <v>837.7800850447547</v>
      </c>
      <c r="J29" t="inlineStr">
        <is>
          <t>richness_weighted_body_density_body_ceiling</t>
        </is>
      </c>
      <c r="K29" t="inlineStr">
        <is>
          <t>research_body_ceiling_richness_metric</t>
        </is>
      </c>
      <c r="L29" s="15" t="n">
        <v>40858.92763980391</v>
      </c>
      <c r="M29" s="15" t="n">
        <v>40948.90346107553</v>
      </c>
      <c r="N29" s="15" t="n">
        <v>542.484406609178</v>
      </c>
      <c r="O29" s="15" t="n">
        <v>0.4505910871840927</v>
      </c>
      <c r="P29" s="15" t="n">
        <v>-2.223733007757972</v>
      </c>
      <c r="Q29" s="15" t="n">
        <v>32</v>
      </c>
      <c r="R29" s="15" t="n">
        <v>39</v>
      </c>
      <c r="S29" s="15" t="n">
        <v>10237.22670461748</v>
      </c>
      <c r="T29" s="15" t="n">
        <v>51</v>
      </c>
      <c r="U29" s="15" t="n">
        <v>-0.5493401247712073</v>
      </c>
      <c r="V29" s="15" t="n">
        <v>42.77295099852452</v>
      </c>
      <c r="W29" s="15" t="n">
        <v>0.7159434937220034</v>
      </c>
      <c r="X29" s="15" t="n">
        <v>0.6197922557666573</v>
      </c>
      <c r="Y29" s="15" t="n">
        <v>27</v>
      </c>
      <c r="Z29" s="15" t="n">
        <v>50</v>
      </c>
      <c r="AA29" s="15" t="n">
        <v>0.54</v>
      </c>
      <c r="AB29" s="15" t="n">
        <v>50</v>
      </c>
      <c r="AC29" s="15" t="n">
        <v>27</v>
      </c>
      <c r="AD29" s="15" t="n">
        <v>0.54</v>
      </c>
      <c r="AE29" s="15" t="n">
        <v>765.8719785453725</v>
      </c>
      <c r="AF29" s="15" t="n">
        <v>27</v>
      </c>
      <c r="AG29" s="15" t="n">
        <v>50</v>
      </c>
      <c r="AH29" s="15" t="n">
        <v>0.54</v>
      </c>
      <c r="AI29" s="15" t="n">
        <v>765.8719785453725</v>
      </c>
      <c r="AJ29" s="15" t="n">
        <v>14</v>
      </c>
      <c r="AK29" s="15" t="n">
        <v>13</v>
      </c>
      <c r="AL29" s="15" t="n">
        <v>0.9181683857929025</v>
      </c>
      <c r="AM29" s="15" t="n">
        <v>35</v>
      </c>
      <c r="AN29" s="15" t="n">
        <v>0</v>
      </c>
      <c r="AO29" s="15" t="n">
        <v>35</v>
      </c>
      <c r="AP29" s="15" t="n">
        <v>0</v>
      </c>
      <c r="AQ29" s="15" t="n">
        <v>27.91283840883815</v>
      </c>
      <c r="AR29" s="15" t="n">
        <v>17.90748924421539</v>
      </c>
      <c r="AS29" s="15" t="n">
        <v>0.09618539647530908</v>
      </c>
      <c r="AT29" s="17" t="n">
        <v>2.739716088169779</v>
      </c>
      <c r="AU29" s="18" t="n">
        <v>20.1369228232286</v>
      </c>
      <c r="AV29" s="15" t="n">
        <v>27.75322292105414</v>
      </c>
      <c r="AW29" s="15" t="b">
        <v>1</v>
      </c>
      <c r="AX29" s="15" t="n">
        <v>17.83024656356768</v>
      </c>
      <c r="AY29" s="15" t="n">
        <v>18.50719161671042</v>
      </c>
      <c r="AZ29" s="15" t="n">
        <v>0</v>
      </c>
      <c r="BA29" s="15" t="n">
        <v>1</v>
      </c>
      <c r="BB29" s="15" t="n">
        <v>0.5</v>
      </c>
      <c r="BC29" s="15" t="n">
        <v>0.25</v>
      </c>
      <c r="BD29" s="15" t="inlineStr">
        <is>
          <t>his_note_adaptive</t>
        </is>
      </c>
      <c r="BE29" s="15" t="n">
        <v>-90</v>
      </c>
      <c r="BF29" s="15" t="n">
        <v>20000</v>
      </c>
      <c r="BG29" s="15" t="n">
        <v>27</v>
      </c>
      <c r="BH29" s="15" t="n">
        <v>0.54</v>
      </c>
      <c r="BI29" s="15" t="n">
        <v>50</v>
      </c>
      <c r="BJ29" s="15" t="n">
        <v>27</v>
      </c>
      <c r="BK29" s="15" t="n">
        <v>50</v>
      </c>
      <c r="BL29" s="15" t="n">
        <v>43</v>
      </c>
      <c r="BM29" s="15" t="n">
        <v>0.86</v>
      </c>
      <c r="BN29" s="15" t="n">
        <v>0.4129160067399976</v>
      </c>
      <c r="BO29" s="15" t="n">
        <v>0.2916666666666667</v>
      </c>
      <c r="BP29" s="19" t="n">
        <v>0.8532292169123571</v>
      </c>
      <c r="BQ29" s="19" t="n">
        <v>0.1467700993854789</v>
      </c>
      <c r="BR29" s="19" t="n">
        <v>6.837021639126039e-07</v>
      </c>
      <c r="BS29" s="15" t="n">
        <v>0.05005996254790167</v>
      </c>
      <c r="BT29" s="19" t="n">
        <v>0.9977732402423556</v>
      </c>
      <c r="BU29" s="19" t="n">
        <v>0.002225960230729636</v>
      </c>
      <c r="BV29" s="19" t="n">
        <v>7.995269148382454e-07</v>
      </c>
      <c r="BW29" t="inlineStr">
        <is>
          <t>G4</t>
        </is>
      </c>
      <c r="BX29" t="n">
        <v>67</v>
      </c>
      <c r="BY29" t="inlineStr">
        <is>
          <t>G</t>
        </is>
      </c>
      <c r="BZ29" t="n">
        <v>4</v>
      </c>
      <c r="CA29" t="inlineStr">
        <is>
          <t>High</t>
        </is>
      </c>
      <c r="CB29" t="inlineStr">
        <is>
          <t>ff</t>
        </is>
      </c>
      <c r="CC29" s="15" t="n">
        <v>391.9954359817492</v>
      </c>
      <c r="CD29" s="15" t="n">
        <v>392.3376611788245</v>
      </c>
      <c r="CE29" t="inlineStr">
        <is>
          <t>prior_constrained_harmonic_fit</t>
        </is>
      </c>
      <c r="CF29" t="n">
        <v>392.3376611788245</v>
      </c>
      <c r="CG29" s="15" t="n">
        <v>1</v>
      </c>
      <c r="CH29" t="inlineStr">
        <is>
          <t>free_fit_acoustically_verified</t>
        </is>
      </c>
      <c r="CI29" s="15" t="inlineStr">
        <is>
          <t>free_f0_fit</t>
        </is>
      </c>
      <c r="CJ29" s="15" t="n">
        <v>391.9954359817492</v>
      </c>
      <c r="CK29" s="15" t="n">
        <v>392.3376611788245</v>
      </c>
      <c r="CL29" s="15" t="n">
        <v>1.510766161388794</v>
      </c>
      <c r="CM29" s="15" t="n">
        <v>20000</v>
      </c>
      <c r="CN29" s="15" t="n">
        <v>1.510766161388794</v>
      </c>
      <c r="CO29" s="15" t="n">
        <v>2.484195513816566</v>
      </c>
      <c r="CP29" s="15" t="n">
        <v>40858.92763980391</v>
      </c>
      <c r="CQ29" t="n">
        <v>4.100943191147217</v>
      </c>
      <c r="CR29" t="n">
        <v>0.08201886382294435</v>
      </c>
      <c r="CS29" t="n">
        <v>204.2896099739412</v>
      </c>
      <c r="CT29" t="n">
        <v>204.7445173053776</v>
      </c>
      <c r="CU29" t="n">
        <v>837.7800850447547</v>
      </c>
      <c r="CV29" t="n">
        <v>0.4505910871840927</v>
      </c>
      <c r="CW29" s="15" t="n">
        <v>40948.90346107553</v>
      </c>
      <c r="CX29" s="15" t="n">
        <v>542.484406609178</v>
      </c>
      <c r="CY29" s="15" t="n">
        <v>0.4505910871840927</v>
      </c>
      <c r="CZ29" s="15" t="n">
        <v>2.739716070012133</v>
      </c>
      <c r="DA29" s="15" t="n">
        <v>2.741099607599494</v>
      </c>
      <c r="DB29" s="15" t="n">
        <v>2.120375910438893</v>
      </c>
      <c r="DC29" s="15" t="n">
        <v>0</v>
      </c>
      <c r="DD29" s="15" t="n">
        <v>6.705305861583991e-05</v>
      </c>
      <c r="DE29" s="15" t="n">
        <v>0</v>
      </c>
      <c r="DF29" s="15" t="n">
        <v>32</v>
      </c>
      <c r="DG29" s="15" t="inlineStr">
        <is>
          <t>Density_Metrics</t>
        </is>
      </c>
      <c r="DH29" s="15" t="n">
        <v>2.484195513816566</v>
      </c>
      <c r="DI29" t="n">
        <v>0.9168305247092009</v>
      </c>
      <c r="DJ29" s="15" t="n">
        <v>0.5728386326760175</v>
      </c>
      <c r="DK29" s="15" t="n">
        <v>5.334777093542765</v>
      </c>
      <c r="DL29" s="15" t="n">
        <v>4.210312004498844</v>
      </c>
      <c r="DM29" s="15" t="n">
        <v>1.77576885007639</v>
      </c>
      <c r="DN29" s="15" t="n">
        <v>8.255234176891253</v>
      </c>
      <c r="DO29" s="15" t="n">
        <v>0.3899795292619112</v>
      </c>
      <c r="DP29" s="15" t="n">
        <v>8.0625</v>
      </c>
      <c r="DQ29" s="15" t="n">
        <v>73</v>
      </c>
      <c r="DR29" s="15" t="b">
        <v>1</v>
      </c>
      <c r="DS29" s="15" t="n">
        <v>4.100943191147217</v>
      </c>
      <c r="DT29" s="15" t="n">
        <v>30.98961278833286</v>
      </c>
      <c r="DU29" t="n">
        <v>50</v>
      </c>
      <c r="DV29" s="15" t="n">
        <v>0.05005996254790167</v>
      </c>
      <c r="DW29" s="15" t="n">
        <v>2.057801751351043</v>
      </c>
      <c r="DX29" s="15" t="n">
        <v>2.658586209406379</v>
      </c>
      <c r="DY29" s="15" t="n">
        <v>0.06551570744235322</v>
      </c>
      <c r="DZ29" s="15" t="b">
        <v>1</v>
      </c>
      <c r="EA29" s="15" t="n">
        <v>0.1614340225368713</v>
      </c>
      <c r="EB29" s="15" t="n">
        <v>20000</v>
      </c>
      <c r="EC29" s="15" t="n">
        <v>12554.80515772238</v>
      </c>
      <c r="ED29" s="15" t="n">
        <v>32</v>
      </c>
      <c r="EE29" s="15" t="n">
        <v>0</v>
      </c>
      <c r="EF29" s="15" t="n">
        <v>0.0274661400981242</v>
      </c>
      <c r="EG29" s="15" t="b">
        <v>0</v>
      </c>
      <c r="EH29" s="15" t="b">
        <v>1</v>
      </c>
      <c r="EI29" s="15" t="b">
        <v>0</v>
      </c>
      <c r="EJ29" s="15" t="inlineStr">
        <is>
          <t>wf=log|dst=-90.0|ceil=20000.0|fft=adaptive_tier</t>
        </is>
      </c>
      <c r="EK29" s="15" t="inlineStr">
        <is>
          <t>wf=log|dst=runtime_configured|ceil=runtime_configured|fft=fixed</t>
        </is>
      </c>
      <c r="EL29" s="15" t="n">
        <v>0.7370083105835745</v>
      </c>
      <c r="EM29" s="15" t="n">
        <v>0.9869518719143801</v>
      </c>
      <c r="EN29" s="15" t="n">
        <v>0.6153846153846154</v>
      </c>
      <c r="EO29" s="15" t="n">
        <v>0.3874767641874406</v>
      </c>
      <c r="EP29" s="15" t="inlineStr">
        <is>
          <t>warn:power_outlier_detected</t>
        </is>
      </c>
      <c r="EQ29" s="15" t="n">
        <v>370.890301770613</v>
      </c>
      <c r="ER29" s="15" t="inlineStr">
        <is>
          <t>winsorize_p95_for_robust_diagnostics</t>
        </is>
      </c>
      <c r="ES29" s="15" t="n">
        <v>0.09148529461896551</v>
      </c>
      <c r="ET29" s="15" t="n">
        <v>0.01166405859785704</v>
      </c>
      <c r="EU29" s="15" t="n">
        <v>0.03525764872971827</v>
      </c>
      <c r="EV29" t="inlineStr">
        <is>
          <t>computed</t>
        </is>
      </c>
      <c r="EW29" s="15" t="inlineStr">
        <is>
          <t>computed</t>
        </is>
      </c>
      <c r="EX29" s="15" t="inlineStr">
        <is>
          <t>computed</t>
        </is>
      </c>
      <c r="EY29" s="15" t="inlineStr">
        <is>
          <t>available_from_curve</t>
        </is>
      </c>
      <c r="EZ29" s="15" t="n">
        <v>20000</v>
      </c>
      <c r="FA29" s="15" t="n">
        <v>20000</v>
      </c>
      <c r="FB29" s="15" t="n">
        <v>0.1467700993854789</v>
      </c>
      <c r="FC29" s="15" t="n">
        <v>0.4836070158823597</v>
      </c>
      <c r="FD29" s="15" t="n">
        <v>2.741099607599494</v>
      </c>
      <c r="FE29" s="15" t="n">
        <v>2.120375910438893</v>
      </c>
      <c r="FF29" s="15" t="n">
        <v>0.4733015755043767</v>
      </c>
      <c r="FG29" s="15" t="n">
        <v>2.101436625942636</v>
      </c>
      <c r="FH29" s="15" t="n">
        <v>0.3505597362960895</v>
      </c>
      <c r="FI29" s="15" t="n">
        <v>0.03219915157784133</v>
      </c>
      <c r="FJ29" s="15" t="n">
        <v>10237.22586526888</v>
      </c>
      <c r="FK29" s="15" t="n">
        <v>135.6211016522945</v>
      </c>
      <c r="FL29" s="15" t="n">
        <v>0.1126477717960232</v>
      </c>
      <c r="FM29" s="15" t="n">
        <v>0.00471787622030293</v>
      </c>
      <c r="FN29" t="n">
        <v>0.9977732402423556</v>
      </c>
      <c r="FO29" t="n">
        <v>0.002225960230729636</v>
      </c>
      <c r="FP29" t="n">
        <v>7.995269148382454e-07</v>
      </c>
      <c r="FQ29" t="inlineStr">
        <is>
          <t>excellent</t>
        </is>
      </c>
      <c r="FR29" s="19" t="n">
        <v>0.86</v>
      </c>
      <c r="FS29" s="15" t="n">
        <v>3.900055409369774</v>
      </c>
      <c r="FT29" s="15" t="n">
        <v>17.59540860426745</v>
      </c>
      <c r="FU29" t="inlineStr">
        <is>
          <t>passed</t>
        </is>
      </c>
      <c r="FV29" t="n">
        <v>274.9670206892606</v>
      </c>
      <c r="FW29" t="n">
        <v>65.46991352166908</v>
      </c>
      <c r="FX29" t="n">
        <v>0.986865141474441</v>
      </c>
      <c r="FY29" t="n">
        <v>0.3427540602727166</v>
      </c>
      <c r="FZ29" t="n">
        <v>0.1497661330495962</v>
      </c>
      <c r="GA29" t="n">
        <v>0.4193316244246407</v>
      </c>
      <c r="GB29" t="n">
        <v>0.09190630954137788</v>
      </c>
      <c r="GC29" t="n">
        <v>0.08760294499975063</v>
      </c>
      <c r="GD29" t="n">
        <v>0.07998058866435277</v>
      </c>
      <c r="GE29" t="n">
        <v>0.6592601318575866</v>
      </c>
      <c r="GF29" t="n">
        <v>0.3784454314911125</v>
      </c>
      <c r="GG29" t="n">
        <v>0.1946087775245004</v>
      </c>
      <c r="GH29" t="n">
        <v>0.1137318939690227</v>
      </c>
      <c r="GI29" t="n">
        <v>0.2496445396145611</v>
      </c>
      <c r="GJ29" t="n">
        <v>0.7175172413793101</v>
      </c>
      <c r="GK29" t="n">
        <v>0.02127659574468091</v>
      </c>
      <c r="GL29" t="n">
        <v>0.5372569537625647</v>
      </c>
      <c r="GM29" t="n">
        <v>0.5372569537625647</v>
      </c>
      <c r="GN29" t="n">
        <v>0.1828930068086057</v>
      </c>
      <c r="GO29" t="n">
        <v>0.08847820552608004</v>
      </c>
      <c r="GP29" t="n">
        <v>837.7800850447547</v>
      </c>
      <c r="GQ29" t="inlineStr">
        <is>
          <t>compiled workbook density_weighted_sum = density_component_ratio_weighted_sum (per-note component ratios); research density_weighted_sum maps body-ceiling richness</t>
        </is>
      </c>
      <c r="GR29" s="15" t="inlineStr">
        <is>
          <t>individual_exact</t>
        </is>
      </c>
      <c r="GS29" s="15" t="inlineStr">
        <is>
          <t>density_weight</t>
        </is>
      </c>
      <c r="GT29" s="15" t="n">
        <v>0.8858951988952315</v>
      </c>
      <c r="GU29" s="15" t="n">
        <v>0.1141048011047686</v>
      </c>
      <c r="GV29" s="15" t="n">
        <v>0</v>
      </c>
      <c r="GW29" s="15" t="inlineStr">
        <is>
          <t>log</t>
        </is>
      </c>
      <c r="GX29" s="15" t="n">
        <v>0.5</v>
      </c>
      <c r="GY29" s="15" t="inlineStr">
        <is>
          <t>EWSD-R v18.1</t>
        </is>
      </c>
      <c r="GZ29" s="15" t="n">
        <v>9.750950805787951</v>
      </c>
      <c r="HA29" s="15" t="n">
        <v>30.57716966132476</v>
      </c>
      <c r="HB29" s="15" t="n">
        <v>0.2752588334475178</v>
      </c>
      <c r="HC29" s="15" t="n">
        <v>15.80563479283824</v>
      </c>
      <c r="HD29" s="15" t="n">
        <v>40.12316398471636</v>
      </c>
      <c r="HE29" s="15" t="n">
        <v>0.2351409220806928</v>
      </c>
      <c r="HF29" s="15" t="inlineStr">
        <is>
          <t>partials+ratios</t>
        </is>
      </c>
      <c r="HG29" s="15" t="inlineStr">
        <is>
          <t>merged_individual_exact</t>
        </is>
      </c>
      <c r="HH29" s="15" t="inlineStr">
        <is>
          <t>passed</t>
        </is>
      </c>
      <c r="HI29" s="15" t="inlineStr">
        <is>
          <t>passed</t>
        </is>
      </c>
    </row>
    <row r="30">
      <c r="A30" t="inlineStr">
        <is>
          <t>incomplete_inference</t>
        </is>
      </c>
      <c r="B30" t="inlineStr">
        <is>
          <t>missing_instrument_technique</t>
        </is>
      </c>
      <c r="C30" t="inlineStr">
        <is>
          <t>prior_constrained_harmonic_fit</t>
        </is>
      </c>
      <c r="D30" t="inlineStr">
        <is>
          <t>IOWA_Trb.T_ff.G#4_SustainStable/G#4/component_amplitude_mass_pie.png</t>
        </is>
      </c>
      <c r="E30" t="inlineStr">
        <is>
          <t>IOWA_Trb.T_ff.G#4_SustainStable/G#4/component_energy_ratio_pie.png</t>
        </is>
      </c>
      <c r="F30" s="15" t="n">
        <v>414.8538714763602</v>
      </c>
      <c r="G30" s="15" t="inlineStr">
        <is>
          <t>prior_constrained_harmonic_fit</t>
        </is>
      </c>
      <c r="H30" s="15" t="inlineStr">
        <is>
          <t>fit_accepted_acoustically_verified</t>
        </is>
      </c>
      <c r="I30" s="16" t="n">
        <v>883.281925983308</v>
      </c>
      <c r="J30" t="inlineStr">
        <is>
          <t>richness_weighted_body_density_body_ceiling</t>
        </is>
      </c>
      <c r="K30" t="inlineStr">
        <is>
          <t>research_body_ceiling_richness_metric</t>
        </is>
      </c>
      <c r="L30" s="15" t="n">
        <v>41872.39789804313</v>
      </c>
      <c r="M30" s="15" t="n">
        <v>41901.79393965672</v>
      </c>
      <c r="N30" s="15" t="n">
        <v>409.6664833595503</v>
      </c>
      <c r="O30" s="15" t="n">
        <v>0.5357661089043899</v>
      </c>
      <c r="P30" s="15" t="n">
        <v>-2.263834224943384</v>
      </c>
      <c r="Q30" s="15" t="n">
        <v>31</v>
      </c>
      <c r="R30" s="15" t="n">
        <v>35</v>
      </c>
      <c r="S30" s="15" t="n">
        <v>10475.44904871074</v>
      </c>
      <c r="T30" s="15" t="n">
        <v>49</v>
      </c>
      <c r="U30" s="15" t="n">
        <v>-0.7509101255328754</v>
      </c>
      <c r="V30" s="15" t="n">
        <v>39.42989896987925</v>
      </c>
      <c r="W30" s="15" t="n">
        <v>0.6738870569036242</v>
      </c>
      <c r="X30" s="15" t="n">
        <v>0.5836593662446723</v>
      </c>
      <c r="Y30" s="15" t="n">
        <v>27</v>
      </c>
      <c r="Z30" s="15" t="n">
        <v>48</v>
      </c>
      <c r="AA30" s="15" t="n">
        <v>0.5625</v>
      </c>
      <c r="AB30" s="15" t="n">
        <v>48</v>
      </c>
      <c r="AC30" s="15" t="n">
        <v>27</v>
      </c>
      <c r="AD30" s="15" t="n">
        <v>0.5625</v>
      </c>
      <c r="AE30" s="15" t="n">
        <v>760.5750607741447</v>
      </c>
      <c r="AF30" s="15" t="n">
        <v>27</v>
      </c>
      <c r="AG30" s="15" t="n">
        <v>48</v>
      </c>
      <c r="AH30" s="15" t="n">
        <v>0.5625</v>
      </c>
      <c r="AI30" s="15" t="n">
        <v>760.5750607741447</v>
      </c>
      <c r="AJ30" s="15" t="n">
        <v>14</v>
      </c>
      <c r="AK30" s="15" t="n">
        <v>13</v>
      </c>
      <c r="AL30" s="15" t="n">
        <v>0.9411032032370757</v>
      </c>
      <c r="AM30" s="15" t="n">
        <v>35</v>
      </c>
      <c r="AN30" s="15" t="n">
        <v>0</v>
      </c>
      <c r="AO30" s="15" t="n">
        <v>35</v>
      </c>
      <c r="AP30" s="15" t="n">
        <v>0</v>
      </c>
      <c r="AQ30" s="15" t="n">
        <v>27.9049181038898</v>
      </c>
      <c r="AR30" s="15" t="n">
        <v>17.76236075619997</v>
      </c>
      <c r="AS30" s="15" t="n">
        <v>0.09362639635856404</v>
      </c>
      <c r="AT30" s="17" t="n">
        <v>2.73748595764906</v>
      </c>
      <c r="AU30" s="18" t="n">
        <v>19.20909413025569</v>
      </c>
      <c r="AV30" s="15" t="n">
        <v>26.638293187136</v>
      </c>
      <c r="AW30" s="15" t="b">
        <v>1</v>
      </c>
      <c r="AX30" s="15" t="n">
        <v>17.7445226073237</v>
      </c>
      <c r="AY30" s="15" t="n">
        <v>17.90222217195478</v>
      </c>
      <c r="AZ30" s="15" t="n">
        <v>0</v>
      </c>
      <c r="BA30" s="15" t="n">
        <v>1</v>
      </c>
      <c r="BB30" s="15" t="n">
        <v>0.5</v>
      </c>
      <c r="BC30" s="15" t="n">
        <v>0.25</v>
      </c>
      <c r="BD30" s="15" t="inlineStr">
        <is>
          <t>his_note_adaptive</t>
        </is>
      </c>
      <c r="BE30" s="15" t="n">
        <v>-90</v>
      </c>
      <c r="BF30" s="15" t="n">
        <v>20000</v>
      </c>
      <c r="BG30" s="15" t="n">
        <v>27</v>
      </c>
      <c r="BH30" s="15" t="n">
        <v>0.5625</v>
      </c>
      <c r="BI30" s="15" t="n">
        <v>48</v>
      </c>
      <c r="BJ30" s="15" t="n">
        <v>27</v>
      </c>
      <c r="BK30" s="15" t="n">
        <v>48</v>
      </c>
      <c r="BL30" s="15" t="n">
        <v>42</v>
      </c>
      <c r="BM30" s="15" t="n">
        <v>0.875</v>
      </c>
      <c r="BN30" s="15" t="n">
        <v>0.4061931581168971</v>
      </c>
      <c r="BO30" s="15" t="n">
        <v>0.2916666666666667</v>
      </c>
      <c r="BP30" s="19" t="n">
        <v>0.849193355907933</v>
      </c>
      <c r="BQ30" s="19" t="n">
        <v>0.1508058819008784</v>
      </c>
      <c r="BR30" s="19" t="n">
        <v>7.621911885803957e-07</v>
      </c>
      <c r="BS30" s="15" t="n">
        <v>0.0517595748511825</v>
      </c>
      <c r="BT30" s="19" t="n">
        <v>0.9992915360946354</v>
      </c>
      <c r="BU30" s="19" t="n">
        <v>0.0007075669939624184</v>
      </c>
      <c r="BV30" s="19" t="n">
        <v>8.969114022565144e-07</v>
      </c>
      <c r="BW30" t="inlineStr">
        <is>
          <t>G#4</t>
        </is>
      </c>
      <c r="BX30" t="n">
        <v>68</v>
      </c>
      <c r="BY30" t="inlineStr">
        <is>
          <t>G#</t>
        </is>
      </c>
      <c r="BZ30" t="n">
        <v>4</v>
      </c>
      <c r="CA30" t="inlineStr">
        <is>
          <t>High</t>
        </is>
      </c>
      <c r="CB30" t="inlineStr">
        <is>
          <t>ff</t>
        </is>
      </c>
      <c r="CC30" s="15" t="n">
        <v>415.3046975799452</v>
      </c>
      <c r="CD30" s="15" t="n">
        <v>414.8538714763602</v>
      </c>
      <c r="CE30" t="inlineStr">
        <is>
          <t>prior_constrained_harmonic_fit</t>
        </is>
      </c>
      <c r="CF30" t="n">
        <v>414.8538714763602</v>
      </c>
      <c r="CG30" s="15" t="n">
        <v>1</v>
      </c>
      <c r="CH30" t="inlineStr">
        <is>
          <t>free_fit_acoustically_verified</t>
        </is>
      </c>
      <c r="CI30" s="15" t="inlineStr">
        <is>
          <t>free_f0_fit</t>
        </is>
      </c>
      <c r="CJ30" s="15" t="n">
        <v>415.3046975799452</v>
      </c>
      <c r="CK30" s="15" t="n">
        <v>414.8538714763602</v>
      </c>
      <c r="CL30" s="15" t="n">
        <v>-1.880328907156148</v>
      </c>
      <c r="CM30" s="15" t="n">
        <v>20000</v>
      </c>
      <c r="CN30" s="15" t="n">
        <v>-1.880328907156148</v>
      </c>
      <c r="CO30" s="15" t="n">
        <v>2.46149093329172</v>
      </c>
      <c r="CP30" s="15" t="n">
        <v>41872.39789804313</v>
      </c>
      <c r="CQ30" t="n">
        <v>4.050191259404746</v>
      </c>
      <c r="CR30" t="n">
        <v>0.08437898457093222</v>
      </c>
      <c r="CS30" t="n">
        <v>218.0840037942118</v>
      </c>
      <c r="CT30" t="n">
        <v>218.2385101023788</v>
      </c>
      <c r="CU30" t="n">
        <v>883.281925983308</v>
      </c>
      <c r="CV30" t="n">
        <v>0.5357661089043899</v>
      </c>
      <c r="CW30" s="15" t="n">
        <v>41901.79393965672</v>
      </c>
      <c r="CX30" s="15" t="n">
        <v>409.6664833595503</v>
      </c>
      <c r="CY30" s="15" t="n">
        <v>0.5357661089043899</v>
      </c>
      <c r="CZ30" s="15" t="n">
        <v>2.737485988477622</v>
      </c>
      <c r="DA30" s="15" t="n">
        <v>2.73802023417801</v>
      </c>
      <c r="DB30" s="15" t="n">
        <v>1.985765708326076</v>
      </c>
      <c r="DC30" s="15" t="n">
        <v>0</v>
      </c>
      <c r="DD30" s="15" t="n">
        <v>6.537686222659716e-05</v>
      </c>
      <c r="DE30" s="15" t="n">
        <v>0</v>
      </c>
      <c r="DF30" s="15" t="n">
        <v>31</v>
      </c>
      <c r="DG30" s="15" t="inlineStr">
        <is>
          <t>Density_Metrics</t>
        </is>
      </c>
      <c r="DH30" s="15" t="n">
        <v>2.46149093329172</v>
      </c>
      <c r="DI30" t="n">
        <v>0.9084510504044927</v>
      </c>
      <c r="DJ30" s="15" t="n">
        <v>0.572579569619581</v>
      </c>
      <c r="DK30" s="15" t="n">
        <v>5.225180136375691</v>
      </c>
      <c r="DL30" s="15" t="n">
        <v>4.129801462897436</v>
      </c>
      <c r="DM30" s="15" t="n">
        <v>1.762330091345904</v>
      </c>
      <c r="DN30" s="15" t="n">
        <v>7.890769672479161</v>
      </c>
      <c r="DO30" s="15" t="n">
        <v>0.38644983579064</v>
      </c>
      <c r="DP30" s="15" t="n">
        <v>9.8125</v>
      </c>
      <c r="DQ30" s="15" t="n">
        <v>63</v>
      </c>
      <c r="DR30" s="15" t="b">
        <v>1</v>
      </c>
      <c r="DS30" s="15" t="n">
        <v>4.050191259404746</v>
      </c>
      <c r="DT30" s="15" t="n">
        <v>28.01564957974427</v>
      </c>
      <c r="DU30" t="n">
        <v>48</v>
      </c>
      <c r="DV30" s="15" t="n">
        <v>0.0517595748511825</v>
      </c>
      <c r="DW30" s="15" t="n">
        <v>2.056197409062935</v>
      </c>
      <c r="DX30" s="15" t="n">
        <v>2.664164976039434</v>
      </c>
      <c r="DY30" s="15" t="n">
        <v>0.06372595820717684</v>
      </c>
      <c r="DZ30" s="15" t="b">
        <v>1</v>
      </c>
      <c r="EA30" s="15" t="n">
        <v>0.103882428582534</v>
      </c>
      <c r="EB30" s="15" t="n">
        <v>20000</v>
      </c>
      <c r="EC30" s="15" t="n">
        <v>12860.47001576717</v>
      </c>
      <c r="ED30" s="15" t="n">
        <v>31</v>
      </c>
      <c r="EE30" s="15" t="n">
        <v>0</v>
      </c>
      <c r="EF30" s="15" t="n">
        <v>0.02592458410713607</v>
      </c>
      <c r="EG30" s="15" t="b">
        <v>0</v>
      </c>
      <c r="EH30" s="15" t="b">
        <v>1</v>
      </c>
      <c r="EI30" s="15" t="b">
        <v>0</v>
      </c>
      <c r="EJ30" s="15" t="inlineStr">
        <is>
          <t>wf=log|dst=-90.0|ceil=20000.0|fft=adaptive_tier</t>
        </is>
      </c>
      <c r="EK30" s="15" t="inlineStr">
        <is>
          <t>wf=log|dst=runtime_configured|ceil=runtime_configured|fft=fixed</t>
        </is>
      </c>
      <c r="EL30" s="15" t="n">
        <v>0.7444668731779919</v>
      </c>
      <c r="EM30" s="15" t="n">
        <v>0.9900521303925625</v>
      </c>
      <c r="EN30" s="15" t="n">
        <v>0.6326530612244898</v>
      </c>
      <c r="EO30" s="15" t="n">
        <v>0.3875742153638368</v>
      </c>
      <c r="EP30" s="15" t="inlineStr">
        <is>
          <t>warn:power_outlier_detected</t>
        </is>
      </c>
      <c r="EQ30" s="15" t="n">
        <v>370.3216089668878</v>
      </c>
      <c r="ER30" s="15" t="inlineStr">
        <is>
          <t>winsorize_p95_for_robust_diagnostics</t>
        </is>
      </c>
      <c r="ES30" s="15" t="n">
        <v>0.09226731387433132</v>
      </c>
      <c r="ET30" s="15" t="n">
        <v>0.01103534701052333</v>
      </c>
      <c r="EU30" s="15" t="n">
        <v>0.0324816844148699</v>
      </c>
      <c r="EV30" t="inlineStr">
        <is>
          <t>computed</t>
        </is>
      </c>
      <c r="EW30" s="15" t="inlineStr">
        <is>
          <t>computed</t>
        </is>
      </c>
      <c r="EX30" s="15" t="inlineStr">
        <is>
          <t>computed</t>
        </is>
      </c>
      <c r="EY30" s="15" t="inlineStr">
        <is>
          <t>available_from_curve</t>
        </is>
      </c>
      <c r="EZ30" s="15" t="n">
        <v>20000</v>
      </c>
      <c r="FA30" s="15" t="n">
        <v>20000</v>
      </c>
      <c r="FB30" s="15" t="n">
        <v>0.1508058819008784</v>
      </c>
      <c r="FC30" s="15" t="n">
        <v>0.5174300300079975</v>
      </c>
      <c r="FD30" s="15" t="n">
        <v>2.73802023417801</v>
      </c>
      <c r="FE30" s="15" t="n">
        <v>1.985765708326076</v>
      </c>
      <c r="FF30" s="15" t="n">
        <v>0.5013941938716067</v>
      </c>
      <c r="FG30" s="15" t="n">
        <v>2.099075855077206</v>
      </c>
      <c r="FH30" s="15" t="n">
        <v>0.3283047593728396</v>
      </c>
      <c r="FI30" s="15" t="n">
        <v>0.03411031884167504</v>
      </c>
      <c r="FJ30" s="15" t="n">
        <v>10475.44848491418</v>
      </c>
      <c r="FK30" s="15" t="n">
        <v>102.4166208398876</v>
      </c>
      <c r="FL30" s="15" t="n">
        <v>0.1339415272260975</v>
      </c>
      <c r="FM30" s="15" t="n">
        <v>0.00478648967244931</v>
      </c>
      <c r="FN30" t="n">
        <v>0.9992915360946354</v>
      </c>
      <c r="FO30" t="n">
        <v>0.0007075669939624184</v>
      </c>
      <c r="FP30" t="n">
        <v>8.969114022565144e-07</v>
      </c>
      <c r="FQ30" t="inlineStr">
        <is>
          <t>excellent</t>
        </is>
      </c>
      <c r="FR30" s="19" t="n">
        <v>0.875</v>
      </c>
      <c r="FS30" s="15" t="n">
        <v>2.974809343620075</v>
      </c>
      <c r="FT30" s="15" t="n">
        <v>17.55287336780154</v>
      </c>
      <c r="FU30" t="inlineStr">
        <is>
          <t>passed</t>
        </is>
      </c>
      <c r="FV30" t="n">
        <v>273.0207247314117</v>
      </c>
      <c r="FW30" t="n">
        <v>47.88778169865157</v>
      </c>
      <c r="FX30" t="n">
        <v>1.086222837154519</v>
      </c>
      <c r="FY30" t="n">
        <v>0.2765353490861652</v>
      </c>
      <c r="FZ30" t="n">
        <v>0.1604852025177644</v>
      </c>
      <c r="GA30" t="n">
        <v>0.3123666028413913</v>
      </c>
      <c r="GB30" t="n">
        <v>0.08573961456005784</v>
      </c>
      <c r="GC30" t="n">
        <v>0.08365794734124475</v>
      </c>
      <c r="GD30" t="n">
        <v>0.06237243785098595</v>
      </c>
      <c r="GE30" t="n">
        <v>0.5245594283219699</v>
      </c>
      <c r="GF30" t="n">
        <v>0.3217336927737788</v>
      </c>
      <c r="GG30" t="n">
        <v>0.2139177680241233</v>
      </c>
      <c r="GH30" t="n">
        <v>0.01058286322707472</v>
      </c>
      <c r="GI30" t="n">
        <v>0.293950749464668</v>
      </c>
      <c r="GJ30" t="n">
        <v>0.8068965517241378</v>
      </c>
      <c r="GK30" t="n">
        <v>0.02127659574468091</v>
      </c>
      <c r="GL30" t="n">
        <v>0.5602408624559069</v>
      </c>
      <c r="GM30" t="n">
        <v>0.5602408624559069</v>
      </c>
      <c r="GN30" t="n">
        <v>0.2534857652583048</v>
      </c>
      <c r="GO30" t="n">
        <v>0.08838513895616572</v>
      </c>
      <c r="GP30" t="n">
        <v>883.281925983308</v>
      </c>
      <c r="GQ30" t="inlineStr">
        <is>
          <t>compiled workbook density_weighted_sum = density_component_ratio_weighted_sum (per-note component ratios); research density_weighted_sum maps body-ceiling richness</t>
        </is>
      </c>
      <c r="GR30" s="15" t="inlineStr">
        <is>
          <t>individual_exact</t>
        </is>
      </c>
      <c r="GS30" s="15" t="inlineStr">
        <is>
          <t>density_weight</t>
        </is>
      </c>
      <c r="GT30" s="15" t="n">
        <v>0.886885237013775</v>
      </c>
      <c r="GU30" s="15" t="n">
        <v>0.113114762986225</v>
      </c>
      <c r="GV30" s="15" t="n">
        <v>0</v>
      </c>
      <c r="GW30" s="15" t="inlineStr">
        <is>
          <t>log</t>
        </is>
      </c>
      <c r="GX30" s="15" t="n">
        <v>0.5</v>
      </c>
      <c r="GY30" s="15" t="inlineStr">
        <is>
          <t>EWSD-R v18.1</t>
        </is>
      </c>
      <c r="GZ30" s="15" t="n">
        <v>9.617662483829067</v>
      </c>
      <c r="HA30" s="15" t="n">
        <v>31.84465404348768</v>
      </c>
      <c r="HB30" s="15" t="n">
        <v>0.2990305791156005</v>
      </c>
      <c r="HC30" s="15" t="n">
        <v>15.57429665200279</v>
      </c>
      <c r="HD30" s="15" t="n">
        <v>40.87137552144242</v>
      </c>
      <c r="HE30" s="15" t="n">
        <v>0.2478938577117926</v>
      </c>
      <c r="HF30" s="15" t="inlineStr">
        <is>
          <t>partials+ratios</t>
        </is>
      </c>
      <c r="HG30" s="15" t="inlineStr">
        <is>
          <t>merged_individual_exact</t>
        </is>
      </c>
      <c r="HH30" s="15" t="inlineStr">
        <is>
          <t>passed</t>
        </is>
      </c>
      <c r="HI30" s="15" t="inlineStr">
        <is>
          <t>passed</t>
        </is>
      </c>
    </row>
    <row r="31">
      <c r="A31" t="inlineStr">
        <is>
          <t>incomplete_inference</t>
        </is>
      </c>
      <c r="B31" t="inlineStr">
        <is>
          <t>missing_instrument_technique</t>
        </is>
      </c>
      <c r="C31" t="inlineStr">
        <is>
          <t>prior_constrained_harmonic_fit</t>
        </is>
      </c>
      <c r="D31" t="inlineStr">
        <is>
          <t>IOWA_Trb.T_ff.A4_SustainStable/A4/component_amplitude_mass_pie.png</t>
        </is>
      </c>
      <c r="E31" t="inlineStr">
        <is>
          <t>IOWA_Trb.T_ff.A4_SustainStable/A4/component_energy_ratio_pie.png</t>
        </is>
      </c>
      <c r="F31" s="15" t="n">
        <v>440.6219969905587</v>
      </c>
      <c r="G31" s="15" t="inlineStr">
        <is>
          <t>prior_constrained_harmonic_fit</t>
        </is>
      </c>
      <c r="H31" s="15" t="inlineStr">
        <is>
          <t>fit_accepted_acoustically_verified</t>
        </is>
      </c>
      <c r="I31" s="16" t="n">
        <v>911.4677862536759</v>
      </c>
      <c r="J31" t="inlineStr">
        <is>
          <t>richness_weighted_body_density_body_ceiling</t>
        </is>
      </c>
      <c r="K31" t="inlineStr">
        <is>
          <t>research_body_ceiling_richness_metric</t>
        </is>
      </c>
      <c r="L31" s="15" t="n">
        <v>41262.02376964541</v>
      </c>
      <c r="M31" s="15" t="n">
        <v>41262.04460396785</v>
      </c>
      <c r="N31" s="15" t="n">
        <v>337.6543202808042</v>
      </c>
      <c r="O31" s="15" t="n">
        <v>0.3148680351505158</v>
      </c>
      <c r="P31" s="15" t="n">
        <v>-2.894056078592835</v>
      </c>
      <c r="Q31" s="15" t="n">
        <v>26</v>
      </c>
      <c r="R31" s="15" t="n">
        <v>39</v>
      </c>
      <c r="S31" s="15" t="n">
        <v>10315.51242548495</v>
      </c>
      <c r="T31" s="15" t="n">
        <v>46</v>
      </c>
      <c r="U31" s="15" t="n">
        <v>-0.5637441663422493</v>
      </c>
      <c r="V31" s="15" t="n">
        <v>36.92429184834791</v>
      </c>
      <c r="W31" s="15" t="n">
        <v>0.734837317142119</v>
      </c>
      <c r="X31" s="15" t="n">
        <v>0.6009827878710319</v>
      </c>
      <c r="Y31" s="15" t="n">
        <v>21</v>
      </c>
      <c r="Z31" s="15" t="n">
        <v>45</v>
      </c>
      <c r="AA31" s="15" t="n">
        <v>0.4666666666666667</v>
      </c>
      <c r="AB31" s="15" t="n">
        <v>45</v>
      </c>
      <c r="AC31" s="15" t="n">
        <v>21</v>
      </c>
      <c r="AD31" s="15" t="n">
        <v>0.4666666666666667</v>
      </c>
      <c r="AE31" s="15" t="n">
        <v>706.6971860721889</v>
      </c>
      <c r="AF31" s="15" t="n">
        <v>21</v>
      </c>
      <c r="AG31" s="15" t="n">
        <v>45</v>
      </c>
      <c r="AH31" s="15" t="n">
        <v>0.4666666666666667</v>
      </c>
      <c r="AI31" s="15" t="n">
        <v>706.6971860721889</v>
      </c>
      <c r="AJ31" s="15" t="n">
        <v>11</v>
      </c>
      <c r="AK31" s="15" t="n">
        <v>10</v>
      </c>
      <c r="AL31" s="15" t="n">
        <v>1.267328923480343</v>
      </c>
      <c r="AM31" s="15" t="n">
        <v>38</v>
      </c>
      <c r="AN31" s="15" t="n">
        <v>0</v>
      </c>
      <c r="AO31" s="15" t="n">
        <v>38</v>
      </c>
      <c r="AP31" s="15" t="n">
        <v>0</v>
      </c>
      <c r="AQ31" s="15" t="n">
        <v>23.1007610807848</v>
      </c>
      <c r="AR31" s="15" t="n">
        <v>14.96070515633529</v>
      </c>
      <c r="AS31" s="15" t="n">
        <v>0.04422577829127344</v>
      </c>
      <c r="AT31" s="17" t="n">
        <v>2.706239508098744</v>
      </c>
      <c r="AU31" s="18" t="n">
        <v>16.37372266738478</v>
      </c>
      <c r="AV31" s="15" t="n">
        <v>22.77422283727467</v>
      </c>
      <c r="AW31" s="15" t="b">
        <v>1</v>
      </c>
      <c r="AX31" s="15" t="n">
        <v>14.40491393590077</v>
      </c>
      <c r="AY31" s="15" t="n">
        <v>18.90254616729056</v>
      </c>
      <c r="AZ31" s="15" t="n">
        <v>0</v>
      </c>
      <c r="BA31" s="15" t="n">
        <v>1</v>
      </c>
      <c r="BB31" s="15" t="n">
        <v>0.5</v>
      </c>
      <c r="BC31" s="15" t="n">
        <v>0.25</v>
      </c>
      <c r="BD31" s="15" t="inlineStr">
        <is>
          <t>his_note_adaptive</t>
        </is>
      </c>
      <c r="BE31" s="15" t="n">
        <v>-90</v>
      </c>
      <c r="BF31" s="15" t="n">
        <v>20000</v>
      </c>
      <c r="BG31" s="15" t="n">
        <v>21</v>
      </c>
      <c r="BH31" s="15" t="n">
        <v>0.4666666666666667</v>
      </c>
      <c r="BI31" s="15" t="n">
        <v>45</v>
      </c>
      <c r="BJ31" s="15" t="n">
        <v>21</v>
      </c>
      <c r="BK31" s="15" t="n">
        <v>45</v>
      </c>
      <c r="BL31" s="15" t="n">
        <v>38</v>
      </c>
      <c r="BM31" s="15" t="n">
        <v>0.8444444444444444</v>
      </c>
      <c r="BN31" s="15" t="n">
        <v>0.4349536692613284</v>
      </c>
      <c r="BO31" s="15" t="n">
        <v>0.3166666666666667</v>
      </c>
      <c r="BP31" s="19" t="n">
        <v>0.8638181476326321</v>
      </c>
      <c r="BQ31" s="19" t="n">
        <v>0.1361814161986707</v>
      </c>
      <c r="BR31" s="19" t="n">
        <v>4.361686971909019e-07</v>
      </c>
      <c r="BS31" s="15" t="n">
        <v>0.04992265267066449</v>
      </c>
      <c r="BT31" s="19" t="n">
        <v>0.9999994950690975</v>
      </c>
      <c r="BU31" s="19" t="n">
        <v>0</v>
      </c>
      <c r="BV31" s="19" t="n">
        <v>5.049309025877786e-07</v>
      </c>
      <c r="BW31" t="inlineStr">
        <is>
          <t>A4</t>
        </is>
      </c>
      <c r="BX31" t="n">
        <v>69</v>
      </c>
      <c r="BY31" t="inlineStr">
        <is>
          <t>A</t>
        </is>
      </c>
      <c r="BZ31" t="n">
        <v>4</v>
      </c>
      <c r="CA31" t="inlineStr">
        <is>
          <t>High</t>
        </is>
      </c>
      <c r="CB31" t="inlineStr">
        <is>
          <t>ff</t>
        </is>
      </c>
      <c r="CC31" s="15" t="n">
        <v>439.9999999999999</v>
      </c>
      <c r="CD31" s="15" t="n">
        <v>440.6219969905587</v>
      </c>
      <c r="CE31" t="inlineStr">
        <is>
          <t>prior_constrained_harmonic_fit</t>
        </is>
      </c>
      <c r="CF31" t="n">
        <v>440.6219969905587</v>
      </c>
      <c r="CG31" s="15" t="n">
        <v>1</v>
      </c>
      <c r="CH31" t="inlineStr">
        <is>
          <t>free_fit_acoustically_verified</t>
        </is>
      </c>
      <c r="CI31" s="15" t="inlineStr">
        <is>
          <t>free_f0_fit</t>
        </is>
      </c>
      <c r="CJ31" s="15" t="n">
        <v>439.9999999999999</v>
      </c>
      <c r="CK31" s="15" t="n">
        <v>440.6219969905587</v>
      </c>
      <c r="CL31" s="15" t="n">
        <v>2.445595388762094</v>
      </c>
      <c r="CM31" s="15" t="n">
        <v>20000</v>
      </c>
      <c r="CN31" s="15" t="n">
        <v>2.445595388762094</v>
      </c>
      <c r="CO31" s="15" t="n">
        <v>2.428905422551113</v>
      </c>
      <c r="CP31" s="15" t="n">
        <v>41262.02376964541</v>
      </c>
      <c r="CQ31" t="n">
        <v>3.976154985567827</v>
      </c>
      <c r="CR31" t="n">
        <v>0.08835899967928505</v>
      </c>
      <c r="CS31" t="n">
        <v>229.2334653860357</v>
      </c>
      <c r="CT31" t="n">
        <v>229.2335811331547</v>
      </c>
      <c r="CU31" t="n">
        <v>911.4677862536759</v>
      </c>
      <c r="CV31" t="n">
        <v>0.3148680351505158</v>
      </c>
      <c r="CW31" s="15" t="n">
        <v>41262.04460396785</v>
      </c>
      <c r="CX31" s="15" t="n">
        <v>337.6543202808042</v>
      </c>
      <c r="CY31" s="15" t="n">
        <v>0.3148680351505158</v>
      </c>
      <c r="CZ31" s="15" t="n">
        <v>2.706239451737034</v>
      </c>
      <c r="DA31" s="15" t="n">
        <v>2.706240659214971</v>
      </c>
      <c r="DB31" s="15" t="n">
        <v>1.966856393904359</v>
      </c>
      <c r="DC31" s="15" t="n">
        <v>0</v>
      </c>
      <c r="DD31" s="15" t="n">
        <v>6.558668733373884e-05</v>
      </c>
      <c r="DE31" s="15" t="n">
        <v>0</v>
      </c>
      <c r="DF31" s="15" t="n">
        <v>26</v>
      </c>
      <c r="DG31" s="15" t="inlineStr">
        <is>
          <t>Density_Metrics</t>
        </is>
      </c>
      <c r="DH31" s="15" t="n">
        <v>2.428905422551113</v>
      </c>
      <c r="DI31" t="n">
        <v>0.8964248669804958</v>
      </c>
      <c r="DJ31" s="15" t="n">
        <v>0.5689334812766293</v>
      </c>
      <c r="DK31" s="15" t="n">
        <v>5.099587709760194</v>
      </c>
      <c r="DL31" s="15" t="n">
        <v>4.041508002455066</v>
      </c>
      <c r="DM31" s="15" t="n">
        <v>1.640660485506771</v>
      </c>
      <c r="DN31" s="15" t="n">
        <v>7.796532957219893</v>
      </c>
      <c r="DO31" s="15" t="n">
        <v>0.3959449060154318</v>
      </c>
      <c r="DP31" s="15" t="n">
        <v>9</v>
      </c>
      <c r="DQ31" s="15" t="n">
        <v>61</v>
      </c>
      <c r="DR31" s="15" t="b">
        <v>1</v>
      </c>
      <c r="DS31" s="15" t="n">
        <v>3.976154985567827</v>
      </c>
      <c r="DT31" s="15" t="n">
        <v>27.04422545419644</v>
      </c>
      <c r="DU31" t="n">
        <v>45</v>
      </c>
      <c r="DV31" s="15" t="n">
        <v>0.04992265267066449</v>
      </c>
      <c r="DW31" s="15" t="n">
        <v>1.981477619373444</v>
      </c>
      <c r="DX31" s="15" t="n">
        <v>2.631833458026197</v>
      </c>
      <c r="DY31" s="15" t="n">
        <v>0.07008190829137841</v>
      </c>
      <c r="DZ31" s="15" t="b">
        <v>1</v>
      </c>
      <c r="EA31" s="15" t="n">
        <v>0.1518310255282277</v>
      </c>
      <c r="EB31" s="15" t="n">
        <v>20000</v>
      </c>
      <c r="EC31" s="15" t="n">
        <v>11456.17192175453</v>
      </c>
      <c r="ED31" s="15" t="n">
        <v>26</v>
      </c>
      <c r="EE31" s="15" t="n">
        <v>0</v>
      </c>
      <c r="EF31" s="15" t="n">
        <v>0.02446954900568182</v>
      </c>
      <c r="EG31" s="15" t="b">
        <v>0</v>
      </c>
      <c r="EH31" s="15" t="b">
        <v>1</v>
      </c>
      <c r="EI31" s="15" t="b">
        <v>0</v>
      </c>
      <c r="EJ31" s="15" t="inlineStr">
        <is>
          <t>wf=log|dst=-90.0|ceil=20000.0|fft=adaptive_tier</t>
        </is>
      </c>
      <c r="EK31" s="15" t="inlineStr">
        <is>
          <t>wf=log|dst=runtime_configured|ceil=runtime_configured|fft=fixed</t>
        </is>
      </c>
      <c r="EL31" s="15" t="n">
        <v>0.723321192118498</v>
      </c>
      <c r="EM31" s="15" t="n">
        <v>0.9901137258508124</v>
      </c>
      <c r="EN31" s="15" t="n">
        <v>0.5652173913043478</v>
      </c>
      <c r="EO31" s="15" t="n">
        <v>0.3997196426455534</v>
      </c>
      <c r="EP31" s="15" t="inlineStr">
        <is>
          <t>warn:power_outlier_detected</t>
        </is>
      </c>
      <c r="EQ31" s="15" t="n">
        <v>307.5071154654221</v>
      </c>
      <c r="ER31" s="15" t="inlineStr">
        <is>
          <t>winsorize_p95_for_robust_diagnostics</t>
        </is>
      </c>
      <c r="ES31" s="15" t="n">
        <v>0.1056886047548737</v>
      </c>
      <c r="ET31" s="15" t="n">
        <v>0.008610887212079898</v>
      </c>
      <c r="EU31" s="15" t="n">
        <v>0.02530573006298284</v>
      </c>
      <c r="EV31" t="inlineStr">
        <is>
          <t>computed</t>
        </is>
      </c>
      <c r="EW31" s="15" t="inlineStr">
        <is>
          <t>computed</t>
        </is>
      </c>
      <c r="EX31" s="15" t="inlineStr">
        <is>
          <t>computed</t>
        </is>
      </c>
      <c r="EY31" s="15" t="inlineStr">
        <is>
          <t>available_from_curve</t>
        </is>
      </c>
      <c r="EZ31" s="15" t="n">
        <v>20000</v>
      </c>
      <c r="FA31" s="15" t="n">
        <v>20000</v>
      </c>
      <c r="FB31" s="15" t="n">
        <v>0.1361814161986707</v>
      </c>
      <c r="FC31" s="15" t="n">
        <v>0.4803924945706686</v>
      </c>
      <c r="FD31" s="15" t="n">
        <v>2.706240659214971</v>
      </c>
      <c r="FE31" s="15" t="n">
        <v>1.966856393904359</v>
      </c>
      <c r="FF31" s="15" t="n">
        <v>0.4264906566408646</v>
      </c>
      <c r="FG31" s="15" t="n">
        <v>2.074712361463523</v>
      </c>
      <c r="FH31" s="15" t="n">
        <v>0.3251785003710362</v>
      </c>
      <c r="FI31" s="15" t="n">
        <v>0.02901456071655373</v>
      </c>
      <c r="FJ31" s="15" t="n">
        <v>10315.51115099196</v>
      </c>
      <c r="FK31" s="15" t="n">
        <v>84.41358007020105</v>
      </c>
      <c r="FL31" s="15" t="n">
        <v>0.07871700878762895</v>
      </c>
      <c r="FM31" s="15" t="n">
        <v>0.004618703965627009</v>
      </c>
      <c r="FN31" t="n">
        <v>0.9999994950690975</v>
      </c>
      <c r="FO31" t="n">
        <v>0</v>
      </c>
      <c r="FP31" t="n">
        <v>5.049309025877786e-07</v>
      </c>
      <c r="FQ31" t="inlineStr">
        <is>
          <t>good</t>
        </is>
      </c>
      <c r="FR31" s="19" t="n">
        <v>0.8444444444444444</v>
      </c>
      <c r="FS31" s="15" t="n">
        <v>1.884517948781124</v>
      </c>
      <c r="FT31" s="15" t="n">
        <v>12.73291972067889</v>
      </c>
      <c r="FU31" t="inlineStr">
        <is>
          <t>passed</t>
        </is>
      </c>
      <c r="FV31" t="n">
        <v>253.7205556076462</v>
      </c>
      <c r="FW31" t="n">
        <v>45.82617018116782</v>
      </c>
      <c r="FX31" t="n">
        <v>0.8349366635893841</v>
      </c>
      <c r="FY31" t="n">
        <v>0.1814985558612377</v>
      </c>
      <c r="FZ31" t="n">
        <v>0.1671250700050195</v>
      </c>
      <c r="GA31" t="n">
        <v>0.1897902378503458</v>
      </c>
      <c r="GB31" t="n">
        <v>0.07897678787223157</v>
      </c>
      <c r="GC31" t="n">
        <v>0.07790303483046199</v>
      </c>
      <c r="GD31" t="n">
        <v>0.04917518345681839</v>
      </c>
      <c r="GE31" t="n">
        <v>0.7197743242072122</v>
      </c>
      <c r="GF31" t="n">
        <v>0.3489233632917302</v>
      </c>
      <c r="GG31" t="n">
        <v>0.1930488246399754</v>
      </c>
      <c r="GH31" t="n">
        <v>0.1063609413411242</v>
      </c>
      <c r="GI31" t="n">
        <v>0.1052391149179158</v>
      </c>
      <c r="GJ31" t="n">
        <v>0.6248275862068964</v>
      </c>
      <c r="GK31" t="n">
        <v>0.08510638297872351</v>
      </c>
      <c r="GL31" t="n">
        <v>0.476954069100248</v>
      </c>
      <c r="GM31" t="n">
        <v>0.476954069100248</v>
      </c>
      <c r="GN31" t="n">
        <v>0.1761839085110766</v>
      </c>
      <c r="GO31" t="n">
        <v>0.03193448227239554</v>
      </c>
      <c r="GP31" t="n">
        <v>911.4677862536759</v>
      </c>
      <c r="GQ31" t="inlineStr">
        <is>
          <t>compiled workbook density_weighted_sum = density_component_ratio_weighted_sum (per-note component ratios); research density_weighted_sum maps body-ceiling richness</t>
        </is>
      </c>
      <c r="GR31" s="15" t="inlineStr">
        <is>
          <t>individual_exact</t>
        </is>
      </c>
      <c r="GS31" s="15" t="inlineStr">
        <is>
          <t>density_weight</t>
        </is>
      </c>
      <c r="GT31" s="15" t="n">
        <v>0.8764258187773647</v>
      </c>
      <c r="GU31" s="15" t="n">
        <v>0.1235741812226353</v>
      </c>
      <c r="GV31" s="15" t="n">
        <v>0</v>
      </c>
      <c r="GW31" s="15" t="inlineStr">
        <is>
          <t>log</t>
        </is>
      </c>
      <c r="GX31" s="15" t="n">
        <v>0.5</v>
      </c>
      <c r="GY31" s="15" t="inlineStr">
        <is>
          <t>EWSD-R v18.1</t>
        </is>
      </c>
      <c r="GZ31" s="15" t="n">
        <v>6.838260750199928</v>
      </c>
      <c r="HA31" s="15" t="n">
        <v>27.72082224834897</v>
      </c>
      <c r="HB31" s="15" t="n">
        <v>0.3298693633147853</v>
      </c>
      <c r="HC31" s="15" t="n">
        <v>11.85654302016779</v>
      </c>
      <c r="HD31" s="15" t="n">
        <v>35.94712966866017</v>
      </c>
      <c r="HE31" s="15" t="n">
        <v>0.276323114825521</v>
      </c>
      <c r="HF31" s="15" t="inlineStr">
        <is>
          <t>partials+ratios</t>
        </is>
      </c>
      <c r="HG31" s="15" t="inlineStr">
        <is>
          <t>merged_individual_exact</t>
        </is>
      </c>
      <c r="HH31" s="15" t="inlineStr">
        <is>
          <t>passed</t>
        </is>
      </c>
      <c r="HI31" s="15" t="inlineStr">
        <is>
          <t>passed</t>
        </is>
      </c>
    </row>
    <row r="32">
      <c r="A32" t="inlineStr">
        <is>
          <t>incomplete_inference</t>
        </is>
      </c>
      <c r="B32" t="inlineStr">
        <is>
          <t>missing_instrument_technique</t>
        </is>
      </c>
      <c r="C32" t="inlineStr">
        <is>
          <t>prior_constrained_harmonic_fit</t>
        </is>
      </c>
      <c r="D32" t="inlineStr">
        <is>
          <t>IOWA_Trb.T_ff.A#4_SustainStable/A#4/component_amplitude_mass_pie.png</t>
        </is>
      </c>
      <c r="E32" t="inlineStr">
        <is>
          <t>IOWA_Trb.T_ff.A#4_SustainStable/A#4/component_energy_ratio_pie.png</t>
        </is>
      </c>
      <c r="F32" s="15" t="n">
        <v>466.2169888915804</v>
      </c>
      <c r="G32" s="15" t="inlineStr">
        <is>
          <t>prior_constrained_harmonic_fit</t>
        </is>
      </c>
      <c r="H32" s="15" t="inlineStr">
        <is>
          <t>fit_accepted_acoustically_verified</t>
        </is>
      </c>
      <c r="I32" s="16" t="n">
        <v>889.4748763295022</v>
      </c>
      <c r="J32" t="inlineStr">
        <is>
          <t>richness_weighted_body_density_body_ceiling</t>
        </is>
      </c>
      <c r="K32" t="inlineStr">
        <is>
          <t>research_body_ceiling_richness_metric</t>
        </is>
      </c>
      <c r="L32" s="15" t="n">
        <v>41786.16678803153</v>
      </c>
      <c r="M32" s="15" t="n">
        <v>41786.18856016047</v>
      </c>
      <c r="N32" s="15" t="n">
        <v>265.3090238751708</v>
      </c>
      <c r="O32" s="15" t="n">
        <v>0.3278647525357697</v>
      </c>
      <c r="P32" s="15" t="n">
        <v>-3.08840775005295</v>
      </c>
      <c r="Q32" s="15" t="n">
        <v>25</v>
      </c>
      <c r="R32" s="15" t="n">
        <v>36</v>
      </c>
      <c r="S32" s="15" t="n">
        <v>10446.5485113909</v>
      </c>
      <c r="T32" s="15" t="n">
        <v>43</v>
      </c>
      <c r="U32" s="15" t="n">
        <v>-0.4745173633151324</v>
      </c>
      <c r="V32" s="15" t="n">
        <v>33.18899133221714</v>
      </c>
      <c r="W32" s="15" t="n">
        <v>0.7710342343797386</v>
      </c>
      <c r="X32" s="15" t="n">
        <v>0.5831721382207585</v>
      </c>
      <c r="Y32" s="15" t="n">
        <v>19</v>
      </c>
      <c r="Z32" s="15" t="n">
        <v>42</v>
      </c>
      <c r="AA32" s="15" t="n">
        <v>0.4523809523809524</v>
      </c>
      <c r="AB32" s="15" t="n">
        <v>42</v>
      </c>
      <c r="AC32" s="15" t="n">
        <v>19</v>
      </c>
      <c r="AD32" s="15" t="n">
        <v>0.4523809523809524</v>
      </c>
      <c r="AE32" s="15" t="n">
        <v>683.2702362418028</v>
      </c>
      <c r="AF32" s="15" t="n">
        <v>19</v>
      </c>
      <c r="AG32" s="15" t="n">
        <v>42</v>
      </c>
      <c r="AH32" s="15" t="n">
        <v>0.4523809523809524</v>
      </c>
      <c r="AI32" s="15" t="n">
        <v>683.2702362418028</v>
      </c>
      <c r="AJ32" s="15" t="n">
        <v>10</v>
      </c>
      <c r="AK32" s="15" t="n">
        <v>9</v>
      </c>
      <c r="AL32" s="15" t="n">
        <v>1.297603920140434</v>
      </c>
      <c r="AM32" s="15" t="n">
        <v>37</v>
      </c>
      <c r="AN32" s="15" t="n">
        <v>0</v>
      </c>
      <c r="AO32" s="15" t="n">
        <v>37</v>
      </c>
      <c r="AP32" s="15" t="n">
        <v>0</v>
      </c>
      <c r="AQ32" s="15" t="n">
        <v>21.6369878261321</v>
      </c>
      <c r="AR32" s="15" t="n">
        <v>13.78996975687194</v>
      </c>
      <c r="AS32" s="15" t="n">
        <v>0.02358260847070761</v>
      </c>
      <c r="AT32" s="17" t="n">
        <v>2.691737538900145</v>
      </c>
      <c r="AU32" s="18" t="n">
        <v>15.01903144349783</v>
      </c>
      <c r="AV32" s="15" t="n">
        <v>20.99992197486917</v>
      </c>
      <c r="AW32" s="15" t="b">
        <v>1</v>
      </c>
      <c r="AX32" s="15" t="n">
        <v>13.00806137606048</v>
      </c>
      <c r="AY32" s="15" t="n">
        <v>18.3453445880389</v>
      </c>
      <c r="AZ32" s="15" t="n">
        <v>0</v>
      </c>
      <c r="BA32" s="15" t="n">
        <v>1</v>
      </c>
      <c r="BB32" s="15" t="n">
        <v>0.5</v>
      </c>
      <c r="BC32" s="15" t="n">
        <v>0.25</v>
      </c>
      <c r="BD32" s="15" t="inlineStr">
        <is>
          <t>his_note_adaptive</t>
        </is>
      </c>
      <c r="BE32" s="15" t="n">
        <v>-90</v>
      </c>
      <c r="BF32" s="15" t="n">
        <v>20000</v>
      </c>
      <c r="BG32" s="15" t="n">
        <v>19</v>
      </c>
      <c r="BH32" s="15" t="n">
        <v>0.4523809523809524</v>
      </c>
      <c r="BI32" s="15" t="n">
        <v>42</v>
      </c>
      <c r="BJ32" s="15" t="n">
        <v>19</v>
      </c>
      <c r="BK32" s="15" t="n">
        <v>42</v>
      </c>
      <c r="BL32" s="15" t="n">
        <v>37</v>
      </c>
      <c r="BM32" s="15" t="n">
        <v>0.8809523809523809</v>
      </c>
      <c r="BN32" s="15" t="n">
        <v>0.4230125732019444</v>
      </c>
      <c r="BO32" s="15" t="n">
        <v>0.3083333333333333</v>
      </c>
      <c r="BP32" s="19" t="n">
        <v>0.843926500166148</v>
      </c>
      <c r="BQ32" s="19" t="n">
        <v>0.1560730601136729</v>
      </c>
      <c r="BR32" s="19" t="n">
        <v>4.397201791528476e-07</v>
      </c>
      <c r="BS32" s="15" t="n">
        <v>0.05702214800118165</v>
      </c>
      <c r="BT32" s="19" t="n">
        <v>0.9999994789594236</v>
      </c>
      <c r="BU32" s="19" t="n">
        <v>0</v>
      </c>
      <c r="BV32" s="19" t="n">
        <v>5.21040576346663e-07</v>
      </c>
      <c r="BW32" t="inlineStr">
        <is>
          <t>A#4</t>
        </is>
      </c>
      <c r="BX32" t="n">
        <v>70</v>
      </c>
      <c r="BY32" t="inlineStr">
        <is>
          <t>A#</t>
        </is>
      </c>
      <c r="BZ32" t="n">
        <v>4</v>
      </c>
      <c r="CA32" t="inlineStr">
        <is>
          <t>High</t>
        </is>
      </c>
      <c r="CB32" t="inlineStr">
        <is>
          <t>ff</t>
        </is>
      </c>
      <c r="CC32" s="15" t="n">
        <v>466.1637615180898</v>
      </c>
      <c r="CD32" s="15" t="n">
        <v>466.2169888915804</v>
      </c>
      <c r="CE32" t="inlineStr">
        <is>
          <t>prior_constrained_harmonic_fit</t>
        </is>
      </c>
      <c r="CF32" t="n">
        <v>466.2169888915804</v>
      </c>
      <c r="CG32" s="15" t="n">
        <v>1</v>
      </c>
      <c r="CH32" t="inlineStr">
        <is>
          <t>free_fit_acoustically_verified</t>
        </is>
      </c>
      <c r="CI32" s="15" t="inlineStr">
        <is>
          <t>free_f0_fit</t>
        </is>
      </c>
      <c r="CJ32" s="15" t="n">
        <v>466.1637615180898</v>
      </c>
      <c r="CK32" s="15" t="n">
        <v>466.2169888915804</v>
      </c>
      <c r="CL32" s="15" t="n">
        <v>0.1976639723393357</v>
      </c>
      <c r="CM32" s="15" t="n">
        <v>20000</v>
      </c>
      <c r="CN32" s="15" t="n">
        <v>0.1976639723393357</v>
      </c>
      <c r="CO32" s="15" t="n">
        <v>2.407939424820775</v>
      </c>
      <c r="CP32" s="15" t="n">
        <v>41786.16678803153</v>
      </c>
      <c r="CQ32" t="n">
        <v>3.576106417752772</v>
      </c>
      <c r="CR32" t="n">
        <v>0.08514539089887552</v>
      </c>
      <c r="CS32" t="n">
        <v>248.7271832610756</v>
      </c>
      <c r="CT32" t="n">
        <v>248.727312858098</v>
      </c>
      <c r="CU32" t="n">
        <v>889.4748763295022</v>
      </c>
      <c r="CV32" t="n">
        <v>0.3278647525357697</v>
      </c>
      <c r="CW32" s="15" t="n">
        <v>41786.18856016047</v>
      </c>
      <c r="CX32" s="15" t="n">
        <v>265.3090238751708</v>
      </c>
      <c r="CY32" s="15" t="n">
        <v>0.3278647525357697</v>
      </c>
      <c r="CZ32" s="15" t="n">
        <v>2.691737484434472</v>
      </c>
      <c r="DA32" s="15" t="n">
        <v>2.691738716108724</v>
      </c>
      <c r="DB32" s="15" t="n">
        <v>1.904858462405502</v>
      </c>
      <c r="DC32" s="15" t="n">
        <v>0</v>
      </c>
      <c r="DD32" s="15" t="n">
        <v>6.441695162154582e-05</v>
      </c>
      <c r="DE32" s="15" t="n">
        <v>0</v>
      </c>
      <c r="DF32" s="15" t="n">
        <v>25</v>
      </c>
      <c r="DG32" s="15" t="inlineStr">
        <is>
          <t>Density_Metrics</t>
        </is>
      </c>
      <c r="DH32" s="15" t="n">
        <v>2.407939424820775</v>
      </c>
      <c r="DI32" t="n">
        <v>0.8886870433698953</v>
      </c>
      <c r="DJ32" s="15" t="n">
        <v>0.5672308176357987</v>
      </c>
      <c r="DK32" s="15" t="n">
        <v>5.028994430066109</v>
      </c>
      <c r="DL32" s="15" t="n">
        <v>3.621691770078625</v>
      </c>
      <c r="DM32" s="15" t="n">
        <v>1.571624992423591</v>
      </c>
      <c r="DN32" s="15" t="n">
        <v>7.328005380358357</v>
      </c>
      <c r="DO32" s="15" t="n">
        <v>0.4124227576844087</v>
      </c>
      <c r="DP32" s="15" t="n">
        <v>10.5625</v>
      </c>
      <c r="DQ32" s="15" t="n">
        <v>59</v>
      </c>
      <c r="DR32" s="15" t="b">
        <v>0</v>
      </c>
      <c r="DS32" s="15" t="n">
        <v>3.576106417752772</v>
      </c>
      <c r="DT32" s="15" t="n">
        <v>24.49322980527186</v>
      </c>
      <c r="DU32" t="n">
        <v>42</v>
      </c>
      <c r="DV32" s="15" t="n">
        <v>0.05702214800118165</v>
      </c>
      <c r="DW32" s="15" t="n">
        <v>1.934302663384974</v>
      </c>
      <c r="DX32" s="15" t="n">
        <v>2.641522009024098</v>
      </c>
      <c r="DY32" s="15" t="n">
        <v>0.07628983446629005</v>
      </c>
      <c r="DZ32" s="15" t="b">
        <v>1</v>
      </c>
      <c r="EA32" s="15" t="n">
        <v>0.127044607698892</v>
      </c>
      <c r="EB32" s="15" t="n">
        <v>20000</v>
      </c>
      <c r="EC32" s="15" t="n">
        <v>11655.42472228951</v>
      </c>
      <c r="ED32" s="15" t="n">
        <v>25</v>
      </c>
      <c r="EE32" s="15" t="n">
        <v>0</v>
      </c>
      <c r="EF32" s="15" t="n">
        <v>0.02309617874936895</v>
      </c>
      <c r="EG32" s="15" t="b">
        <v>0</v>
      </c>
      <c r="EH32" s="15" t="b">
        <v>1</v>
      </c>
      <c r="EI32" s="15" t="b">
        <v>0</v>
      </c>
      <c r="EJ32" s="15" t="inlineStr">
        <is>
          <t>wf=log|dst=-90.0|ceil=20000.0|fft=adaptive_tier</t>
        </is>
      </c>
      <c r="EK32" s="15" t="inlineStr">
        <is>
          <t>wf=log|dst=runtime_configured|ceil=runtime_configured|fft=fixed</t>
        </is>
      </c>
      <c r="EL32" s="15" t="n">
        <v>0.7294664222912128</v>
      </c>
      <c r="EM32" s="15" t="n">
        <v>0.995566582750114</v>
      </c>
      <c r="EN32" s="15" t="n">
        <v>0.5813953488372093</v>
      </c>
      <c r="EO32" s="15" t="n">
        <v>0.3898654398031913</v>
      </c>
      <c r="EP32" s="15" t="inlineStr">
        <is>
          <t>warn:power_outlier_detected</t>
        </is>
      </c>
      <c r="EQ32" s="15" t="n">
        <v>357.2717732820406</v>
      </c>
      <c r="ER32" s="15" t="inlineStr">
        <is>
          <t>winsorize_p95_for_robust_diagnostics</t>
        </is>
      </c>
      <c r="ES32" s="15" t="n">
        <v>0.1157018791343523</v>
      </c>
      <c r="ET32" s="15" t="n">
        <v>0.008864126450575743</v>
      </c>
      <c r="EU32" s="15" t="n">
        <v>0.02357389403376504</v>
      </c>
      <c r="EV32" t="inlineStr">
        <is>
          <t>computed</t>
        </is>
      </c>
      <c r="EW32" s="15" t="inlineStr">
        <is>
          <t>computed</t>
        </is>
      </c>
      <c r="EX32" s="15" t="inlineStr">
        <is>
          <t>computed</t>
        </is>
      </c>
      <c r="EY32" s="15" t="inlineStr">
        <is>
          <t>available_from_curve</t>
        </is>
      </c>
      <c r="EZ32" s="15" t="n">
        <v>20000</v>
      </c>
      <c r="FA32" s="15" t="n">
        <v>20000</v>
      </c>
      <c r="FB32" s="15" t="n">
        <v>0.1560730601136729</v>
      </c>
      <c r="FC32" s="15" t="n">
        <v>0.4586711149404606</v>
      </c>
      <c r="FD32" s="15" t="n">
        <v>2.691738716108724</v>
      </c>
      <c r="FE32" s="15" t="n">
        <v>1.904858462405502</v>
      </c>
      <c r="FF32" s="15" t="n">
        <v>0.4323972515518834</v>
      </c>
      <c r="FG32" s="15" t="n">
        <v>2.06359459168007</v>
      </c>
      <c r="FH32" s="15" t="n">
        <v>0.314928441214005</v>
      </c>
      <c r="FI32" s="15" t="n">
        <v>0.02941639192669946</v>
      </c>
      <c r="FJ32" s="15" t="n">
        <v>10446.54714004012</v>
      </c>
      <c r="FK32" s="15" t="n">
        <v>66.3272559687927</v>
      </c>
      <c r="FL32" s="15" t="n">
        <v>0.08196618813394244</v>
      </c>
      <c r="FM32" s="15" t="n">
        <v>0.004843714501761544</v>
      </c>
      <c r="FN32" t="n">
        <v>0.9999994789594236</v>
      </c>
      <c r="FO32" t="n">
        <v>0</v>
      </c>
      <c r="FP32" t="n">
        <v>5.21040576346663e-07</v>
      </c>
      <c r="FQ32" t="inlineStr">
        <is>
          <t>excellent</t>
        </is>
      </c>
      <c r="FR32" s="19" t="n">
        <v>0.8809523809523809</v>
      </c>
      <c r="FS32" s="15" t="n">
        <v>2.342371947670597</v>
      </c>
      <c r="FT32" s="15" t="n">
        <v>17.81325639555835</v>
      </c>
      <c r="FU32" t="inlineStr">
        <is>
          <t>passed</t>
        </is>
      </c>
      <c r="FV32" t="n">
        <v>245.3717998784576</v>
      </c>
      <c r="FW32" t="n">
        <v>39.66321468987509</v>
      </c>
      <c r="FX32" t="n">
        <v>0.8532164106138291</v>
      </c>
      <c r="FY32" t="n">
        <v>0.1203504828138685</v>
      </c>
      <c r="FZ32" t="n">
        <v>0.1619441031601234</v>
      </c>
      <c r="GA32" t="n">
        <v>0.1208922330033763</v>
      </c>
      <c r="GB32" t="n">
        <v>0.04682101545065814</v>
      </c>
      <c r="GC32" t="n">
        <v>0.04680686549986059</v>
      </c>
      <c r="GD32" t="n">
        <v>0.0295010251554501</v>
      </c>
      <c r="GE32" t="n">
        <v>0.8357078313367817</v>
      </c>
      <c r="GF32" t="n">
        <v>0.3209689726322814</v>
      </c>
      <c r="GG32" t="n">
        <v>0.2737049175762608</v>
      </c>
      <c r="GH32" t="n">
        <v>0.1520208024993926</v>
      </c>
      <c r="GI32" t="n">
        <v>0.07710818802895889</v>
      </c>
      <c r="GJ32" t="n">
        <v>0.8423645320197041</v>
      </c>
      <c r="GK32" t="n">
        <v>0.06382978723404246</v>
      </c>
      <c r="GL32" t="n">
        <v>0.5902376084778981</v>
      </c>
      <c r="GM32" t="n">
        <v>0.5902376084778981</v>
      </c>
      <c r="GN32" t="n">
        <v>0.1308487382115379</v>
      </c>
      <c r="GO32" t="n">
        <v>0.01473459453686128</v>
      </c>
      <c r="GP32" t="n">
        <v>889.4748763295022</v>
      </c>
      <c r="GQ32" t="inlineStr">
        <is>
          <t>compiled workbook density_weighted_sum = density_component_ratio_weighted_sum (per-note component ratios); research density_weighted_sum maps body-ceiling richness</t>
        </is>
      </c>
      <c r="GR32" s="15" t="inlineStr">
        <is>
          <t>individual_exact</t>
        </is>
      </c>
      <c r="GS32" s="15" t="inlineStr">
        <is>
          <t>density_weight</t>
        </is>
      </c>
      <c r="GT32" s="15" t="n">
        <v>0.8535006763259947</v>
      </c>
      <c r="GU32" s="15" t="n">
        <v>0.1464993236740053</v>
      </c>
      <c r="GV32" s="15" t="n">
        <v>0</v>
      </c>
      <c r="GW32" s="15" t="inlineStr">
        <is>
          <t>log</t>
        </is>
      </c>
      <c r="GX32" s="15" t="n">
        <v>0.5</v>
      </c>
      <c r="GY32" s="15" t="inlineStr">
        <is>
          <t>EWSD-R v18.1</t>
        </is>
      </c>
      <c r="GZ32" s="15" t="n">
        <v>5.926106833327952</v>
      </c>
      <c r="HA32" s="15" t="n">
        <v>27.02487880043377</v>
      </c>
      <c r="HB32" s="15" t="n">
        <v>0.3595228311506412</v>
      </c>
      <c r="HC32" s="15" t="n">
        <v>10.15775917046765</v>
      </c>
      <c r="HD32" s="15" t="n">
        <v>34.92890608149379</v>
      </c>
      <c r="HE32" s="15" t="n">
        <v>0.3012648947968868</v>
      </c>
      <c r="HF32" s="15" t="inlineStr">
        <is>
          <t>partials+ratios</t>
        </is>
      </c>
      <c r="HG32" s="15" t="inlineStr">
        <is>
          <t>merged_individual_exact</t>
        </is>
      </c>
      <c r="HH32" s="15" t="inlineStr">
        <is>
          <t>passed</t>
        </is>
      </c>
      <c r="HI32" s="15" t="inlineStr">
        <is>
          <t>passed</t>
        </is>
      </c>
    </row>
    <row r="33">
      <c r="A33" t="inlineStr">
        <is>
          <t>incomplete_inference</t>
        </is>
      </c>
      <c r="B33" t="inlineStr">
        <is>
          <t>missing_instrument_technique</t>
        </is>
      </c>
      <c r="C33" t="inlineStr">
        <is>
          <t>prior_constrained_harmonic_fit</t>
        </is>
      </c>
      <c r="D33" t="inlineStr">
        <is>
          <t>IOWA_Trb.T_ff.B4_SustainStable/B4/component_amplitude_mass_pie.png</t>
        </is>
      </c>
      <c r="E33" t="inlineStr">
        <is>
          <t>IOWA_Trb.T_ff.B4_SustainStable/B4/component_energy_ratio_pie.png</t>
        </is>
      </c>
      <c r="F33" s="15" t="n">
        <v>494.0021123349747</v>
      </c>
      <c r="G33" s="15" t="inlineStr">
        <is>
          <t>prior_constrained_harmonic_fit</t>
        </is>
      </c>
      <c r="H33" s="15" t="inlineStr">
        <is>
          <t>fit_accepted_acoustically_verified</t>
        </is>
      </c>
      <c r="I33" s="16" t="n">
        <v>762.6678304048755</v>
      </c>
      <c r="J33" t="inlineStr">
        <is>
          <t>richness_weighted_body_density_body_ceiling</t>
        </is>
      </c>
      <c r="K33" t="inlineStr">
        <is>
          <t>research_body_ceiling_richness_metric</t>
        </is>
      </c>
      <c r="L33" s="15" t="n">
        <v>41032.02744538037</v>
      </c>
      <c r="M33" s="15" t="n">
        <v>41032.02744538037</v>
      </c>
      <c r="N33" s="15" t="n">
        <v>250.675441439294</v>
      </c>
      <c r="O33" s="15" t="n">
        <v>0.2828139997013964</v>
      </c>
      <c r="P33" s="15" t="n">
        <v>-3.694892312787757</v>
      </c>
      <c r="Q33" s="15" t="n">
        <v>21</v>
      </c>
      <c r="R33" s="15" t="n">
        <v>34</v>
      </c>
      <c r="S33" s="15" t="n">
        <v>10258.00891143942</v>
      </c>
      <c r="T33" s="15" t="n">
        <v>41</v>
      </c>
      <c r="U33" s="15" t="n">
        <v>-0.4071011264877638</v>
      </c>
      <c r="V33" s="15" t="n">
        <v>29.24618077218734</v>
      </c>
      <c r="W33" s="15" t="n">
        <v>0.8223297586775176</v>
      </c>
      <c r="X33" s="15" t="n">
        <v>0.5344707699398688</v>
      </c>
      <c r="Y33" s="15" t="n">
        <v>17</v>
      </c>
      <c r="Z33" s="15" t="n">
        <v>40</v>
      </c>
      <c r="AA33" s="15" t="n">
        <v>0.425</v>
      </c>
      <c r="AB33" s="15" t="n">
        <v>40</v>
      </c>
      <c r="AC33" s="15" t="n">
        <v>17</v>
      </c>
      <c r="AD33" s="15" t="n">
        <v>0.425</v>
      </c>
      <c r="AE33" s="15" t="n">
        <v>623.8578002338108</v>
      </c>
      <c r="AF33" s="15" t="n">
        <v>17</v>
      </c>
      <c r="AG33" s="15" t="n">
        <v>40</v>
      </c>
      <c r="AH33" s="15" t="n">
        <v>0.425</v>
      </c>
      <c r="AI33" s="15" t="n">
        <v>623.8578002338108</v>
      </c>
      <c r="AJ33" s="15" t="n">
        <v>9</v>
      </c>
      <c r="AK33" s="15" t="n">
        <v>8</v>
      </c>
      <c r="AL33" s="15" t="n">
        <v>1.511373232036502</v>
      </c>
      <c r="AM33" s="15" t="n">
        <v>38</v>
      </c>
      <c r="AN33" s="15" t="n">
        <v>0</v>
      </c>
      <c r="AO33" s="15" t="n">
        <v>38</v>
      </c>
      <c r="AP33" s="15" t="n">
        <v>0</v>
      </c>
      <c r="AQ33" s="15" t="n">
        <v>20.38302002513009</v>
      </c>
      <c r="AR33" s="15" t="n">
        <v>12.45253007157535</v>
      </c>
      <c r="AS33" s="15" t="n">
        <v>0</v>
      </c>
      <c r="AT33" s="17" t="n">
        <v>2.652150763135419</v>
      </c>
      <c r="AU33" s="18" t="n">
        <v>13.3601943779279</v>
      </c>
      <c r="AV33" s="15" t="n">
        <v>18.45686653067769</v>
      </c>
      <c r="AW33" s="15" t="b">
        <v>1</v>
      </c>
      <c r="AX33" s="15" t="n">
        <v>11.31860717312161</v>
      </c>
      <c r="AY33" s="15" t="n">
        <v>18.35740111777549</v>
      </c>
      <c r="AZ33" s="15" t="n">
        <v>0</v>
      </c>
      <c r="BA33" s="15" t="n">
        <v>1</v>
      </c>
      <c r="BB33" s="15" t="n">
        <v>0.5</v>
      </c>
      <c r="BC33" s="15" t="n">
        <v>0.25</v>
      </c>
      <c r="BD33" s="15" t="inlineStr">
        <is>
          <t>his_note_adaptive</t>
        </is>
      </c>
      <c r="BE33" s="15" t="n">
        <v>-90</v>
      </c>
      <c r="BF33" s="15" t="n">
        <v>20000</v>
      </c>
      <c r="BG33" s="15" t="n">
        <v>17</v>
      </c>
      <c r="BH33" s="15" t="n">
        <v>0.425</v>
      </c>
      <c r="BI33" s="15" t="n">
        <v>40</v>
      </c>
      <c r="BJ33" s="15" t="n">
        <v>17</v>
      </c>
      <c r="BK33" s="15" t="n">
        <v>40</v>
      </c>
      <c r="BL33" s="15" t="n">
        <v>35</v>
      </c>
      <c r="BM33" s="15" t="n">
        <v>0.875</v>
      </c>
      <c r="BN33" s="15" t="n">
        <v>0.3672857587355923</v>
      </c>
      <c r="BO33" s="15" t="n">
        <v>0.3166666666666667</v>
      </c>
      <c r="BP33" s="19" t="n">
        <v>0.8417251503634045</v>
      </c>
      <c r="BQ33" s="19" t="n">
        <v>0.1582748496365957</v>
      </c>
      <c r="BR33" s="19" t="n">
        <v>0</v>
      </c>
      <c r="BS33" s="15" t="n">
        <v>0.05954481582253991</v>
      </c>
      <c r="BT33" s="19" t="n">
        <v>1</v>
      </c>
      <c r="BU33" s="19" t="n">
        <v>0</v>
      </c>
      <c r="BV33" s="19" t="n">
        <v>0</v>
      </c>
      <c r="BW33" t="inlineStr">
        <is>
          <t>B4</t>
        </is>
      </c>
      <c r="BX33" t="n">
        <v>71</v>
      </c>
      <c r="BY33" t="inlineStr">
        <is>
          <t>B</t>
        </is>
      </c>
      <c r="BZ33" t="n">
        <v>4</v>
      </c>
      <c r="CA33" t="inlineStr">
        <is>
          <t>High</t>
        </is>
      </c>
      <c r="CB33" t="inlineStr">
        <is>
          <t>ff</t>
        </is>
      </c>
      <c r="CC33" s="15" t="n">
        <v>493.8833012561242</v>
      </c>
      <c r="CD33" s="15" t="n">
        <v>494.0021123349747</v>
      </c>
      <c r="CE33" t="inlineStr">
        <is>
          <t>prior_constrained_harmonic_fit</t>
        </is>
      </c>
      <c r="CF33" t="n">
        <v>494.0021123349747</v>
      </c>
      <c r="CG33" s="15" t="n">
        <v>1</v>
      </c>
      <c r="CH33" t="inlineStr">
        <is>
          <t>free_fit_acoustically_verified</t>
        </is>
      </c>
      <c r="CI33" s="15" t="inlineStr">
        <is>
          <t>free_f0_fit</t>
        </is>
      </c>
      <c r="CJ33" s="15" t="n">
        <v>493.8833012561242</v>
      </c>
      <c r="CK33" s="15" t="n">
        <v>494.0021123349747</v>
      </c>
      <c r="CL33" s="15" t="n">
        <v>0.4164243813589462</v>
      </c>
      <c r="CM33" s="15" t="n">
        <v>20000</v>
      </c>
      <c r="CN33" s="15" t="n">
        <v>0.4164243813589462</v>
      </c>
      <c r="CO33" s="15" t="n">
        <v>2.366674543954194</v>
      </c>
      <c r="CP33" s="15" t="n">
        <v>41032.02744538037</v>
      </c>
      <c r="CQ33" t="n">
        <v>2.973941588122003</v>
      </c>
      <c r="CR33" t="n">
        <v>0.07434853970305007</v>
      </c>
      <c r="CS33" t="n">
        <v>256.4501715336273</v>
      </c>
      <c r="CT33" t="n">
        <v>256.4501715336273</v>
      </c>
      <c r="CU33" t="n">
        <v>762.6678304048755</v>
      </c>
      <c r="CV33" t="n">
        <v>0.2828139997013964</v>
      </c>
      <c r="CW33" s="15" t="n">
        <v>41032.02744538037</v>
      </c>
      <c r="CX33" s="15" t="n">
        <v>250.675441439294</v>
      </c>
      <c r="CY33" s="15" t="n">
        <v>0.2828139997013964</v>
      </c>
      <c r="CZ33" s="15" t="n">
        <v>2.652150763135419</v>
      </c>
      <c r="DA33" s="15" t="n">
        <v>2.652150763135419</v>
      </c>
      <c r="DB33" s="15" t="n">
        <v>1.851603581754094</v>
      </c>
      <c r="DC33" s="15" t="n">
        <v>0</v>
      </c>
      <c r="DD33" s="15" t="n">
        <v>6.463611301356774e-05</v>
      </c>
      <c r="DE33" s="15" t="n">
        <v>0</v>
      </c>
      <c r="DF33" s="15" t="n">
        <v>21</v>
      </c>
      <c r="DG33" s="15" t="inlineStr">
        <is>
          <t>Density_Metrics</t>
        </is>
      </c>
      <c r="DH33" s="15" t="n">
        <v>2.366674543954194</v>
      </c>
      <c r="DI33" t="n">
        <v>0.8734576050400412</v>
      </c>
      <c r="DJ33" s="15" t="n">
        <v>0.5625486971882008</v>
      </c>
      <c r="DK33" s="15" t="n">
        <v>4.905127574469851</v>
      </c>
      <c r="DL33" s="15" t="n">
        <v>3.01041047212582</v>
      </c>
      <c r="DM33" s="15" t="n">
        <v>1.234093650764973</v>
      </c>
      <c r="DN33" s="15" t="n">
        <v>6.344841584534606</v>
      </c>
      <c r="DO33" s="15" t="n">
        <v>0.4512833988929376</v>
      </c>
      <c r="DP33" s="15" t="n">
        <v>10.625</v>
      </c>
      <c r="DQ33" s="15" t="n">
        <v>51</v>
      </c>
      <c r="DR33" s="15" t="b">
        <v>0</v>
      </c>
      <c r="DS33" s="15" t="n">
        <v>2.973941588122003</v>
      </c>
      <c r="DT33" s="15" t="n">
        <v>21.37883079759475</v>
      </c>
      <c r="DU33" t="n">
        <v>40</v>
      </c>
      <c r="DV33" s="15" t="n">
        <v>0.05954481582253991</v>
      </c>
      <c r="DW33" s="15" t="n">
        <v>1.874697494126862</v>
      </c>
      <c r="DX33" s="15" t="n">
        <v>2.609043412518019</v>
      </c>
      <c r="DY33" s="15" t="n">
        <v>0.07956735837342874</v>
      </c>
      <c r="DZ33" s="15" t="b">
        <v>1</v>
      </c>
      <c r="EA33" s="15" t="n">
        <v>0.117209055789805</v>
      </c>
      <c r="EB33" s="15" t="n">
        <v>20000</v>
      </c>
      <c r="EC33" s="15" t="n">
        <v>10374.04435903447</v>
      </c>
      <c r="ED33" s="15" t="n">
        <v>21</v>
      </c>
      <c r="EE33" s="15" t="n">
        <v>0</v>
      </c>
      <c r="EF33" s="15" t="n">
        <v>0.02179988984263414</v>
      </c>
      <c r="EG33" s="15" t="b">
        <v>0</v>
      </c>
      <c r="EH33" s="15" t="b">
        <v>1</v>
      </c>
      <c r="EI33" s="15" t="b">
        <v>0</v>
      </c>
      <c r="EJ33" s="15" t="inlineStr">
        <is>
          <t>wf=log|dst=-90.0|ceil=20000.0|fft=adaptive_tier</t>
        </is>
      </c>
      <c r="EK33" s="15" t="inlineStr">
        <is>
          <t>wf=log|dst=runtime_configured|ceil=runtime_configured|fft=fixed</t>
        </is>
      </c>
      <c r="EL33" s="15" t="n">
        <v>0.7042341235943942</v>
      </c>
      <c r="EM33" s="15" t="n">
        <v>0.9988953061311053</v>
      </c>
      <c r="EN33" s="15" t="n">
        <v>0.5121951219512195</v>
      </c>
      <c r="EO33" s="15" t="n">
        <v>0.3773147157623495</v>
      </c>
      <c r="EP33" s="15" t="inlineStr">
        <is>
          <t>warn:power_outlier_detected</t>
        </is>
      </c>
      <c r="EQ33" s="15" t="n">
        <v>436.9999187829835</v>
      </c>
      <c r="ER33" s="15" t="inlineStr">
        <is>
          <t>winsorize_p95_for_robust_diagnostics</t>
        </is>
      </c>
      <c r="ES33" s="15" t="n">
        <v>0.1181605290002587</v>
      </c>
      <c r="ET33" s="15" t="n">
        <v>0.009557727830818081</v>
      </c>
      <c r="EU33" s="15" t="n">
        <v>0.02216960784608066</v>
      </c>
      <c r="EV33" t="inlineStr">
        <is>
          <t>computed</t>
        </is>
      </c>
      <c r="EW33" s="15" t="inlineStr">
        <is>
          <t>computed</t>
        </is>
      </c>
      <c r="EX33" s="15" t="inlineStr">
        <is>
          <t>computed</t>
        </is>
      </c>
      <c r="EY33" s="15" t="inlineStr">
        <is>
          <t>available_from_curve</t>
        </is>
      </c>
      <c r="EZ33" s="15" t="n">
        <v>20000</v>
      </c>
      <c r="FA33" s="15" t="n">
        <v>20000</v>
      </c>
      <c r="FB33" s="15" t="n">
        <v>0.1582748496365957</v>
      </c>
      <c r="FC33" s="15" t="n">
        <v>0.4269771774510698</v>
      </c>
      <c r="FD33" s="15" t="n">
        <v>2.652150763135419</v>
      </c>
      <c r="FE33" s="15" t="n">
        <v>1.851603581754094</v>
      </c>
      <c r="FF33" s="15" t="n">
        <v>0.4013732295803371</v>
      </c>
      <c r="FG33" s="15" t="n">
        <v>2.033244883083726</v>
      </c>
      <c r="FH33" s="15" t="n">
        <v>0.306123862353376</v>
      </c>
      <c r="FI33" s="15" t="n">
        <v>0.02730579851709256</v>
      </c>
      <c r="FJ33" s="15" t="n">
        <v>10258.00686134509</v>
      </c>
      <c r="FK33" s="15" t="n">
        <v>62.6688603598235</v>
      </c>
      <c r="FL33" s="15" t="n">
        <v>0.07070349992534909</v>
      </c>
      <c r="FM33" s="15" t="n">
        <v>0.004732704521815362</v>
      </c>
      <c r="FN33" t="n">
        <v>1</v>
      </c>
      <c r="FO33" t="n">
        <v>0</v>
      </c>
      <c r="FP33" t="n">
        <v>0</v>
      </c>
      <c r="FQ33" t="inlineStr">
        <is>
          <t>excellent</t>
        </is>
      </c>
      <c r="FR33" s="19" t="n">
        <v>0.875</v>
      </c>
      <c r="FS33" s="15" t="n">
        <v>2.143389807896379</v>
      </c>
      <c r="FT33" s="15" t="n">
        <v>17.67893548049736</v>
      </c>
      <c r="FU33" t="inlineStr">
        <is>
          <t>passed</t>
        </is>
      </c>
      <c r="FV33" t="n">
        <v>223.9505983352335</v>
      </c>
      <c r="FW33" t="n">
        <v>35.02823117901843</v>
      </c>
      <c r="FX33" t="n">
        <v>0.7599207656717939</v>
      </c>
      <c r="FY33" t="n">
        <v>0</v>
      </c>
      <c r="FZ33" t="n">
        <v>0.1320716077559301</v>
      </c>
      <c r="GA33" t="n">
        <v>0</v>
      </c>
      <c r="GB33" t="n">
        <v>0</v>
      </c>
      <c r="GC33" t="n">
        <v>0</v>
      </c>
      <c r="GD33" t="n">
        <v>0.008733893093292587</v>
      </c>
      <c r="GE33" t="n">
        <v>1</v>
      </c>
      <c r="GF33" t="n">
        <v>0.2445306000121795</v>
      </c>
      <c r="GG33" t="n">
        <v>0.3023644941763383</v>
      </c>
      <c r="GH33" t="n">
        <v>0.1865195843555025</v>
      </c>
      <c r="GI33" t="n">
        <v>0.0231905781584582</v>
      </c>
      <c r="GJ33" t="n">
        <v>0.8068965517241378</v>
      </c>
      <c r="GK33" t="n">
        <v>0.08510638297872351</v>
      </c>
      <c r="GL33" t="n">
        <v>0.6027768692442342</v>
      </c>
      <c r="GM33" t="n">
        <v>0.6027768692442342</v>
      </c>
      <c r="GN33" t="n">
        <v>0.0646996225473455</v>
      </c>
      <c r="GO33" t="n">
        <v>0</v>
      </c>
      <c r="GP33" t="n">
        <v>762.6678304048755</v>
      </c>
      <c r="GQ33" t="inlineStr">
        <is>
          <t>compiled workbook density_weighted_sum = density_component_ratio_weighted_sum (per-note component ratios); research density_weighted_sum maps body-ceiling richness</t>
        </is>
      </c>
      <c r="GR33" s="15" t="inlineStr">
        <is>
          <t>individual_exact</t>
        </is>
      </c>
      <c r="GS33" s="15" t="inlineStr">
        <is>
          <t>density_weight</t>
        </is>
      </c>
      <c r="GT33" s="15" t="n">
        <v>0.8389038083271386</v>
      </c>
      <c r="GU33" s="15" t="n">
        <v>0.1610961916728614</v>
      </c>
      <c r="GV33" s="15" t="n">
        <v>0</v>
      </c>
      <c r="GW33" s="15" t="inlineStr">
        <is>
          <t>log</t>
        </is>
      </c>
      <c r="GX33" s="15" t="n">
        <v>0.5</v>
      </c>
      <c r="GY33" s="15" t="inlineStr">
        <is>
          <t>EWSD-R v18.1</t>
        </is>
      </c>
      <c r="GZ33" s="15" t="n">
        <v>5.006714763743722</v>
      </c>
      <c r="HA33" s="15" t="n">
        <v>23.57447792063884</v>
      </c>
      <c r="HB33" s="15" t="n">
        <v>0.3706674584234965</v>
      </c>
      <c r="HC33" s="15" t="n">
        <v>8.729998596316642</v>
      </c>
      <c r="HD33" s="15" t="n">
        <v>30.26007848460488</v>
      </c>
      <c r="HE33" s="15" t="n">
        <v>0.3137317387182236</v>
      </c>
      <c r="HF33" s="15" t="inlineStr">
        <is>
          <t>partials+ratios</t>
        </is>
      </c>
      <c r="HG33" s="15" t="inlineStr">
        <is>
          <t>merged_individual_exact</t>
        </is>
      </c>
      <c r="HH33" s="15" t="inlineStr">
        <is>
          <t>passed</t>
        </is>
      </c>
      <c r="HI33" s="15" t="inlineStr">
        <is>
          <t>passed</t>
        </is>
      </c>
    </row>
    <row r="34">
      <c r="A34" t="inlineStr">
        <is>
          <t>incomplete_inference</t>
        </is>
      </c>
      <c r="B34" t="inlineStr">
        <is>
          <t>missing_instrument_technique</t>
        </is>
      </c>
      <c r="C34" t="inlineStr">
        <is>
          <t>prior_constrained_harmonic_fit</t>
        </is>
      </c>
      <c r="D34" t="inlineStr">
        <is>
          <t>IOWA_Trb.T_ff.C5_SustainStable/C5/component_amplitude_mass_pie.png</t>
        </is>
      </c>
      <c r="E34" t="inlineStr">
        <is>
          <t>IOWA_Trb.T_ff.C5_SustainStable/C5/component_energy_ratio_pie.png</t>
        </is>
      </c>
      <c r="F34" s="15" t="n">
        <v>523.6479988924611</v>
      </c>
      <c r="G34" s="15" t="inlineStr">
        <is>
          <t>prior_constrained_harmonic_fit</t>
        </is>
      </c>
      <c r="H34" s="15" t="inlineStr">
        <is>
          <t>fit_accepted_acoustically_verified</t>
        </is>
      </c>
      <c r="I34" s="16" t="n">
        <v>202.0313585119185</v>
      </c>
      <c r="J34" t="inlineStr">
        <is>
          <t>richness_weighted_body_density_body_ceiling</t>
        </is>
      </c>
      <c r="K34" t="inlineStr">
        <is>
          <t>research_body_ceiling_richness_metric</t>
        </is>
      </c>
      <c r="L34" s="15" t="n">
        <v>41233.25702398052</v>
      </c>
      <c r="M34" s="15" t="n">
        <v>41233.25702398052</v>
      </c>
      <c r="N34" s="15" t="n">
        <v>460.8712451499484</v>
      </c>
      <c r="O34" s="15" t="n">
        <v>0.5038112927936691</v>
      </c>
      <c r="P34" s="15" t="n">
        <v>-2.32110684198565</v>
      </c>
      <c r="Q34" s="15" t="n">
        <v>29</v>
      </c>
      <c r="R34" s="15" t="n">
        <v>32</v>
      </c>
      <c r="S34" s="15" t="n">
        <v>2577.078654824847</v>
      </c>
      <c r="T34" s="15" t="n">
        <v>39</v>
      </c>
      <c r="U34" s="15" t="n">
        <v>-0.7638816409485486</v>
      </c>
      <c r="V34" s="15" t="n">
        <v>27.5879794463935</v>
      </c>
      <c r="W34" s="15" t="n">
        <v>0.7258382217504408</v>
      </c>
      <c r="X34" s="15" t="n">
        <v>0.3786723875445815</v>
      </c>
      <c r="Y34" s="15" t="n">
        <v>17</v>
      </c>
      <c r="Z34" s="15" t="n">
        <v>38</v>
      </c>
      <c r="AA34" s="15" t="n">
        <v>0.4473684210526316</v>
      </c>
      <c r="AB34" s="15" t="n">
        <v>38</v>
      </c>
      <c r="AC34" s="15" t="n">
        <v>17</v>
      </c>
      <c r="AD34" s="15" t="n">
        <v>0.4473684210526316</v>
      </c>
      <c r="AE34" s="15" t="n">
        <v>311.6942136952706</v>
      </c>
      <c r="AF34" s="15" t="n">
        <v>17</v>
      </c>
      <c r="AG34" s="15" t="n">
        <v>38</v>
      </c>
      <c r="AH34" s="15" t="n">
        <v>0.4473684210526316</v>
      </c>
      <c r="AI34" s="15" t="n">
        <v>311.6942136952706</v>
      </c>
      <c r="AJ34" s="15" t="n">
        <v>9</v>
      </c>
      <c r="AK34" s="15" t="n">
        <v>8</v>
      </c>
      <c r="AL34" s="15" t="n">
        <v>1.186033556638723</v>
      </c>
      <c r="AM34" s="15" t="n">
        <v>41</v>
      </c>
      <c r="AN34" s="15" t="n">
        <v>0</v>
      </c>
      <c r="AO34" s="15" t="n">
        <v>41</v>
      </c>
      <c r="AP34" s="15" t="n">
        <v>0</v>
      </c>
      <c r="AQ34" s="15" t="n">
        <v>23.4385929008159</v>
      </c>
      <c r="AR34" s="15" t="n">
        <v>14.58970842259206</v>
      </c>
      <c r="AS34" s="15" t="n">
        <v>0.0376841220117697</v>
      </c>
      <c r="AT34" s="17" t="n">
        <v>2.652526789462859</v>
      </c>
      <c r="AU34" s="18" t="n">
        <v>8.91209187106965</v>
      </c>
      <c r="AV34" s="15" t="n">
        <v>12.93429759966476</v>
      </c>
      <c r="AW34" s="15" t="b">
        <v>1</v>
      </c>
      <c r="AX34" s="15" t="n">
        <v>11.71176506727261</v>
      </c>
      <c r="AY34" s="15" t="n">
        <v>22.43936371990899</v>
      </c>
      <c r="AZ34" s="15" t="n">
        <v>0</v>
      </c>
      <c r="BA34" s="15" t="n">
        <v>1</v>
      </c>
      <c r="BB34" s="15" t="n">
        <v>0.5</v>
      </c>
      <c r="BC34" s="15" t="n">
        <v>0.25</v>
      </c>
      <c r="BD34" s="15" t="inlineStr">
        <is>
          <t>his_note_adaptive</t>
        </is>
      </c>
      <c r="BE34" s="15" t="n">
        <v>-90</v>
      </c>
      <c r="BF34" s="15" t="n">
        <v>20000</v>
      </c>
      <c r="BG34" s="15" t="n">
        <v>17</v>
      </c>
      <c r="BH34" s="15" t="n">
        <v>0.4473684210526316</v>
      </c>
      <c r="BI34" s="15" t="n">
        <v>38</v>
      </c>
      <c r="BJ34" s="15" t="n">
        <v>17</v>
      </c>
      <c r="BK34" s="15" t="n">
        <v>38</v>
      </c>
      <c r="BL34" s="15" t="n">
        <v>32</v>
      </c>
      <c r="BM34" s="15" t="n">
        <v>0.8421052631578947</v>
      </c>
      <c r="BN34" s="15" t="n">
        <v>0.2751930814548964</v>
      </c>
      <c r="BO34" s="15" t="n">
        <v>0.3416666666666667</v>
      </c>
      <c r="BP34" s="19" t="n">
        <v>0.7719760843013412</v>
      </c>
      <c r="BQ34" s="19" t="n">
        <v>0.2280239156986588</v>
      </c>
      <c r="BR34" s="19" t="n">
        <v>0</v>
      </c>
      <c r="BS34" s="15" t="n">
        <v>0.1009204466062582</v>
      </c>
      <c r="BT34" s="19" t="n">
        <v>1</v>
      </c>
      <c r="BU34" s="19" t="n">
        <v>0</v>
      </c>
      <c r="BV34" s="19" t="n">
        <v>0</v>
      </c>
      <c r="BW34" t="inlineStr">
        <is>
          <t>C5</t>
        </is>
      </c>
      <c r="BX34" t="n">
        <v>72</v>
      </c>
      <c r="BY34" t="inlineStr">
        <is>
          <t>C</t>
        </is>
      </c>
      <c r="BZ34" t="n">
        <v>5</v>
      </c>
      <c r="CA34" t="inlineStr">
        <is>
          <t>Very high</t>
        </is>
      </c>
      <c r="CB34" t="inlineStr">
        <is>
          <t>ff</t>
        </is>
      </c>
      <c r="CC34" s="15" t="n">
        <v>523.2511306011972</v>
      </c>
      <c r="CD34" s="15" t="n">
        <v>523.6479988924611</v>
      </c>
      <c r="CE34" t="inlineStr">
        <is>
          <t>prior_constrained_harmonic_fit</t>
        </is>
      </c>
      <c r="CF34" t="n">
        <v>523.6479988924611</v>
      </c>
      <c r="CG34" s="15" t="n">
        <v>1</v>
      </c>
      <c r="CH34" t="inlineStr">
        <is>
          <t>free_fit_acoustically_verified</t>
        </is>
      </c>
      <c r="CI34" s="15" t="inlineStr">
        <is>
          <t>free_f0_fit</t>
        </is>
      </c>
      <c r="CJ34" s="15" t="n">
        <v>523.2511306011972</v>
      </c>
      <c r="CK34" s="15" t="n">
        <v>523.6479988924611</v>
      </c>
      <c r="CL34" s="15" t="n">
        <v>1.312584779922509</v>
      </c>
      <c r="CM34" s="15" t="n">
        <v>20000</v>
      </c>
      <c r="CN34" s="15" t="n">
        <v>1.312584779922509</v>
      </c>
      <c r="CO34" s="15" t="n">
        <v>2.391382156406972</v>
      </c>
      <c r="CP34" s="15" t="n">
        <v>41233.25702398052</v>
      </c>
      <c r="CQ34" t="n">
        <v>2.979028940251014</v>
      </c>
      <c r="CR34" t="n">
        <v>0.07839549842765828</v>
      </c>
      <c r="CS34" t="n">
        <v>67.81785694733642</v>
      </c>
      <c r="CT34" t="n">
        <v>67.81785694733642</v>
      </c>
      <c r="CU34" t="n">
        <v>202.0313585119185</v>
      </c>
      <c r="CV34" t="n">
        <v>0.5038112927936691</v>
      </c>
      <c r="CW34" s="15" t="n">
        <v>41233.25702398052</v>
      </c>
      <c r="CX34" s="15" t="n">
        <v>460.8712451499484</v>
      </c>
      <c r="CY34" s="15" t="n">
        <v>0.5038112927936691</v>
      </c>
      <c r="CZ34" s="15" t="n">
        <v>2.652526789462859</v>
      </c>
      <c r="DA34" s="15" t="n">
        <v>2.652526789462859</v>
      </c>
      <c r="DB34" s="15" t="n">
        <v>2.002900488159321</v>
      </c>
      <c r="DC34" s="15" t="n">
        <v>0</v>
      </c>
      <c r="DD34" s="15" t="n">
        <v>6.43297905843382e-05</v>
      </c>
      <c r="DE34" s="15" t="n">
        <v>0</v>
      </c>
      <c r="DF34" s="15" t="n">
        <v>29</v>
      </c>
      <c r="DG34" s="15" t="inlineStr">
        <is>
          <t>Density_Metrics</t>
        </is>
      </c>
      <c r="DH34" s="15" t="n">
        <v>2.391382156406972</v>
      </c>
      <c r="DI34" t="n">
        <v>0.8825763290548791</v>
      </c>
      <c r="DJ34" s="15" t="n">
        <v>0.5625934099515023</v>
      </c>
      <c r="DK34" s="15" t="n">
        <v>5.048062743659546</v>
      </c>
      <c r="DL34" s="15" t="n">
        <v>3.045954237641734</v>
      </c>
      <c r="DM34" s="15" t="n">
        <v>1.26440897651551</v>
      </c>
      <c r="DN34" s="15" t="n">
        <v>6.731800334477753</v>
      </c>
      <c r="DO34" s="15" t="n">
        <v>0.4725638188205059</v>
      </c>
      <c r="DP34" s="15" t="n">
        <v>22.3125</v>
      </c>
      <c r="DQ34" s="15" t="n">
        <v>61</v>
      </c>
      <c r="DR34" s="15" t="b">
        <v>0</v>
      </c>
      <c r="DS34" s="15" t="n">
        <v>2.979028940251014</v>
      </c>
      <c r="DT34" s="15" t="n">
        <v>14.3895507266941</v>
      </c>
      <c r="DU34" t="n">
        <v>38</v>
      </c>
      <c r="DV34" s="15" t="n">
        <v>0.1009204466062582</v>
      </c>
      <c r="DW34" s="15" t="n">
        <v>1.488467645562512</v>
      </c>
      <c r="DX34" s="15" t="n">
        <v>2.332627360856962</v>
      </c>
      <c r="DY34" s="15" t="n">
        <v>0.1010734879639182</v>
      </c>
      <c r="DZ34" s="15" t="b">
        <v>1</v>
      </c>
      <c r="EA34" s="15" t="n">
        <v>0.1349560873660962</v>
      </c>
      <c r="EB34" s="15" t="n">
        <v>20000</v>
      </c>
      <c r="EC34" s="15" t="n">
        <v>16233.08796566629</v>
      </c>
      <c r="ED34" s="15" t="n">
        <v>31</v>
      </c>
      <c r="EE34" s="15" t="n">
        <v>0</v>
      </c>
      <c r="EF34" s="15" t="n">
        <v>0.04115271208350588</v>
      </c>
      <c r="EG34" s="15" t="b">
        <v>0</v>
      </c>
      <c r="EH34" s="15" t="b">
        <v>1</v>
      </c>
      <c r="EI34" s="15" t="b">
        <v>0</v>
      </c>
      <c r="EJ34" s="15" t="inlineStr">
        <is>
          <t>wf=log|dst=-90.0|ceil=20000.0|fft=adaptive_tier</t>
        </is>
      </c>
      <c r="EK34" s="15" t="inlineStr">
        <is>
          <t>wf=log|dst=runtime_configured|ceil=runtime_configured|fft=fixed</t>
        </is>
      </c>
      <c r="EL34" s="15" t="n">
        <v>0.7929630935006564</v>
      </c>
      <c r="EM34" s="15" t="n">
        <v>0.991065419891519</v>
      </c>
      <c r="EN34" s="15" t="n">
        <v>0.7435897435897436</v>
      </c>
      <c r="EO34" s="15" t="n">
        <v>0.4336362214653131</v>
      </c>
      <c r="EP34" s="15" t="inlineStr">
        <is>
          <t>warn:power_outlier_detected</t>
        </is>
      </c>
      <c r="EQ34" s="15" t="n">
        <v>192.3393826667728</v>
      </c>
      <c r="ER34" s="15" t="inlineStr">
        <is>
          <t>winsorize_p95_for_robust_diagnostics</t>
        </is>
      </c>
      <c r="ES34" s="15" t="n">
        <v>0.09276628363493568</v>
      </c>
      <c r="ET34" s="15" t="n">
        <v>0.007269599441359012</v>
      </c>
      <c r="EU34" s="15" t="n">
        <v>0.02152290042856464</v>
      </c>
      <c r="EV34" t="inlineStr">
        <is>
          <t>computed</t>
        </is>
      </c>
      <c r="EW34" s="15" t="inlineStr">
        <is>
          <t>computed</t>
        </is>
      </c>
      <c r="EX34" s="15" t="inlineStr">
        <is>
          <t>computed</t>
        </is>
      </c>
      <c r="EY34" s="15" t="inlineStr">
        <is>
          <t>available_from_curve</t>
        </is>
      </c>
      <c r="EZ34" s="15" t="n">
        <v>20000</v>
      </c>
      <c r="FA34" s="15" t="n">
        <v>20000</v>
      </c>
      <c r="FB34" s="15" t="n">
        <v>0.2280239156986588</v>
      </c>
      <c r="FC34" s="15" t="n">
        <v>0.3959777336639057</v>
      </c>
      <c r="FD34" s="15" t="n">
        <v>2.652526789462859</v>
      </c>
      <c r="FE34" s="15" t="n">
        <v>2.002900488159321</v>
      </c>
      <c r="FF34" s="15" t="n">
        <v>0.3926354660373654</v>
      </c>
      <c r="FG34" s="15" t="n">
        <v>2.033533159910519</v>
      </c>
      <c r="FH34" s="15" t="n">
        <v>0.3311376362557839</v>
      </c>
      <c r="FI34" s="15" t="n">
        <v>0.02671136024066878</v>
      </c>
      <c r="FJ34" s="15" t="n">
        <v>2577.078563998783</v>
      </c>
      <c r="FK34" s="15" t="n">
        <v>28.80445282187178</v>
      </c>
      <c r="FL34" s="15" t="n">
        <v>0.03148820579960432</v>
      </c>
      <c r="FM34" s="15" t="n">
        <v>0.004790489632614028</v>
      </c>
      <c r="FN34" t="n">
        <v>1</v>
      </c>
      <c r="FO34" t="n">
        <v>0</v>
      </c>
      <c r="FP34" t="n">
        <v>0</v>
      </c>
      <c r="FQ34" t="inlineStr">
        <is>
          <t>good</t>
        </is>
      </c>
      <c r="FR34" s="19" t="n">
        <v>0.8421052631578947</v>
      </c>
      <c r="FS34" s="15" t="n">
        <v>2.335280758765241</v>
      </c>
      <c r="FT34" s="15" t="n">
        <v>17.65516766171438</v>
      </c>
      <c r="FU34" t="inlineStr">
        <is>
          <t>passed</t>
        </is>
      </c>
      <c r="FV34" t="n">
        <v>112.0725095698872</v>
      </c>
      <c r="FW34" t="n">
        <v>24.9175243129447</v>
      </c>
      <c r="FX34" t="n">
        <v>0.3674125808093185</v>
      </c>
      <c r="FY34" t="n">
        <v>0.07206062456557309</v>
      </c>
      <c r="FZ34" t="n">
        <v>0</v>
      </c>
      <c r="GA34" t="n">
        <v>0.1395026271949675</v>
      </c>
      <c r="GB34" t="n">
        <v>0.002722470325803523</v>
      </c>
      <c r="GC34" t="n">
        <v>0.0003954448933841805</v>
      </c>
      <c r="GD34" t="n">
        <v>0</v>
      </c>
      <c r="GE34" t="n">
        <v>0.6909515191351135</v>
      </c>
      <c r="GF34" t="n">
        <v>0</v>
      </c>
      <c r="GG34" t="n">
        <v>0.7724256135131005</v>
      </c>
      <c r="GH34" t="n">
        <v>0.003944974467214327</v>
      </c>
      <c r="GI34" t="n">
        <v>0.067237687366167</v>
      </c>
      <c r="GJ34" t="n">
        <v>0.6108892921960067</v>
      </c>
      <c r="GK34" t="n">
        <v>0.148936170212766</v>
      </c>
      <c r="GL34" t="n">
        <v>1</v>
      </c>
      <c r="GM34" t="n">
        <v>1</v>
      </c>
      <c r="GN34" t="n">
        <v>0</v>
      </c>
      <c r="GO34" t="n">
        <v>0.03590413355517214</v>
      </c>
      <c r="GP34" t="n">
        <v>202.0313585119185</v>
      </c>
      <c r="GQ34" t="inlineStr">
        <is>
          <t>compiled workbook density_weighted_sum = density_component_ratio_weighted_sum (per-note component ratios); research density_weighted_sum maps body-ceiling richness</t>
        </is>
      </c>
      <c r="GR34" s="15" t="inlineStr">
        <is>
          <t>individual_exact</t>
        </is>
      </c>
      <c r="GS34" s="15" t="inlineStr">
        <is>
          <t>density_weight</t>
        </is>
      </c>
      <c r="GT34" s="15" t="n">
        <v>0.7317252957993375</v>
      </c>
      <c r="GU34" s="15" t="n">
        <v>0.2682747042006625</v>
      </c>
      <c r="GV34" s="15" t="n">
        <v>0</v>
      </c>
      <c r="GW34" s="15" t="inlineStr">
        <is>
          <t>log</t>
        </is>
      </c>
      <c r="GX34" s="15" t="n">
        <v>0.5</v>
      </c>
      <c r="GY34" s="15" t="inlineStr">
        <is>
          <t>EWSD-R v18.1</t>
        </is>
      </c>
      <c r="GZ34" s="15" t="n">
        <v>2.581426706804596</v>
      </c>
      <c r="HA34" s="15" t="n">
        <v>13.81571973241465</v>
      </c>
      <c r="HB34" s="15" t="n">
        <v>0.3443906095480166</v>
      </c>
      <c r="HC34" s="15" t="n">
        <v>5.303085671182917</v>
      </c>
      <c r="HD34" s="15" t="n">
        <v>21.01884910880071</v>
      </c>
      <c r="HE34" s="15" t="n">
        <v>0.3305311871961462</v>
      </c>
      <c r="HF34" s="15" t="inlineStr">
        <is>
          <t>partials+ratios</t>
        </is>
      </c>
      <c r="HG34" s="15" t="inlineStr">
        <is>
          <t>merged_individual_exact</t>
        </is>
      </c>
      <c r="HH34" s="15" t="inlineStr">
        <is>
          <t>passed</t>
        </is>
      </c>
      <c r="HI34" s="15" t="inlineStr">
        <is>
          <t>passed</t>
        </is>
      </c>
    </row>
  </sheetData>
  <autoFilter ref="A1:HI34"/>
  <conditionalFormatting sqref="FN2:FN34">
    <cfRule type="colorScale" priority="1">
      <colorScale>
        <cfvo type="num" val="0"/>
        <cfvo type="num" val="0.85"/>
        <cfvo type="num" val="1"/>
        <color rgb="00F8696B"/>
        <color rgb="00FFEB84"/>
        <color rgb="0063BE7B"/>
      </colorScale>
    </cfRule>
  </conditionalFormatting>
  <conditionalFormatting sqref="FU2:FU34">
    <cfRule type="cellIs" priority="2" operator="equal" dxfId="0" stopIfTrue="0">
      <formula>passed</formula>
    </cfRule>
  </conditionalFormatting>
  <conditionalFormatting sqref="CG2:CG34">
    <cfRule type="cellIs" priority="3" operator="equal" dxfId="0">
      <formula>TRUE</formula>
    </cfRule>
    <cfRule type="cellIs" priority="4" operator="equal" dxfId="1">
      <formula>FALSE</formula>
    </cfRule>
  </conditionalFormatting>
  <conditionalFormatting sqref="AV2:AV34">
    <cfRule type="dataBar" priority="5">
      <dataBar minLength="0" maxLength="100" showValue="1">
        <cfvo type="min"/>
        <cfvo type="max"/>
        <color rgb="FFC00000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2" customWidth="1" min="3" max="3"/>
    <col width="30" customWidth="1" min="4" max="4"/>
    <col width="26" customWidth="1" min="5" max="5"/>
    <col width="17" customWidth="1" min="6" max="6"/>
    <col width="30" customWidth="1" min="7" max="7"/>
    <col width="14" customWidth="1" min="8" max="8"/>
  </cols>
  <sheetData>
    <row r="1">
      <c r="A1" s="11" t="inlineStr">
        <is>
          <t>Note</t>
        </is>
      </c>
      <c r="B1" s="11" t="inlineStr">
        <is>
          <t>ewsd_merge_status</t>
        </is>
      </c>
      <c r="C1" s="11" t="inlineStr">
        <is>
          <t>ewsd_primary_analysis_eligible</t>
        </is>
      </c>
      <c r="D1" s="11" t="inlineStr">
        <is>
          <t>EWSD_score_acoustic_balanced</t>
        </is>
      </c>
      <c r="E1" s="11" t="inlineStr">
        <is>
          <t>ewsd_uncertainty_sources</t>
        </is>
      </c>
      <c r="F1" s="11" t="inlineStr">
        <is>
          <t>density_fragile</t>
        </is>
      </c>
      <c r="G1" s="11" t="inlineStr">
        <is>
          <t>density_effective_ceiling_hz</t>
        </is>
      </c>
      <c r="H1" s="11" t="inlineStr">
        <is>
          <t>stage3_issue</t>
        </is>
      </c>
    </row>
    <row r="2">
      <c r="A2" s="15" t="inlineStr">
        <is>
          <t>E2</t>
        </is>
      </c>
      <c r="B2" s="15" t="inlineStr">
        <is>
          <t>merged_individual_exact</t>
        </is>
      </c>
      <c r="C2" s="15" t="b">
        <v>1</v>
      </c>
      <c r="D2" s="15" t="n">
        <v>106.0554746192415</v>
      </c>
      <c r="E2" s="15" t="inlineStr">
        <is>
          <t>partials+ratios</t>
        </is>
      </c>
      <c r="F2" s="15" t="b">
        <v>0</v>
      </c>
      <c r="G2" s="15" t="n">
        <v>20000</v>
      </c>
      <c r="H2" s="15" t="inlineStr"/>
    </row>
    <row r="3">
      <c r="A3" s="15" t="inlineStr">
        <is>
          <t>F2</t>
        </is>
      </c>
      <c r="B3" s="15" t="inlineStr">
        <is>
          <t>merged_individual_exact</t>
        </is>
      </c>
      <c r="C3" s="15" t="b">
        <v>1</v>
      </c>
      <c r="D3" s="15" t="n">
        <v>88.31121881497504</v>
      </c>
      <c r="E3" s="15" t="inlineStr">
        <is>
          <t>partials+ratios</t>
        </is>
      </c>
      <c r="F3" s="15" t="b">
        <v>0</v>
      </c>
      <c r="G3" s="15" t="n">
        <v>20000</v>
      </c>
      <c r="H3" s="15" t="inlineStr"/>
    </row>
    <row r="4">
      <c r="A4" s="15" t="inlineStr">
        <is>
          <t>F#2</t>
        </is>
      </c>
      <c r="B4" s="15" t="inlineStr">
        <is>
          <t>merged_individual_exact</t>
        </is>
      </c>
      <c r="C4" s="15" t="b">
        <v>1</v>
      </c>
      <c r="D4" s="15" t="n">
        <v>126.0247254204493</v>
      </c>
      <c r="E4" s="15" t="inlineStr">
        <is>
          <t>partials+ratios</t>
        </is>
      </c>
      <c r="F4" s="15" t="b">
        <v>0</v>
      </c>
      <c r="G4" s="15" t="n">
        <v>20000</v>
      </c>
      <c r="H4" s="15" t="inlineStr"/>
    </row>
    <row r="5">
      <c r="A5" s="15" t="inlineStr">
        <is>
          <t>G2</t>
        </is>
      </c>
      <c r="B5" s="15" t="inlineStr">
        <is>
          <t>merged_individual_exact</t>
        </is>
      </c>
      <c r="C5" s="15" t="b">
        <v>1</v>
      </c>
      <c r="D5" s="15" t="n">
        <v>119.5658506100475</v>
      </c>
      <c r="E5" s="15" t="inlineStr">
        <is>
          <t>partials+ratios</t>
        </is>
      </c>
      <c r="F5" s="15" t="b">
        <v>0</v>
      </c>
      <c r="G5" s="15" t="n">
        <v>20000</v>
      </c>
      <c r="H5" s="15" t="inlineStr"/>
    </row>
    <row r="6">
      <c r="A6" s="15" t="inlineStr">
        <is>
          <t>G#2</t>
        </is>
      </c>
      <c r="B6" s="15" t="inlineStr">
        <is>
          <t>merged_individual_exact</t>
        </is>
      </c>
      <c r="C6" s="15" t="b">
        <v>1</v>
      </c>
      <c r="D6" s="15" t="n">
        <v>85.62102404402226</v>
      </c>
      <c r="E6" s="15" t="inlineStr">
        <is>
          <t>partials+ratios</t>
        </is>
      </c>
      <c r="F6" s="15" t="b">
        <v>0</v>
      </c>
      <c r="G6" s="15" t="n">
        <v>20000</v>
      </c>
      <c r="H6" s="15" t="inlineStr"/>
    </row>
    <row r="7">
      <c r="A7" s="15" t="inlineStr">
        <is>
          <t>A2</t>
        </is>
      </c>
      <c r="B7" s="15" t="inlineStr">
        <is>
          <t>merged_individual_exact</t>
        </is>
      </c>
      <c r="C7" s="15" t="b">
        <v>1</v>
      </c>
      <c r="D7" s="15" t="n">
        <v>83.88510976805732</v>
      </c>
      <c r="E7" s="15" t="inlineStr">
        <is>
          <t>partials+ratios</t>
        </is>
      </c>
      <c r="F7" s="15" t="b">
        <v>0</v>
      </c>
      <c r="G7" s="15" t="n">
        <v>20000</v>
      </c>
      <c r="H7" s="15" t="inlineStr"/>
    </row>
    <row r="8">
      <c r="A8" s="15" t="inlineStr">
        <is>
          <t>A#2</t>
        </is>
      </c>
      <c r="B8" s="15" t="inlineStr">
        <is>
          <t>merged_individual_exact</t>
        </is>
      </c>
      <c r="C8" s="15" t="b">
        <v>1</v>
      </c>
      <c r="D8" s="15" t="n">
        <v>92.43495745637919</v>
      </c>
      <c r="E8" s="15" t="inlineStr">
        <is>
          <t>partials+ratios</t>
        </is>
      </c>
      <c r="F8" s="15" t="b">
        <v>1</v>
      </c>
      <c r="G8" s="15" t="n">
        <v>20000</v>
      </c>
      <c r="H8" s="15" t="inlineStr"/>
    </row>
    <row r="9">
      <c r="A9" s="15" t="inlineStr">
        <is>
          <t>B2</t>
        </is>
      </c>
      <c r="B9" s="15" t="inlineStr">
        <is>
          <t>merged_individual_exact</t>
        </is>
      </c>
      <c r="C9" s="15" t="b">
        <v>1</v>
      </c>
      <c r="D9" s="15" t="n">
        <v>102.0111682685587</v>
      </c>
      <c r="E9" s="15" t="inlineStr">
        <is>
          <t>partials+ratios</t>
        </is>
      </c>
      <c r="F9" s="15" t="b">
        <v>1</v>
      </c>
      <c r="G9" s="15" t="n">
        <v>20000</v>
      </c>
      <c r="H9" s="15" t="inlineStr"/>
    </row>
    <row r="10">
      <c r="A10" s="15" t="inlineStr">
        <is>
          <t>C3</t>
        </is>
      </c>
      <c r="B10" s="15" t="inlineStr">
        <is>
          <t>merged_individual_exact</t>
        </is>
      </c>
      <c r="C10" s="15" t="b">
        <v>1</v>
      </c>
      <c r="D10" s="15" t="n">
        <v>87.84304129228535</v>
      </c>
      <c r="E10" s="15" t="inlineStr">
        <is>
          <t>partials+ratios</t>
        </is>
      </c>
      <c r="F10" s="15" t="b">
        <v>0</v>
      </c>
      <c r="G10" s="15" t="n">
        <v>20000</v>
      </c>
      <c r="H10" s="15" t="inlineStr"/>
    </row>
    <row r="11">
      <c r="A11" s="15" t="inlineStr">
        <is>
          <t>C#3</t>
        </is>
      </c>
      <c r="B11" s="15" t="inlineStr">
        <is>
          <t>merged_individual_exact</t>
        </is>
      </c>
      <c r="C11" s="15" t="b">
        <v>1</v>
      </c>
      <c r="D11" s="15" t="n">
        <v>91.29828260089177</v>
      </c>
      <c r="E11" s="15" t="inlineStr">
        <is>
          <t>partials+ratios</t>
        </is>
      </c>
      <c r="F11" s="15" t="b">
        <v>0</v>
      </c>
      <c r="G11" s="15" t="n">
        <v>20000</v>
      </c>
      <c r="H11" s="15" t="inlineStr"/>
    </row>
    <row r="12">
      <c r="A12" s="15" t="inlineStr">
        <is>
          <t>D3</t>
        </is>
      </c>
      <c r="B12" s="15" t="inlineStr">
        <is>
          <t>merged_individual_exact</t>
        </is>
      </c>
      <c r="C12" s="15" t="b">
        <v>1</v>
      </c>
      <c r="D12" s="15" t="n">
        <v>90.61394134642852</v>
      </c>
      <c r="E12" s="15" t="inlineStr">
        <is>
          <t>partials+ratios</t>
        </is>
      </c>
      <c r="F12" s="15" t="b">
        <v>1</v>
      </c>
      <c r="G12" s="15" t="n">
        <v>20000</v>
      </c>
      <c r="H12" s="15" t="inlineStr"/>
    </row>
    <row r="13">
      <c r="A13" s="15" t="inlineStr">
        <is>
          <t>D#3</t>
        </is>
      </c>
      <c r="B13" s="15" t="inlineStr">
        <is>
          <t>merged_individual_exact</t>
        </is>
      </c>
      <c r="C13" s="15" t="b">
        <v>1</v>
      </c>
      <c r="D13" s="15" t="n">
        <v>94.31367078512612</v>
      </c>
      <c r="E13" s="15" t="inlineStr">
        <is>
          <t>partials+ratios</t>
        </is>
      </c>
      <c r="F13" s="15" t="b">
        <v>1</v>
      </c>
      <c r="G13" s="15" t="n">
        <v>20000</v>
      </c>
      <c r="H13" s="15" t="inlineStr"/>
    </row>
    <row r="14">
      <c r="A14" s="15" t="inlineStr">
        <is>
          <t>E3</t>
        </is>
      </c>
      <c r="B14" s="15" t="inlineStr">
        <is>
          <t>merged_individual_exact</t>
        </is>
      </c>
      <c r="C14" s="15" t="b">
        <v>1</v>
      </c>
      <c r="D14" s="15" t="n">
        <v>88.0435361275952</v>
      </c>
      <c r="E14" s="15" t="inlineStr">
        <is>
          <t>partials+ratios</t>
        </is>
      </c>
      <c r="F14" s="15" t="b">
        <v>1</v>
      </c>
      <c r="G14" s="15" t="n">
        <v>20000</v>
      </c>
      <c r="H14" s="15" t="inlineStr"/>
    </row>
    <row r="15">
      <c r="A15" s="15" t="inlineStr">
        <is>
          <t>F3</t>
        </is>
      </c>
      <c r="B15" s="15" t="inlineStr">
        <is>
          <t>merged_individual_exact</t>
        </is>
      </c>
      <c r="C15" s="15" t="b">
        <v>1</v>
      </c>
      <c r="D15" s="15" t="n">
        <v>85.61836161117751</v>
      </c>
      <c r="E15" s="15" t="inlineStr">
        <is>
          <t>partials+ratios</t>
        </is>
      </c>
      <c r="F15" s="15" t="b">
        <v>1</v>
      </c>
      <c r="G15" s="15" t="n">
        <v>20000</v>
      </c>
      <c r="H15" s="15" t="inlineStr"/>
    </row>
    <row r="16">
      <c r="A16" s="15" t="inlineStr">
        <is>
          <t>F#3</t>
        </is>
      </c>
      <c r="B16" s="15" t="inlineStr">
        <is>
          <t>merged_individual_exact</t>
        </is>
      </c>
      <c r="C16" s="15" t="b">
        <v>1</v>
      </c>
      <c r="D16" s="15" t="n">
        <v>83.21704423495238</v>
      </c>
      <c r="E16" s="15" t="inlineStr">
        <is>
          <t>partials+ratios</t>
        </is>
      </c>
      <c r="F16" s="15" t="b">
        <v>0</v>
      </c>
      <c r="G16" s="15" t="n">
        <v>20000</v>
      </c>
      <c r="H16" s="15" t="inlineStr"/>
    </row>
    <row r="17">
      <c r="A17" s="15" t="inlineStr">
        <is>
          <t>G3</t>
        </is>
      </c>
      <c r="B17" s="15" t="inlineStr">
        <is>
          <t>merged_individual_exact</t>
        </is>
      </c>
      <c r="C17" s="15" t="b">
        <v>1</v>
      </c>
      <c r="D17" s="15" t="n">
        <v>91.46365119190365</v>
      </c>
      <c r="E17" s="15" t="inlineStr">
        <is>
          <t>partials+ratios</t>
        </is>
      </c>
      <c r="F17" s="15" t="b">
        <v>1</v>
      </c>
      <c r="G17" s="15" t="n">
        <v>20000</v>
      </c>
      <c r="H17" s="15" t="inlineStr"/>
    </row>
    <row r="18">
      <c r="A18" s="15" t="inlineStr">
        <is>
          <t>G#3</t>
        </is>
      </c>
      <c r="B18" s="15" t="inlineStr">
        <is>
          <t>merged_individual_exact</t>
        </is>
      </c>
      <c r="C18" s="15" t="b">
        <v>1</v>
      </c>
      <c r="D18" s="15" t="n">
        <v>63.87081851330468</v>
      </c>
      <c r="E18" s="15" t="inlineStr">
        <is>
          <t>partials+ratios</t>
        </is>
      </c>
      <c r="F18" s="15" t="b">
        <v>1</v>
      </c>
      <c r="G18" s="15" t="n">
        <v>20000</v>
      </c>
      <c r="H18" s="15" t="inlineStr"/>
    </row>
    <row r="19">
      <c r="A19" s="15" t="inlineStr">
        <is>
          <t>A3</t>
        </is>
      </c>
      <c r="B19" s="15" t="inlineStr">
        <is>
          <t>merged_individual_exact</t>
        </is>
      </c>
      <c r="C19" s="15" t="b">
        <v>1</v>
      </c>
      <c r="D19" s="15" t="n">
        <v>54.33140690486828</v>
      </c>
      <c r="E19" s="15" t="inlineStr">
        <is>
          <t>partials+ratios</t>
        </is>
      </c>
      <c r="F19" s="15" t="b">
        <v>1</v>
      </c>
      <c r="G19" s="15" t="n">
        <v>20000</v>
      </c>
      <c r="H19" s="15" t="inlineStr"/>
    </row>
    <row r="20">
      <c r="A20" s="15" t="inlineStr">
        <is>
          <t>A#3</t>
        </is>
      </c>
      <c r="B20" s="15" t="inlineStr">
        <is>
          <t>merged_individual_exact</t>
        </is>
      </c>
      <c r="C20" s="15" t="b">
        <v>1</v>
      </c>
      <c r="D20" s="15" t="n">
        <v>58.97773059035731</v>
      </c>
      <c r="E20" s="15" t="inlineStr">
        <is>
          <t>partials+ratios</t>
        </is>
      </c>
      <c r="F20" s="15" t="b">
        <v>1</v>
      </c>
      <c r="G20" s="15" t="n">
        <v>20000</v>
      </c>
      <c r="H20" s="15" t="inlineStr"/>
    </row>
    <row r="21">
      <c r="A21" s="15" t="inlineStr">
        <is>
          <t>B3</t>
        </is>
      </c>
      <c r="B21" s="15" t="inlineStr">
        <is>
          <t>merged_individual_exact</t>
        </is>
      </c>
      <c r="C21" s="15" t="b">
        <v>1</v>
      </c>
      <c r="D21" s="15" t="n">
        <v>56.49913869551152</v>
      </c>
      <c r="E21" s="15" t="inlineStr">
        <is>
          <t>partials+ratios</t>
        </is>
      </c>
      <c r="F21" s="15" t="b">
        <v>1</v>
      </c>
      <c r="G21" s="15" t="n">
        <v>20000</v>
      </c>
      <c r="H21" s="15" t="inlineStr"/>
    </row>
    <row r="22">
      <c r="A22" s="15" t="inlineStr">
        <is>
          <t>C4</t>
        </is>
      </c>
      <c r="B22" s="15" t="inlineStr">
        <is>
          <t>merged_individual_exact</t>
        </is>
      </c>
      <c r="C22" s="15" t="b">
        <v>1</v>
      </c>
      <c r="D22" s="15" t="n">
        <v>52.86406591143196</v>
      </c>
      <c r="E22" s="15" t="inlineStr">
        <is>
          <t>partials+ratios</t>
        </is>
      </c>
      <c r="F22" s="15" t="b">
        <v>1</v>
      </c>
      <c r="G22" s="15" t="n">
        <v>20000</v>
      </c>
      <c r="H22" s="15" t="inlineStr"/>
    </row>
    <row r="23">
      <c r="A23" s="15" t="inlineStr">
        <is>
          <t>C#4</t>
        </is>
      </c>
      <c r="B23" s="15" t="inlineStr">
        <is>
          <t>merged_individual_exact</t>
        </is>
      </c>
      <c r="C23" s="15" t="b">
        <v>1</v>
      </c>
      <c r="D23" s="15" t="n">
        <v>54.30281545320242</v>
      </c>
      <c r="E23" s="15" t="inlineStr">
        <is>
          <t>partials+ratios</t>
        </is>
      </c>
      <c r="F23" s="15" t="b">
        <v>1</v>
      </c>
      <c r="G23" s="15" t="n">
        <v>20000</v>
      </c>
      <c r="H23" s="15" t="inlineStr"/>
    </row>
    <row r="24">
      <c r="A24" s="15" t="inlineStr">
        <is>
          <t>D4</t>
        </is>
      </c>
      <c r="B24" s="15" t="inlineStr">
        <is>
          <t>merged_individual_exact</t>
        </is>
      </c>
      <c r="C24" s="15" t="b">
        <v>1</v>
      </c>
      <c r="D24" s="15" t="n">
        <v>49.25888070636548</v>
      </c>
      <c r="E24" s="15" t="inlineStr">
        <is>
          <t>partials+ratios</t>
        </is>
      </c>
      <c r="F24" s="15" t="b">
        <v>1</v>
      </c>
      <c r="G24" s="15" t="n">
        <v>20000</v>
      </c>
      <c r="H24" s="15" t="inlineStr"/>
    </row>
    <row r="25">
      <c r="A25" s="15" t="inlineStr">
        <is>
          <t>D#4</t>
        </is>
      </c>
      <c r="B25" s="15" t="inlineStr">
        <is>
          <t>merged_individual_exact</t>
        </is>
      </c>
      <c r="C25" s="15" t="b">
        <v>1</v>
      </c>
      <c r="D25" s="15" t="n">
        <v>42.53517906371905</v>
      </c>
      <c r="E25" s="15" t="inlineStr">
        <is>
          <t>partials+ratios</t>
        </is>
      </c>
      <c r="F25" s="15" t="b">
        <v>1</v>
      </c>
      <c r="G25" s="15" t="n">
        <v>20000</v>
      </c>
      <c r="H25" s="15" t="inlineStr"/>
    </row>
    <row r="26">
      <c r="A26" s="15" t="inlineStr">
        <is>
          <t>E4</t>
        </is>
      </c>
      <c r="B26" s="15" t="inlineStr">
        <is>
          <t>merged_individual_exact</t>
        </is>
      </c>
      <c r="C26" s="15" t="b">
        <v>1</v>
      </c>
      <c r="D26" s="15" t="n">
        <v>43.26621785201353</v>
      </c>
      <c r="E26" s="15" t="inlineStr">
        <is>
          <t>partials+ratios</t>
        </is>
      </c>
      <c r="F26" s="15" t="b">
        <v>1</v>
      </c>
      <c r="G26" s="15" t="n">
        <v>20000</v>
      </c>
      <c r="H26" s="15" t="inlineStr"/>
    </row>
    <row r="27">
      <c r="A27" s="15" t="inlineStr">
        <is>
          <t>F4</t>
        </is>
      </c>
      <c r="B27" s="15" t="inlineStr">
        <is>
          <t>merged_individual_exact</t>
        </is>
      </c>
      <c r="C27" s="15" t="b">
        <v>1</v>
      </c>
      <c r="D27" s="15" t="n">
        <v>35.6805374148857</v>
      </c>
      <c r="E27" s="15" t="inlineStr">
        <is>
          <t>partials+ratios</t>
        </is>
      </c>
      <c r="F27" s="15" t="b">
        <v>1</v>
      </c>
      <c r="G27" s="15" t="n">
        <v>20000</v>
      </c>
      <c r="H27" s="15" t="inlineStr"/>
    </row>
    <row r="28">
      <c r="A28" s="15" t="inlineStr">
        <is>
          <t>F#4</t>
        </is>
      </c>
      <c r="B28" s="15" t="inlineStr">
        <is>
          <t>merged_individual_exact</t>
        </is>
      </c>
      <c r="C28" s="15" t="b">
        <v>1</v>
      </c>
      <c r="D28" s="15" t="n">
        <v>32.78595956291282</v>
      </c>
      <c r="E28" s="15" t="inlineStr">
        <is>
          <t>partials+ratios</t>
        </is>
      </c>
      <c r="F28" s="15" t="b">
        <v>1</v>
      </c>
      <c r="G28" s="15" t="n">
        <v>20000</v>
      </c>
      <c r="H28" s="15" t="inlineStr"/>
    </row>
    <row r="29">
      <c r="A29" s="15" t="inlineStr">
        <is>
          <t>G4</t>
        </is>
      </c>
      <c r="B29" s="15" t="inlineStr">
        <is>
          <t>merged_individual_exact</t>
        </is>
      </c>
      <c r="C29" s="15" t="b">
        <v>1</v>
      </c>
      <c r="D29" s="15" t="n">
        <v>27.75322292105414</v>
      </c>
      <c r="E29" s="15" t="inlineStr">
        <is>
          <t>partials+ratios</t>
        </is>
      </c>
      <c r="F29" s="15" t="b">
        <v>1</v>
      </c>
      <c r="G29" s="15" t="n">
        <v>20000</v>
      </c>
      <c r="H29" s="15" t="inlineStr"/>
    </row>
    <row r="30">
      <c r="A30" s="15" t="inlineStr">
        <is>
          <t>G#4</t>
        </is>
      </c>
      <c r="B30" s="15" t="inlineStr">
        <is>
          <t>merged_individual_exact</t>
        </is>
      </c>
      <c r="C30" s="15" t="b">
        <v>1</v>
      </c>
      <c r="D30" s="15" t="n">
        <v>26.638293187136</v>
      </c>
      <c r="E30" s="15" t="inlineStr">
        <is>
          <t>partials+ratios</t>
        </is>
      </c>
      <c r="F30" s="15" t="b">
        <v>1</v>
      </c>
      <c r="G30" s="15" t="n">
        <v>20000</v>
      </c>
      <c r="H30" s="15" t="inlineStr"/>
    </row>
    <row r="31">
      <c r="A31" s="15" t="inlineStr">
        <is>
          <t>A4</t>
        </is>
      </c>
      <c r="B31" s="15" t="inlineStr">
        <is>
          <t>merged_individual_exact</t>
        </is>
      </c>
      <c r="C31" s="15" t="b">
        <v>1</v>
      </c>
      <c r="D31" s="15" t="n">
        <v>22.77422283727467</v>
      </c>
      <c r="E31" s="15" t="inlineStr">
        <is>
          <t>partials+ratios</t>
        </is>
      </c>
      <c r="F31" s="15" t="b">
        <v>1</v>
      </c>
      <c r="G31" s="15" t="n">
        <v>20000</v>
      </c>
      <c r="H31" s="15" t="inlineStr"/>
    </row>
    <row r="32">
      <c r="A32" s="15" t="inlineStr">
        <is>
          <t>A#4</t>
        </is>
      </c>
      <c r="B32" s="15" t="inlineStr">
        <is>
          <t>merged_individual_exact</t>
        </is>
      </c>
      <c r="C32" s="15" t="b">
        <v>1</v>
      </c>
      <c r="D32" s="15" t="n">
        <v>20.99992197486917</v>
      </c>
      <c r="E32" s="15" t="inlineStr">
        <is>
          <t>partials+ratios</t>
        </is>
      </c>
      <c r="F32" s="15" t="b">
        <v>1</v>
      </c>
      <c r="G32" s="15" t="n">
        <v>20000</v>
      </c>
      <c r="H32" s="15" t="inlineStr"/>
    </row>
    <row r="33">
      <c r="A33" s="15" t="inlineStr">
        <is>
          <t>B4</t>
        </is>
      </c>
      <c r="B33" s="15" t="inlineStr">
        <is>
          <t>merged_individual_exact</t>
        </is>
      </c>
      <c r="C33" s="15" t="b">
        <v>1</v>
      </c>
      <c r="D33" s="15" t="n">
        <v>18.45686653067769</v>
      </c>
      <c r="E33" s="15" t="inlineStr">
        <is>
          <t>partials+ratios</t>
        </is>
      </c>
      <c r="F33" s="15" t="b">
        <v>1</v>
      </c>
      <c r="G33" s="15" t="n">
        <v>20000</v>
      </c>
      <c r="H33" s="15" t="inlineStr"/>
    </row>
    <row r="34">
      <c r="A34" s="15" t="inlineStr">
        <is>
          <t>C5</t>
        </is>
      </c>
      <c r="B34" s="15" t="inlineStr">
        <is>
          <t>merged_individual_exact</t>
        </is>
      </c>
      <c r="C34" s="15" t="b">
        <v>1</v>
      </c>
      <c r="D34" s="15" t="n">
        <v>12.93429759966476</v>
      </c>
      <c r="E34" s="15" t="inlineStr">
        <is>
          <t>partials+ratios</t>
        </is>
      </c>
      <c r="F34" s="15" t="b">
        <v>1</v>
      </c>
      <c r="G34" s="15" t="n">
        <v>20000</v>
      </c>
      <c r="H34" s="15" t="inlineStr"/>
    </row>
  </sheetData>
  <autoFilter ref="A1:H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48" customWidth="1" min="3" max="3"/>
    <col width="48" customWidth="1" min="4" max="4"/>
    <col width="44" customWidth="1" min="5" max="5"/>
    <col width="17" customWidth="1" min="6" max="6"/>
    <col width="13" customWidth="1" min="7" max="7"/>
    <col width="12" customWidth="1" min="8" max="8"/>
    <col width="42" customWidth="1" min="9" max="9"/>
    <col width="34" customWidth="1" min="10" max="10"/>
  </cols>
  <sheetData>
    <row r="1">
      <c r="A1" s="11" t="inlineStr">
        <is>
          <t>stage3_status_row</t>
        </is>
      </c>
      <c r="B1" s="11" t="inlineStr">
        <is>
          <t>ewsd_stage3_version</t>
        </is>
      </c>
      <c r="C1" s="11" t="inlineStr">
        <is>
          <t>stage3_issue</t>
        </is>
      </c>
      <c r="D1" s="11" t="inlineStr">
        <is>
          <t>analysis_version</t>
        </is>
      </c>
      <c r="E1" s="11" t="inlineStr">
        <is>
          <t>analysis_version_source</t>
        </is>
      </c>
      <c r="F1" s="11" t="inlineStr">
        <is>
          <t>package_version</t>
        </is>
      </c>
      <c r="G1" s="11" t="inlineStr">
        <is>
          <t>code_commit</t>
        </is>
      </c>
      <c r="H1" s="11" t="inlineStr">
        <is>
          <t>code_dirty</t>
        </is>
      </c>
      <c r="I1" s="11" t="inlineStr">
        <is>
          <t>git_describe</t>
        </is>
      </c>
      <c r="J1" s="11" t="inlineStr">
        <is>
          <t>export_schema_version</t>
        </is>
      </c>
    </row>
    <row r="2">
      <c r="A2" s="15" t="inlineStr">
        <is>
          <t>__STAGE3_SUMMARY__</t>
        </is>
      </c>
      <c r="B2" s="15" t="inlineStr">
        <is>
          <t>EWSD-R v18.1</t>
        </is>
      </c>
      <c r="C2" s="15" t="inlineStr">
        <is>
          <t>analysis_root=D:\METAIS\TROMBONE\IOWA_Trombone - Test\TenorTrombone\IOWA_Trombone_ff\_Sustains_Stable\analysis_results; frequency_ceiling_hz=20000.0; workbooks=33; rows=33</t>
        </is>
      </c>
      <c r="D2" s="15" t="inlineStr">
        <is>
          <t>4.1.0+v0.1.0-validated-2026-05-15-242-g6b0e51a</t>
        </is>
      </c>
      <c r="E2" s="15" t="inlineStr">
        <is>
          <t>pyproject.toml:pyproject.toml+git-describe</t>
        </is>
      </c>
      <c r="F2" s="15" t="inlineStr">
        <is>
          <t>4.1.0</t>
        </is>
      </c>
      <c r="G2" s="15" t="inlineStr">
        <is>
          <t>6b0e51a</t>
        </is>
      </c>
      <c r="H2" s="15" t="b">
        <v>0</v>
      </c>
      <c r="I2" s="15" t="inlineStr">
        <is>
          <t>v0.1.0-validated-2026-05-15-242-g6b0e51a</t>
        </is>
      </c>
      <c r="J2" s="15" t="inlineStr">
        <is>
          <t>spectral_analysis_schema_2026_08</t>
        </is>
      </c>
    </row>
  </sheetData>
  <autoFilter ref="A1:J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21" customWidth="1" min="4" max="4"/>
    <col width="18" customWidth="1" min="5" max="5"/>
    <col width="32" customWidth="1" min="6" max="6"/>
    <col width="22" customWidth="1" min="7" max="7"/>
    <col width="24" customWidth="1" min="8" max="8"/>
    <col width="30" customWidth="1" min="9" max="9"/>
  </cols>
  <sheetData>
    <row r="1">
      <c r="A1" s="11" t="inlineStr">
        <is>
          <t>Note</t>
        </is>
      </c>
      <c r="B1" s="11" t="inlineStr">
        <is>
          <t>metric</t>
        </is>
      </c>
      <c r="C1" s="11" t="inlineStr">
        <is>
          <t>rel_uncertainty</t>
        </is>
      </c>
      <c r="D1" s="11" t="inlineStr">
        <is>
          <t>rel_uncertainty_pct</t>
        </is>
      </c>
      <c r="E1" s="11" t="inlineStr">
        <is>
          <t>uncertainty_flag</t>
        </is>
      </c>
      <c r="F1" s="11" t="inlineStr">
        <is>
          <t>uncertainty_flag_threshold_pct</t>
        </is>
      </c>
      <c r="G1" s="11" t="inlineStr">
        <is>
          <t>ci_basis_frame_count</t>
        </is>
      </c>
      <c r="H1" s="11" t="inlineStr">
        <is>
          <t>ci_basis_partial_count</t>
        </is>
      </c>
      <c r="I1" s="11" t="inlineStr">
        <is>
          <t>ci_basis_frames_insufficient</t>
        </is>
      </c>
    </row>
    <row r="2">
      <c r="A2" s="15" t="inlineStr">
        <is>
          <t>E2</t>
        </is>
      </c>
      <c r="B2" s="15" t="inlineStr">
        <is>
          <t>note_density_final</t>
        </is>
      </c>
      <c r="C2" s="15" t="n">
        <v>0.01994579653614315</v>
      </c>
      <c r="D2" s="15" t="n">
        <v>1.994579653614315</v>
      </c>
      <c r="E2" s="15" t="b">
        <v>0</v>
      </c>
      <c r="F2" s="15" t="n">
        <v>25</v>
      </c>
      <c r="G2" s="15" t="n">
        <v>2.6875</v>
      </c>
      <c r="H2" s="15" t="n">
        <v>94</v>
      </c>
      <c r="I2" s="15" t="b">
        <v>1</v>
      </c>
    </row>
    <row r="3">
      <c r="A3" s="15" t="inlineStr">
        <is>
          <t>E2</t>
        </is>
      </c>
      <c r="B3" s="15" t="inlineStr">
        <is>
          <t>note_effective_component_density</t>
        </is>
      </c>
      <c r="C3" s="15" t="n">
        <v>0.1902097519668593</v>
      </c>
      <c r="D3" s="15" t="n">
        <v>19.02097519668593</v>
      </c>
      <c r="E3" s="15" t="b">
        <v>0</v>
      </c>
      <c r="F3" s="15" t="n">
        <v>25</v>
      </c>
      <c r="G3" s="15" t="n">
        <v>2.6875</v>
      </c>
      <c r="H3" s="15" t="n">
        <v>94</v>
      </c>
      <c r="I3" s="15" t="b">
        <v>1</v>
      </c>
    </row>
    <row r="4">
      <c r="A4" s="15" t="inlineStr">
        <is>
          <t>E2</t>
        </is>
      </c>
      <c r="B4" s="15" t="inlineStr">
        <is>
          <t>EWSD_score_acoustic_balanced</t>
        </is>
      </c>
      <c r="C4" s="15" t="n">
        <v>0.06527193000014499</v>
      </c>
      <c r="D4" s="15" t="n">
        <v>6.527193000014499</v>
      </c>
      <c r="E4" s="15" t="b">
        <v>0</v>
      </c>
      <c r="F4" s="15" t="n">
        <v>25</v>
      </c>
      <c r="G4" s="15" t="n">
        <v>2.6875</v>
      </c>
      <c r="H4" s="15" t="n">
        <v>94</v>
      </c>
      <c r="I4" s="15" t="b">
        <v>1</v>
      </c>
    </row>
    <row r="5">
      <c r="A5" s="15" t="inlineStr">
        <is>
          <t>F2</t>
        </is>
      </c>
      <c r="B5" s="15" t="inlineStr">
        <is>
          <t>note_density_final</t>
        </is>
      </c>
      <c r="C5" s="15" t="n">
        <v>0.0167656140339336</v>
      </c>
      <c r="D5" s="15" t="n">
        <v>1.67656140339336</v>
      </c>
      <c r="E5" s="15" t="b">
        <v>0</v>
      </c>
      <c r="F5" s="15" t="n">
        <v>25</v>
      </c>
      <c r="G5" s="15" t="n">
        <v>4</v>
      </c>
      <c r="H5" s="15" t="n">
        <v>69</v>
      </c>
      <c r="I5" s="15" t="b">
        <v>1</v>
      </c>
    </row>
    <row r="6">
      <c r="A6" s="15" t="inlineStr">
        <is>
          <t>F2</t>
        </is>
      </c>
      <c r="B6" s="15" t="inlineStr">
        <is>
          <t>note_effective_component_density</t>
        </is>
      </c>
      <c r="C6" s="15" t="n">
        <v>0.184767691950685</v>
      </c>
      <c r="D6" s="15" t="n">
        <v>18.4767691950685</v>
      </c>
      <c r="E6" s="15" t="b">
        <v>0</v>
      </c>
      <c r="F6" s="15" t="n">
        <v>25</v>
      </c>
      <c r="G6" s="15" t="n">
        <v>4</v>
      </c>
      <c r="H6" s="15" t="n">
        <v>69</v>
      </c>
      <c r="I6" s="15" t="b">
        <v>1</v>
      </c>
    </row>
    <row r="7">
      <c r="A7" s="15" t="inlineStr">
        <is>
          <t>F2</t>
        </is>
      </c>
      <c r="B7" s="15" t="inlineStr">
        <is>
          <t>EWSD_score_acoustic_balanced</t>
        </is>
      </c>
      <c r="C7" s="15" t="n">
        <v>0.0444605862928918</v>
      </c>
      <c r="D7" s="15" t="n">
        <v>4.44605862928918</v>
      </c>
      <c r="E7" s="15" t="b">
        <v>0</v>
      </c>
      <c r="F7" s="15" t="n">
        <v>25</v>
      </c>
      <c r="G7" s="15" t="n">
        <v>4</v>
      </c>
      <c r="H7" s="15" t="n">
        <v>69</v>
      </c>
      <c r="I7" s="15" t="b">
        <v>1</v>
      </c>
    </row>
    <row r="8">
      <c r="A8" s="15" t="inlineStr">
        <is>
          <t>F#2</t>
        </is>
      </c>
      <c r="B8" s="15" t="inlineStr">
        <is>
          <t>note_density_final</t>
        </is>
      </c>
      <c r="C8" s="15" t="n">
        <v>0.02101627023391561</v>
      </c>
      <c r="D8" s="15" t="n">
        <v>2.101627023391561</v>
      </c>
      <c r="E8" s="15" t="b">
        <v>0</v>
      </c>
      <c r="F8" s="15" t="n">
        <v>25</v>
      </c>
      <c r="G8" s="15" t="n">
        <v>3.875</v>
      </c>
      <c r="H8" s="15" t="n">
        <v>133</v>
      </c>
      <c r="I8" s="15" t="b">
        <v>1</v>
      </c>
    </row>
    <row r="9">
      <c r="A9" s="15" t="inlineStr">
        <is>
          <t>F#2</t>
        </is>
      </c>
      <c r="B9" s="15" t="inlineStr">
        <is>
          <t>note_effective_component_density</t>
        </is>
      </c>
      <c r="C9" s="15" t="n">
        <v>0.1857699940823213</v>
      </c>
      <c r="D9" s="15" t="n">
        <v>18.57699940823213</v>
      </c>
      <c r="E9" s="15" t="b">
        <v>0</v>
      </c>
      <c r="F9" s="15" t="n">
        <v>25</v>
      </c>
      <c r="G9" s="15" t="n">
        <v>3.875</v>
      </c>
      <c r="H9" s="15" t="n">
        <v>133</v>
      </c>
      <c r="I9" s="15" t="b">
        <v>1</v>
      </c>
    </row>
    <row r="10">
      <c r="A10" s="15" t="inlineStr">
        <is>
          <t>F#2</t>
        </is>
      </c>
      <c r="B10" s="15" t="inlineStr">
        <is>
          <t>EWSD_score_acoustic_balanced</t>
        </is>
      </c>
      <c r="C10" s="15" t="n">
        <v>0.09305137857982658</v>
      </c>
      <c r="D10" s="15" t="n">
        <v>9.305137857982658</v>
      </c>
      <c r="E10" s="15" t="b">
        <v>0</v>
      </c>
      <c r="F10" s="15" t="n">
        <v>25</v>
      </c>
      <c r="G10" s="15" t="n">
        <v>3.875</v>
      </c>
      <c r="H10" s="15" t="n">
        <v>133</v>
      </c>
      <c r="I10" s="15" t="b">
        <v>1</v>
      </c>
    </row>
    <row r="11">
      <c r="A11" s="15" t="inlineStr">
        <is>
          <t>G2</t>
        </is>
      </c>
      <c r="B11" s="15" t="inlineStr">
        <is>
          <t>note_density_final</t>
        </is>
      </c>
      <c r="C11" s="15" t="n">
        <v>0.02137101259232809</v>
      </c>
      <c r="D11" s="15" t="n">
        <v>2.137101259232809</v>
      </c>
      <c r="E11" s="15" t="b">
        <v>0</v>
      </c>
      <c r="F11" s="15" t="n">
        <v>25</v>
      </c>
      <c r="G11" s="15" t="n">
        <v>4.375</v>
      </c>
      <c r="H11" s="15" t="n">
        <v>137</v>
      </c>
      <c r="I11" s="15" t="b">
        <v>1</v>
      </c>
    </row>
    <row r="12">
      <c r="A12" s="15" t="inlineStr">
        <is>
          <t>G2</t>
        </is>
      </c>
      <c r="B12" s="15" t="inlineStr">
        <is>
          <t>note_effective_component_density</t>
        </is>
      </c>
      <c r="C12" s="15" t="n">
        <v>0.1938452607833954</v>
      </c>
      <c r="D12" s="15" t="n">
        <v>19.38452607833954</v>
      </c>
      <c r="E12" s="15" t="b">
        <v>0</v>
      </c>
      <c r="F12" s="15" t="n">
        <v>25</v>
      </c>
      <c r="G12" s="15" t="n">
        <v>4.375</v>
      </c>
      <c r="H12" s="15" t="n">
        <v>137</v>
      </c>
      <c r="I12" s="15" t="b">
        <v>1</v>
      </c>
    </row>
    <row r="13">
      <c r="A13" s="15" t="inlineStr">
        <is>
          <t>G2</t>
        </is>
      </c>
      <c r="B13" s="15" t="inlineStr">
        <is>
          <t>EWSD_score_acoustic_balanced</t>
        </is>
      </c>
      <c r="C13" s="15" t="n">
        <v>0.08435744369459312</v>
      </c>
      <c r="D13" s="15" t="n">
        <v>8.435744369459313</v>
      </c>
      <c r="E13" s="15" t="b">
        <v>0</v>
      </c>
      <c r="F13" s="15" t="n">
        <v>25</v>
      </c>
      <c r="G13" s="15" t="n">
        <v>4.375</v>
      </c>
      <c r="H13" s="15" t="n">
        <v>137</v>
      </c>
      <c r="I13" s="15" t="b">
        <v>1</v>
      </c>
    </row>
    <row r="14">
      <c r="A14" s="15" t="inlineStr">
        <is>
          <t>G#2</t>
        </is>
      </c>
      <c r="B14" s="15" t="inlineStr">
        <is>
          <t>note_density_final</t>
        </is>
      </c>
      <c r="C14" s="15" t="n">
        <v>0.0191353142902472</v>
      </c>
      <c r="D14" s="15" t="n">
        <v>1.91353142902472</v>
      </c>
      <c r="E14" s="15" t="b">
        <v>0</v>
      </c>
      <c r="F14" s="15" t="n">
        <v>25</v>
      </c>
      <c r="G14" s="15" t="n">
        <v>4</v>
      </c>
      <c r="H14" s="15" t="n">
        <v>64</v>
      </c>
      <c r="I14" s="15" t="b">
        <v>1</v>
      </c>
    </row>
    <row r="15">
      <c r="A15" s="15" t="inlineStr">
        <is>
          <t>G#2</t>
        </is>
      </c>
      <c r="B15" s="15" t="inlineStr">
        <is>
          <t>note_effective_component_density</t>
        </is>
      </c>
      <c r="C15" s="15" t="n">
        <v>0.1950945091939709</v>
      </c>
      <c r="D15" s="15" t="n">
        <v>19.50945091939709</v>
      </c>
      <c r="E15" s="15" t="b">
        <v>0</v>
      </c>
      <c r="F15" s="15" t="n">
        <v>25</v>
      </c>
      <c r="G15" s="15" t="n">
        <v>4</v>
      </c>
      <c r="H15" s="15" t="n">
        <v>64</v>
      </c>
      <c r="I15" s="15" t="b">
        <v>1</v>
      </c>
    </row>
    <row r="16">
      <c r="A16" s="15" t="inlineStr">
        <is>
          <t>G#2</t>
        </is>
      </c>
      <c r="B16" s="15" t="inlineStr">
        <is>
          <t>EWSD_score_acoustic_balanced</t>
        </is>
      </c>
      <c r="C16" s="15" t="n">
        <v>0.0533948758869388</v>
      </c>
      <c r="D16" s="15" t="n">
        <v>5.33948758869388</v>
      </c>
      <c r="E16" s="15" t="b">
        <v>0</v>
      </c>
      <c r="F16" s="15" t="n">
        <v>25</v>
      </c>
      <c r="G16" s="15" t="n">
        <v>4</v>
      </c>
      <c r="H16" s="15" t="n">
        <v>64</v>
      </c>
      <c r="I16" s="15" t="b">
        <v>1</v>
      </c>
    </row>
    <row r="17">
      <c r="A17" s="15" t="inlineStr">
        <is>
          <t>A2</t>
        </is>
      </c>
      <c r="B17" s="15" t="inlineStr">
        <is>
          <t>note_density_final</t>
        </is>
      </c>
      <c r="C17" s="15" t="n">
        <v>0.02111308616181455</v>
      </c>
      <c r="D17" s="15" t="n">
        <v>2.111308616181455</v>
      </c>
      <c r="E17" s="15" t="b">
        <v>0</v>
      </c>
      <c r="F17" s="15" t="n">
        <v>25</v>
      </c>
      <c r="G17" s="15" t="n">
        <v>4.125</v>
      </c>
      <c r="H17" s="15" t="n">
        <v>75</v>
      </c>
      <c r="I17" s="15" t="b">
        <v>1</v>
      </c>
    </row>
    <row r="18">
      <c r="A18" s="15" t="inlineStr">
        <is>
          <t>A2</t>
        </is>
      </c>
      <c r="B18" s="15" t="inlineStr">
        <is>
          <t>note_effective_component_density</t>
        </is>
      </c>
      <c r="C18" s="15" t="n">
        <v>0.2210212824186047</v>
      </c>
      <c r="D18" s="15" t="n">
        <v>22.10212824186047</v>
      </c>
      <c r="E18" s="15" t="b">
        <v>0</v>
      </c>
      <c r="F18" s="15" t="n">
        <v>25</v>
      </c>
      <c r="G18" s="15" t="n">
        <v>4.125</v>
      </c>
      <c r="H18" s="15" t="n">
        <v>75</v>
      </c>
      <c r="I18" s="15" t="b">
        <v>1</v>
      </c>
    </row>
    <row r="19">
      <c r="A19" s="15" t="inlineStr">
        <is>
          <t>A2</t>
        </is>
      </c>
      <c r="B19" s="15" t="inlineStr">
        <is>
          <t>EWSD_score_acoustic_balanced</t>
        </is>
      </c>
      <c r="C19" s="15" t="n">
        <v>0.06079317996230721</v>
      </c>
      <c r="D19" s="15" t="n">
        <v>6.079317996230721</v>
      </c>
      <c r="E19" s="15" t="b">
        <v>0</v>
      </c>
      <c r="F19" s="15" t="n">
        <v>25</v>
      </c>
      <c r="G19" s="15" t="n">
        <v>4.125</v>
      </c>
      <c r="H19" s="15" t="n">
        <v>75</v>
      </c>
      <c r="I19" s="15" t="b">
        <v>1</v>
      </c>
    </row>
    <row r="20">
      <c r="A20" s="15" t="inlineStr">
        <is>
          <t>A#2</t>
        </is>
      </c>
      <c r="B20" s="15" t="inlineStr">
        <is>
          <t>note_density_final</t>
        </is>
      </c>
      <c r="C20" s="15" t="n">
        <v>0.0275800775772433</v>
      </c>
      <c r="D20" s="15" t="n">
        <v>2.75800775772433</v>
      </c>
      <c r="E20" s="15" t="b">
        <v>0</v>
      </c>
      <c r="F20" s="15" t="n">
        <v>25</v>
      </c>
      <c r="G20" s="15" t="n">
        <v>3.5</v>
      </c>
      <c r="H20" s="15" t="n">
        <v>144</v>
      </c>
      <c r="I20" s="15" t="b">
        <v>1</v>
      </c>
    </row>
    <row r="21">
      <c r="A21" s="15" t="inlineStr">
        <is>
          <t>A#2</t>
        </is>
      </c>
      <c r="B21" s="15" t="inlineStr">
        <is>
          <t>note_effective_component_density</t>
        </is>
      </c>
      <c r="C21" s="15" t="n">
        <v>0.2137242266125171</v>
      </c>
      <c r="D21" s="15" t="n">
        <v>21.37242266125171</v>
      </c>
      <c r="E21" s="15" t="b">
        <v>0</v>
      </c>
      <c r="F21" s="15" t="n">
        <v>25</v>
      </c>
      <c r="G21" s="15" t="n">
        <v>3.5</v>
      </c>
      <c r="H21" s="15" t="n">
        <v>144</v>
      </c>
      <c r="I21" s="15" t="b">
        <v>1</v>
      </c>
    </row>
    <row r="22">
      <c r="A22" s="15" t="inlineStr">
        <is>
          <t>A#2</t>
        </is>
      </c>
      <c r="B22" s="15" t="inlineStr">
        <is>
          <t>EWSD_score_acoustic_balanced</t>
        </is>
      </c>
      <c r="C22" s="15" t="n">
        <v>0.1313262405150971</v>
      </c>
      <c r="D22" s="15" t="n">
        <v>13.13262405150971</v>
      </c>
      <c r="E22" s="15" t="b">
        <v>0</v>
      </c>
      <c r="F22" s="15" t="n">
        <v>25</v>
      </c>
      <c r="G22" s="15" t="n">
        <v>3.5</v>
      </c>
      <c r="H22" s="15" t="n">
        <v>144</v>
      </c>
      <c r="I22" s="15" t="b">
        <v>1</v>
      </c>
    </row>
    <row r="23">
      <c r="A23" s="15" t="inlineStr">
        <is>
          <t>B2</t>
        </is>
      </c>
      <c r="B23" s="15" t="inlineStr">
        <is>
          <t>note_density_final</t>
        </is>
      </c>
      <c r="C23" s="15" t="n">
        <v>0.02613902498089481</v>
      </c>
      <c r="D23" s="15" t="n">
        <v>2.613902498089481</v>
      </c>
      <c r="E23" s="15" t="b">
        <v>0</v>
      </c>
      <c r="F23" s="15" t="n">
        <v>25</v>
      </c>
      <c r="G23" s="15" t="n">
        <v>3.9375</v>
      </c>
      <c r="H23" s="15" t="n">
        <v>121</v>
      </c>
      <c r="I23" s="15" t="b">
        <v>1</v>
      </c>
    </row>
    <row r="24">
      <c r="A24" s="15" t="inlineStr">
        <is>
          <t>B2</t>
        </is>
      </c>
      <c r="B24" s="15" t="inlineStr">
        <is>
          <t>note_effective_component_density</t>
        </is>
      </c>
      <c r="C24" s="15" t="n">
        <v>0.2165182250164563</v>
      </c>
      <c r="D24" s="15" t="n">
        <v>21.65182250164563</v>
      </c>
      <c r="E24" s="15" t="b">
        <v>0</v>
      </c>
      <c r="F24" s="15" t="n">
        <v>25</v>
      </c>
      <c r="G24" s="15" t="n">
        <v>3.9375</v>
      </c>
      <c r="H24" s="15" t="n">
        <v>121</v>
      </c>
      <c r="I24" s="15" t="b">
        <v>1</v>
      </c>
    </row>
    <row r="25">
      <c r="A25" s="15" t="inlineStr">
        <is>
          <t>B2</t>
        </is>
      </c>
      <c r="B25" s="15" t="inlineStr">
        <is>
          <t>EWSD_score_acoustic_balanced</t>
        </is>
      </c>
      <c r="C25" s="15" t="n">
        <v>0.1032585422537756</v>
      </c>
      <c r="D25" s="15" t="n">
        <v>10.32585422537755</v>
      </c>
      <c r="E25" s="15" t="b">
        <v>0</v>
      </c>
      <c r="F25" s="15" t="n">
        <v>25</v>
      </c>
      <c r="G25" s="15" t="n">
        <v>3.9375</v>
      </c>
      <c r="H25" s="15" t="n">
        <v>121</v>
      </c>
      <c r="I25" s="15" t="b">
        <v>1</v>
      </c>
    </row>
    <row r="26">
      <c r="A26" s="15" t="inlineStr">
        <is>
          <t>C3</t>
        </is>
      </c>
      <c r="B26" s="15" t="inlineStr">
        <is>
          <t>note_density_final</t>
        </is>
      </c>
      <c r="C26" s="15" t="n">
        <v>0.02075469828729198</v>
      </c>
      <c r="D26" s="15" t="n">
        <v>2.075469828729198</v>
      </c>
      <c r="E26" s="15" t="b">
        <v>0</v>
      </c>
      <c r="F26" s="15" t="n">
        <v>25</v>
      </c>
      <c r="G26" s="15" t="n">
        <v>2.8125</v>
      </c>
      <c r="H26" s="15" t="n">
        <v>64</v>
      </c>
      <c r="I26" s="15" t="b">
        <v>1</v>
      </c>
    </row>
    <row r="27">
      <c r="A27" s="15" t="inlineStr">
        <is>
          <t>C3</t>
        </is>
      </c>
      <c r="B27" s="15" t="inlineStr">
        <is>
          <t>note_effective_component_density</t>
        </is>
      </c>
      <c r="C27" s="15" t="n">
        <v>0.2305287475797385</v>
      </c>
      <c r="D27" s="15" t="n">
        <v>23.05287475797385</v>
      </c>
      <c r="E27" s="15" t="b">
        <v>0</v>
      </c>
      <c r="F27" s="15" t="n">
        <v>25</v>
      </c>
      <c r="G27" s="15" t="n">
        <v>2.8125</v>
      </c>
      <c r="H27" s="15" t="n">
        <v>64</v>
      </c>
      <c r="I27" s="15" t="b">
        <v>1</v>
      </c>
    </row>
    <row r="28">
      <c r="A28" s="15" t="inlineStr">
        <is>
          <t>C3</t>
        </is>
      </c>
      <c r="B28" s="15" t="inlineStr">
        <is>
          <t>EWSD_score_acoustic_balanced</t>
        </is>
      </c>
      <c r="C28" s="15" t="n">
        <v>0.05690034249951628</v>
      </c>
      <c r="D28" s="15" t="n">
        <v>5.690034249951627</v>
      </c>
      <c r="E28" s="15" t="b">
        <v>0</v>
      </c>
      <c r="F28" s="15" t="n">
        <v>25</v>
      </c>
      <c r="G28" s="15" t="n">
        <v>2.8125</v>
      </c>
      <c r="H28" s="15" t="n">
        <v>64</v>
      </c>
      <c r="I28" s="15" t="b">
        <v>1</v>
      </c>
    </row>
    <row r="29">
      <c r="A29" s="15" t="inlineStr">
        <is>
          <t>C#3</t>
        </is>
      </c>
      <c r="B29" s="15" t="inlineStr">
        <is>
          <t>note_density_final</t>
        </is>
      </c>
      <c r="C29" s="15" t="n">
        <v>0.02195201125511118</v>
      </c>
      <c r="D29" s="15" t="n">
        <v>2.195201125511118</v>
      </c>
      <c r="E29" s="15" t="b">
        <v>0</v>
      </c>
      <c r="F29" s="15" t="n">
        <v>25</v>
      </c>
      <c r="G29" s="15" t="n">
        <v>4.625</v>
      </c>
      <c r="H29" s="15" t="n">
        <v>76</v>
      </c>
      <c r="I29" s="15" t="b">
        <v>1</v>
      </c>
    </row>
    <row r="30">
      <c r="A30" s="15" t="inlineStr">
        <is>
          <t>C#3</t>
        </is>
      </c>
      <c r="B30" s="15" t="inlineStr">
        <is>
          <t>note_effective_component_density</t>
        </is>
      </c>
      <c r="C30" s="15" t="n">
        <v>0.2049676840765251</v>
      </c>
      <c r="D30" s="15" t="n">
        <v>20.49676840765251</v>
      </c>
      <c r="E30" s="15" t="b">
        <v>0</v>
      </c>
      <c r="F30" s="15" t="n">
        <v>25</v>
      </c>
      <c r="G30" s="15" t="n">
        <v>4.625</v>
      </c>
      <c r="H30" s="15" t="n">
        <v>76</v>
      </c>
      <c r="I30" s="15" t="b">
        <v>1</v>
      </c>
    </row>
    <row r="31">
      <c r="A31" s="15" t="inlineStr">
        <is>
          <t>C#3</t>
        </is>
      </c>
      <c r="B31" s="15" t="inlineStr">
        <is>
          <t>EWSD_score_acoustic_balanced</t>
        </is>
      </c>
      <c r="C31" s="15" t="n">
        <v>0.06943129108116536</v>
      </c>
      <c r="D31" s="15" t="n">
        <v>6.943129108116536</v>
      </c>
      <c r="E31" s="15" t="b">
        <v>0</v>
      </c>
      <c r="F31" s="15" t="n">
        <v>25</v>
      </c>
      <c r="G31" s="15" t="n">
        <v>4.625</v>
      </c>
      <c r="H31" s="15" t="n">
        <v>76</v>
      </c>
      <c r="I31" s="15" t="b">
        <v>1</v>
      </c>
    </row>
    <row r="32">
      <c r="A32" s="15" t="inlineStr">
        <is>
          <t>D3</t>
        </is>
      </c>
      <c r="B32" s="15" t="inlineStr">
        <is>
          <t>note_density_final</t>
        </is>
      </c>
      <c r="C32" s="15" t="n">
        <v>0.02756270064428882</v>
      </c>
      <c r="D32" s="15" t="n">
        <v>2.756270064428882</v>
      </c>
      <c r="E32" s="15" t="b">
        <v>0</v>
      </c>
      <c r="F32" s="15" t="n">
        <v>25</v>
      </c>
      <c r="G32" s="15" t="n">
        <v>3.1875</v>
      </c>
      <c r="H32" s="15" t="n">
        <v>119</v>
      </c>
      <c r="I32" s="15" t="b">
        <v>1</v>
      </c>
    </row>
    <row r="33">
      <c r="A33" s="15" t="inlineStr">
        <is>
          <t>D3</t>
        </is>
      </c>
      <c r="B33" s="15" t="inlineStr">
        <is>
          <t>note_effective_component_density</t>
        </is>
      </c>
      <c r="C33" s="15" t="n">
        <v>0.2427223094807594</v>
      </c>
      <c r="D33" s="15" t="n">
        <v>24.27223094807594</v>
      </c>
      <c r="E33" s="15" t="b">
        <v>0</v>
      </c>
      <c r="F33" s="15" t="n">
        <v>25</v>
      </c>
      <c r="G33" s="15" t="n">
        <v>3.1875</v>
      </c>
      <c r="H33" s="15" t="n">
        <v>119</v>
      </c>
      <c r="I33" s="15" t="b">
        <v>1</v>
      </c>
    </row>
    <row r="34">
      <c r="A34" s="15" t="inlineStr">
        <is>
          <t>D3</t>
        </is>
      </c>
      <c r="B34" s="15" t="inlineStr">
        <is>
          <t>EWSD_score_acoustic_balanced</t>
        </is>
      </c>
      <c r="C34" s="15" t="n">
        <v>0.1312299695349727</v>
      </c>
      <c r="D34" s="15" t="n">
        <v>13.12299695349727</v>
      </c>
      <c r="E34" s="15" t="b">
        <v>0</v>
      </c>
      <c r="F34" s="15" t="n">
        <v>25</v>
      </c>
      <c r="G34" s="15" t="n">
        <v>3.1875</v>
      </c>
      <c r="H34" s="15" t="n">
        <v>119</v>
      </c>
      <c r="I34" s="15" t="b">
        <v>1</v>
      </c>
    </row>
    <row r="35">
      <c r="A35" s="15" t="inlineStr">
        <is>
          <t>D#3</t>
        </is>
      </c>
      <c r="B35" s="15" t="inlineStr">
        <is>
          <t>note_density_final</t>
        </is>
      </c>
      <c r="C35" s="15" t="n">
        <v>0.02729625620479007</v>
      </c>
      <c r="D35" s="15" t="n">
        <v>2.729625620479007</v>
      </c>
      <c r="E35" s="15" t="b">
        <v>0</v>
      </c>
      <c r="F35" s="15" t="n">
        <v>25</v>
      </c>
      <c r="G35" s="15" t="n">
        <v>3.625</v>
      </c>
      <c r="H35" s="15" t="n">
        <v>122</v>
      </c>
      <c r="I35" s="15" t="b">
        <v>1</v>
      </c>
    </row>
    <row r="36">
      <c r="A36" s="15" t="inlineStr">
        <is>
          <t>D#3</t>
        </is>
      </c>
      <c r="B36" s="15" t="inlineStr">
        <is>
          <t>note_effective_component_density</t>
        </is>
      </c>
      <c r="C36" s="15" t="n">
        <v>0.2722646051012657</v>
      </c>
      <c r="D36" s="15" t="n">
        <v>27.22646051012657</v>
      </c>
      <c r="E36" s="15" t="b">
        <v>1</v>
      </c>
      <c r="F36" s="15" t="n">
        <v>25</v>
      </c>
      <c r="G36" s="15" t="n">
        <v>3.625</v>
      </c>
      <c r="H36" s="15" t="n">
        <v>122</v>
      </c>
      <c r="I36" s="15" t="b">
        <v>1</v>
      </c>
    </row>
    <row r="37">
      <c r="A37" s="15" t="inlineStr">
        <is>
          <t>D#3</t>
        </is>
      </c>
      <c r="B37" s="15" t="inlineStr">
        <is>
          <t>EWSD_score_acoustic_balanced</t>
        </is>
      </c>
      <c r="C37" s="15" t="n">
        <v>0.1137835330950211</v>
      </c>
      <c r="D37" s="15" t="n">
        <v>11.37835330950212</v>
      </c>
      <c r="E37" s="15" t="b">
        <v>0</v>
      </c>
      <c r="F37" s="15" t="n">
        <v>25</v>
      </c>
      <c r="G37" s="15" t="n">
        <v>3.625</v>
      </c>
      <c r="H37" s="15" t="n">
        <v>122</v>
      </c>
      <c r="I37" s="15" t="b">
        <v>1</v>
      </c>
    </row>
    <row r="38">
      <c r="A38" s="15" t="inlineStr">
        <is>
          <t>E3</t>
        </is>
      </c>
      <c r="B38" s="15" t="inlineStr">
        <is>
          <t>note_density_final</t>
        </is>
      </c>
      <c r="C38" s="15" t="n">
        <v>0.02712597190477925</v>
      </c>
      <c r="D38" s="15" t="n">
        <v>2.712597190477925</v>
      </c>
      <c r="E38" s="15" t="b">
        <v>0</v>
      </c>
      <c r="F38" s="15" t="n">
        <v>25</v>
      </c>
      <c r="G38" s="15" t="n">
        <v>4.25</v>
      </c>
      <c r="H38" s="15" t="n">
        <v>90</v>
      </c>
      <c r="I38" s="15" t="b">
        <v>1</v>
      </c>
    </row>
    <row r="39">
      <c r="A39" s="15" t="inlineStr">
        <is>
          <t>E3</t>
        </is>
      </c>
      <c r="B39" s="15" t="inlineStr">
        <is>
          <t>note_effective_component_density</t>
        </is>
      </c>
      <c r="C39" s="15" t="n">
        <v>0.2324397580906443</v>
      </c>
      <c r="D39" s="15" t="n">
        <v>23.24397580906443</v>
      </c>
      <c r="E39" s="15" t="b">
        <v>0</v>
      </c>
      <c r="F39" s="15" t="n">
        <v>25</v>
      </c>
      <c r="G39" s="15" t="n">
        <v>4.25</v>
      </c>
      <c r="H39" s="15" t="n">
        <v>90</v>
      </c>
      <c r="I39" s="15" t="b">
        <v>1</v>
      </c>
    </row>
    <row r="40">
      <c r="A40" s="15" t="inlineStr">
        <is>
          <t>E3</t>
        </is>
      </c>
      <c r="B40" s="15" t="inlineStr">
        <is>
          <t>EWSD_score_acoustic_balanced</t>
        </is>
      </c>
      <c r="C40" s="15" t="n">
        <v>0.09782565572784684</v>
      </c>
      <c r="D40" s="15" t="n">
        <v>9.782565572784684</v>
      </c>
      <c r="E40" s="15" t="b">
        <v>0</v>
      </c>
      <c r="F40" s="15" t="n">
        <v>25</v>
      </c>
      <c r="G40" s="15" t="n">
        <v>4.25</v>
      </c>
      <c r="H40" s="15" t="n">
        <v>90</v>
      </c>
      <c r="I40" s="15" t="b">
        <v>1</v>
      </c>
    </row>
    <row r="41">
      <c r="A41" s="15" t="inlineStr">
        <is>
          <t>F3</t>
        </is>
      </c>
      <c r="B41" s="15" t="inlineStr">
        <is>
          <t>note_density_final</t>
        </is>
      </c>
      <c r="C41" s="15" t="n">
        <v>0.02869419186443165</v>
      </c>
      <c r="D41" s="15" t="n">
        <v>2.869419186443165</v>
      </c>
      <c r="E41" s="15" t="b">
        <v>0</v>
      </c>
      <c r="F41" s="15" t="n">
        <v>25</v>
      </c>
      <c r="G41" s="15" t="n">
        <v>3.875</v>
      </c>
      <c r="H41" s="15" t="n">
        <v>178</v>
      </c>
      <c r="I41" s="15" t="b">
        <v>1</v>
      </c>
    </row>
    <row r="42">
      <c r="A42" s="15" t="inlineStr">
        <is>
          <t>F3</t>
        </is>
      </c>
      <c r="B42" s="15" t="inlineStr">
        <is>
          <t>note_effective_component_density</t>
        </is>
      </c>
      <c r="C42" s="15" t="n">
        <v>0.2387309926451034</v>
      </c>
      <c r="D42" s="15" t="n">
        <v>23.87309926451034</v>
      </c>
      <c r="E42" s="15" t="b">
        <v>0</v>
      </c>
      <c r="F42" s="15" t="n">
        <v>25</v>
      </c>
      <c r="G42" s="15" t="n">
        <v>3.875</v>
      </c>
      <c r="H42" s="15" t="n">
        <v>178</v>
      </c>
      <c r="I42" s="15" t="b">
        <v>1</v>
      </c>
    </row>
    <row r="43">
      <c r="A43" s="15" t="inlineStr">
        <is>
          <t>F3</t>
        </is>
      </c>
      <c r="B43" s="15" t="inlineStr">
        <is>
          <t>EWSD_score_acoustic_balanced</t>
        </is>
      </c>
      <c r="C43" s="15" t="n">
        <v>0.1351119983727714</v>
      </c>
      <c r="D43" s="15" t="n">
        <v>13.51119983727714</v>
      </c>
      <c r="E43" s="15" t="b">
        <v>0</v>
      </c>
      <c r="F43" s="15" t="n">
        <v>25</v>
      </c>
      <c r="G43" s="15" t="n">
        <v>3.875</v>
      </c>
      <c r="H43" s="15" t="n">
        <v>178</v>
      </c>
      <c r="I43" s="15" t="b">
        <v>1</v>
      </c>
    </row>
    <row r="44">
      <c r="A44" s="15" t="inlineStr">
        <is>
          <t>F#3</t>
        </is>
      </c>
      <c r="B44" s="15" t="inlineStr">
        <is>
          <t>note_density_final</t>
        </is>
      </c>
      <c r="C44" s="15" t="n">
        <v>0.02160983603712798</v>
      </c>
      <c r="D44" s="15" t="n">
        <v>2.160983603712798</v>
      </c>
      <c r="E44" s="15" t="b">
        <v>0</v>
      </c>
      <c r="F44" s="15" t="n">
        <v>25</v>
      </c>
      <c r="G44" s="15" t="n">
        <v>3.4375</v>
      </c>
      <c r="H44" s="15" t="n">
        <v>66</v>
      </c>
      <c r="I44" s="15" t="b">
        <v>1</v>
      </c>
    </row>
    <row r="45">
      <c r="A45" s="15" t="inlineStr">
        <is>
          <t>F#3</t>
        </is>
      </c>
      <c r="B45" s="15" t="inlineStr">
        <is>
          <t>note_effective_component_density</t>
        </is>
      </c>
      <c r="C45" s="15" t="n">
        <v>0.2402163103925502</v>
      </c>
      <c r="D45" s="15" t="n">
        <v>24.02163103925502</v>
      </c>
      <c r="E45" s="15" t="b">
        <v>0</v>
      </c>
      <c r="F45" s="15" t="n">
        <v>25</v>
      </c>
      <c r="G45" s="15" t="n">
        <v>3.4375</v>
      </c>
      <c r="H45" s="15" t="n">
        <v>66</v>
      </c>
      <c r="I45" s="15" t="b">
        <v>1</v>
      </c>
    </row>
    <row r="46">
      <c r="A46" s="15" t="inlineStr">
        <is>
          <t>F#3</t>
        </is>
      </c>
      <c r="B46" s="15" t="inlineStr">
        <is>
          <t>EWSD_score_acoustic_balanced</t>
        </is>
      </c>
      <c r="C46" s="15" t="n">
        <v>0.05744630844462473</v>
      </c>
      <c r="D46" s="15" t="n">
        <v>5.744630844462472</v>
      </c>
      <c r="E46" s="15" t="b">
        <v>0</v>
      </c>
      <c r="F46" s="15" t="n">
        <v>25</v>
      </c>
      <c r="G46" s="15" t="n">
        <v>3.4375</v>
      </c>
      <c r="H46" s="15" t="n">
        <v>66</v>
      </c>
      <c r="I46" s="15" t="b">
        <v>1</v>
      </c>
    </row>
    <row r="47">
      <c r="A47" s="15" t="inlineStr">
        <is>
          <t>G3</t>
        </is>
      </c>
      <c r="B47" s="15" t="inlineStr">
        <is>
          <t>note_density_final</t>
        </is>
      </c>
      <c r="C47" s="15" t="n">
        <v>0.02878530527867971</v>
      </c>
      <c r="D47" s="15" t="n">
        <v>2.878530527867971</v>
      </c>
      <c r="E47" s="15" t="b">
        <v>0</v>
      </c>
      <c r="F47" s="15" t="n">
        <v>25</v>
      </c>
      <c r="G47" s="15" t="n">
        <v>3.5</v>
      </c>
      <c r="H47" s="15" t="n">
        <v>160</v>
      </c>
      <c r="I47" s="15" t="b">
        <v>1</v>
      </c>
    </row>
    <row r="48">
      <c r="A48" s="15" t="inlineStr">
        <is>
          <t>G3</t>
        </is>
      </c>
      <c r="B48" s="15" t="inlineStr">
        <is>
          <t>note_effective_component_density</t>
        </is>
      </c>
      <c r="C48" s="15" t="n">
        <v>0.2593794809850736</v>
      </c>
      <c r="D48" s="15" t="n">
        <v>25.93794809850736</v>
      </c>
      <c r="E48" s="15" t="b">
        <v>1</v>
      </c>
      <c r="F48" s="15" t="n">
        <v>25</v>
      </c>
      <c r="G48" s="15" t="n">
        <v>3.5</v>
      </c>
      <c r="H48" s="15" t="n">
        <v>160</v>
      </c>
      <c r="I48" s="15" t="b">
        <v>1</v>
      </c>
    </row>
    <row r="49">
      <c r="A49" s="15" t="inlineStr">
        <is>
          <t>G3</t>
        </is>
      </c>
      <c r="B49" s="15" t="inlineStr">
        <is>
          <t>EWSD_score_acoustic_balanced</t>
        </is>
      </c>
      <c r="C49" s="15" t="n">
        <v>0.1186644197319663</v>
      </c>
      <c r="D49" s="15" t="n">
        <v>11.86644197319663</v>
      </c>
      <c r="E49" s="15" t="b">
        <v>0</v>
      </c>
      <c r="F49" s="15" t="n">
        <v>25</v>
      </c>
      <c r="G49" s="15" t="n">
        <v>3.5</v>
      </c>
      <c r="H49" s="15" t="n">
        <v>160</v>
      </c>
      <c r="I49" s="15" t="b">
        <v>1</v>
      </c>
    </row>
    <row r="50">
      <c r="A50" s="15" t="inlineStr">
        <is>
          <t>G#3</t>
        </is>
      </c>
      <c r="B50" s="15" t="inlineStr">
        <is>
          <t>note_density_final</t>
        </is>
      </c>
      <c r="C50" s="15" t="n">
        <v>0.03076318897215547</v>
      </c>
      <c r="D50" s="15" t="n">
        <v>3.076318897215547</v>
      </c>
      <c r="E50" s="15" t="b">
        <v>0</v>
      </c>
      <c r="F50" s="15" t="n">
        <v>25</v>
      </c>
      <c r="G50" s="15" t="n">
        <v>6.375</v>
      </c>
      <c r="H50" s="15" t="n">
        <v>83</v>
      </c>
      <c r="I50" s="15" t="b">
        <v>1</v>
      </c>
    </row>
    <row r="51">
      <c r="A51" s="15" t="inlineStr">
        <is>
          <t>G#3</t>
        </is>
      </c>
      <c r="B51" s="15" t="inlineStr">
        <is>
          <t>note_effective_component_density</t>
        </is>
      </c>
      <c r="C51" s="15" t="n">
        <v>0.2238100356500581</v>
      </c>
      <c r="D51" s="15" t="n">
        <v>22.38100356500581</v>
      </c>
      <c r="E51" s="15" t="b">
        <v>0</v>
      </c>
      <c r="F51" s="15" t="n">
        <v>25</v>
      </c>
      <c r="G51" s="15" t="n">
        <v>6.375</v>
      </c>
      <c r="H51" s="15" t="n">
        <v>83</v>
      </c>
      <c r="I51" s="15" t="b">
        <v>1</v>
      </c>
    </row>
    <row r="52">
      <c r="A52" s="15" t="inlineStr">
        <is>
          <t>G#3</t>
        </is>
      </c>
      <c r="B52" s="15" t="inlineStr">
        <is>
          <t>EWSD_score_acoustic_balanced</t>
        </is>
      </c>
      <c r="C52" s="15" t="n">
        <v>0.1074093179438813</v>
      </c>
      <c r="D52" s="15" t="n">
        <v>10.74093179438813</v>
      </c>
      <c r="E52" s="15" t="b">
        <v>0</v>
      </c>
      <c r="F52" s="15" t="n">
        <v>25</v>
      </c>
      <c r="G52" s="15" t="n">
        <v>6.375</v>
      </c>
      <c r="H52" s="15" t="n">
        <v>83</v>
      </c>
      <c r="I52" s="15" t="b">
        <v>1</v>
      </c>
    </row>
    <row r="53">
      <c r="A53" s="15" t="inlineStr">
        <is>
          <t>A3</t>
        </is>
      </c>
      <c r="B53" s="15" t="inlineStr">
        <is>
          <t>note_density_final</t>
        </is>
      </c>
      <c r="C53" s="15" t="n">
        <v>0.03521069587230975</v>
      </c>
      <c r="D53" s="15" t="n">
        <v>3.521069587230975</v>
      </c>
      <c r="E53" s="15" t="b">
        <v>0</v>
      </c>
      <c r="F53" s="15" t="n">
        <v>25</v>
      </c>
      <c r="G53" s="15" t="n">
        <v>8.25</v>
      </c>
      <c r="H53" s="15" t="n">
        <v>80</v>
      </c>
      <c r="I53" s="15" t="b">
        <v>1</v>
      </c>
    </row>
    <row r="54">
      <c r="A54" s="15" t="inlineStr">
        <is>
          <t>A3</t>
        </is>
      </c>
      <c r="B54" s="15" t="inlineStr">
        <is>
          <t>note_effective_component_density</t>
        </is>
      </c>
      <c r="C54" s="15" t="n">
        <v>0.236588118506606</v>
      </c>
      <c r="D54" s="15" t="n">
        <v>23.6588118506606</v>
      </c>
      <c r="E54" s="15" t="b">
        <v>0</v>
      </c>
      <c r="F54" s="15" t="n">
        <v>25</v>
      </c>
      <c r="G54" s="15" t="n">
        <v>8.25</v>
      </c>
      <c r="H54" s="15" t="n">
        <v>80</v>
      </c>
      <c r="I54" s="15" t="b">
        <v>1</v>
      </c>
    </row>
    <row r="55">
      <c r="A55" s="15" t="inlineStr">
        <is>
          <t>A3</t>
        </is>
      </c>
      <c r="B55" s="15" t="inlineStr">
        <is>
          <t>EWSD_score_acoustic_balanced</t>
        </is>
      </c>
      <c r="C55" s="15" t="n">
        <v>0.1406758887017809</v>
      </c>
      <c r="D55" s="15" t="n">
        <v>14.06758887017809</v>
      </c>
      <c r="E55" s="15" t="b">
        <v>0</v>
      </c>
      <c r="F55" s="15" t="n">
        <v>25</v>
      </c>
      <c r="G55" s="15" t="n">
        <v>8.25</v>
      </c>
      <c r="H55" s="15" t="n">
        <v>80</v>
      </c>
      <c r="I55" s="15" t="b">
        <v>1</v>
      </c>
    </row>
    <row r="56">
      <c r="A56" s="15" t="inlineStr">
        <is>
          <t>A#3</t>
        </is>
      </c>
      <c r="B56" s="15" t="inlineStr">
        <is>
          <t>note_density_final</t>
        </is>
      </c>
      <c r="C56" s="15" t="n">
        <v>0.03635700148780979</v>
      </c>
      <c r="D56" s="15" t="n">
        <v>3.635700148780979</v>
      </c>
      <c r="E56" s="15" t="b">
        <v>0</v>
      </c>
      <c r="F56" s="15" t="n">
        <v>25</v>
      </c>
      <c r="G56" s="15" t="n">
        <v>6.5625</v>
      </c>
      <c r="H56" s="15" t="n">
        <v>125</v>
      </c>
      <c r="I56" s="15" t="b">
        <v>1</v>
      </c>
    </row>
    <row r="57">
      <c r="A57" s="15" t="inlineStr">
        <is>
          <t>A#3</t>
        </is>
      </c>
      <c r="B57" s="15" t="inlineStr">
        <is>
          <t>note_effective_component_density</t>
        </is>
      </c>
      <c r="C57" s="15" t="n">
        <v>0.2648356837662653</v>
      </c>
      <c r="D57" s="15" t="n">
        <v>26.48356837662653</v>
      </c>
      <c r="E57" s="15" t="b">
        <v>1</v>
      </c>
      <c r="F57" s="15" t="n">
        <v>25</v>
      </c>
      <c r="G57" s="15" t="n">
        <v>6.5625</v>
      </c>
      <c r="H57" s="15" t="n">
        <v>125</v>
      </c>
      <c r="I57" s="15" t="b">
        <v>1</v>
      </c>
    </row>
    <row r="58">
      <c r="A58" s="15" t="inlineStr">
        <is>
          <t>A#3</t>
        </is>
      </c>
      <c r="B58" s="15" t="inlineStr">
        <is>
          <t>EWSD_score_acoustic_balanced</t>
        </is>
      </c>
      <c r="C58" s="15" t="n">
        <v>0.1380633091416624</v>
      </c>
      <c r="D58" s="15" t="n">
        <v>13.80633091416624</v>
      </c>
      <c r="E58" s="15" t="b">
        <v>0</v>
      </c>
      <c r="F58" s="15" t="n">
        <v>25</v>
      </c>
      <c r="G58" s="15" t="n">
        <v>6.5625</v>
      </c>
      <c r="H58" s="15" t="n">
        <v>125</v>
      </c>
      <c r="I58" s="15" t="b">
        <v>1</v>
      </c>
    </row>
    <row r="59">
      <c r="A59" s="15" t="inlineStr">
        <is>
          <t>B3</t>
        </is>
      </c>
      <c r="B59" s="15" t="inlineStr">
        <is>
          <t>note_density_final</t>
        </is>
      </c>
      <c r="C59" s="15" t="n">
        <v>0.03575527520630006</v>
      </c>
      <c r="D59" s="15" t="n">
        <v>3.575527520630006</v>
      </c>
      <c r="E59" s="15" t="b">
        <v>0</v>
      </c>
      <c r="F59" s="15" t="n">
        <v>25</v>
      </c>
      <c r="G59" s="15" t="n">
        <v>7.9375</v>
      </c>
      <c r="H59" s="15" t="n">
        <v>131</v>
      </c>
      <c r="I59" s="15" t="b">
        <v>1</v>
      </c>
    </row>
    <row r="60">
      <c r="A60" s="15" t="inlineStr">
        <is>
          <t>B3</t>
        </is>
      </c>
      <c r="B60" s="15" t="inlineStr">
        <is>
          <t>note_effective_component_density</t>
        </is>
      </c>
      <c r="C60" s="15" t="n">
        <v>0.2776642779144132</v>
      </c>
      <c r="D60" s="15" t="n">
        <v>27.76642779144132</v>
      </c>
      <c r="E60" s="15" t="b">
        <v>1</v>
      </c>
      <c r="F60" s="15" t="n">
        <v>25</v>
      </c>
      <c r="G60" s="15" t="n">
        <v>7.9375</v>
      </c>
      <c r="H60" s="15" t="n">
        <v>131</v>
      </c>
      <c r="I60" s="15" t="b">
        <v>1</v>
      </c>
    </row>
    <row r="61">
      <c r="A61" s="15" t="inlineStr">
        <is>
          <t>B3</t>
        </is>
      </c>
      <c r="B61" s="15" t="inlineStr">
        <is>
          <t>EWSD_score_acoustic_balanced</t>
        </is>
      </c>
      <c r="C61" s="15" t="n">
        <v>0.1439812006450037</v>
      </c>
      <c r="D61" s="15" t="n">
        <v>14.39812006450037</v>
      </c>
      <c r="E61" s="15" t="b">
        <v>0</v>
      </c>
      <c r="F61" s="15" t="n">
        <v>25</v>
      </c>
      <c r="G61" s="15" t="n">
        <v>7.9375</v>
      </c>
      <c r="H61" s="15" t="n">
        <v>131</v>
      </c>
      <c r="I61" s="15" t="b">
        <v>1</v>
      </c>
    </row>
    <row r="62">
      <c r="A62" s="15" t="inlineStr">
        <is>
          <t>C4</t>
        </is>
      </c>
      <c r="B62" s="15" t="inlineStr">
        <is>
          <t>note_density_final</t>
        </is>
      </c>
      <c r="C62" s="15" t="n">
        <v>0.03909680322712768</v>
      </c>
      <c r="D62" s="15" t="n">
        <v>3.909680322712768</v>
      </c>
      <c r="E62" s="15" t="b">
        <v>0</v>
      </c>
      <c r="F62" s="15" t="n">
        <v>25</v>
      </c>
      <c r="G62" s="15" t="n">
        <v>7.8125</v>
      </c>
      <c r="H62" s="15" t="n">
        <v>141</v>
      </c>
      <c r="I62" s="15" t="b">
        <v>1</v>
      </c>
    </row>
    <row r="63">
      <c r="A63" s="15" t="inlineStr">
        <is>
          <t>C4</t>
        </is>
      </c>
      <c r="B63" s="15" t="inlineStr">
        <is>
          <t>note_effective_component_density</t>
        </is>
      </c>
      <c r="C63" s="15" t="n">
        <v>0.307330531396432</v>
      </c>
      <c r="D63" s="15" t="n">
        <v>30.7330531396432</v>
      </c>
      <c r="E63" s="15" t="b">
        <v>1</v>
      </c>
      <c r="F63" s="15" t="n">
        <v>25</v>
      </c>
      <c r="G63" s="15" t="n">
        <v>7.8125</v>
      </c>
      <c r="H63" s="15" t="n">
        <v>141</v>
      </c>
      <c r="I63" s="15" t="b">
        <v>1</v>
      </c>
    </row>
    <row r="64">
      <c r="A64" s="15" t="inlineStr">
        <is>
          <t>C4</t>
        </is>
      </c>
      <c r="B64" s="15" t="inlineStr">
        <is>
          <t>EWSD_score_acoustic_balanced</t>
        </is>
      </c>
      <c r="C64" s="15" t="n">
        <v>0.1572886795724622</v>
      </c>
      <c r="D64" s="15" t="n">
        <v>15.72886795724622</v>
      </c>
      <c r="E64" s="15" t="b">
        <v>0</v>
      </c>
      <c r="F64" s="15" t="n">
        <v>25</v>
      </c>
      <c r="G64" s="15" t="n">
        <v>7.8125</v>
      </c>
      <c r="H64" s="15" t="n">
        <v>141</v>
      </c>
      <c r="I64" s="15" t="b">
        <v>1</v>
      </c>
    </row>
    <row r="65">
      <c r="A65" s="15" t="inlineStr">
        <is>
          <t>C#4</t>
        </is>
      </c>
      <c r="B65" s="15" t="inlineStr">
        <is>
          <t>note_density_final</t>
        </is>
      </c>
      <c r="C65" s="15" t="n">
        <v>0.03781753203497076</v>
      </c>
      <c r="D65" s="15" t="n">
        <v>3.781753203497076</v>
      </c>
      <c r="E65" s="15" t="b">
        <v>0</v>
      </c>
      <c r="F65" s="15" t="n">
        <v>25</v>
      </c>
      <c r="G65" s="15" t="n">
        <v>8.5</v>
      </c>
      <c r="H65" s="15" t="n">
        <v>126</v>
      </c>
      <c r="I65" s="15" t="b">
        <v>1</v>
      </c>
    </row>
    <row r="66">
      <c r="A66" s="15" t="inlineStr">
        <is>
          <t>C#4</t>
        </is>
      </c>
      <c r="B66" s="15" t="inlineStr">
        <is>
          <t>note_effective_component_density</t>
        </is>
      </c>
      <c r="C66" s="15" t="n">
        <v>0.2799329863584505</v>
      </c>
      <c r="D66" s="15" t="n">
        <v>27.99329863584505</v>
      </c>
      <c r="E66" s="15" t="b">
        <v>1</v>
      </c>
      <c r="F66" s="15" t="n">
        <v>25</v>
      </c>
      <c r="G66" s="15" t="n">
        <v>8.5</v>
      </c>
      <c r="H66" s="15" t="n">
        <v>126</v>
      </c>
      <c r="I66" s="15" t="b">
        <v>1</v>
      </c>
    </row>
    <row r="67">
      <c r="A67" s="15" t="inlineStr">
        <is>
          <t>C#4</t>
        </is>
      </c>
      <c r="B67" s="15" t="inlineStr">
        <is>
          <t>EWSD_score_acoustic_balanced</t>
        </is>
      </c>
      <c r="C67" s="15" t="n">
        <v>0.1556565034047178</v>
      </c>
      <c r="D67" s="15" t="n">
        <v>15.56565034047178</v>
      </c>
      <c r="E67" s="15" t="b">
        <v>0</v>
      </c>
      <c r="F67" s="15" t="n">
        <v>25</v>
      </c>
      <c r="G67" s="15" t="n">
        <v>8.5</v>
      </c>
      <c r="H67" s="15" t="n">
        <v>126</v>
      </c>
      <c r="I67" s="15" t="b">
        <v>1</v>
      </c>
    </row>
    <row r="68">
      <c r="A68" s="15" t="inlineStr">
        <is>
          <t>D4</t>
        </is>
      </c>
      <c r="B68" s="15" t="inlineStr">
        <is>
          <t>note_density_final</t>
        </is>
      </c>
      <c r="C68" s="15" t="n">
        <v>0.03890814531691981</v>
      </c>
      <c r="D68" s="15" t="n">
        <v>3.890814531691981</v>
      </c>
      <c r="E68" s="15" t="b">
        <v>0</v>
      </c>
      <c r="F68" s="15" t="n">
        <v>25</v>
      </c>
      <c r="G68" s="15" t="n">
        <v>8.3125</v>
      </c>
      <c r="H68" s="15" t="n">
        <v>121</v>
      </c>
      <c r="I68" s="15" t="b">
        <v>1</v>
      </c>
    </row>
    <row r="69">
      <c r="A69" s="15" t="inlineStr">
        <is>
          <t>D4</t>
        </is>
      </c>
      <c r="B69" s="15" t="inlineStr">
        <is>
          <t>note_effective_component_density</t>
        </is>
      </c>
      <c r="C69" s="15" t="n">
        <v>0.2619762056970312</v>
      </c>
      <c r="D69" s="15" t="n">
        <v>26.19762056970312</v>
      </c>
      <c r="E69" s="15" t="b">
        <v>1</v>
      </c>
      <c r="F69" s="15" t="n">
        <v>25</v>
      </c>
      <c r="G69" s="15" t="n">
        <v>8.3125</v>
      </c>
      <c r="H69" s="15" t="n">
        <v>121</v>
      </c>
      <c r="I69" s="15" t="b">
        <v>1</v>
      </c>
    </row>
    <row r="70">
      <c r="A70" s="15" t="inlineStr">
        <is>
          <t>D4</t>
        </is>
      </c>
      <c r="B70" s="15" t="inlineStr">
        <is>
          <t>EWSD_score_acoustic_balanced</t>
        </is>
      </c>
      <c r="C70" s="15" t="n">
        <v>0.1682448375338677</v>
      </c>
      <c r="D70" s="15" t="n">
        <v>16.82448375338677</v>
      </c>
      <c r="E70" s="15" t="b">
        <v>0</v>
      </c>
      <c r="F70" s="15" t="n">
        <v>25</v>
      </c>
      <c r="G70" s="15" t="n">
        <v>8.3125</v>
      </c>
      <c r="H70" s="15" t="n">
        <v>121</v>
      </c>
      <c r="I70" s="15" t="b">
        <v>1</v>
      </c>
    </row>
    <row r="71">
      <c r="A71" s="15" t="inlineStr">
        <is>
          <t>D#4</t>
        </is>
      </c>
      <c r="B71" s="15" t="inlineStr">
        <is>
          <t>note_density_final</t>
        </is>
      </c>
      <c r="C71" s="15" t="n">
        <v>0.04289197841040499</v>
      </c>
      <c r="D71" s="15" t="n">
        <v>4.289197841040499</v>
      </c>
      <c r="E71" s="15" t="b">
        <v>0</v>
      </c>
      <c r="F71" s="15" t="n">
        <v>25</v>
      </c>
      <c r="G71" s="15" t="n">
        <v>8.75</v>
      </c>
      <c r="H71" s="15" t="n">
        <v>104</v>
      </c>
      <c r="I71" s="15" t="b">
        <v>1</v>
      </c>
    </row>
    <row r="72">
      <c r="A72" s="15" t="inlineStr">
        <is>
          <t>D#4</t>
        </is>
      </c>
      <c r="B72" s="15" t="inlineStr">
        <is>
          <t>note_effective_component_density</t>
        </is>
      </c>
      <c r="C72" s="15" t="n">
        <v>0.2851082358358266</v>
      </c>
      <c r="D72" s="15" t="n">
        <v>28.51082358358266</v>
      </c>
      <c r="E72" s="15" t="b">
        <v>1</v>
      </c>
      <c r="F72" s="15" t="n">
        <v>25</v>
      </c>
      <c r="G72" s="15" t="n">
        <v>8.75</v>
      </c>
      <c r="H72" s="15" t="n">
        <v>104</v>
      </c>
      <c r="I72" s="15" t="b">
        <v>1</v>
      </c>
    </row>
    <row r="73">
      <c r="A73" s="15" t="inlineStr">
        <is>
          <t>D#4</t>
        </is>
      </c>
      <c r="B73" s="15" t="inlineStr">
        <is>
          <t>EWSD_score_acoustic_balanced</t>
        </is>
      </c>
      <c r="C73" s="15" t="n">
        <v>0.1867836577971997</v>
      </c>
      <c r="D73" s="15" t="n">
        <v>18.67836577971996</v>
      </c>
      <c r="E73" s="15" t="b">
        <v>0</v>
      </c>
      <c r="F73" s="15" t="n">
        <v>25</v>
      </c>
      <c r="G73" s="15" t="n">
        <v>8.75</v>
      </c>
      <c r="H73" s="15" t="n">
        <v>104</v>
      </c>
      <c r="I73" s="15" t="b">
        <v>1</v>
      </c>
    </row>
    <row r="74">
      <c r="A74" s="15" t="inlineStr">
        <is>
          <t>E4</t>
        </is>
      </c>
      <c r="B74" s="15" t="inlineStr">
        <is>
          <t>note_density_final</t>
        </is>
      </c>
      <c r="C74" s="15" t="n">
        <v>0.04338786870769543</v>
      </c>
      <c r="D74" s="15" t="n">
        <v>4.338786870769543</v>
      </c>
      <c r="E74" s="15" t="b">
        <v>0</v>
      </c>
      <c r="F74" s="15" t="n">
        <v>25</v>
      </c>
      <c r="G74" s="15" t="n">
        <v>8.6875</v>
      </c>
      <c r="H74" s="15" t="n">
        <v>85</v>
      </c>
      <c r="I74" s="15" t="b">
        <v>1</v>
      </c>
    </row>
    <row r="75">
      <c r="A75" s="15" t="inlineStr">
        <is>
          <t>E4</t>
        </is>
      </c>
      <c r="B75" s="15" t="inlineStr">
        <is>
          <t>note_effective_component_density</t>
        </is>
      </c>
      <c r="C75" s="15" t="n">
        <v>0.2821855955387426</v>
      </c>
      <c r="D75" s="15" t="n">
        <v>28.21855955387426</v>
      </c>
      <c r="E75" s="15" t="b">
        <v>1</v>
      </c>
      <c r="F75" s="15" t="n">
        <v>25</v>
      </c>
      <c r="G75" s="15" t="n">
        <v>8.6875</v>
      </c>
      <c r="H75" s="15" t="n">
        <v>85</v>
      </c>
      <c r="I75" s="15" t="b">
        <v>1</v>
      </c>
    </row>
    <row r="76">
      <c r="A76" s="15" t="inlineStr">
        <is>
          <t>E4</t>
        </is>
      </c>
      <c r="B76" s="15" t="inlineStr">
        <is>
          <t>EWSD_score_acoustic_balanced</t>
        </is>
      </c>
      <c r="C76" s="15" t="n">
        <v>0.1931523463770831</v>
      </c>
      <c r="D76" s="15" t="n">
        <v>19.31523463770831</v>
      </c>
      <c r="E76" s="15" t="b">
        <v>0</v>
      </c>
      <c r="F76" s="15" t="n">
        <v>25</v>
      </c>
      <c r="G76" s="15" t="n">
        <v>8.6875</v>
      </c>
      <c r="H76" s="15" t="n">
        <v>85</v>
      </c>
      <c r="I76" s="15" t="b">
        <v>1</v>
      </c>
    </row>
    <row r="77">
      <c r="A77" s="15" t="inlineStr">
        <is>
          <t>F4</t>
        </is>
      </c>
      <c r="B77" s="15" t="inlineStr">
        <is>
          <t>note_density_final</t>
        </is>
      </c>
      <c r="C77" s="15" t="n">
        <v>0.05048108796270023</v>
      </c>
      <c r="D77" s="15" t="n">
        <v>5.048108796270023</v>
      </c>
      <c r="E77" s="15" t="b">
        <v>0</v>
      </c>
      <c r="F77" s="15" t="n">
        <v>25</v>
      </c>
      <c r="G77" s="15" t="n">
        <v>8.4375</v>
      </c>
      <c r="H77" s="15" t="n">
        <v>113</v>
      </c>
      <c r="I77" s="15" t="b">
        <v>1</v>
      </c>
    </row>
    <row r="78">
      <c r="A78" s="15" t="inlineStr">
        <is>
          <t>F4</t>
        </is>
      </c>
      <c r="B78" s="15" t="inlineStr">
        <is>
          <t>note_effective_component_density</t>
        </is>
      </c>
      <c r="C78" s="15" t="n">
        <v>0.3520718717507492</v>
      </c>
      <c r="D78" s="15" t="n">
        <v>35.20718717507492</v>
      </c>
      <c r="E78" s="15" t="b">
        <v>1</v>
      </c>
      <c r="F78" s="15" t="n">
        <v>25</v>
      </c>
      <c r="G78" s="15" t="n">
        <v>8.4375</v>
      </c>
      <c r="H78" s="15" t="n">
        <v>113</v>
      </c>
      <c r="I78" s="15" t="b">
        <v>1</v>
      </c>
    </row>
    <row r="79">
      <c r="A79" s="15" t="inlineStr">
        <is>
          <t>F4</t>
        </is>
      </c>
      <c r="B79" s="15" t="inlineStr">
        <is>
          <t>EWSD_score_acoustic_balanced</t>
        </is>
      </c>
      <c r="C79" s="15" t="n">
        <v>0.2052746918349503</v>
      </c>
      <c r="D79" s="15" t="n">
        <v>20.52746918349503</v>
      </c>
      <c r="E79" s="15" t="b">
        <v>0</v>
      </c>
      <c r="F79" s="15" t="n">
        <v>25</v>
      </c>
      <c r="G79" s="15" t="n">
        <v>8.4375</v>
      </c>
      <c r="H79" s="15" t="n">
        <v>113</v>
      </c>
      <c r="I79" s="15" t="b">
        <v>1</v>
      </c>
    </row>
    <row r="80">
      <c r="A80" s="15" t="inlineStr">
        <is>
          <t>F#4</t>
        </is>
      </c>
      <c r="B80" s="15" t="inlineStr">
        <is>
          <t>note_density_final</t>
        </is>
      </c>
      <c r="C80" s="15" t="n">
        <v>0.05570916402685937</v>
      </c>
      <c r="D80" s="15" t="n">
        <v>5.570916402685937</v>
      </c>
      <c r="E80" s="15" t="b">
        <v>0</v>
      </c>
      <c r="F80" s="15" t="n">
        <v>25</v>
      </c>
      <c r="G80" s="15" t="n">
        <v>8.6875</v>
      </c>
      <c r="H80" s="15" t="n">
        <v>94</v>
      </c>
      <c r="I80" s="15" t="b">
        <v>1</v>
      </c>
    </row>
    <row r="81">
      <c r="A81" s="15" t="inlineStr">
        <is>
          <t>F#4</t>
        </is>
      </c>
      <c r="B81" s="15" t="inlineStr">
        <is>
          <t>note_effective_component_density</t>
        </is>
      </c>
      <c r="C81" s="15" t="n">
        <v>0.3790049733704383</v>
      </c>
      <c r="D81" s="15" t="n">
        <v>37.90049733704383</v>
      </c>
      <c r="E81" s="15" t="b">
        <v>1</v>
      </c>
      <c r="F81" s="15" t="n">
        <v>25</v>
      </c>
      <c r="G81" s="15" t="n">
        <v>8.6875</v>
      </c>
      <c r="H81" s="15" t="n">
        <v>94</v>
      </c>
      <c r="I81" s="15" t="b">
        <v>1</v>
      </c>
    </row>
    <row r="82">
      <c r="A82" s="15" t="inlineStr">
        <is>
          <t>F#4</t>
        </is>
      </c>
      <c r="B82" s="15" t="inlineStr">
        <is>
          <t>EWSD_score_acoustic_balanced</t>
        </is>
      </c>
      <c r="C82" s="15" t="n">
        <v>0.2270038086502046</v>
      </c>
      <c r="D82" s="15" t="n">
        <v>22.70038086502046</v>
      </c>
      <c r="E82" s="15" t="b">
        <v>0</v>
      </c>
      <c r="F82" s="15" t="n">
        <v>25</v>
      </c>
      <c r="G82" s="15" t="n">
        <v>8.6875</v>
      </c>
      <c r="H82" s="15" t="n">
        <v>94</v>
      </c>
      <c r="I82" s="15" t="b">
        <v>1</v>
      </c>
    </row>
    <row r="83">
      <c r="A83" s="15" t="inlineStr">
        <is>
          <t>G4</t>
        </is>
      </c>
      <c r="B83" s="15" t="inlineStr">
        <is>
          <t>note_density_final</t>
        </is>
      </c>
      <c r="C83" s="15" t="n">
        <v>0.06551570744235322</v>
      </c>
      <c r="D83" s="15" t="n">
        <v>6.551570744235321</v>
      </c>
      <c r="E83" s="15" t="b">
        <v>0</v>
      </c>
      <c r="F83" s="15" t="n">
        <v>25</v>
      </c>
      <c r="G83" s="15" t="n">
        <v>8.0625</v>
      </c>
      <c r="H83" s="15" t="n">
        <v>73</v>
      </c>
      <c r="I83" s="15" t="b">
        <v>1</v>
      </c>
    </row>
    <row r="84">
      <c r="A84" s="15" t="inlineStr">
        <is>
          <t>G4</t>
        </is>
      </c>
      <c r="B84" s="15" t="inlineStr">
        <is>
          <t>note_effective_component_density</t>
        </is>
      </c>
      <c r="C84" s="15" t="n">
        <v>0.3899795292619112</v>
      </c>
      <c r="D84" s="15" t="n">
        <v>38.99795292619112</v>
      </c>
      <c r="E84" s="15" t="b">
        <v>1</v>
      </c>
      <c r="F84" s="15" t="n">
        <v>25</v>
      </c>
      <c r="G84" s="15" t="n">
        <v>8.0625</v>
      </c>
      <c r="H84" s="15" t="n">
        <v>73</v>
      </c>
      <c r="I84" s="15" t="b">
        <v>1</v>
      </c>
    </row>
    <row r="85">
      <c r="A85" s="15" t="inlineStr">
        <is>
          <t>G4</t>
        </is>
      </c>
      <c r="B85" s="15" t="inlineStr">
        <is>
          <t>EWSD_score_acoustic_balanced</t>
        </is>
      </c>
      <c r="C85" s="15" t="n">
        <v>0.2351409220806928</v>
      </c>
      <c r="D85" s="15" t="n">
        <v>23.51409220806928</v>
      </c>
      <c r="E85" s="15" t="b">
        <v>0</v>
      </c>
      <c r="F85" s="15" t="n">
        <v>25</v>
      </c>
      <c r="G85" s="15" t="n">
        <v>8.0625</v>
      </c>
      <c r="H85" s="15" t="n">
        <v>73</v>
      </c>
      <c r="I85" s="15" t="b">
        <v>1</v>
      </c>
    </row>
    <row r="86">
      <c r="A86" s="15" t="inlineStr">
        <is>
          <t>G#4</t>
        </is>
      </c>
      <c r="B86" s="15" t="inlineStr">
        <is>
          <t>note_density_final</t>
        </is>
      </c>
      <c r="C86" s="15" t="n">
        <v>0.06372595820717684</v>
      </c>
      <c r="D86" s="15" t="n">
        <v>6.372595820717684</v>
      </c>
      <c r="E86" s="15" t="b">
        <v>0</v>
      </c>
      <c r="F86" s="15" t="n">
        <v>25</v>
      </c>
      <c r="G86" s="15" t="n">
        <v>9.8125</v>
      </c>
      <c r="H86" s="15" t="n">
        <v>63</v>
      </c>
      <c r="I86" s="15" t="b">
        <v>1</v>
      </c>
    </row>
    <row r="87">
      <c r="A87" s="15" t="inlineStr">
        <is>
          <t>G#4</t>
        </is>
      </c>
      <c r="B87" s="15" t="inlineStr">
        <is>
          <t>note_effective_component_density</t>
        </is>
      </c>
      <c r="C87" s="15" t="n">
        <v>0.38644983579064</v>
      </c>
      <c r="D87" s="15" t="n">
        <v>38.644983579064</v>
      </c>
      <c r="E87" s="15" t="b">
        <v>1</v>
      </c>
      <c r="F87" s="15" t="n">
        <v>25</v>
      </c>
      <c r="G87" s="15" t="n">
        <v>9.8125</v>
      </c>
      <c r="H87" s="15" t="n">
        <v>63</v>
      </c>
      <c r="I87" s="15" t="b">
        <v>1</v>
      </c>
    </row>
    <row r="88">
      <c r="A88" s="15" t="inlineStr">
        <is>
          <t>G#4</t>
        </is>
      </c>
      <c r="B88" s="15" t="inlineStr">
        <is>
          <t>EWSD_score_acoustic_balanced</t>
        </is>
      </c>
      <c r="C88" s="15" t="n">
        <v>0.2478938577117926</v>
      </c>
      <c r="D88" s="15" t="n">
        <v>24.78938577117925</v>
      </c>
      <c r="E88" s="15" t="b">
        <v>0</v>
      </c>
      <c r="F88" s="15" t="n">
        <v>25</v>
      </c>
      <c r="G88" s="15" t="n">
        <v>9.8125</v>
      </c>
      <c r="H88" s="15" t="n">
        <v>63</v>
      </c>
      <c r="I88" s="15" t="b">
        <v>1</v>
      </c>
    </row>
    <row r="89">
      <c r="A89" s="15" t="inlineStr">
        <is>
          <t>A4</t>
        </is>
      </c>
      <c r="B89" s="15" t="inlineStr">
        <is>
          <t>note_density_final</t>
        </is>
      </c>
      <c r="C89" s="15" t="n">
        <v>0.07008190829137841</v>
      </c>
      <c r="D89" s="15" t="n">
        <v>7.008190829137841</v>
      </c>
      <c r="E89" s="15" t="b">
        <v>0</v>
      </c>
      <c r="F89" s="15" t="n">
        <v>25</v>
      </c>
      <c r="G89" s="15" t="n">
        <v>9</v>
      </c>
      <c r="H89" s="15" t="n">
        <v>61</v>
      </c>
      <c r="I89" s="15" t="b">
        <v>1</v>
      </c>
    </row>
    <row r="90">
      <c r="A90" s="15" t="inlineStr">
        <is>
          <t>A4</t>
        </is>
      </c>
      <c r="B90" s="15" t="inlineStr">
        <is>
          <t>note_effective_component_density</t>
        </is>
      </c>
      <c r="C90" s="15" t="n">
        <v>0.3959449060154318</v>
      </c>
      <c r="D90" s="15" t="n">
        <v>39.59449060154318</v>
      </c>
      <c r="E90" s="15" t="b">
        <v>1</v>
      </c>
      <c r="F90" s="15" t="n">
        <v>25</v>
      </c>
      <c r="G90" s="15" t="n">
        <v>9</v>
      </c>
      <c r="H90" s="15" t="n">
        <v>61</v>
      </c>
      <c r="I90" s="15" t="b">
        <v>1</v>
      </c>
    </row>
    <row r="91">
      <c r="A91" s="15" t="inlineStr">
        <is>
          <t>A4</t>
        </is>
      </c>
      <c r="B91" s="15" t="inlineStr">
        <is>
          <t>EWSD_score_acoustic_balanced</t>
        </is>
      </c>
      <c r="C91" s="15" t="n">
        <v>0.276323114825521</v>
      </c>
      <c r="D91" s="15" t="n">
        <v>27.6323114825521</v>
      </c>
      <c r="E91" s="15" t="b">
        <v>1</v>
      </c>
      <c r="F91" s="15" t="n">
        <v>25</v>
      </c>
      <c r="G91" s="15" t="n">
        <v>9</v>
      </c>
      <c r="H91" s="15" t="n">
        <v>61</v>
      </c>
      <c r="I91" s="15" t="b">
        <v>1</v>
      </c>
    </row>
    <row r="92">
      <c r="A92" s="15" t="inlineStr">
        <is>
          <t>A#4</t>
        </is>
      </c>
      <c r="B92" s="15" t="inlineStr">
        <is>
          <t>note_density_final</t>
        </is>
      </c>
      <c r="C92" s="15" t="n">
        <v>0.07628983446629005</v>
      </c>
      <c r="D92" s="15" t="n">
        <v>7.628983446629005</v>
      </c>
      <c r="E92" s="15" t="b">
        <v>0</v>
      </c>
      <c r="F92" s="15" t="n">
        <v>25</v>
      </c>
      <c r="G92" s="15" t="n">
        <v>10.5625</v>
      </c>
      <c r="H92" s="15" t="n">
        <v>59</v>
      </c>
      <c r="I92" s="15" t="b">
        <v>0</v>
      </c>
    </row>
    <row r="93">
      <c r="A93" s="15" t="inlineStr">
        <is>
          <t>A#4</t>
        </is>
      </c>
      <c r="B93" s="15" t="inlineStr">
        <is>
          <t>note_effective_component_density</t>
        </is>
      </c>
      <c r="C93" s="15" t="n">
        <v>0.4124227576844087</v>
      </c>
      <c r="D93" s="15" t="n">
        <v>41.24227576844087</v>
      </c>
      <c r="E93" s="15" t="b">
        <v>1</v>
      </c>
      <c r="F93" s="15" t="n">
        <v>25</v>
      </c>
      <c r="G93" s="15" t="n">
        <v>10.5625</v>
      </c>
      <c r="H93" s="15" t="n">
        <v>59</v>
      </c>
      <c r="I93" s="15" t="b">
        <v>0</v>
      </c>
    </row>
    <row r="94">
      <c r="A94" s="15" t="inlineStr">
        <is>
          <t>A#4</t>
        </is>
      </c>
      <c r="B94" s="15" t="inlineStr">
        <is>
          <t>EWSD_score_acoustic_balanced</t>
        </is>
      </c>
      <c r="C94" s="15" t="n">
        <v>0.3012648947968868</v>
      </c>
      <c r="D94" s="15" t="n">
        <v>30.12648947968868</v>
      </c>
      <c r="E94" s="15" t="b">
        <v>1</v>
      </c>
      <c r="F94" s="15" t="n">
        <v>25</v>
      </c>
      <c r="G94" s="15" t="n">
        <v>10.5625</v>
      </c>
      <c r="H94" s="15" t="n">
        <v>59</v>
      </c>
      <c r="I94" s="15" t="b">
        <v>0</v>
      </c>
    </row>
    <row r="95">
      <c r="A95" s="15" t="inlineStr">
        <is>
          <t>B4</t>
        </is>
      </c>
      <c r="B95" s="15" t="inlineStr">
        <is>
          <t>note_density_final</t>
        </is>
      </c>
      <c r="C95" s="15" t="n">
        <v>0.07956735837342874</v>
      </c>
      <c r="D95" s="15" t="n">
        <v>7.956735837342873</v>
      </c>
      <c r="E95" s="15" t="b">
        <v>0</v>
      </c>
      <c r="F95" s="15" t="n">
        <v>25</v>
      </c>
      <c r="G95" s="15" t="n">
        <v>10.625</v>
      </c>
      <c r="H95" s="15" t="n">
        <v>51</v>
      </c>
      <c r="I95" s="15" t="b">
        <v>0</v>
      </c>
    </row>
    <row r="96">
      <c r="A96" s="15" t="inlineStr">
        <is>
          <t>B4</t>
        </is>
      </c>
      <c r="B96" s="15" t="inlineStr">
        <is>
          <t>note_effective_component_density</t>
        </is>
      </c>
      <c r="C96" s="15" t="n">
        <v>0.4512833988929376</v>
      </c>
      <c r="D96" s="15" t="n">
        <v>45.12833988929376</v>
      </c>
      <c r="E96" s="15" t="b">
        <v>1</v>
      </c>
      <c r="F96" s="15" t="n">
        <v>25</v>
      </c>
      <c r="G96" s="15" t="n">
        <v>10.625</v>
      </c>
      <c r="H96" s="15" t="n">
        <v>51</v>
      </c>
      <c r="I96" s="15" t="b">
        <v>0</v>
      </c>
    </row>
    <row r="97">
      <c r="A97" s="15" t="inlineStr">
        <is>
          <t>B4</t>
        </is>
      </c>
      <c r="B97" s="15" t="inlineStr">
        <is>
          <t>EWSD_score_acoustic_balanced</t>
        </is>
      </c>
      <c r="C97" s="15" t="n">
        <v>0.3137317387182236</v>
      </c>
      <c r="D97" s="15" t="n">
        <v>31.37317387182236</v>
      </c>
      <c r="E97" s="15" t="b">
        <v>1</v>
      </c>
      <c r="F97" s="15" t="n">
        <v>25</v>
      </c>
      <c r="G97" s="15" t="n">
        <v>10.625</v>
      </c>
      <c r="H97" s="15" t="n">
        <v>51</v>
      </c>
      <c r="I97" s="15" t="b">
        <v>0</v>
      </c>
    </row>
    <row r="98">
      <c r="A98" s="15" t="inlineStr">
        <is>
          <t>C5</t>
        </is>
      </c>
      <c r="B98" s="15" t="inlineStr">
        <is>
          <t>note_density_final</t>
        </is>
      </c>
      <c r="C98" s="15" t="n">
        <v>0.1010734879639182</v>
      </c>
      <c r="D98" s="15" t="n">
        <v>10.10734879639182</v>
      </c>
      <c r="E98" s="15" t="b">
        <v>0</v>
      </c>
      <c r="F98" s="15" t="n">
        <v>25</v>
      </c>
      <c r="G98" s="15" t="n">
        <v>22.3125</v>
      </c>
      <c r="H98" s="15" t="n">
        <v>61</v>
      </c>
      <c r="I98" s="15" t="b">
        <v>0</v>
      </c>
    </row>
    <row r="99">
      <c r="A99" s="15" t="inlineStr">
        <is>
          <t>C5</t>
        </is>
      </c>
      <c r="B99" s="15" t="inlineStr">
        <is>
          <t>note_effective_component_density</t>
        </is>
      </c>
      <c r="C99" s="15" t="n">
        <v>0.4725638188205059</v>
      </c>
      <c r="D99" s="15" t="n">
        <v>47.25638188205059</v>
      </c>
      <c r="E99" s="15" t="b">
        <v>1</v>
      </c>
      <c r="F99" s="15" t="n">
        <v>25</v>
      </c>
      <c r="G99" s="15" t="n">
        <v>22.3125</v>
      </c>
      <c r="H99" s="15" t="n">
        <v>61</v>
      </c>
      <c r="I99" s="15" t="b">
        <v>0</v>
      </c>
    </row>
    <row r="100">
      <c r="A100" s="15" t="inlineStr">
        <is>
          <t>C5</t>
        </is>
      </c>
      <c r="B100" s="15" t="inlineStr">
        <is>
          <t>EWSD_score_acoustic_balanced</t>
        </is>
      </c>
      <c r="C100" s="15" t="n">
        <v>0.3305311871961462</v>
      </c>
      <c r="D100" s="15" t="n">
        <v>33.05311871961462</v>
      </c>
      <c r="E100" s="15" t="b">
        <v>1</v>
      </c>
      <c r="F100" s="15" t="n">
        <v>25</v>
      </c>
      <c r="G100" s="15" t="n">
        <v>22.3125</v>
      </c>
      <c r="H100" s="15" t="n">
        <v>61</v>
      </c>
      <c r="I100" s="15" t="b">
        <v>0</v>
      </c>
    </row>
  </sheetData>
  <autoFilter ref="A1:I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1" t="inlineStr">
        <is>
          <t>primary_statistics_status</t>
        </is>
      </c>
    </row>
    <row r="2">
      <c r="A2" s="15" t="inlineStr">
        <is>
          <t>no rows passed valid_for_primary_statistics + is_primary_comparable_profile filters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22" customWidth="1" min="5" max="5"/>
    <col width="24" customWidth="1" min="6" max="6"/>
    <col width="21" customWidth="1" min="7" max="7"/>
    <col width="19" customWidth="1" min="8" max="8"/>
    <col width="33" customWidth="1" min="9" max="9"/>
    <col width="35" customWidth="1" min="10" max="10"/>
    <col width="32" customWidth="1" min="11" max="11"/>
    <col width="28" customWidth="1" min="12" max="12"/>
    <col width="28" customWidth="1" min="13" max="13"/>
    <col width="27" customWidth="1" min="14" max="14"/>
    <col width="40" customWidth="1" min="15" max="15"/>
    <col width="42" customWidth="1" min="16" max="16"/>
    <col width="39" customWidth="1" min="17" max="17"/>
    <col width="20" customWidth="1" min="18" max="18"/>
    <col width="24" customWidth="1" min="19" max="19"/>
    <col width="26" customWidth="1" min="20" max="20"/>
    <col width="23" customWidth="1" min="21" max="21"/>
    <col width="22" customWidth="1" min="22" max="22"/>
    <col width="22" customWidth="1" min="23" max="23"/>
    <col width="48" customWidth="1" min="24" max="24"/>
    <col width="48" customWidth="1" min="25" max="25"/>
    <col width="28" customWidth="1" min="26" max="26"/>
    <col width="23" customWidth="1" min="27" max="27"/>
    <col width="31" customWidth="1" min="28" max="28"/>
    <col width="31" customWidth="1" min="29" max="29"/>
    <col width="22" customWidth="1" min="30" max="30"/>
    <col width="25" customWidth="1" min="31" max="31"/>
    <col width="26" customWidth="1" min="32" max="32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Register</t>
        </is>
      </c>
      <c r="D1" s="11" t="inlineStr">
        <is>
          <t>Dynamic</t>
        </is>
      </c>
      <c r="E1" s="11" t="inlineStr">
        <is>
          <t>harmonic_density_sum</t>
        </is>
      </c>
      <c r="F1" s="11" t="inlineStr">
        <is>
          <t>inharmonic_density_sum</t>
        </is>
      </c>
      <c r="G1" s="11" t="inlineStr">
        <is>
          <t>subbass_density_sum</t>
        </is>
      </c>
      <c r="H1" s="11" t="inlineStr">
        <is>
          <t>Total sum</t>
        </is>
      </c>
      <c r="I1" s="11" t="inlineStr">
        <is>
          <t>component_harmonic_energy_ratio</t>
        </is>
      </c>
      <c r="J1" s="11" t="inlineStr">
        <is>
          <t>component_inharmonic_energy_ratio</t>
        </is>
      </c>
      <c r="K1" s="11" t="inlineStr">
        <is>
          <t>component_subbass_energy_ratio</t>
        </is>
      </c>
      <c r="L1" s="11" t="inlineStr">
        <is>
          <t>core_harmonic_energy_ratio</t>
        </is>
      </c>
      <c r="M1" s="11" t="inlineStr">
        <is>
          <t>core_residual_energy_ratio</t>
        </is>
      </c>
      <c r="N1" s="11" t="inlineStr">
        <is>
          <t>core_subbass_energy_ratio</t>
        </is>
      </c>
      <c r="O1" s="11" t="inlineStr">
        <is>
          <t>weighted_harmonic_density_contribution</t>
        </is>
      </c>
      <c r="P1" s="11" t="inlineStr">
        <is>
          <t>weighted_inharmonic_density_contribution</t>
        </is>
      </c>
      <c r="Q1" s="11" t="inlineStr">
        <is>
          <t>weighted_subbass_density_contribution</t>
        </is>
      </c>
      <c r="R1" s="11" t="inlineStr">
        <is>
          <t>density_metric_raw</t>
        </is>
      </c>
      <c r="S1" s="11" t="inlineStr">
        <is>
          <t>harmonic_amplitude_sum</t>
        </is>
      </c>
      <c r="T1" s="11" t="inlineStr">
        <is>
          <t>inharmonic_amplitude_sum</t>
        </is>
      </c>
      <c r="U1" s="11" t="inlineStr">
        <is>
          <t>subbass_amplitude_sum</t>
        </is>
      </c>
      <c r="V1" s="11" t="inlineStr">
        <is>
          <t>density_weighted_sum</t>
        </is>
      </c>
      <c r="W1" s="11" t="inlineStr">
        <is>
          <t>density_log_weighted</t>
        </is>
      </c>
      <c r="X1" s="11" t="inlineStr">
        <is>
          <t>amplitude_mass_chart_file</t>
        </is>
      </c>
      <c r="Y1" s="11" t="inlineStr">
        <is>
          <t>energy_ratio_chart_file</t>
        </is>
      </c>
      <c r="Z1" s="11" t="inlineStr">
        <is>
          <t>component_energy_ratio_sum</t>
        </is>
      </c>
      <c r="AA1" s="11" t="inlineStr">
        <is>
          <t>core_energy_ratio_sum</t>
        </is>
      </c>
      <c r="AB1" s="11" t="inlineStr">
        <is>
          <t>density_metric_raw_recomputed</t>
        </is>
      </c>
      <c r="AC1" s="11" t="inlineStr">
        <is>
          <t>density_metric_raw_difference</t>
        </is>
      </c>
      <c r="AD1" s="11" t="inlineStr">
        <is>
          <t>total_sum_recomputed</t>
        </is>
      </c>
      <c r="AE1" s="11" t="inlineStr">
        <is>
          <t>total_sum_difference</t>
        </is>
      </c>
      <c r="AF1" s="11" t="inlineStr">
        <is>
          <t>component_balance_status</t>
        </is>
      </c>
    </row>
    <row r="2">
      <c r="A2" t="inlineStr">
        <is>
          <t>E2</t>
        </is>
      </c>
      <c r="B2" t="n">
        <v>40</v>
      </c>
      <c r="C2" t="inlineStr">
        <is>
          <t>Low</t>
        </is>
      </c>
      <c r="D2" t="inlineStr">
        <is>
          <t>ff</t>
        </is>
      </c>
      <c r="E2" s="15" t="n">
        <v>2.989930415520853</v>
      </c>
      <c r="F2" s="15" t="n">
        <v>2.085636269738901</v>
      </c>
      <c r="G2" s="15" t="n">
        <v>0.4285240680347466</v>
      </c>
      <c r="H2" s="15" t="n">
        <v>5.5040907532945</v>
      </c>
      <c r="I2" s="19" t="n">
        <v>1</v>
      </c>
      <c r="J2" s="19" t="n">
        <v>0</v>
      </c>
      <c r="K2" s="19" t="n">
        <v>0</v>
      </c>
      <c r="L2" s="19" t="n">
        <v>0.9098089737948225</v>
      </c>
      <c r="M2" s="19" t="n">
        <v>0.09019102620517754</v>
      </c>
      <c r="N2" s="19" t="n">
        <v>0</v>
      </c>
      <c r="O2" s="15" t="n">
        <v>2.292200278594707</v>
      </c>
      <c r="P2" s="15" t="n">
        <v>0.3448162644792033</v>
      </c>
      <c r="Q2" s="15" t="n">
        <v>0.02915289560720341</v>
      </c>
      <c r="R2" s="15" t="n">
        <v>2.666169438681114</v>
      </c>
      <c r="S2" s="15" t="n">
        <v>976.0806564621728</v>
      </c>
      <c r="T2" s="15" t="n">
        <v>120.7969098310242</v>
      </c>
      <c r="U2" s="15" t="n">
        <v>1.682403258785609</v>
      </c>
      <c r="V2" s="15" t="n">
        <v>2131.478096736079</v>
      </c>
      <c r="W2" s="15" t="n">
        <v>0.6009653216469391</v>
      </c>
      <c r="X2" t="inlineStr">
        <is>
          <t>IOWA_Trb.T_ff.E2_SustainStable/E2/component_amplitude_mass_pie.png</t>
        </is>
      </c>
      <c r="Y2" t="inlineStr">
        <is>
          <t>IOWA_Trb.T_ff.E2_SustainStable/E2/component_energy_ratio_pie.png</t>
        </is>
      </c>
      <c r="Z2" s="19" t="n">
        <v>1</v>
      </c>
      <c r="AA2" s="19" t="n">
        <v>1</v>
      </c>
      <c r="AB2" s="15" t="n">
        <v>2.666169438681114</v>
      </c>
      <c r="AC2" s="15" t="n">
        <v>4.440892098500626e-16</v>
      </c>
      <c r="AD2" s="15" t="n">
        <v>5.5040907532945</v>
      </c>
      <c r="AE2" s="15" t="n">
        <v>0</v>
      </c>
      <c r="AF2" t="inlineStr">
        <is>
          <t>passed</t>
        </is>
      </c>
    </row>
    <row r="3">
      <c r="A3" t="inlineStr">
        <is>
          <t>F2</t>
        </is>
      </c>
      <c r="B3" t="n">
        <v>41</v>
      </c>
      <c r="C3" t="inlineStr">
        <is>
          <t>Low</t>
        </is>
      </c>
      <c r="D3" t="inlineStr">
        <is>
          <t>ff</t>
        </is>
      </c>
      <c r="E3" s="15" t="n">
        <v>2.940738203472134</v>
      </c>
      <c r="F3" s="15" t="n">
        <v>1.946145031053939</v>
      </c>
      <c r="G3" s="15" t="n">
        <v>0.4346840095971298</v>
      </c>
      <c r="H3" s="15" t="n">
        <v>5.321567244123203</v>
      </c>
      <c r="I3" s="19" t="n">
        <v>0.9999978005626109</v>
      </c>
      <c r="J3" s="19" t="n">
        <v>0</v>
      </c>
      <c r="K3" s="19" t="n">
        <v>2.199437389130457e-06</v>
      </c>
      <c r="L3" s="19" t="n">
        <v>0.9014203937768378</v>
      </c>
      <c r="M3" s="19" t="n">
        <v>0.09857762360108427</v>
      </c>
      <c r="N3" s="19" t="n">
        <v>1.982622078050604e-06</v>
      </c>
      <c r="O3" s="15" t="n">
        <v>2.254487560740997</v>
      </c>
      <c r="P3" s="15" t="n">
        <v>0.3217543104132881</v>
      </c>
      <c r="Q3" s="15" t="n">
        <v>0.02957196222845108</v>
      </c>
      <c r="R3" s="15" t="n">
        <v>2.605813833382737</v>
      </c>
      <c r="S3" s="15" t="n">
        <v>871.4452921580255</v>
      </c>
      <c r="T3" s="15" t="n">
        <v>87.33748509678148</v>
      </c>
      <c r="U3" s="15" t="n">
        <v>1.720721005304576</v>
      </c>
      <c r="V3" s="15" t="n">
        <v>2108.456094891425</v>
      </c>
      <c r="W3" s="15" t="n">
        <v>0.5955769767289694</v>
      </c>
      <c r="X3" t="inlineStr">
        <is>
          <t>IOWA_Trb.T_ff.F2_SustainStable/F2/component_amplitude_mass_pie.png</t>
        </is>
      </c>
      <c r="Y3" t="inlineStr">
        <is>
          <t>IOWA_Trb.T_ff.F2_SustainStable/F2/component_energy_ratio_pie.png</t>
        </is>
      </c>
      <c r="Z3" s="19" t="n">
        <v>1</v>
      </c>
      <c r="AA3" s="19" t="n">
        <v>1</v>
      </c>
      <c r="AB3" s="15" t="n">
        <v>2.605813833382736</v>
      </c>
      <c r="AC3" s="15" t="n">
        <v>8.881784197001252e-16</v>
      </c>
      <c r="AD3" s="15" t="n">
        <v>5.321567244123202</v>
      </c>
      <c r="AE3" s="15" t="n">
        <v>8.881784197001252e-16</v>
      </c>
      <c r="AF3" t="inlineStr">
        <is>
          <t>passed</t>
        </is>
      </c>
    </row>
    <row r="4">
      <c r="A4" t="inlineStr">
        <is>
          <t>F#2</t>
        </is>
      </c>
      <c r="B4" t="n">
        <v>42</v>
      </c>
      <c r="C4" t="inlineStr">
        <is>
          <t>Low</t>
        </is>
      </c>
      <c r="D4" t="inlineStr">
        <is>
          <t>ff</t>
        </is>
      </c>
      <c r="E4" s="15" t="n">
        <v>3.050864314864802</v>
      </c>
      <c r="F4" s="15" t="n">
        <v>2.06515038910987</v>
      </c>
      <c r="G4" s="15" t="n">
        <v>0.4292624677632066</v>
      </c>
      <c r="H4" s="15" t="n">
        <v>5.545277171737879</v>
      </c>
      <c r="I4" s="19" t="n">
        <v>0.9999975713996124</v>
      </c>
      <c r="J4" s="19" t="n">
        <v>0</v>
      </c>
      <c r="K4" s="19" t="n">
        <v>2.428600387626888e-06</v>
      </c>
      <c r="L4" s="19" t="n">
        <v>0.9446489369017664</v>
      </c>
      <c r="M4" s="19" t="n">
        <v>0.05534876891788763</v>
      </c>
      <c r="N4" s="19" t="n">
        <v>2.294180345978235e-06</v>
      </c>
      <c r="O4" s="15" t="n">
        <v>2.33891464369398</v>
      </c>
      <c r="P4" s="15" t="n">
        <v>0.3414293532830562</v>
      </c>
      <c r="Q4" s="15" t="n">
        <v>0.0292031296355951</v>
      </c>
      <c r="R4" s="15" t="n">
        <v>2.709547126612631</v>
      </c>
      <c r="S4" s="15" t="n">
        <v>1123.253672373533</v>
      </c>
      <c r="T4" s="15" t="n">
        <v>115.1850874233971</v>
      </c>
      <c r="U4" s="15" t="n">
        <v>1.686967835781563</v>
      </c>
      <c r="V4" s="15" t="n">
        <v>3098.049995628886</v>
      </c>
      <c r="W4" s="15" t="n">
        <v>0.6075470139899625</v>
      </c>
      <c r="X4" t="inlineStr">
        <is>
          <t>IOWA_Trb.T_ff.F#2_SustainStable/F#2/component_amplitude_mass_pie.png</t>
        </is>
      </c>
      <c r="Y4" t="inlineStr">
        <is>
          <t>IOWA_Trb.T_ff.F#2_SustainStable/F#2/component_energy_ratio_pie.png</t>
        </is>
      </c>
      <c r="Z4" s="19" t="n">
        <v>1</v>
      </c>
      <c r="AA4" s="19" t="n">
        <v>1</v>
      </c>
      <c r="AB4" s="15" t="n">
        <v>2.709547126612631</v>
      </c>
      <c r="AC4" s="15" t="n">
        <v>0</v>
      </c>
      <c r="AD4" s="15" t="n">
        <v>5.545277171737879</v>
      </c>
      <c r="AE4" s="15" t="n">
        <v>0</v>
      </c>
      <c r="AF4" t="inlineStr">
        <is>
          <t>passed</t>
        </is>
      </c>
    </row>
    <row r="5">
      <c r="A5" t="inlineStr">
        <is>
          <t>G2</t>
        </is>
      </c>
      <c r="B5" t="n">
        <v>43</v>
      </c>
      <c r="C5" t="inlineStr">
        <is>
          <t>Low</t>
        </is>
      </c>
      <c r="D5" t="inlineStr">
        <is>
          <t>ff</t>
        </is>
      </c>
      <c r="E5" s="15" t="n">
        <v>3.017321173773505</v>
      </c>
      <c r="F5" s="15" t="n">
        <v>2.158305907033403</v>
      </c>
      <c r="G5" s="15" t="n">
        <v>0.433840270912734</v>
      </c>
      <c r="H5" s="15" t="n">
        <v>5.609467351719642</v>
      </c>
      <c r="I5" s="19" t="n">
        <v>0.9999988258811667</v>
      </c>
      <c r="J5" s="19" t="n">
        <v>0</v>
      </c>
      <c r="K5" s="19" t="n">
        <v>1.174118833249685e-06</v>
      </c>
      <c r="L5" s="19" t="n">
        <v>0.9323340819578726</v>
      </c>
      <c r="M5" s="19" t="n">
        <v>0.06766482336983765</v>
      </c>
      <c r="N5" s="19" t="n">
        <v>1.094672289782645e-06</v>
      </c>
      <c r="O5" s="15" t="n">
        <v>2.313199129729078</v>
      </c>
      <c r="P5" s="15" t="n">
        <v>0.3568306666242551</v>
      </c>
      <c r="Q5" s="15" t="n">
        <v>0.02951456189175878</v>
      </c>
      <c r="R5" s="15" t="n">
        <v>2.699544358245092</v>
      </c>
      <c r="S5" s="15" t="n">
        <v>1039.689502368798</v>
      </c>
      <c r="T5" s="15" t="n">
        <v>142.9812391857531</v>
      </c>
      <c r="U5" s="15" t="n">
        <v>1.715440373845204</v>
      </c>
      <c r="V5" s="15" t="n">
        <v>2800.423207204336</v>
      </c>
      <c r="W5" s="15" t="n">
        <v>0.603936225850468</v>
      </c>
      <c r="X5" t="inlineStr">
        <is>
          <t>IOWA_Trb.T_ff.G2_SustainStable/G2/component_amplitude_mass_pie.png</t>
        </is>
      </c>
      <c r="Y5" t="inlineStr">
        <is>
          <t>IOWA_Trb.T_ff.G2_SustainStable/G2/component_energy_ratio_pie.png</t>
        </is>
      </c>
      <c r="Z5" s="19" t="n">
        <v>1</v>
      </c>
      <c r="AA5" s="19" t="n">
        <v>1</v>
      </c>
      <c r="AB5" s="15" t="n">
        <v>2.699544358245092</v>
      </c>
      <c r="AC5" s="15" t="n">
        <v>4.440892098500626e-16</v>
      </c>
      <c r="AD5" s="15" t="n">
        <v>5.609467351719642</v>
      </c>
      <c r="AE5" s="15" t="n">
        <v>0</v>
      </c>
      <c r="AF5" t="inlineStr">
        <is>
          <t>passed</t>
        </is>
      </c>
    </row>
    <row r="6">
      <c r="A6" t="inlineStr">
        <is>
          <t>G#2</t>
        </is>
      </c>
      <c r="B6" t="n">
        <v>44</v>
      </c>
      <c r="C6" t="inlineStr">
        <is>
          <t>Low</t>
        </is>
      </c>
      <c r="D6" t="inlineStr">
        <is>
          <t>ff</t>
        </is>
      </c>
      <c r="E6" s="15" t="n">
        <v>2.91014156644414</v>
      </c>
      <c r="F6" s="15" t="n">
        <v>1.789833411996685</v>
      </c>
      <c r="G6" s="15" t="n">
        <v>0.4752133608671699</v>
      </c>
      <c r="H6" s="15" t="n">
        <v>5.175188339307994</v>
      </c>
      <c r="I6" s="19" t="n">
        <v>0.9999983526408636</v>
      </c>
      <c r="J6" s="19" t="n">
        <v>0</v>
      </c>
      <c r="K6" s="19" t="n">
        <v>1.647359136479137e-06</v>
      </c>
      <c r="L6" s="19" t="n">
        <v>0.8935051755138783</v>
      </c>
      <c r="M6" s="19" t="n">
        <v>0.1064933525597825</v>
      </c>
      <c r="N6" s="19" t="n">
        <v>1.471926339165485e-06</v>
      </c>
      <c r="O6" s="15" t="n">
        <v>2.231030954675665</v>
      </c>
      <c r="P6" s="15" t="n">
        <v>0.2959114588288331</v>
      </c>
      <c r="Q6" s="15" t="n">
        <v>0.03232921213514092</v>
      </c>
      <c r="R6" s="15" t="n">
        <v>2.559271625639639</v>
      </c>
      <c r="S6" s="15" t="n">
        <v>812.0955167276155</v>
      </c>
      <c r="T6" s="15" t="n">
        <v>60.63585318239873</v>
      </c>
      <c r="U6" s="15" t="n">
        <v>1.986849642656157</v>
      </c>
      <c r="V6" s="15" t="n">
        <v>1959.31467346097</v>
      </c>
      <c r="W6" s="15" t="n">
        <v>0.5921920357672608</v>
      </c>
      <c r="X6" t="inlineStr">
        <is>
          <t>IOWA_Trb.T_ff.G#2_SustainStable/G#2/component_amplitude_mass_pie.png</t>
        </is>
      </c>
      <c r="Y6" t="inlineStr">
        <is>
          <t>IOWA_Trb.T_ff.G#2_SustainStable/G#2/component_energy_ratio_pie.png</t>
        </is>
      </c>
      <c r="Z6" s="19" t="n">
        <v>1</v>
      </c>
      <c r="AA6" s="19" t="n">
        <v>0.9999999999999999</v>
      </c>
      <c r="AB6" s="15" t="n">
        <v>2.559271625639639</v>
      </c>
      <c r="AC6" s="15" t="n">
        <v>4.440892098500626e-16</v>
      </c>
      <c r="AD6" s="15" t="n">
        <v>5.175188339307994</v>
      </c>
      <c r="AE6" s="15" t="n">
        <v>-8.881784197001252e-16</v>
      </c>
      <c r="AF6" t="inlineStr">
        <is>
          <t>passed</t>
        </is>
      </c>
    </row>
    <row r="7">
      <c r="A7" t="inlineStr">
        <is>
          <t>A2</t>
        </is>
      </c>
      <c r="B7" t="n">
        <v>45</v>
      </c>
      <c r="C7" t="inlineStr">
        <is>
          <t>Low</t>
        </is>
      </c>
      <c r="D7" t="inlineStr">
        <is>
          <t>ff</t>
        </is>
      </c>
      <c r="E7" s="15" t="n">
        <v>2.889067666753958</v>
      </c>
      <c r="F7" s="15" t="n">
        <v>1.952396509675354</v>
      </c>
      <c r="G7" s="15" t="n">
        <v>0.5829328789267656</v>
      </c>
      <c r="H7" s="15" t="n">
        <v>5.424397055356078</v>
      </c>
      <c r="I7" s="19" t="n">
        <v>0.9999963109858068</v>
      </c>
      <c r="J7" s="19" t="n">
        <v>0</v>
      </c>
      <c r="K7" s="19" t="n">
        <v>3.689014193195046e-06</v>
      </c>
      <c r="L7" s="19" t="n">
        <v>0.9017191544486236</v>
      </c>
      <c r="M7" s="19" t="n">
        <v>0.09827751908434597</v>
      </c>
      <c r="N7" s="19" t="n">
        <v>3.326467030420897e-06</v>
      </c>
      <c r="O7" s="15" t="n">
        <v>2.214874860042106</v>
      </c>
      <c r="P7" s="15" t="n">
        <v>0.3227878614389315</v>
      </c>
      <c r="Q7" s="15" t="n">
        <v>0.03965747231723885</v>
      </c>
      <c r="R7" s="15" t="n">
        <v>2.577320193798276</v>
      </c>
      <c r="S7" s="15" t="n">
        <v>773.5824749027666</v>
      </c>
      <c r="T7" s="15" t="n">
        <v>88.61826044196502</v>
      </c>
      <c r="U7" s="15" t="n">
        <v>2.827655815656342</v>
      </c>
      <c r="V7" s="15" t="n">
        <v>1936.352326809154</v>
      </c>
      <c r="W7" s="15" t="n">
        <v>0.5898445495761591</v>
      </c>
      <c r="X7" t="inlineStr">
        <is>
          <t>IOWA_Trb.T_ff.A2_SustainStable/A2/component_amplitude_mass_pie.png</t>
        </is>
      </c>
      <c r="Y7" t="inlineStr">
        <is>
          <t>IOWA_Trb.T_ff.A2_SustainStable/A2/component_energy_ratio_pie.png</t>
        </is>
      </c>
      <c r="Z7" s="19" t="n">
        <v>1</v>
      </c>
      <c r="AA7" s="19" t="n">
        <v>1</v>
      </c>
      <c r="AB7" s="15" t="n">
        <v>2.577320193798276</v>
      </c>
      <c r="AC7" s="15" t="n">
        <v>-4.440892098500626e-16</v>
      </c>
      <c r="AD7" s="15" t="n">
        <v>5.424397055356078</v>
      </c>
      <c r="AE7" s="15" t="n">
        <v>0</v>
      </c>
      <c r="AF7" t="inlineStr">
        <is>
          <t>passed</t>
        </is>
      </c>
    </row>
    <row r="8">
      <c r="A8" t="inlineStr">
        <is>
          <t>A#2</t>
        </is>
      </c>
      <c r="B8" t="n">
        <v>46</v>
      </c>
      <c r="C8" t="inlineStr">
        <is>
          <t>Low</t>
        </is>
      </c>
      <c r="D8" t="inlineStr">
        <is>
          <t>ff</t>
        </is>
      </c>
      <c r="E8" s="15" t="n">
        <v>2.985102079668416</v>
      </c>
      <c r="F8" s="15" t="n">
        <v>2.137917658446651</v>
      </c>
      <c r="G8" s="15" t="n">
        <v>0.6446163076214299</v>
      </c>
      <c r="H8" s="15" t="n">
        <v>5.767636045736497</v>
      </c>
      <c r="I8" s="19" t="n">
        <v>0.9999980179197493</v>
      </c>
      <c r="J8" s="19" t="n">
        <v>0</v>
      </c>
      <c r="K8" s="19" t="n">
        <v>1.982080250782765e-06</v>
      </c>
      <c r="L8" s="19" t="n">
        <v>0.9372158666158981</v>
      </c>
      <c r="M8" s="19" t="n">
        <v>0.06278227574336</v>
      </c>
      <c r="N8" s="19" t="n">
        <v>1.857640741932653e-06</v>
      </c>
      <c r="O8" s="15" t="n">
        <v>2.288498683156682</v>
      </c>
      <c r="P8" s="15" t="n">
        <v>0.3534598968409711</v>
      </c>
      <c r="Q8" s="15" t="n">
        <v>0.0438538540179841</v>
      </c>
      <c r="R8" s="15" t="n">
        <v>2.685812434015638</v>
      </c>
      <c r="S8" s="15" t="n">
        <v>965.2779731572615</v>
      </c>
      <c r="T8" s="15" t="n">
        <v>136.3781483501971</v>
      </c>
      <c r="U8" s="15" t="n">
        <v>3.411804990551014</v>
      </c>
      <c r="V8" s="15" t="n">
        <v>2976.746816595592</v>
      </c>
      <c r="W8" s="15" t="n">
        <v>0.6004389449075234</v>
      </c>
      <c r="X8" t="inlineStr">
        <is>
          <t>IOWA_Trb.T_ff.A#2_SustainStable/A#2/component_amplitude_mass_pie.png</t>
        </is>
      </c>
      <c r="Y8" t="inlineStr">
        <is>
          <t>IOWA_Trb.T_ff.A#2_SustainStable/A#2/component_energy_ratio_pie.png</t>
        </is>
      </c>
      <c r="Z8" s="19" t="n">
        <v>1</v>
      </c>
      <c r="AA8" s="19" t="n">
        <v>1</v>
      </c>
      <c r="AB8" s="15" t="n">
        <v>2.685812434015638</v>
      </c>
      <c r="AC8" s="15" t="n">
        <v>4.440892098500626e-16</v>
      </c>
      <c r="AD8" s="15" t="n">
        <v>5.767636045736497</v>
      </c>
      <c r="AE8" s="15" t="n">
        <v>0</v>
      </c>
      <c r="AF8" t="inlineStr">
        <is>
          <t>passed</t>
        </is>
      </c>
    </row>
    <row r="9">
      <c r="A9" t="inlineStr">
        <is>
          <t>B2</t>
        </is>
      </c>
      <c r="B9" t="n">
        <v>47</v>
      </c>
      <c r="C9" t="inlineStr">
        <is>
          <t>Low</t>
        </is>
      </c>
      <c r="D9" t="inlineStr">
        <is>
          <t>ff</t>
        </is>
      </c>
      <c r="E9" s="15" t="n">
        <v>2.974012511506029</v>
      </c>
      <c r="F9" s="15" t="n">
        <v>1.934596839357162</v>
      </c>
      <c r="G9" s="15" t="n">
        <v>0.5857626691206445</v>
      </c>
      <c r="H9" s="15" t="n">
        <v>5.494372019983835</v>
      </c>
      <c r="I9" s="19" t="n">
        <v>0.9999980932685536</v>
      </c>
      <c r="J9" s="19" t="n">
        <v>0</v>
      </c>
      <c r="K9" s="19" t="n">
        <v>1.906731446489041e-06</v>
      </c>
      <c r="L9" s="19" t="n">
        <v>0.9475659303498479</v>
      </c>
      <c r="M9" s="19" t="n">
        <v>0.05243226289294992</v>
      </c>
      <c r="N9" s="19" t="n">
        <v>1.806757202020473e-06</v>
      </c>
      <c r="O9" s="15" t="n">
        <v>2.27999697652854</v>
      </c>
      <c r="P9" s="15" t="n">
        <v>0.3198450588433241</v>
      </c>
      <c r="Q9" s="15" t="n">
        <v>0.03984998560707757</v>
      </c>
      <c r="R9" s="15" t="n">
        <v>2.639692020978942</v>
      </c>
      <c r="S9" s="15" t="n">
        <v>940.9167316295641</v>
      </c>
      <c r="T9" s="15" t="n">
        <v>85.01948524939634</v>
      </c>
      <c r="U9" s="15" t="n">
        <v>2.852677611037644</v>
      </c>
      <c r="V9" s="15" t="n">
        <v>2882.286604463504</v>
      </c>
      <c r="W9" s="15" t="n">
        <v>0.5992287324279494</v>
      </c>
      <c r="X9" t="inlineStr">
        <is>
          <t>IOWA_Trb.T_ff.B2_SustainStable/B2/component_amplitude_mass_pie.png</t>
        </is>
      </c>
      <c r="Y9" t="inlineStr">
        <is>
          <t>IOWA_Trb.T_ff.B2_SustainStable/B2/component_energy_ratio_pie.png</t>
        </is>
      </c>
      <c r="Z9" s="19" t="n">
        <v>1</v>
      </c>
      <c r="AA9" s="19" t="n">
        <v>0.9999999999999999</v>
      </c>
      <c r="AB9" s="15" t="n">
        <v>2.639692020978941</v>
      </c>
      <c r="AC9" s="15" t="n">
        <v>4.440892098500626e-16</v>
      </c>
      <c r="AD9" s="15" t="n">
        <v>5.494372019983835</v>
      </c>
      <c r="AE9" s="15" t="n">
        <v>0</v>
      </c>
      <c r="AF9" t="inlineStr">
        <is>
          <t>passed</t>
        </is>
      </c>
    </row>
    <row r="10">
      <c r="A10" t="inlineStr">
        <is>
          <t>C3</t>
        </is>
      </c>
      <c r="B10" t="n">
        <v>48</v>
      </c>
      <c r="C10" t="inlineStr">
        <is>
          <t>Middle</t>
        </is>
      </c>
      <c r="D10" t="inlineStr">
        <is>
          <t>ff</t>
        </is>
      </c>
      <c r="E10" s="15" t="n">
        <v>2.94612252416172</v>
      </c>
      <c r="F10" s="15" t="n">
        <v>1.721635518489289</v>
      </c>
      <c r="G10" s="15" t="n">
        <v>0.6433400664676558</v>
      </c>
      <c r="H10" s="15" t="n">
        <v>5.311098109118665</v>
      </c>
      <c r="I10" s="19" t="n">
        <v>0.9999982871005897</v>
      </c>
      <c r="J10" s="19" t="n">
        <v>0</v>
      </c>
      <c r="K10" s="19" t="n">
        <v>1.712899410226243e-06</v>
      </c>
      <c r="L10" s="19" t="n">
        <v>0.9233075025351694</v>
      </c>
      <c r="M10" s="19" t="n">
        <v>0.07669091592924503</v>
      </c>
      <c r="N10" s="19" t="n">
        <v>1.581535585561329e-06</v>
      </c>
      <c r="O10" s="15" t="n">
        <v>2.258615396399194</v>
      </c>
      <c r="P10" s="15" t="n">
        <v>0.284636365838858</v>
      </c>
      <c r="Q10" s="15" t="n">
        <v>0.04376703013129735</v>
      </c>
      <c r="R10" s="15" t="n">
        <v>2.587018792369349</v>
      </c>
      <c r="S10" s="15" t="n">
        <v>882.3290721052828</v>
      </c>
      <c r="T10" s="15" t="n">
        <v>51.67875695459801</v>
      </c>
      <c r="U10" s="15" t="n">
        <v>3.398859253640852</v>
      </c>
      <c r="V10" s="15" t="n">
        <v>2733.307661138031</v>
      </c>
      <c r="W10" s="15" t="n">
        <v>0.59617013153638</v>
      </c>
      <c r="X10" t="inlineStr">
        <is>
          <t>IOWA_Trb.T_ff.C3_SustainStable/C3/component_amplitude_mass_pie.png</t>
        </is>
      </c>
      <c r="Y10" t="inlineStr">
        <is>
          <t>IOWA_Trb.T_ff.C3_SustainStable/C3/component_energy_ratio_pie.png</t>
        </is>
      </c>
      <c r="Z10" s="19" t="n">
        <v>0.9999999999999999</v>
      </c>
      <c r="AA10" s="19" t="n">
        <v>1</v>
      </c>
      <c r="AB10" s="15" t="n">
        <v>2.587018792369349</v>
      </c>
      <c r="AC10" s="15" t="n">
        <v>-4.440892098500626e-16</v>
      </c>
      <c r="AD10" s="15" t="n">
        <v>5.311098109118665</v>
      </c>
      <c r="AE10" s="15" t="n">
        <v>0</v>
      </c>
      <c r="AF10" t="inlineStr">
        <is>
          <t>passed</t>
        </is>
      </c>
    </row>
    <row r="11">
      <c r="A11" t="inlineStr">
        <is>
          <t>C#3</t>
        </is>
      </c>
      <c r="B11" t="n">
        <v>49</v>
      </c>
      <c r="C11" t="inlineStr">
        <is>
          <t>Middle</t>
        </is>
      </c>
      <c r="D11" t="inlineStr">
        <is>
          <t>ff</t>
        </is>
      </c>
      <c r="E11" s="15" t="n">
        <v>2.951120079247437</v>
      </c>
      <c r="F11" s="15" t="n">
        <v>1.817258370770683</v>
      </c>
      <c r="G11" s="15" t="n">
        <v>0.6268313338390218</v>
      </c>
      <c r="H11" s="15" t="n">
        <v>5.395209783857141</v>
      </c>
      <c r="I11" s="19" t="n">
        <v>0.9999993737727677</v>
      </c>
      <c r="J11" s="19" t="n">
        <v>0</v>
      </c>
      <c r="K11" s="19" t="n">
        <v>6.262272322900485e-07</v>
      </c>
      <c r="L11" s="19" t="n">
        <v>0.926525981362366</v>
      </c>
      <c r="M11" s="19" t="n">
        <v>0.07347343842146963</v>
      </c>
      <c r="N11" s="19" t="n">
        <v>5.802161643005381e-07</v>
      </c>
      <c r="O11" s="15" t="n">
        <v>2.262446722071626</v>
      </c>
      <c r="P11" s="15" t="n">
        <v>0.3004456012270807</v>
      </c>
      <c r="Q11" s="15" t="n">
        <v>0.04264392551517396</v>
      </c>
      <c r="R11" s="15" t="n">
        <v>2.605536248813881</v>
      </c>
      <c r="S11" s="15" t="n">
        <v>892.5525103140776</v>
      </c>
      <c r="T11" s="15" t="n">
        <v>64.65357368322009</v>
      </c>
      <c r="U11" s="15" t="n">
        <v>3.234784685433408</v>
      </c>
      <c r="V11" s="15" t="n">
        <v>3097.24905477095</v>
      </c>
      <c r="W11" s="15" t="n">
        <v>0.5967200686212799</v>
      </c>
      <c r="X11" t="inlineStr">
        <is>
          <t>IOWA_Trb.T_ff.C#3_SustainStable/C#3/component_amplitude_mass_pie.png</t>
        </is>
      </c>
      <c r="Y11" t="inlineStr">
        <is>
          <t>IOWA_Trb.T_ff.C#3_SustainStable/C#3/component_energy_ratio_pie.png</t>
        </is>
      </c>
      <c r="Z11" s="19" t="n">
        <v>1</v>
      </c>
      <c r="AA11" s="19" t="n">
        <v>0.9999999999999999</v>
      </c>
      <c r="AB11" s="15" t="n">
        <v>2.60553624881388</v>
      </c>
      <c r="AC11" s="15" t="n">
        <v>4.440892098500626e-16</v>
      </c>
      <c r="AD11" s="15" t="n">
        <v>5.395209783857141</v>
      </c>
      <c r="AE11" s="15" t="n">
        <v>0</v>
      </c>
      <c r="AF11" t="inlineStr">
        <is>
          <t>passed</t>
        </is>
      </c>
    </row>
    <row r="12">
      <c r="A12" t="inlineStr">
        <is>
          <t>D3</t>
        </is>
      </c>
      <c r="B12" t="n">
        <v>50</v>
      </c>
      <c r="C12" t="inlineStr">
        <is>
          <t>Middle</t>
        </is>
      </c>
      <c r="D12" t="inlineStr">
        <is>
          <t>ff</t>
        </is>
      </c>
      <c r="E12" s="15" t="n">
        <v>2.968127491726293</v>
      </c>
      <c r="F12" s="15" t="n">
        <v>1.801603601045641</v>
      </c>
      <c r="G12" s="15" t="n">
        <v>0.6507893210756819</v>
      </c>
      <c r="H12" s="15" t="n">
        <v>5.420520413847616</v>
      </c>
      <c r="I12" s="19" t="n">
        <v>0.9999987804867443</v>
      </c>
      <c r="J12" s="19" t="n">
        <v>0</v>
      </c>
      <c r="K12" s="19" t="n">
        <v>1.219513255737788e-06</v>
      </c>
      <c r="L12" s="19" t="n">
        <v>0.9358755939141176</v>
      </c>
      <c r="M12" s="19" t="n">
        <v>0.06412326477179818</v>
      </c>
      <c r="N12" s="19" t="n">
        <v>1.141314084347396e-06</v>
      </c>
      <c r="O12" s="15" t="n">
        <v>2.275485284915711</v>
      </c>
      <c r="P12" s="15" t="n">
        <v>0.2978574130102796</v>
      </c>
      <c r="Q12" s="15" t="n">
        <v>0.0442738099323368</v>
      </c>
      <c r="R12" s="15" t="n">
        <v>2.617616507858328</v>
      </c>
      <c r="S12" s="15" t="n">
        <v>928.2391346939787</v>
      </c>
      <c r="T12" s="15" t="n">
        <v>62.32914155017307</v>
      </c>
      <c r="U12" s="15" t="n">
        <v>3.474961683700424</v>
      </c>
      <c r="V12" s="15" t="n">
        <v>3187.684033743897</v>
      </c>
      <c r="W12" s="15" t="n">
        <v>0.5985853078308895</v>
      </c>
      <c r="X12" t="inlineStr">
        <is>
          <t>IOWA_Trb.T_ff.D3_SustainStable/D3/component_amplitude_mass_pie.png</t>
        </is>
      </c>
      <c r="Y12" t="inlineStr">
        <is>
          <t>IOWA_Trb.T_ff.D3_SustainStable/D3/component_energy_ratio_pie.png</t>
        </is>
      </c>
      <c r="Z12" s="19" t="n">
        <v>1</v>
      </c>
      <c r="AA12" s="19" t="n">
        <v>1</v>
      </c>
      <c r="AB12" s="15" t="n">
        <v>2.617616507858327</v>
      </c>
      <c r="AC12" s="15" t="n">
        <v>4.440892098500626e-16</v>
      </c>
      <c r="AD12" s="15" t="n">
        <v>5.420520413847616</v>
      </c>
      <c r="AE12" s="15" t="n">
        <v>0</v>
      </c>
      <c r="AF12" t="inlineStr">
        <is>
          <t>passed</t>
        </is>
      </c>
    </row>
    <row r="13">
      <c r="A13" t="inlineStr">
        <is>
          <t>D#3</t>
        </is>
      </c>
      <c r="B13" t="n">
        <v>51</v>
      </c>
      <c r="C13" t="inlineStr">
        <is>
          <t>Middle</t>
        </is>
      </c>
      <c r="D13" t="inlineStr">
        <is>
          <t>ff</t>
        </is>
      </c>
      <c r="E13" s="15" t="n">
        <v>2.963437252640283</v>
      </c>
      <c r="F13" s="15" t="n">
        <v>2.012494453686371</v>
      </c>
      <c r="G13" s="15" t="n">
        <v>0.6604836064074656</v>
      </c>
      <c r="H13" s="15" t="n">
        <v>5.636415312734119</v>
      </c>
      <c r="I13" s="19" t="n">
        <v>0.9999991554095432</v>
      </c>
      <c r="J13" s="19" t="n">
        <v>0</v>
      </c>
      <c r="K13" s="19" t="n">
        <v>8.445904568066415e-07</v>
      </c>
      <c r="L13" s="19" t="n">
        <v>0.9277637318332442</v>
      </c>
      <c r="M13" s="19" t="n">
        <v>0.07223548458569974</v>
      </c>
      <c r="N13" s="19" t="n">
        <v>7.835810558827561e-07</v>
      </c>
      <c r="O13" s="15" t="n">
        <v>2.271889559983847</v>
      </c>
      <c r="P13" s="15" t="n">
        <v>0.3327237974683493</v>
      </c>
      <c r="Q13" s="15" t="n">
        <v>0.04493332128617987</v>
      </c>
      <c r="R13" s="15" t="n">
        <v>2.649546678738376</v>
      </c>
      <c r="S13" s="15" t="n">
        <v>918.2576498201556</v>
      </c>
      <c r="T13" s="15" t="n">
        <v>101.9187383503455</v>
      </c>
      <c r="U13" s="15" t="n">
        <v>3.575974613352629</v>
      </c>
      <c r="V13" s="15" t="n">
        <v>3230.505971461748</v>
      </c>
      <c r="W13" s="15" t="n">
        <v>0.5980717738989116</v>
      </c>
      <c r="X13" t="inlineStr">
        <is>
          <t>IOWA_Trb.T_ff.D#3_SustainStable/D#3/component_amplitude_mass_pie.png</t>
        </is>
      </c>
      <c r="Y13" t="inlineStr">
        <is>
          <t>IOWA_Trb.T_ff.D#3_SustainStable/D#3/component_energy_ratio_pie.png</t>
        </is>
      </c>
      <c r="Z13" s="19" t="n">
        <v>1</v>
      </c>
      <c r="AA13" s="19" t="n">
        <v>0.9999999999999999</v>
      </c>
      <c r="AB13" s="15" t="n">
        <v>2.649546678738376</v>
      </c>
      <c r="AC13" s="15" t="n">
        <v>0</v>
      </c>
      <c r="AD13" s="15" t="n">
        <v>5.636415312734119</v>
      </c>
      <c r="AE13" s="15" t="n">
        <v>0</v>
      </c>
      <c r="AF13" t="inlineStr">
        <is>
          <t>passed</t>
        </is>
      </c>
    </row>
    <row r="14">
      <c r="A14" t="inlineStr">
        <is>
          <t>E3</t>
        </is>
      </c>
      <c r="B14" t="n">
        <v>52</v>
      </c>
      <c r="C14" t="inlineStr">
        <is>
          <t>Middle</t>
        </is>
      </c>
      <c r="D14" t="inlineStr">
        <is>
          <t>ff</t>
        </is>
      </c>
      <c r="E14" s="15" t="n">
        <v>2.937935173293113</v>
      </c>
      <c r="F14" s="15" t="n">
        <v>1.805214816516288</v>
      </c>
      <c r="G14" s="15" t="n">
        <v>0.6572473830774727</v>
      </c>
      <c r="H14" s="15" t="n">
        <v>5.400397372886873</v>
      </c>
      <c r="I14" s="19" t="n">
        <v>0.9999990551192995</v>
      </c>
      <c r="J14" s="19" t="n">
        <v>0</v>
      </c>
      <c r="K14" s="19" t="n">
        <v>9.448807004390244e-07</v>
      </c>
      <c r="L14" s="19" t="n">
        <v>0.9396898456621892</v>
      </c>
      <c r="M14" s="19" t="n">
        <v>0.06030926644217233</v>
      </c>
      <c r="N14" s="19" t="n">
        <v>8.878956385201809e-07</v>
      </c>
      <c r="O14" s="15" t="n">
        <v>2.252338645661265</v>
      </c>
      <c r="P14" s="15" t="n">
        <v>0.2984544518357379</v>
      </c>
      <c r="Q14" s="15" t="n">
        <v>0.04471315796762099</v>
      </c>
      <c r="R14" s="15" t="n">
        <v>2.595506255464624</v>
      </c>
      <c r="S14" s="15" t="n">
        <v>865.8324748762732</v>
      </c>
      <c r="T14" s="15" t="n">
        <v>62.85792706625041</v>
      </c>
      <c r="U14" s="15" t="n">
        <v>3.542002647987538</v>
      </c>
      <c r="V14" s="15" t="n">
        <v>3401.961775520417</v>
      </c>
      <c r="W14" s="15" t="n">
        <v>0.5952683247976608</v>
      </c>
      <c r="X14" t="inlineStr">
        <is>
          <t>IOWA_Trb.T_ff.E3_SustainStable/E3/component_amplitude_mass_pie.png</t>
        </is>
      </c>
      <c r="Y14" t="inlineStr">
        <is>
          <t>IOWA_Trb.T_ff.E3_SustainStable/E3/component_energy_ratio_pie.png</t>
        </is>
      </c>
      <c r="Z14" s="19" t="n">
        <v>1</v>
      </c>
      <c r="AA14" s="19" t="n">
        <v>1</v>
      </c>
      <c r="AB14" s="15" t="n">
        <v>2.595506255464624</v>
      </c>
      <c r="AC14" s="15" t="n">
        <v>4.440892098500626e-16</v>
      </c>
      <c r="AD14" s="15" t="n">
        <v>5.400397372886874</v>
      </c>
      <c r="AE14" s="15" t="n">
        <v>-8.881784197001252e-16</v>
      </c>
      <c r="AF14" t="inlineStr">
        <is>
          <t>passed</t>
        </is>
      </c>
    </row>
    <row r="15">
      <c r="A15" t="inlineStr">
        <is>
          <t>F3</t>
        </is>
      </c>
      <c r="B15" t="n">
        <v>53</v>
      </c>
      <c r="C15" t="inlineStr">
        <is>
          <t>Middle</t>
        </is>
      </c>
      <c r="D15" t="inlineStr">
        <is>
          <t>ff</t>
        </is>
      </c>
      <c r="E15" s="15" t="n">
        <v>2.975697427402037</v>
      </c>
      <c r="F15" s="15" t="n">
        <v>2.299588680736368</v>
      </c>
      <c r="G15" s="15" t="n">
        <v>0.6544470387407086</v>
      </c>
      <c r="H15" s="15" t="n">
        <v>5.929733146879113</v>
      </c>
      <c r="I15" s="19" t="n">
        <v>0.9999990294416516</v>
      </c>
      <c r="J15" s="19" t="n">
        <v>0</v>
      </c>
      <c r="K15" s="19" t="n">
        <v>9.705583483224798e-07</v>
      </c>
      <c r="L15" s="19" t="n">
        <v>0.9435592197024215</v>
      </c>
      <c r="M15" s="19" t="n">
        <v>0.05643986451741183</v>
      </c>
      <c r="N15" s="19" t="n">
        <v>9.157801666369161e-07</v>
      </c>
      <c r="O15" s="15" t="n">
        <v>2.281288700465053</v>
      </c>
      <c r="P15" s="15" t="n">
        <v>0.3801888134739048</v>
      </c>
      <c r="Q15" s="15" t="n">
        <v>0.04452264790715156</v>
      </c>
      <c r="R15" s="15" t="n">
        <v>2.706000161846109</v>
      </c>
      <c r="S15" s="15" t="n">
        <v>944.5781483299157</v>
      </c>
      <c r="T15" s="15" t="n">
        <v>198.3373501395816</v>
      </c>
      <c r="U15" s="15" t="n">
        <v>3.512809892586617</v>
      </c>
      <c r="V15" s="15" t="n">
        <v>4204.501911630484</v>
      </c>
      <c r="W15" s="15" t="n">
        <v>0.5994130786652772</v>
      </c>
      <c r="X15" t="inlineStr">
        <is>
          <t>IOWA_Trb.T_ff.F3_SustainStable/F3/component_amplitude_mass_pie.png</t>
        </is>
      </c>
      <c r="Y15" t="inlineStr">
        <is>
          <t>IOWA_Trb.T_ff.F3_SustainStable/F3/component_energy_ratio_pie.png</t>
        </is>
      </c>
      <c r="Z15" s="19" t="n">
        <v>1</v>
      </c>
      <c r="AA15" s="19" t="n">
        <v>0.9999999999999999</v>
      </c>
      <c r="AB15" s="15" t="n">
        <v>2.706000161846109</v>
      </c>
      <c r="AC15" s="15" t="n">
        <v>-4.440892098500626e-16</v>
      </c>
      <c r="AD15" s="15" t="n">
        <v>5.929733146879114</v>
      </c>
      <c r="AE15" s="15" t="n">
        <v>-8.881784197001252e-16</v>
      </c>
      <c r="AF15" t="inlineStr">
        <is>
          <t>passed</t>
        </is>
      </c>
    </row>
    <row r="16">
      <c r="A16" t="inlineStr">
        <is>
          <t>F#3</t>
        </is>
      </c>
      <c r="B16" t="n">
        <v>54</v>
      </c>
      <c r="C16" t="inlineStr">
        <is>
          <t>Middle</t>
        </is>
      </c>
      <c r="D16" t="inlineStr">
        <is>
          <t>ff</t>
        </is>
      </c>
      <c r="E16" s="15" t="n">
        <v>2.926042690267648</v>
      </c>
      <c r="F16" s="15" t="n">
        <v>1.703809251507587</v>
      </c>
      <c r="G16" s="15" t="n">
        <v>0.7041587563052616</v>
      </c>
      <c r="H16" s="15" t="n">
        <v>5.334010698080497</v>
      </c>
      <c r="I16" s="19" t="n">
        <v>0.9999992451172739</v>
      </c>
      <c r="J16" s="19" t="n">
        <v>0</v>
      </c>
      <c r="K16" s="19" t="n">
        <v>7.548827261283762e-07</v>
      </c>
      <c r="L16" s="19" t="n">
        <v>0.9289989228590375</v>
      </c>
      <c r="M16" s="19" t="n">
        <v>0.07100037585519375</v>
      </c>
      <c r="N16" s="19" t="n">
        <v>7.012857688466683e-07</v>
      </c>
      <c r="O16" s="15" t="n">
        <v>2.243221392375823</v>
      </c>
      <c r="P16" s="15" t="n">
        <v>0.2816891660421222</v>
      </c>
      <c r="Q16" s="15" t="n">
        <v>0.04790458283384203</v>
      </c>
      <c r="R16" s="15" t="n">
        <v>2.572815141251787</v>
      </c>
      <c r="S16" s="15" t="n">
        <v>842.4176599367751</v>
      </c>
      <c r="T16" s="15" t="n">
        <v>49.56025451907951</v>
      </c>
      <c r="U16" s="15" t="n">
        <v>4.060095999586614</v>
      </c>
      <c r="V16" s="15" t="n">
        <v>3731.642221247376</v>
      </c>
      <c r="W16" s="15" t="n">
        <v>0.5939548321027778</v>
      </c>
      <c r="X16" t="inlineStr">
        <is>
          <t>IOWA_Trb.T_ff.F#3_SustainStable/F#3/component_amplitude_mass_pie.png</t>
        </is>
      </c>
      <c r="Y16" t="inlineStr">
        <is>
          <t>IOWA_Trb.T_ff.F#3_SustainStable/F#3/component_energy_ratio_pie.png</t>
        </is>
      </c>
      <c r="Z16" s="19" t="n">
        <v>1</v>
      </c>
      <c r="AA16" s="19" t="n">
        <v>1</v>
      </c>
      <c r="AB16" s="15" t="n">
        <v>2.572815141251787</v>
      </c>
      <c r="AC16" s="15" t="n">
        <v>-4.440892098500626e-16</v>
      </c>
      <c r="AD16" s="15" t="n">
        <v>5.334010698080497</v>
      </c>
      <c r="AE16" s="15" t="n">
        <v>0</v>
      </c>
      <c r="AF16" t="inlineStr">
        <is>
          <t>passed</t>
        </is>
      </c>
    </row>
    <row r="17">
      <c r="A17" t="inlineStr">
        <is>
          <t>G3</t>
        </is>
      </c>
      <c r="B17" t="n">
        <v>55</v>
      </c>
      <c r="C17" t="inlineStr">
        <is>
          <t>Middle</t>
        </is>
      </c>
      <c r="D17" t="inlineStr">
        <is>
          <t>ff</t>
        </is>
      </c>
      <c r="E17" s="15" t="n">
        <v>2.973478213496308</v>
      </c>
      <c r="F17" s="15" t="n">
        <v>2.230841267989598</v>
      </c>
      <c r="G17" s="15" t="n">
        <v>0.6302640449749517</v>
      </c>
      <c r="H17" s="15" t="n">
        <v>5.834583526460857</v>
      </c>
      <c r="I17" s="19" t="n">
        <v>0.9999994439912819</v>
      </c>
      <c r="J17" s="19" t="n">
        <v>0</v>
      </c>
      <c r="K17" s="19" t="n">
        <v>5.560087180833144e-07</v>
      </c>
      <c r="L17" s="19" t="n">
        <v>0.9472772291980852</v>
      </c>
      <c r="M17" s="19" t="n">
        <v>0.05272224410722395</v>
      </c>
      <c r="N17" s="19" t="n">
        <v>5.266946907227811e-07</v>
      </c>
      <c r="O17" s="15" t="n">
        <v>2.279587362297928</v>
      </c>
      <c r="P17" s="15" t="n">
        <v>0.3688228689897697</v>
      </c>
      <c r="Q17" s="15" t="n">
        <v>0.04287745608407385</v>
      </c>
      <c r="R17" s="15" t="n">
        <v>2.691287687371772</v>
      </c>
      <c r="S17" s="15" t="n">
        <v>939.7586354337632</v>
      </c>
      <c r="T17" s="15" t="n">
        <v>169.1536493417865</v>
      </c>
      <c r="U17" s="15" t="n">
        <v>3.268389520447103</v>
      </c>
      <c r="V17" s="15" t="n">
        <v>4446.974548186871</v>
      </c>
      <c r="W17" s="15" t="n">
        <v>0.5991706937321873</v>
      </c>
      <c r="X17" t="inlineStr">
        <is>
          <t>IOWA_Trb.T_ff.G3_SustainStable/G3/component_amplitude_mass_pie.png</t>
        </is>
      </c>
      <c r="Y17" t="inlineStr">
        <is>
          <t>IOWA_Trb.T_ff.G3_SustainStable/G3/component_energy_ratio_pie.png</t>
        </is>
      </c>
      <c r="Z17" s="19" t="n">
        <v>1</v>
      </c>
      <c r="AA17" s="19" t="n">
        <v>0.9999999999999999</v>
      </c>
      <c r="AB17" s="15" t="n">
        <v>2.691287687371771</v>
      </c>
      <c r="AC17" s="15" t="n">
        <v>4.440892098500626e-16</v>
      </c>
      <c r="AD17" s="15" t="n">
        <v>5.834583526460857</v>
      </c>
      <c r="AE17" s="15" t="n">
        <v>0</v>
      </c>
      <c r="AF17" t="inlineStr">
        <is>
          <t>passed</t>
        </is>
      </c>
    </row>
    <row r="18">
      <c r="A18" t="inlineStr">
        <is>
          <t>G#3</t>
        </is>
      </c>
      <c r="B18" t="n">
        <v>56</v>
      </c>
      <c r="C18" t="inlineStr">
        <is>
          <t>Middle</t>
        </is>
      </c>
      <c r="D18" t="inlineStr">
        <is>
          <t>ff</t>
        </is>
      </c>
      <c r="E18" s="15" t="n">
        <v>2.926465322815754</v>
      </c>
      <c r="F18" s="15" t="n">
        <v>2.180362137137325</v>
      </c>
      <c r="G18" s="15" t="n">
        <v>0.5669751055720996</v>
      </c>
      <c r="H18" s="15" t="n">
        <v>5.673802565525179</v>
      </c>
      <c r="I18" s="19" t="n">
        <v>1</v>
      </c>
      <c r="J18" s="19" t="n">
        <v>0</v>
      </c>
      <c r="K18" s="19" t="n">
        <v>0</v>
      </c>
      <c r="L18" s="19" t="n">
        <v>0.8464333465036575</v>
      </c>
      <c r="M18" s="19" t="n">
        <v>0.1535666534963425</v>
      </c>
      <c r="N18" s="19" t="n">
        <v>0</v>
      </c>
      <c r="O18" s="15" t="n">
        <v>2.243545399396014</v>
      </c>
      <c r="P18" s="15" t="n">
        <v>0.3604772022082763</v>
      </c>
      <c r="Q18" s="15" t="n">
        <v>0.03857184997899887</v>
      </c>
      <c r="R18" s="15" t="n">
        <v>2.642594451583289</v>
      </c>
      <c r="S18" s="15" t="n">
        <v>421.6194145692394</v>
      </c>
      <c r="T18" s="15" t="n">
        <v>75.24119301039225</v>
      </c>
      <c r="U18" s="15" t="n">
        <v>1.344782244063361</v>
      </c>
      <c r="V18" s="15" t="n">
        <v>998.0240004162467</v>
      </c>
      <c r="W18" s="15" t="n">
        <v>0.5940017662665615</v>
      </c>
      <c r="X18" t="inlineStr">
        <is>
          <t>IOWA_Trb.T_ff.G#3_SustainStable/G#3/component_amplitude_mass_pie.png</t>
        </is>
      </c>
      <c r="Y18" t="inlineStr">
        <is>
          <t>IOWA_Trb.T_ff.G#3_SustainStable/G#3/component_energy_ratio_pie.png</t>
        </is>
      </c>
      <c r="Z18" s="19" t="n">
        <v>1</v>
      </c>
      <c r="AA18" s="19" t="n">
        <v>1</v>
      </c>
      <c r="AB18" s="15" t="n">
        <v>2.642594451583289</v>
      </c>
      <c r="AC18" s="15" t="n">
        <v>-4.440892098500626e-16</v>
      </c>
      <c r="AD18" s="15" t="n">
        <v>5.673802565525179</v>
      </c>
      <c r="AE18" s="15" t="n">
        <v>0</v>
      </c>
      <c r="AF18" t="inlineStr">
        <is>
          <t>passed</t>
        </is>
      </c>
    </row>
    <row r="19">
      <c r="A19" t="inlineStr">
        <is>
          <t>A3</t>
        </is>
      </c>
      <c r="B19" t="n">
        <v>57</v>
      </c>
      <c r="C19" t="inlineStr">
        <is>
          <t>Middle</t>
        </is>
      </c>
      <c r="D19" t="inlineStr">
        <is>
          <t>ff</t>
        </is>
      </c>
      <c r="E19" s="15" t="n">
        <v>2.898425707526854</v>
      </c>
      <c r="F19" s="15" t="n">
        <v>2.110601995608403</v>
      </c>
      <c r="G19" s="15" t="n">
        <v>0.563276957396985</v>
      </c>
      <c r="H19" s="15" t="n">
        <v>5.572304660532241</v>
      </c>
      <c r="I19" s="19" t="n">
        <v>1</v>
      </c>
      <c r="J19" s="19" t="n">
        <v>0</v>
      </c>
      <c r="K19" s="19" t="n">
        <v>0</v>
      </c>
      <c r="L19" s="19" t="n">
        <v>0.8553364649417736</v>
      </c>
      <c r="M19" s="19" t="n">
        <v>0.1446635350582265</v>
      </c>
      <c r="N19" s="19" t="n">
        <v>0</v>
      </c>
      <c r="O19" s="15" t="n">
        <v>2.222049108497984</v>
      </c>
      <c r="P19" s="15" t="n">
        <v>0.3489438242360209</v>
      </c>
      <c r="Q19" s="15" t="n">
        <v>0.03832026147853606</v>
      </c>
      <c r="R19" s="15" t="n">
        <v>2.60931319421254</v>
      </c>
      <c r="S19" s="15" t="n">
        <v>395.2270265803089</v>
      </c>
      <c r="T19" s="15" t="n">
        <v>64.00182459985398</v>
      </c>
      <c r="U19" s="15" t="n">
        <v>1.329140061697227</v>
      </c>
      <c r="V19" s="15" t="n">
        <v>984.5501986727672</v>
      </c>
      <c r="W19" s="15" t="n">
        <v>0.59088926226618</v>
      </c>
      <c r="X19" t="inlineStr">
        <is>
          <t>IOWA_Trb.T_ff.A3_SustainStable/A3/component_amplitude_mass_pie.png</t>
        </is>
      </c>
      <c r="Y19" t="inlineStr">
        <is>
          <t>IOWA_Trb.T_ff.A3_SustainStable/A3/component_energy_ratio_pie.png</t>
        </is>
      </c>
      <c r="Z19" s="19" t="n">
        <v>1</v>
      </c>
      <c r="AA19" s="19" t="n">
        <v>1</v>
      </c>
      <c r="AB19" s="15" t="n">
        <v>2.609313194212541</v>
      </c>
      <c r="AC19" s="15" t="n">
        <v>-8.881784197001252e-16</v>
      </c>
      <c r="AD19" s="15" t="n">
        <v>5.572304660532241</v>
      </c>
      <c r="AE19" s="15" t="n">
        <v>0</v>
      </c>
      <c r="AF19" t="inlineStr">
        <is>
          <t>passed</t>
        </is>
      </c>
    </row>
    <row r="20">
      <c r="A20" t="inlineStr">
        <is>
          <t>A#3</t>
        </is>
      </c>
      <c r="B20" t="n">
        <v>58</v>
      </c>
      <c r="C20" t="inlineStr">
        <is>
          <t>Middle</t>
        </is>
      </c>
      <c r="D20" t="inlineStr">
        <is>
          <t>ff</t>
        </is>
      </c>
      <c r="E20" s="15" t="n">
        <v>2.916124173342423</v>
      </c>
      <c r="F20" s="15" t="n">
        <v>2.353434189690892</v>
      </c>
      <c r="G20" s="15" t="n">
        <v>0.5397839087136174</v>
      </c>
      <c r="H20" s="15" t="n">
        <v>5.809342271746933</v>
      </c>
      <c r="I20" s="19" t="n">
        <v>0.9999988214253261</v>
      </c>
      <c r="J20" s="19" t="n">
        <v>0</v>
      </c>
      <c r="K20" s="19" t="n">
        <v>1.178574673852133e-06</v>
      </c>
      <c r="L20" s="19" t="n">
        <v>0.839275345157529</v>
      </c>
      <c r="M20" s="19" t="n">
        <v>0.1607236656926391</v>
      </c>
      <c r="N20" s="19" t="n">
        <v>9.891498319781117e-07</v>
      </c>
      <c r="O20" s="15" t="n">
        <v>2.235617460477866</v>
      </c>
      <c r="P20" s="15" t="n">
        <v>0.3890910403511758</v>
      </c>
      <c r="Q20" s="15" t="n">
        <v>0.03672200726868003</v>
      </c>
      <c r="R20" s="15" t="n">
        <v>2.661430508097722</v>
      </c>
      <c r="S20" s="15" t="n">
        <v>411.6868930074739</v>
      </c>
      <c r="T20" s="15" t="n">
        <v>112.3247017194991</v>
      </c>
      <c r="U20" s="15" t="n">
        <v>1.232821840032597</v>
      </c>
      <c r="V20" s="15" t="n">
        <v>1016.997522615676</v>
      </c>
      <c r="W20" s="15" t="n">
        <v>0.5928561434616451</v>
      </c>
      <c r="X20" t="inlineStr">
        <is>
          <t>IOWA_Trb.T_ff.A#3_SustainStable/A#3/component_amplitude_mass_pie.png</t>
        </is>
      </c>
      <c r="Y20" t="inlineStr">
        <is>
          <t>IOWA_Trb.T_ff.A#3_SustainStable/A#3/component_energy_ratio_pie.png</t>
        </is>
      </c>
      <c r="Z20" s="19" t="n">
        <v>1</v>
      </c>
      <c r="AA20" s="19" t="n">
        <v>1</v>
      </c>
      <c r="AB20" s="15" t="n">
        <v>2.661430508097722</v>
      </c>
      <c r="AC20" s="15" t="n">
        <v>0</v>
      </c>
      <c r="AD20" s="15" t="n">
        <v>5.809342271746933</v>
      </c>
      <c r="AE20" s="15" t="n">
        <v>8.881784197001252e-16</v>
      </c>
      <c r="AF20" t="inlineStr">
        <is>
          <t>passed</t>
        </is>
      </c>
    </row>
    <row r="21">
      <c r="A21" t="inlineStr">
        <is>
          <t>B3</t>
        </is>
      </c>
      <c r="B21" t="n">
        <v>59</v>
      </c>
      <c r="C21" t="inlineStr">
        <is>
          <t>Middle</t>
        </is>
      </c>
      <c r="D21" t="inlineStr">
        <is>
          <t>ff</t>
        </is>
      </c>
      <c r="E21" s="15" t="n">
        <v>2.919800797995055</v>
      </c>
      <c r="F21" s="15" t="n">
        <v>2.199236877821623</v>
      </c>
      <c r="G21" s="15" t="n">
        <v>0.4804188520797558</v>
      </c>
      <c r="H21" s="15" t="n">
        <v>5.599456527896434</v>
      </c>
      <c r="I21" s="19" t="n">
        <v>1</v>
      </c>
      <c r="J21" s="19" t="n">
        <v>0</v>
      </c>
      <c r="K21" s="19" t="n">
        <v>0</v>
      </c>
      <c r="L21" s="19" t="n">
        <v>0.8800336863184764</v>
      </c>
      <c r="M21" s="19" t="n">
        <v>0.1199663136815235</v>
      </c>
      <c r="N21" s="19" t="n">
        <v>0</v>
      </c>
      <c r="O21" s="15" t="n">
        <v>2.238436108032106</v>
      </c>
      <c r="P21" s="15" t="n">
        <v>0.363597745166895</v>
      </c>
      <c r="Q21" s="15" t="n">
        <v>0.0326833466009148</v>
      </c>
      <c r="R21" s="15" t="n">
        <v>2.634717199799915</v>
      </c>
      <c r="S21" s="15" t="n">
        <v>415.1911727694861</v>
      </c>
      <c r="T21" s="15" t="n">
        <v>78.60553683792615</v>
      </c>
      <c r="U21" s="15" t="n">
        <v>1.011432847655048</v>
      </c>
      <c r="V21" s="15" t="n">
        <v>1061.138394089166</v>
      </c>
      <c r="W21" s="15" t="n">
        <v>0.5932639969873583</v>
      </c>
      <c r="X21" t="inlineStr">
        <is>
          <t>IOWA_Trb.T_ff.B3_SustainStable/B3/component_amplitude_mass_pie.png</t>
        </is>
      </c>
      <c r="Y21" t="inlineStr">
        <is>
          <t>IOWA_Trb.T_ff.B3_SustainStable/B3/component_energy_ratio_pie.png</t>
        </is>
      </c>
      <c r="Z21" s="19" t="n">
        <v>1</v>
      </c>
      <c r="AA21" s="19" t="n">
        <v>1</v>
      </c>
      <c r="AB21" s="15" t="n">
        <v>2.634717199799915</v>
      </c>
      <c r="AC21" s="15" t="n">
        <v>-4.440892098500626e-16</v>
      </c>
      <c r="AD21" s="15" t="n">
        <v>5.599456527896433</v>
      </c>
      <c r="AE21" s="15" t="n">
        <v>8.881784197001252e-16</v>
      </c>
      <c r="AF21" t="inlineStr">
        <is>
          <t>passed</t>
        </is>
      </c>
    </row>
    <row r="22">
      <c r="A22" t="inlineStr">
        <is>
          <t>C4</t>
        </is>
      </c>
      <c r="B22" t="n">
        <v>60</v>
      </c>
      <c r="C22" t="inlineStr">
        <is>
          <t>High</t>
        </is>
      </c>
      <c r="D22" t="inlineStr">
        <is>
          <t>ff</t>
        </is>
      </c>
      <c r="E22" s="15" t="n">
        <v>2.903054125728763</v>
      </c>
      <c r="F22" s="15" t="n">
        <v>2.186735960922304</v>
      </c>
      <c r="G22" s="15" t="n">
        <v>0.4860959758660796</v>
      </c>
      <c r="H22" s="15" t="n">
        <v>5.575886062517147</v>
      </c>
      <c r="I22" s="19" t="n">
        <v>0.9999993961644171</v>
      </c>
      <c r="J22" s="19" t="n">
        <v>0</v>
      </c>
      <c r="K22" s="19" t="n">
        <v>6.038355828860522e-07</v>
      </c>
      <c r="L22" s="19" t="n">
        <v>0.8768820560860309</v>
      </c>
      <c r="M22" s="19" t="n">
        <v>0.123117414421062</v>
      </c>
      <c r="N22" s="19" t="n">
        <v>5.294929071856865e-07</v>
      </c>
      <c r="O22" s="15" t="n">
        <v>2.225597439066747</v>
      </c>
      <c r="P22" s="15" t="n">
        <v>0.3615309804436635</v>
      </c>
      <c r="Q22" s="15" t="n">
        <v>0.03306956667450574</v>
      </c>
      <c r="R22" s="15" t="n">
        <v>2.620197986184917</v>
      </c>
      <c r="S22" s="15" t="n">
        <v>399.466971919637</v>
      </c>
      <c r="T22" s="15" t="n">
        <v>76.3609884441765</v>
      </c>
      <c r="U22" s="15" t="n">
        <v>1.031320089860823</v>
      </c>
      <c r="V22" s="15" t="n">
        <v>956.1242095869538</v>
      </c>
      <c r="W22" s="15" t="n">
        <v>0.5914044115225907</v>
      </c>
      <c r="X22" t="inlineStr">
        <is>
          <t>IOWA_Trb.T_ff.C4_SustainStable/C4/component_amplitude_mass_pie.png</t>
        </is>
      </c>
      <c r="Y22" t="inlineStr">
        <is>
          <t>IOWA_Trb.T_ff.C4_SustainStable/C4/component_energy_ratio_pie.png</t>
        </is>
      </c>
      <c r="Z22" s="19" t="n">
        <v>1</v>
      </c>
      <c r="AA22" s="19" t="n">
        <v>1</v>
      </c>
      <c r="AB22" s="15" t="n">
        <v>2.620197986184916</v>
      </c>
      <c r="AC22" s="15" t="n">
        <v>8.881784197001252e-16</v>
      </c>
      <c r="AD22" s="15" t="n">
        <v>5.575886062517147</v>
      </c>
      <c r="AE22" s="15" t="n">
        <v>0</v>
      </c>
      <c r="AF22" t="inlineStr">
        <is>
          <t>passed</t>
        </is>
      </c>
    </row>
    <row r="23">
      <c r="A23" t="inlineStr">
        <is>
          <t>C#4</t>
        </is>
      </c>
      <c r="B23" t="n">
        <v>61</v>
      </c>
      <c r="C23" t="inlineStr">
        <is>
          <t>High</t>
        </is>
      </c>
      <c r="D23" t="inlineStr">
        <is>
          <t>ff</t>
        </is>
      </c>
      <c r="E23" s="15" t="n">
        <v>2.902423034855061</v>
      </c>
      <c r="F23" s="15" t="n">
        <v>2.236971794731716</v>
      </c>
      <c r="G23" s="15" t="n">
        <v>0.4977125174710585</v>
      </c>
      <c r="H23" s="15" t="n">
        <v>5.637107347057835</v>
      </c>
      <c r="I23" s="19" t="n">
        <v>1</v>
      </c>
      <c r="J23" s="19" t="n">
        <v>0</v>
      </c>
      <c r="K23" s="19" t="n">
        <v>0</v>
      </c>
      <c r="L23" s="19" t="n">
        <v>0.882013037724436</v>
      </c>
      <c r="M23" s="19" t="n">
        <v>0.1179869622755641</v>
      </c>
      <c r="N23" s="19" t="n">
        <v>0</v>
      </c>
      <c r="O23" s="15" t="n">
        <v>2.225113619554089</v>
      </c>
      <c r="P23" s="15" t="n">
        <v>0.3698364231560345</v>
      </c>
      <c r="Q23" s="15" t="n">
        <v>0.03385985093153661</v>
      </c>
      <c r="R23" s="15" t="n">
        <v>2.62880989364166</v>
      </c>
      <c r="S23" s="15" t="n">
        <v>398.8861858229124</v>
      </c>
      <c r="T23" s="15" t="n">
        <v>85.78629055178061</v>
      </c>
      <c r="U23" s="15" t="n">
        <v>1.072832671098779</v>
      </c>
      <c r="V23" s="15" t="n">
        <v>1119.191980057101</v>
      </c>
      <c r="W23" s="15" t="n">
        <v>0.5913343464897761</v>
      </c>
      <c r="X23" t="inlineStr">
        <is>
          <t>IOWA_Trb.T_ff.C#4_SustainStable/C#4/component_amplitude_mass_pie.png</t>
        </is>
      </c>
      <c r="Y23" t="inlineStr">
        <is>
          <t>IOWA_Trb.T_ff.C#4_SustainStable/C#4/component_energy_ratio_pie.png</t>
        </is>
      </c>
      <c r="Z23" s="19" t="n">
        <v>1</v>
      </c>
      <c r="AA23" s="19" t="n">
        <v>1</v>
      </c>
      <c r="AB23" s="15" t="n">
        <v>2.62880989364166</v>
      </c>
      <c r="AC23" s="15" t="n">
        <v>4.440892098500626e-16</v>
      </c>
      <c r="AD23" s="15" t="n">
        <v>5.637107347057836</v>
      </c>
      <c r="AE23" s="15" t="n">
        <v>-8.881784197001252e-16</v>
      </c>
      <c r="AF23" t="inlineStr">
        <is>
          <t>passed</t>
        </is>
      </c>
    </row>
    <row r="24">
      <c r="A24" t="inlineStr">
        <is>
          <t>D4</t>
        </is>
      </c>
      <c r="B24" t="n">
        <v>62</v>
      </c>
      <c r="C24" t="inlineStr">
        <is>
          <t>High</t>
        </is>
      </c>
      <c r="D24" t="inlineStr">
        <is>
          <t>ff</t>
        </is>
      </c>
      <c r="E24" s="15" t="n">
        <v>2.882807000377577</v>
      </c>
      <c r="F24" s="15" t="n">
        <v>2.243635841023536</v>
      </c>
      <c r="G24" s="15" t="n">
        <v>0.4819991718219517</v>
      </c>
      <c r="H24" s="15" t="n">
        <v>5.608442013223064</v>
      </c>
      <c r="I24" s="19" t="n">
        <v>1</v>
      </c>
      <c r="J24" s="19" t="n">
        <v>0</v>
      </c>
      <c r="K24" s="19" t="n">
        <v>0</v>
      </c>
      <c r="L24" s="19" t="n">
        <v>0.8877198615691385</v>
      </c>
      <c r="M24" s="19" t="n">
        <v>0.1122801384308615</v>
      </c>
      <c r="N24" s="19" t="n">
        <v>0</v>
      </c>
      <c r="O24" s="15" t="n">
        <v>2.210075182719304</v>
      </c>
      <c r="P24" s="15" t="n">
        <v>0.3709381836029553</v>
      </c>
      <c r="Q24" s="15" t="n">
        <v>0.03279085724012236</v>
      </c>
      <c r="R24" s="15" t="n">
        <v>2.613804223562382</v>
      </c>
      <c r="S24" s="15" t="n">
        <v>381.2482059279459</v>
      </c>
      <c r="T24" s="15" t="n">
        <v>87.12052385545746</v>
      </c>
      <c r="U24" s="15" t="n">
        <v>1.016942699359847</v>
      </c>
      <c r="V24" s="15" t="n">
        <v>1206.429227063567</v>
      </c>
      <c r="W24" s="15" t="n">
        <v>0.5891458039495635</v>
      </c>
      <c r="X24" t="inlineStr">
        <is>
          <t>IOWA_Trb.T_ff.D4_SustainStable/D4/component_amplitude_mass_pie.png</t>
        </is>
      </c>
      <c r="Y24" t="inlineStr">
        <is>
          <t>IOWA_Trb.T_ff.D4_SustainStable/D4/component_energy_ratio_pie.png</t>
        </is>
      </c>
      <c r="Z24" s="19" t="n">
        <v>1</v>
      </c>
      <c r="AA24" s="19" t="n">
        <v>1</v>
      </c>
      <c r="AB24" s="15" t="n">
        <v>2.613804223562382</v>
      </c>
      <c r="AC24" s="15" t="n">
        <v>4.440892098500626e-16</v>
      </c>
      <c r="AD24" s="15" t="n">
        <v>5.608442013223065</v>
      </c>
      <c r="AE24" s="15" t="n">
        <v>-8.881784197001252e-16</v>
      </c>
      <c r="AF24" t="inlineStr">
        <is>
          <t>passed</t>
        </is>
      </c>
    </row>
    <row r="25">
      <c r="A25" t="inlineStr">
        <is>
          <t>D#4</t>
        </is>
      </c>
      <c r="B25" t="n">
        <v>63</v>
      </c>
      <c r="C25" t="inlineStr">
        <is>
          <t>High</t>
        </is>
      </c>
      <c r="D25" t="inlineStr">
        <is>
          <t>ff</t>
        </is>
      </c>
      <c r="E25" s="15" t="n">
        <v>2.854106341194472</v>
      </c>
      <c r="F25" s="15" t="n">
        <v>2.182258119638218</v>
      </c>
      <c r="G25" s="15" t="n">
        <v>0.4904993936277064</v>
      </c>
      <c r="H25" s="15" t="n">
        <v>5.526863854460396</v>
      </c>
      <c r="I25" s="19" t="n">
        <v>1</v>
      </c>
      <c r="J25" s="19" t="n">
        <v>0</v>
      </c>
      <c r="K25" s="19" t="n">
        <v>0</v>
      </c>
      <c r="L25" s="19" t="n">
        <v>0.8775724921579116</v>
      </c>
      <c r="M25" s="19" t="n">
        <v>0.1224275078420885</v>
      </c>
      <c r="N25" s="19" t="n">
        <v>0</v>
      </c>
      <c r="O25" s="15" t="n">
        <v>2.188072109124729</v>
      </c>
      <c r="P25" s="15" t="n">
        <v>0.3607906631951999</v>
      </c>
      <c r="Q25" s="15" t="n">
        <v>0.03336913532862671</v>
      </c>
      <c r="R25" s="15" t="n">
        <v>2.582231907648556</v>
      </c>
      <c r="S25" s="15" t="n">
        <v>356.8356494081263</v>
      </c>
      <c r="T25" s="15" t="n">
        <v>75.57257621312844</v>
      </c>
      <c r="U25" s="15" t="n">
        <v>1.046925497870115</v>
      </c>
      <c r="V25" s="15" t="n">
        <v>1210.754448759857</v>
      </c>
      <c r="W25" s="15" t="n">
        <v>0.5859236933907404</v>
      </c>
      <c r="X25" t="inlineStr">
        <is>
          <t>IOWA_Trb.T_ff.D#4_SustainStable/D#4/component_amplitude_mass_pie.png</t>
        </is>
      </c>
      <c r="Y25" t="inlineStr">
        <is>
          <t>IOWA_Trb.T_ff.D#4_SustainStable/D#4/component_energy_ratio_pie.png</t>
        </is>
      </c>
      <c r="Z25" s="19" t="n">
        <v>1</v>
      </c>
      <c r="AA25" s="19" t="n">
        <v>1</v>
      </c>
      <c r="AB25" s="15" t="n">
        <v>2.582231907648555</v>
      </c>
      <c r="AC25" s="15" t="n">
        <v>8.881784197001252e-16</v>
      </c>
      <c r="AD25" s="15" t="n">
        <v>5.526863854460396</v>
      </c>
      <c r="AE25" s="15" t="n">
        <v>0</v>
      </c>
      <c r="AF25" t="inlineStr">
        <is>
          <t>passed</t>
        </is>
      </c>
    </row>
    <row r="26">
      <c r="A26" t="inlineStr">
        <is>
          <t>E4</t>
        </is>
      </c>
      <c r="B26" t="n">
        <v>64</v>
      </c>
      <c r="C26" t="inlineStr">
        <is>
          <t>High</t>
        </is>
      </c>
      <c r="D26" t="inlineStr">
        <is>
          <t>ff</t>
        </is>
      </c>
      <c r="E26" s="15" t="n">
        <v>2.867389912519999</v>
      </c>
      <c r="F26" s="15" t="n">
        <v>2.013932743920755</v>
      </c>
      <c r="G26" s="15" t="n">
        <v>0.5050953441267404</v>
      </c>
      <c r="H26" s="15" t="n">
        <v>5.386418000567495</v>
      </c>
      <c r="I26" s="19" t="n">
        <v>1</v>
      </c>
      <c r="J26" s="19" t="n">
        <v>0</v>
      </c>
      <c r="K26" s="19" t="n">
        <v>0</v>
      </c>
      <c r="L26" s="19" t="n">
        <v>0.8654767553043909</v>
      </c>
      <c r="M26" s="19" t="n">
        <v>0.134523244695609</v>
      </c>
      <c r="N26" s="19" t="n">
        <v>0</v>
      </c>
      <c r="O26" s="15" t="n">
        <v>2.198255826356089</v>
      </c>
      <c r="P26" s="15" t="n">
        <v>0.3329615886273606</v>
      </c>
      <c r="Q26" s="15" t="n">
        <v>0.03436211157646664</v>
      </c>
      <c r="R26" s="15" t="n">
        <v>2.565579526559916</v>
      </c>
      <c r="S26" s="15" t="n">
        <v>367.9341830010102</v>
      </c>
      <c r="T26" s="15" t="n">
        <v>51.13007408874294</v>
      </c>
      <c r="U26" s="15" t="n">
        <v>1.099798732853956</v>
      </c>
      <c r="V26" s="15" t="n">
        <v>1285.686746024418</v>
      </c>
      <c r="W26" s="15" t="n">
        <v>0.5874179601049385</v>
      </c>
      <c r="X26" t="inlineStr">
        <is>
          <t>IOWA_Trb.T_ff.E4_SustainStable/E4/component_amplitude_mass_pie.png</t>
        </is>
      </c>
      <c r="Y26" t="inlineStr">
        <is>
          <t>IOWA_Trb.T_ff.E4_SustainStable/E4/component_energy_ratio_pie.png</t>
        </is>
      </c>
      <c r="Z26" s="19" t="n">
        <v>1</v>
      </c>
      <c r="AA26" s="19" t="n">
        <v>1</v>
      </c>
      <c r="AB26" s="15" t="n">
        <v>2.565579526559916</v>
      </c>
      <c r="AC26" s="15" t="n">
        <v>0</v>
      </c>
      <c r="AD26" s="15" t="n">
        <v>5.386418000567494</v>
      </c>
      <c r="AE26" s="15" t="n">
        <v>1.77635683940025e-15</v>
      </c>
      <c r="AF26" t="inlineStr">
        <is>
          <t>passed</t>
        </is>
      </c>
    </row>
    <row r="27">
      <c r="A27" t="inlineStr">
        <is>
          <t>F4</t>
        </is>
      </c>
      <c r="B27" t="n">
        <v>65</v>
      </c>
      <c r="C27" t="inlineStr">
        <is>
          <t>High</t>
        </is>
      </c>
      <c r="D27" t="inlineStr">
        <is>
          <t>ff</t>
        </is>
      </c>
      <c r="E27" s="15" t="n">
        <v>2.816905660012084</v>
      </c>
      <c r="F27" s="15" t="n">
        <v>2.138687360855974</v>
      </c>
      <c r="G27" s="15" t="n">
        <v>0.4886532321135592</v>
      </c>
      <c r="H27" s="15" t="n">
        <v>5.444246252981617</v>
      </c>
      <c r="I27" s="19" t="n">
        <v>0.9999991815452997</v>
      </c>
      <c r="J27" s="19" t="n">
        <v>0</v>
      </c>
      <c r="K27" s="19" t="n">
        <v>8.184547003273364e-07</v>
      </c>
      <c r="L27" s="19" t="n">
        <v>0.8450871113213229</v>
      </c>
      <c r="M27" s="19" t="n">
        <v>0.1549121970125927</v>
      </c>
      <c r="N27" s="19" t="n">
        <v>6.916660845443456e-07</v>
      </c>
      <c r="O27" s="15" t="n">
        <v>2.159552578594007</v>
      </c>
      <c r="P27" s="15" t="n">
        <v>0.3535871510095881</v>
      </c>
      <c r="Q27" s="15" t="n">
        <v>0.03324353922350524</v>
      </c>
      <c r="R27" s="15" t="n">
        <v>2.5463832688271</v>
      </c>
      <c r="S27" s="15" t="n">
        <v>327.5013750347373</v>
      </c>
      <c r="T27" s="15" t="n">
        <v>68.3109201271007</v>
      </c>
      <c r="U27" s="15" t="n">
        <v>1.040363561328544</v>
      </c>
      <c r="V27" s="15" t="n">
        <v>945.9305028244131</v>
      </c>
      <c r="W27" s="15" t="n">
        <v>0.5817112090868177</v>
      </c>
      <c r="X27" t="inlineStr">
        <is>
          <t>IOWA_Trb.T_ff.F4_SustainStable/F4/component_amplitude_mass_pie.png</t>
        </is>
      </c>
      <c r="Y27" t="inlineStr">
        <is>
          <t>IOWA_Trb.T_ff.F4_SustainStable/F4/component_energy_ratio_pie.png</t>
        </is>
      </c>
      <c r="Z27" s="19" t="n">
        <v>1</v>
      </c>
      <c r="AA27" s="19" t="n">
        <v>1</v>
      </c>
      <c r="AB27" s="15" t="n">
        <v>2.5463832688271</v>
      </c>
      <c r="AC27" s="15" t="n">
        <v>0</v>
      </c>
      <c r="AD27" s="15" t="n">
        <v>5.444246252981617</v>
      </c>
      <c r="AE27" s="15" t="n">
        <v>0</v>
      </c>
      <c r="AF27" t="inlineStr">
        <is>
          <t>passed</t>
        </is>
      </c>
    </row>
    <row r="28">
      <c r="A28" t="inlineStr">
        <is>
          <t>F#4</t>
        </is>
      </c>
      <c r="B28" t="n">
        <v>66</v>
      </c>
      <c r="C28" t="inlineStr">
        <is>
          <t>High</t>
        </is>
      </c>
      <c r="D28" t="inlineStr">
        <is>
          <t>ff</t>
        </is>
      </c>
      <c r="E28" s="15" t="n">
        <v>2.789535307823855</v>
      </c>
      <c r="F28" s="15" t="n">
        <v>2.076995556964949</v>
      </c>
      <c r="G28" s="15" t="n">
        <v>0.4611509503512803</v>
      </c>
      <c r="H28" s="15" t="n">
        <v>5.327681815140084</v>
      </c>
      <c r="I28" s="19" t="n">
        <v>0.9998559609296928</v>
      </c>
      <c r="J28" s="19" t="n">
        <v>0.0001440390703072673</v>
      </c>
      <c r="K28" s="19" t="n">
        <v>0</v>
      </c>
      <c r="L28" s="19" t="n">
        <v>0.8730238783558282</v>
      </c>
      <c r="M28" s="19" t="n">
        <v>0.1269761216441718</v>
      </c>
      <c r="N28" s="19" t="n">
        <v>0</v>
      </c>
      <c r="O28" s="15" t="n">
        <v>2.138569371565034</v>
      </c>
      <c r="P28" s="15" t="n">
        <v>0.343387703639338</v>
      </c>
      <c r="Q28" s="15" t="n">
        <v>0.03137253311443741</v>
      </c>
      <c r="R28" s="15" t="n">
        <v>2.513329608318809</v>
      </c>
      <c r="S28" s="15" t="n">
        <v>307.4678010969957</v>
      </c>
      <c r="T28" s="15" t="n">
        <v>59.19879447358595</v>
      </c>
      <c r="U28" s="15" t="n">
        <v>0.9458423940147508</v>
      </c>
      <c r="V28" s="15" t="n">
        <v>849.7745176996428</v>
      </c>
      <c r="W28" s="15" t="n">
        <v>0.5785741954876702</v>
      </c>
      <c r="X28" t="inlineStr">
        <is>
          <t>IOWA_Trb.T_ff.F#4_SustainStable/F#4/component_amplitude_mass_pie.png</t>
        </is>
      </c>
      <c r="Y28" t="inlineStr">
        <is>
          <t>IOWA_Trb.T_ff.F#4_SustainStable/F#4/component_energy_ratio_pie.png</t>
        </is>
      </c>
      <c r="Z28" s="19" t="n">
        <v>1</v>
      </c>
      <c r="AA28" s="19" t="n">
        <v>1</v>
      </c>
      <c r="AB28" s="15" t="n">
        <v>2.513329608318809</v>
      </c>
      <c r="AC28" s="15" t="n">
        <v>-4.440892098500626e-16</v>
      </c>
      <c r="AD28" s="15" t="n">
        <v>5.327681815140084</v>
      </c>
      <c r="AE28" s="15" t="n">
        <v>0</v>
      </c>
      <c r="AF28" t="inlineStr">
        <is>
          <t>passed</t>
        </is>
      </c>
    </row>
    <row r="29">
      <c r="A29" t="inlineStr">
        <is>
          <t>G4</t>
        </is>
      </c>
      <c r="B29" t="n">
        <v>67</v>
      </c>
      <c r="C29" t="inlineStr">
        <is>
          <t>High</t>
        </is>
      </c>
      <c r="D29" t="inlineStr">
        <is>
          <t>ff</t>
        </is>
      </c>
      <c r="E29" s="15" t="n">
        <v>2.741099607599494</v>
      </c>
      <c r="F29" s="15" t="n">
        <v>2.120375910438893</v>
      </c>
      <c r="G29" s="15" t="n">
        <v>0.4733015755043767</v>
      </c>
      <c r="H29" s="15" t="n">
        <v>5.334777093542765</v>
      </c>
      <c r="I29" s="19" t="n">
        <v>0.9977732402423556</v>
      </c>
      <c r="J29" s="19" t="n">
        <v>0.002225960230729636</v>
      </c>
      <c r="K29" s="19" t="n">
        <v>7.995269148382454e-07</v>
      </c>
      <c r="L29" s="19" t="n">
        <v>0.8532292169123571</v>
      </c>
      <c r="M29" s="19" t="n">
        <v>0.1467700993854789</v>
      </c>
      <c r="N29" s="19" t="n">
        <v>6.837021639126039e-07</v>
      </c>
      <c r="O29" s="15" t="n">
        <v>2.101436625942636</v>
      </c>
      <c r="P29" s="15" t="n">
        <v>0.3505597362960895</v>
      </c>
      <c r="Q29" s="15" t="n">
        <v>0.03219915157784133</v>
      </c>
      <c r="R29" s="15" t="n">
        <v>2.484195513816566</v>
      </c>
      <c r="S29" s="15" t="n">
        <v>274.9670206892606</v>
      </c>
      <c r="T29" s="15" t="n">
        <v>65.46991352166908</v>
      </c>
      <c r="U29" s="15" t="n">
        <v>0.986865141474441</v>
      </c>
      <c r="V29" s="15" t="n">
        <v>837.7800850447547</v>
      </c>
      <c r="W29" s="15" t="n">
        <v>0.5728386326760175</v>
      </c>
      <c r="X29" t="inlineStr">
        <is>
          <t>IOWA_Trb.T_ff.G4_SustainStable/G4/component_amplitude_mass_pie.png</t>
        </is>
      </c>
      <c r="Y29" t="inlineStr">
        <is>
          <t>IOWA_Trb.T_ff.G4_SustainStable/G4/component_energy_ratio_pie.png</t>
        </is>
      </c>
      <c r="Z29" s="19" t="n">
        <v>1</v>
      </c>
      <c r="AA29" s="19" t="n">
        <v>0.9999999999999999</v>
      </c>
      <c r="AB29" s="15" t="n">
        <v>2.484195513816567</v>
      </c>
      <c r="AC29" s="15" t="n">
        <v>-8.881784197001252e-16</v>
      </c>
      <c r="AD29" s="15" t="n">
        <v>5.334777093542764</v>
      </c>
      <c r="AE29" s="15" t="n">
        <v>1.77635683940025e-15</v>
      </c>
      <c r="AF29" t="inlineStr">
        <is>
          <t>passed</t>
        </is>
      </c>
    </row>
    <row r="30">
      <c r="A30" t="inlineStr">
        <is>
          <t>G#4</t>
        </is>
      </c>
      <c r="B30" t="n">
        <v>68</v>
      </c>
      <c r="C30" t="inlineStr">
        <is>
          <t>High</t>
        </is>
      </c>
      <c r="D30" t="inlineStr">
        <is>
          <t>ff</t>
        </is>
      </c>
      <c r="E30" s="15" t="n">
        <v>2.73802023417801</v>
      </c>
      <c r="F30" s="15" t="n">
        <v>1.985765708326076</v>
      </c>
      <c r="G30" s="15" t="n">
        <v>0.5013941938716067</v>
      </c>
      <c r="H30" s="15" t="n">
        <v>5.225180136375691</v>
      </c>
      <c r="I30" s="19" t="n">
        <v>0.9992915360946354</v>
      </c>
      <c r="J30" s="19" t="n">
        <v>0.0007075669939624184</v>
      </c>
      <c r="K30" s="19" t="n">
        <v>8.969114022565144e-07</v>
      </c>
      <c r="L30" s="19" t="n">
        <v>0.849193355907933</v>
      </c>
      <c r="M30" s="19" t="n">
        <v>0.1508058819008784</v>
      </c>
      <c r="N30" s="19" t="n">
        <v>7.621911885803957e-07</v>
      </c>
      <c r="O30" s="15" t="n">
        <v>2.099075855077206</v>
      </c>
      <c r="P30" s="15" t="n">
        <v>0.3283047593728396</v>
      </c>
      <c r="Q30" s="15" t="n">
        <v>0.03411031884167504</v>
      </c>
      <c r="R30" s="15" t="n">
        <v>2.46149093329172</v>
      </c>
      <c r="S30" s="15" t="n">
        <v>273.0207247314117</v>
      </c>
      <c r="T30" s="15" t="n">
        <v>47.88778169865157</v>
      </c>
      <c r="U30" s="15" t="n">
        <v>1.086222837154519</v>
      </c>
      <c r="V30" s="15" t="n">
        <v>883.281925983308</v>
      </c>
      <c r="W30" s="15" t="n">
        <v>0.572579569619581</v>
      </c>
      <c r="X30" t="inlineStr">
        <is>
          <t>IOWA_Trb.T_ff.G#4_SustainStable/G#4/component_amplitude_mass_pie.png</t>
        </is>
      </c>
      <c r="Y30" t="inlineStr">
        <is>
          <t>IOWA_Trb.T_ff.G#4_SustainStable/G#4/component_energy_ratio_pie.png</t>
        </is>
      </c>
      <c r="Z30" s="19" t="n">
        <v>1</v>
      </c>
      <c r="AA30" s="19" t="n">
        <v>1</v>
      </c>
      <c r="AB30" s="15" t="n">
        <v>2.46149093329172</v>
      </c>
      <c r="AC30" s="15" t="n">
        <v>-4.440892098500626e-16</v>
      </c>
      <c r="AD30" s="15" t="n">
        <v>5.225180136375693</v>
      </c>
      <c r="AE30" s="15" t="n">
        <v>-1.77635683940025e-15</v>
      </c>
      <c r="AF30" t="inlineStr">
        <is>
          <t>passed</t>
        </is>
      </c>
    </row>
    <row r="31">
      <c r="A31" t="inlineStr">
        <is>
          <t>A4</t>
        </is>
      </c>
      <c r="B31" t="n">
        <v>69</v>
      </c>
      <c r="C31" t="inlineStr">
        <is>
          <t>High</t>
        </is>
      </c>
      <c r="D31" t="inlineStr">
        <is>
          <t>ff</t>
        </is>
      </c>
      <c r="E31" s="15" t="n">
        <v>2.706240659214971</v>
      </c>
      <c r="F31" s="15" t="n">
        <v>1.966856393904359</v>
      </c>
      <c r="G31" s="15" t="n">
        <v>0.4264906566408646</v>
      </c>
      <c r="H31" s="15" t="n">
        <v>5.099587709760194</v>
      </c>
      <c r="I31" s="19" t="n">
        <v>0.9999994950690975</v>
      </c>
      <c r="J31" s="19" t="n">
        <v>0</v>
      </c>
      <c r="K31" s="19" t="n">
        <v>5.049309025877786e-07</v>
      </c>
      <c r="L31" s="19" t="n">
        <v>0.8638181476326321</v>
      </c>
      <c r="M31" s="19" t="n">
        <v>0.1361814161986707</v>
      </c>
      <c r="N31" s="19" t="n">
        <v>4.361686971909019e-07</v>
      </c>
      <c r="O31" s="15" t="n">
        <v>2.074712361463523</v>
      </c>
      <c r="P31" s="15" t="n">
        <v>0.3251785003710362</v>
      </c>
      <c r="Q31" s="15" t="n">
        <v>0.02901456071655373</v>
      </c>
      <c r="R31" s="15" t="n">
        <v>2.428905422551113</v>
      </c>
      <c r="S31" s="15" t="n">
        <v>253.7205556076462</v>
      </c>
      <c r="T31" s="15" t="n">
        <v>45.82617018116782</v>
      </c>
      <c r="U31" s="15" t="n">
        <v>0.8349366635893841</v>
      </c>
      <c r="V31" s="15" t="n">
        <v>911.4677862536759</v>
      </c>
      <c r="W31" s="15" t="n">
        <v>0.5689334812766293</v>
      </c>
      <c r="X31" t="inlineStr">
        <is>
          <t>IOWA_Trb.T_ff.A4_SustainStable/A4/component_amplitude_mass_pie.png</t>
        </is>
      </c>
      <c r="Y31" t="inlineStr">
        <is>
          <t>IOWA_Trb.T_ff.A4_SustainStable/A4/component_energy_ratio_pie.png</t>
        </is>
      </c>
      <c r="Z31" s="19" t="n">
        <v>1</v>
      </c>
      <c r="AA31" s="19" t="n">
        <v>1</v>
      </c>
      <c r="AB31" s="15" t="n">
        <v>2.428905422551113</v>
      </c>
      <c r="AC31" s="15" t="n">
        <v>0</v>
      </c>
      <c r="AD31" s="15" t="n">
        <v>5.099587709760194</v>
      </c>
      <c r="AE31" s="15" t="n">
        <v>0</v>
      </c>
      <c r="AF31" t="inlineStr">
        <is>
          <t>passed</t>
        </is>
      </c>
    </row>
    <row r="32">
      <c r="A32" t="inlineStr">
        <is>
          <t>A#4</t>
        </is>
      </c>
      <c r="B32" t="n">
        <v>70</v>
      </c>
      <c r="C32" t="inlineStr">
        <is>
          <t>High</t>
        </is>
      </c>
      <c r="D32" t="inlineStr">
        <is>
          <t>ff</t>
        </is>
      </c>
      <c r="E32" s="15" t="n">
        <v>2.691738716108724</v>
      </c>
      <c r="F32" s="15" t="n">
        <v>1.904858462405502</v>
      </c>
      <c r="G32" s="15" t="n">
        <v>0.4323972515518834</v>
      </c>
      <c r="H32" s="15" t="n">
        <v>5.028994430066109</v>
      </c>
      <c r="I32" s="19" t="n">
        <v>0.9999994789594236</v>
      </c>
      <c r="J32" s="19" t="n">
        <v>0</v>
      </c>
      <c r="K32" s="19" t="n">
        <v>5.21040576346663e-07</v>
      </c>
      <c r="L32" s="19" t="n">
        <v>0.843926500166148</v>
      </c>
      <c r="M32" s="19" t="n">
        <v>0.1560730601136729</v>
      </c>
      <c r="N32" s="19" t="n">
        <v>4.397201791528476e-07</v>
      </c>
      <c r="O32" s="15" t="n">
        <v>2.06359459168007</v>
      </c>
      <c r="P32" s="15" t="n">
        <v>0.314928441214005</v>
      </c>
      <c r="Q32" s="15" t="n">
        <v>0.02941639192669946</v>
      </c>
      <c r="R32" s="15" t="n">
        <v>2.407939424820775</v>
      </c>
      <c r="S32" s="15" t="n">
        <v>245.3717998784576</v>
      </c>
      <c r="T32" s="15" t="n">
        <v>39.66321468987509</v>
      </c>
      <c r="U32" s="15" t="n">
        <v>0.8532164106138291</v>
      </c>
      <c r="V32" s="15" t="n">
        <v>889.4748763295022</v>
      </c>
      <c r="W32" s="15" t="n">
        <v>0.5672308176357987</v>
      </c>
      <c r="X32" t="inlineStr">
        <is>
          <t>IOWA_Trb.T_ff.A#4_SustainStable/A#4/component_amplitude_mass_pie.png</t>
        </is>
      </c>
      <c r="Y32" t="inlineStr">
        <is>
          <t>IOWA_Trb.T_ff.A#4_SustainStable/A#4/component_energy_ratio_pie.png</t>
        </is>
      </c>
      <c r="Z32" s="19" t="n">
        <v>1</v>
      </c>
      <c r="AA32" s="19" t="n">
        <v>1</v>
      </c>
      <c r="AB32" s="15" t="n">
        <v>2.407939424820774</v>
      </c>
      <c r="AC32" s="15" t="n">
        <v>4.440892098500626e-16</v>
      </c>
      <c r="AD32" s="15" t="n">
        <v>5.028994430066109</v>
      </c>
      <c r="AE32" s="15" t="n">
        <v>0</v>
      </c>
      <c r="AF32" t="inlineStr">
        <is>
          <t>passed</t>
        </is>
      </c>
    </row>
    <row r="33">
      <c r="A33" t="inlineStr">
        <is>
          <t>B4</t>
        </is>
      </c>
      <c r="B33" t="n">
        <v>71</v>
      </c>
      <c r="C33" t="inlineStr">
        <is>
          <t>High</t>
        </is>
      </c>
      <c r="D33" t="inlineStr">
        <is>
          <t>ff</t>
        </is>
      </c>
      <c r="E33" s="15" t="n">
        <v>2.652150763135419</v>
      </c>
      <c r="F33" s="15" t="n">
        <v>1.851603581754094</v>
      </c>
      <c r="G33" s="15" t="n">
        <v>0.4013732295803371</v>
      </c>
      <c r="H33" s="15" t="n">
        <v>4.905127574469851</v>
      </c>
      <c r="I33" s="19" t="n">
        <v>1</v>
      </c>
      <c r="J33" s="19" t="n">
        <v>0</v>
      </c>
      <c r="K33" s="19" t="n">
        <v>0</v>
      </c>
      <c r="L33" s="19" t="n">
        <v>0.8417251503634045</v>
      </c>
      <c r="M33" s="19" t="n">
        <v>0.1582748496365957</v>
      </c>
      <c r="N33" s="19" t="n">
        <v>0</v>
      </c>
      <c r="O33" s="15" t="n">
        <v>2.033244883083726</v>
      </c>
      <c r="P33" s="15" t="n">
        <v>0.306123862353376</v>
      </c>
      <c r="Q33" s="15" t="n">
        <v>0.02730579851709256</v>
      </c>
      <c r="R33" s="15" t="n">
        <v>2.366674543954194</v>
      </c>
      <c r="S33" s="15" t="n">
        <v>223.9505983352335</v>
      </c>
      <c r="T33" s="15" t="n">
        <v>35.02823117901843</v>
      </c>
      <c r="U33" s="15" t="n">
        <v>0.7599207656717939</v>
      </c>
      <c r="V33" s="15" t="n">
        <v>762.6678304048755</v>
      </c>
      <c r="W33" s="15" t="n">
        <v>0.5625486971882008</v>
      </c>
      <c r="X33" t="inlineStr">
        <is>
          <t>IOWA_Trb.T_ff.B4_SustainStable/B4/component_amplitude_mass_pie.png</t>
        </is>
      </c>
      <c r="Y33" t="inlineStr">
        <is>
          <t>IOWA_Trb.T_ff.B4_SustainStable/B4/component_energy_ratio_pie.png</t>
        </is>
      </c>
      <c r="Z33" s="19" t="n">
        <v>1</v>
      </c>
      <c r="AA33" s="19" t="n">
        <v>1</v>
      </c>
      <c r="AB33" s="15" t="n">
        <v>2.366674543954195</v>
      </c>
      <c r="AC33" s="15" t="n">
        <v>-8.881784197001252e-16</v>
      </c>
      <c r="AD33" s="15" t="n">
        <v>4.905127574469851</v>
      </c>
      <c r="AE33" s="15" t="n">
        <v>0</v>
      </c>
      <c r="AF33" t="inlineStr">
        <is>
          <t>passed</t>
        </is>
      </c>
    </row>
    <row r="34">
      <c r="A34" t="inlineStr">
        <is>
          <t>C5</t>
        </is>
      </c>
      <c r="B34" t="n">
        <v>72</v>
      </c>
      <c r="C34" t="inlineStr">
        <is>
          <t>Very high</t>
        </is>
      </c>
      <c r="D34" t="inlineStr">
        <is>
          <t>ff</t>
        </is>
      </c>
      <c r="E34" s="15" t="n">
        <v>2.652526789462859</v>
      </c>
      <c r="F34" s="15" t="n">
        <v>2.002900488159321</v>
      </c>
      <c r="G34" s="15" t="n">
        <v>0.3926354660373654</v>
      </c>
      <c r="H34" s="15" t="n">
        <v>5.048062743659546</v>
      </c>
      <c r="I34" s="19" t="n">
        <v>1</v>
      </c>
      <c r="J34" s="19" t="n">
        <v>0</v>
      </c>
      <c r="K34" s="19" t="n">
        <v>0</v>
      </c>
      <c r="L34" s="19" t="n">
        <v>0.7719760843013412</v>
      </c>
      <c r="M34" s="19" t="n">
        <v>0.2280239156986588</v>
      </c>
      <c r="N34" s="19" t="n">
        <v>0</v>
      </c>
      <c r="O34" s="15" t="n">
        <v>2.033533159910519</v>
      </c>
      <c r="P34" s="15" t="n">
        <v>0.3311376362557839</v>
      </c>
      <c r="Q34" s="15" t="n">
        <v>0.02671136024066878</v>
      </c>
      <c r="R34" s="15" t="n">
        <v>2.391382156406972</v>
      </c>
      <c r="S34" s="15" t="n">
        <v>112.0725095698872</v>
      </c>
      <c r="T34" s="15" t="n">
        <v>24.9175243129447</v>
      </c>
      <c r="U34" s="15" t="n">
        <v>0.3674125808093185</v>
      </c>
      <c r="V34" s="15" t="n">
        <v>202.0313585119185</v>
      </c>
      <c r="W34" s="15" t="n">
        <v>0.5625934099515023</v>
      </c>
      <c r="X34" t="inlineStr">
        <is>
          <t>IOWA_Trb.T_ff.C5_SustainStable/C5/component_amplitude_mass_pie.png</t>
        </is>
      </c>
      <c r="Y34" t="inlineStr">
        <is>
          <t>IOWA_Trb.T_ff.C5_SustainStable/C5/component_energy_ratio_pie.png</t>
        </is>
      </c>
      <c r="Z34" s="19" t="n">
        <v>1</v>
      </c>
      <c r="AA34" s="19" t="n">
        <v>1</v>
      </c>
      <c r="AB34" s="15" t="n">
        <v>2.391382156406972</v>
      </c>
      <c r="AC34" s="15" t="n">
        <v>0</v>
      </c>
      <c r="AD34" s="15" t="n">
        <v>5.048062743659545</v>
      </c>
      <c r="AE34" s="15" t="n">
        <v>8.881784197001252e-16</v>
      </c>
      <c r="AF34" t="inlineStr">
        <is>
          <t>passed</t>
        </is>
      </c>
    </row>
  </sheetData>
  <autoFilter ref="A1:AF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9" customWidth="1" min="4" max="4"/>
    <col width="19" customWidth="1" min="5" max="5"/>
    <col width="32" customWidth="1" min="6" max="6"/>
    <col width="32" customWidth="1" min="7" max="7"/>
    <col width="17" customWidth="1" min="8" max="8"/>
    <col width="36" customWidth="1" min="9" max="9"/>
    <col width="23" customWidth="1" min="10" max="10"/>
    <col width="24" customWidth="1" min="11" max="11"/>
    <col width="32" customWidth="1" min="12" max="12"/>
    <col width="27" customWidth="1" min="13" max="13"/>
    <col width="35" customWidth="1" min="14" max="14"/>
    <col width="42" customWidth="1" min="15" max="15"/>
    <col width="35" customWidth="1" min="16" max="16"/>
    <col width="34" customWidth="1" min="17" max="17"/>
    <col width="30" customWidth="1" min="18" max="18"/>
    <col width="31" customWidth="1" min="19" max="19"/>
    <col width="30" customWidth="1" min="20" max="20"/>
    <col width="28" customWidth="1" min="21" max="21"/>
    <col width="27" customWidth="1" min="22" max="22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Register</t>
        </is>
      </c>
      <c r="D1" s="11" t="inlineStr">
        <is>
          <t>f0_nominal_hz</t>
        </is>
      </c>
      <c r="E1" s="11" t="inlineStr">
        <is>
          <t>f0_final_hz</t>
        </is>
      </c>
      <c r="F1" s="11" t="inlineStr">
        <is>
          <t>f0_source</t>
        </is>
      </c>
      <c r="G1" s="11" t="inlineStr">
        <is>
          <t>f0_final_source</t>
        </is>
      </c>
      <c r="H1" s="11" t="inlineStr">
        <is>
          <t>f0_fit_accepted</t>
        </is>
      </c>
      <c r="I1" s="11" t="inlineStr">
        <is>
          <t>acoustic_f0_status</t>
        </is>
      </c>
      <c r="J1" s="11" t="inlineStr">
        <is>
          <t>f0_fit_quality</t>
        </is>
      </c>
      <c r="K1" s="11" t="inlineStr">
        <is>
          <t>f0_fit_residual_std_hz</t>
        </is>
      </c>
      <c r="L1" s="11" t="inlineStr">
        <is>
          <t>f0_detuning_cents_from_nominal</t>
        </is>
      </c>
      <c r="M1" s="11" t="inlineStr">
        <is>
          <t>harmonic_alignment_status</t>
        </is>
      </c>
      <c r="N1" s="11" t="inlineStr">
        <is>
          <t>harmonic_alignment_coverage_ratio</t>
        </is>
      </c>
      <c r="O1" s="11" t="inlineStr">
        <is>
          <t>harmonic_alignment_energy_coverage_ratio</t>
        </is>
      </c>
      <c r="P1" s="11" t="inlineStr">
        <is>
          <t>mean_abs_harmonic_deviation_cents</t>
        </is>
      </c>
      <c r="Q1" s="11" t="inlineStr">
        <is>
          <t>max_abs_harmonic_deviation_cents</t>
        </is>
      </c>
      <c r="R1" s="11" t="inlineStr">
        <is>
          <t>rms_harmonic_deviation_cents</t>
        </is>
      </c>
      <c r="S1" s="11" t="inlineStr">
        <is>
          <t>debug_counts_invariant_status</t>
        </is>
      </c>
      <c r="T1" s="11" t="inlineStr">
        <is>
          <t>arithmetic_validation_status</t>
        </is>
      </c>
      <c r="U1" s="11" t="inlineStr">
        <is>
          <t>acoustic_validation_status</t>
        </is>
      </c>
      <c r="V1" s="11" t="inlineStr">
        <is>
          <t>validation_summary_status</t>
        </is>
      </c>
    </row>
    <row r="2">
      <c r="A2" t="inlineStr">
        <is>
          <t>E2</t>
        </is>
      </c>
      <c r="B2" t="n">
        <v>40</v>
      </c>
      <c r="C2" t="inlineStr">
        <is>
          <t>Low</t>
        </is>
      </c>
      <c r="D2" s="15" t="n">
        <v>82.40688922821748</v>
      </c>
      <c r="E2" s="15" t="n">
        <v>82.46890160441437</v>
      </c>
      <c r="F2" t="inlineStr">
        <is>
          <t>prior_constrained_harmonic_fit</t>
        </is>
      </c>
      <c r="G2" t="inlineStr">
        <is>
          <t>prior_constrained_harmonic_fit</t>
        </is>
      </c>
      <c r="H2" t="n">
        <v>1</v>
      </c>
      <c r="I2" t="inlineStr">
        <is>
          <t>fit_accepted_acoustically_verified</t>
        </is>
      </c>
      <c r="J2" t="n">
        <v>0.002028431083351564</v>
      </c>
      <c r="K2" s="15" t="n">
        <v>0.1672824834242558</v>
      </c>
      <c r="L2" s="15" t="n">
        <v>1.302288730878158</v>
      </c>
      <c r="M2" t="inlineStr">
        <is>
          <t>good</t>
        </is>
      </c>
      <c r="N2" s="19" t="n">
        <v>0.8223140495867769</v>
      </c>
      <c r="O2" s="19" t="n">
        <v>0.05281871570939143</v>
      </c>
      <c r="P2" s="15" t="n">
        <v>1.224538254428009</v>
      </c>
      <c r="Q2" s="15" t="n">
        <v>7.859897486311741</v>
      </c>
      <c r="R2" s="15" t="n">
        <v>2.850724208977132</v>
      </c>
      <c r="S2" t="inlineStr">
        <is>
          <t>passed</t>
        </is>
      </c>
      <c r="T2" t="inlineStr">
        <is>
          <t>passed</t>
        </is>
      </c>
      <c r="U2" t="inlineStr">
        <is>
          <t>passed</t>
        </is>
      </c>
      <c r="V2" t="inlineStr">
        <is>
          <t>passed</t>
        </is>
      </c>
    </row>
    <row r="3">
      <c r="A3" t="inlineStr">
        <is>
          <t>F2</t>
        </is>
      </c>
      <c r="B3" t="n">
        <v>41</v>
      </c>
      <c r="C3" t="inlineStr">
        <is>
          <t>Low</t>
        </is>
      </c>
      <c r="D3" s="15" t="n">
        <v>87.30705785825096</v>
      </c>
      <c r="E3" s="15" t="n">
        <v>87.39302496373875</v>
      </c>
      <c r="F3" t="inlineStr">
        <is>
          <t>prior_constrained_harmonic_fit</t>
        </is>
      </c>
      <c r="G3" t="inlineStr">
        <is>
          <t>prior_constrained_harmonic_fit</t>
        </is>
      </c>
      <c r="H3" t="n">
        <v>1</v>
      </c>
      <c r="I3" t="inlineStr">
        <is>
          <t>fit_accepted_acoustically_verified</t>
        </is>
      </c>
      <c r="J3" t="n">
        <v>0.002337329458669919</v>
      </c>
      <c r="K3" s="15" t="n">
        <v>0.2042662917300222</v>
      </c>
      <c r="L3" s="15" t="n">
        <v>1.703825089592521</v>
      </c>
      <c r="M3" t="inlineStr">
        <is>
          <t>good</t>
        </is>
      </c>
      <c r="N3" s="19" t="n">
        <v>0.7894736842105263</v>
      </c>
      <c r="O3" s="19" t="n">
        <v>0.03278227461122381</v>
      </c>
      <c r="P3" s="15" t="n">
        <v>1.990341666537611</v>
      </c>
      <c r="Q3" s="15" t="n">
        <v>7.205829161323881</v>
      </c>
      <c r="R3" s="15" t="n">
        <v>3.702792947281554</v>
      </c>
      <c r="S3" t="inlineStr">
        <is>
          <t>passed</t>
        </is>
      </c>
      <c r="T3" t="inlineStr">
        <is>
          <t>passed</t>
        </is>
      </c>
      <c r="U3" t="inlineStr">
        <is>
          <t>passed</t>
        </is>
      </c>
      <c r="V3" t="inlineStr">
        <is>
          <t>passed</t>
        </is>
      </c>
    </row>
    <row r="4">
      <c r="A4" t="inlineStr">
        <is>
          <t>F#2</t>
        </is>
      </c>
      <c r="B4" t="n">
        <v>42</v>
      </c>
      <c r="C4" t="inlineStr">
        <is>
          <t>Low</t>
        </is>
      </c>
      <c r="D4" s="15" t="n">
        <v>92.4986056779086</v>
      </c>
      <c r="E4" s="15" t="n">
        <v>92.37086148906324</v>
      </c>
      <c r="F4" t="inlineStr">
        <is>
          <t>prior_constrained_harmonic_fit</t>
        </is>
      </c>
      <c r="G4" t="inlineStr">
        <is>
          <t>prior_constrained_harmonic_fit</t>
        </is>
      </c>
      <c r="H4" t="n">
        <v>1</v>
      </c>
      <c r="I4" t="inlineStr">
        <is>
          <t>fit_accepted_acoustically_verified</t>
        </is>
      </c>
      <c r="J4" t="n">
        <v>0.001238385949452501</v>
      </c>
      <c r="K4" s="15" t="n">
        <v>0.114390777006879</v>
      </c>
      <c r="L4" s="15" t="n">
        <v>-2.392554356188321</v>
      </c>
      <c r="M4" t="inlineStr">
        <is>
          <t>good</t>
        </is>
      </c>
      <c r="N4" s="19" t="n">
        <v>0.8425925925925926</v>
      </c>
      <c r="O4" s="19" t="n">
        <v>0.08212838657929043</v>
      </c>
      <c r="P4" s="15" t="n">
        <v>1.571867434709139</v>
      </c>
      <c r="Q4" s="15" t="n">
        <v>9.896207381426297</v>
      </c>
      <c r="R4" s="15" t="n">
        <v>5.192930561913653</v>
      </c>
      <c r="S4" t="inlineStr">
        <is>
          <t>passed</t>
        </is>
      </c>
      <c r="T4" t="inlineStr">
        <is>
          <t>passed</t>
        </is>
      </c>
      <c r="U4" t="inlineStr">
        <is>
          <t>passed</t>
        </is>
      </c>
      <c r="V4" t="inlineStr">
        <is>
          <t>passed</t>
        </is>
      </c>
    </row>
    <row r="5">
      <c r="A5" t="inlineStr">
        <is>
          <t>G2</t>
        </is>
      </c>
      <c r="B5" t="n">
        <v>43</v>
      </c>
      <c r="C5" t="inlineStr">
        <is>
          <t>Low</t>
        </is>
      </c>
      <c r="D5" s="15" t="n">
        <v>97.99885899543733</v>
      </c>
      <c r="E5" s="15" t="n">
        <v>97.9692723115943</v>
      </c>
      <c r="F5" t="inlineStr">
        <is>
          <t>prior_constrained_harmonic_fit</t>
        </is>
      </c>
      <c r="G5" t="inlineStr">
        <is>
          <t>prior_constrained_harmonic_fit</t>
        </is>
      </c>
      <c r="H5" t="n">
        <v>1</v>
      </c>
      <c r="I5" t="inlineStr">
        <is>
          <t>fit_accepted_acoustically_verified</t>
        </is>
      </c>
      <c r="J5" t="n">
        <v>0.001216249414236648</v>
      </c>
      <c r="K5" s="15" t="n">
        <v>0.1191550700621672</v>
      </c>
      <c r="L5" s="15" t="n">
        <v>-0.5227531080241298</v>
      </c>
      <c r="M5" t="inlineStr">
        <is>
          <t>good</t>
        </is>
      </c>
      <c r="N5" s="19" t="n">
        <v>0.8480392156862745</v>
      </c>
      <c r="O5" s="19" t="n">
        <v>0.07262369958923039</v>
      </c>
      <c r="P5" s="15" t="n">
        <v>2.450590551846995</v>
      </c>
      <c r="Q5" s="15" t="n">
        <v>15.61617621452389</v>
      </c>
      <c r="R5" s="15" t="n">
        <v>6.528274695769473</v>
      </c>
      <c r="S5" t="inlineStr">
        <is>
          <t>passed</t>
        </is>
      </c>
      <c r="T5" t="inlineStr">
        <is>
          <t>passed</t>
        </is>
      </c>
      <c r="U5" t="inlineStr">
        <is>
          <t>passed</t>
        </is>
      </c>
      <c r="V5" t="inlineStr">
        <is>
          <t>passed</t>
        </is>
      </c>
    </row>
    <row r="6">
      <c r="A6" t="inlineStr">
        <is>
          <t>G#2</t>
        </is>
      </c>
      <c r="B6" t="n">
        <v>44</v>
      </c>
      <c r="C6" t="inlineStr">
        <is>
          <t>Low</t>
        </is>
      </c>
      <c r="D6" s="15" t="n">
        <v>103.8261743949863</v>
      </c>
      <c r="E6" s="15" t="n">
        <v>103.9567580107547</v>
      </c>
      <c r="F6" t="inlineStr">
        <is>
          <t>prior_constrained_harmonic_fit</t>
        </is>
      </c>
      <c r="G6" t="inlineStr">
        <is>
          <t>prior_constrained_harmonic_fit</t>
        </is>
      </c>
      <c r="H6" t="n">
        <v>1</v>
      </c>
      <c r="I6" t="inlineStr">
        <is>
          <t>fit_accepted_acoustically_verified</t>
        </is>
      </c>
      <c r="J6" t="n">
        <v>0.002245717406921548</v>
      </c>
      <c r="K6" s="15" t="n">
        <v>0.2334575010318829</v>
      </c>
      <c r="L6" s="15" t="n">
        <v>2.176028887593199</v>
      </c>
      <c r="M6" t="inlineStr">
        <is>
          <t>good</t>
        </is>
      </c>
      <c r="N6" s="19" t="n">
        <v>0.7395833333333334</v>
      </c>
      <c r="O6" s="19" t="n">
        <v>0.02618206960484693</v>
      </c>
      <c r="P6" s="15" t="n">
        <v>1.625832989901843</v>
      </c>
      <c r="Q6" s="15" t="n">
        <v>6.589803712099492</v>
      </c>
      <c r="R6" s="15" t="n">
        <v>2.570816123470762</v>
      </c>
      <c r="S6" t="inlineStr">
        <is>
          <t>passed</t>
        </is>
      </c>
      <c r="T6" t="inlineStr">
        <is>
          <t>passed</t>
        </is>
      </c>
      <c r="U6" t="inlineStr">
        <is>
          <t>passed</t>
        </is>
      </c>
      <c r="V6" t="inlineStr">
        <is>
          <t>passed</t>
        </is>
      </c>
    </row>
    <row r="7">
      <c r="A7" t="inlineStr">
        <is>
          <t>A2</t>
        </is>
      </c>
      <c r="B7" t="n">
        <v>45</v>
      </c>
      <c r="C7" t="inlineStr">
        <is>
          <t>Low</t>
        </is>
      </c>
      <c r="D7" s="15" t="n">
        <v>110</v>
      </c>
      <c r="E7" s="15" t="n">
        <v>109.8129355156599</v>
      </c>
      <c r="F7" t="inlineStr">
        <is>
          <t>prior_constrained_harmonic_fit</t>
        </is>
      </c>
      <c r="G7" t="inlineStr">
        <is>
          <t>prior_constrained_harmonic_fit</t>
        </is>
      </c>
      <c r="H7" t="n">
        <v>1</v>
      </c>
      <c r="I7" t="inlineStr">
        <is>
          <t>fit_accepted_acoustically_verified</t>
        </is>
      </c>
      <c r="J7" t="n">
        <v>0.003048209718784128</v>
      </c>
      <c r="K7" s="15" t="n">
        <v>0.3347328572870492</v>
      </c>
      <c r="L7" s="15" t="n">
        <v>-2.946618970191015</v>
      </c>
      <c r="M7" t="inlineStr">
        <is>
          <t>good</t>
        </is>
      </c>
      <c r="N7" s="19" t="n">
        <v>0.7692307692307693</v>
      </c>
      <c r="O7" s="19" t="n">
        <v>0.03058015467086161</v>
      </c>
      <c r="P7" s="15" t="n">
        <v>1.515261071223197</v>
      </c>
      <c r="Q7" s="15" t="n">
        <v>7.459084386632098</v>
      </c>
      <c r="R7" s="15" t="n">
        <v>2.948219050698143</v>
      </c>
      <c r="S7" t="inlineStr">
        <is>
          <t>passed</t>
        </is>
      </c>
      <c r="T7" t="inlineStr">
        <is>
          <t>passed</t>
        </is>
      </c>
      <c r="U7" t="inlineStr">
        <is>
          <t>passed</t>
        </is>
      </c>
      <c r="V7" t="inlineStr">
        <is>
          <t>passed</t>
        </is>
      </c>
    </row>
    <row r="8">
      <c r="A8" t="inlineStr">
        <is>
          <t>A#2</t>
        </is>
      </c>
      <c r="B8" t="n">
        <v>46</v>
      </c>
      <c r="C8" t="inlineStr">
        <is>
          <t>Low</t>
        </is>
      </c>
      <c r="D8" s="15" t="n">
        <v>116.5409403795225</v>
      </c>
      <c r="E8" s="15" t="n">
        <v>116.3000859536529</v>
      </c>
      <c r="F8" t="inlineStr">
        <is>
          <t>prior_constrained_harmonic_fit</t>
        </is>
      </c>
      <c r="G8" t="inlineStr">
        <is>
          <t>prior_constrained_harmonic_fit</t>
        </is>
      </c>
      <c r="H8" t="n">
        <v>1</v>
      </c>
      <c r="I8" t="inlineStr">
        <is>
          <t>fit_accepted_acoustically_verified</t>
        </is>
      </c>
      <c r="J8" t="n">
        <v>0.001145298691534915</v>
      </c>
      <c r="K8" s="15" t="n">
        <v>0.1331983362681169</v>
      </c>
      <c r="L8" s="15" t="n">
        <v>-3.581632826688394</v>
      </c>
      <c r="M8" t="inlineStr">
        <is>
          <t>excellent</t>
        </is>
      </c>
      <c r="N8" s="19" t="n">
        <v>0.8947368421052632</v>
      </c>
      <c r="O8" s="19" t="n">
        <v>0.09171758636309253</v>
      </c>
      <c r="P8" s="15" t="n">
        <v>3.155150969904327</v>
      </c>
      <c r="Q8" s="15" t="n">
        <v>16.90015265838881</v>
      </c>
      <c r="R8" s="15" t="n">
        <v>8.296156821166759</v>
      </c>
      <c r="S8" t="inlineStr">
        <is>
          <t>passed</t>
        </is>
      </c>
      <c r="T8" t="inlineStr">
        <is>
          <t>passed</t>
        </is>
      </c>
      <c r="U8" t="inlineStr">
        <is>
          <t>passed</t>
        </is>
      </c>
      <c r="V8" t="inlineStr">
        <is>
          <t>passed</t>
        </is>
      </c>
    </row>
    <row r="9">
      <c r="A9" t="inlineStr">
        <is>
          <t>B2</t>
        </is>
      </c>
      <c r="B9" t="n">
        <v>47</v>
      </c>
      <c r="C9" t="inlineStr">
        <is>
          <t>Low</t>
        </is>
      </c>
      <c r="D9" s="15" t="n">
        <v>123.470825314031</v>
      </c>
      <c r="E9" s="15" t="n">
        <v>123.3701644191944</v>
      </c>
      <c r="F9" t="inlineStr">
        <is>
          <t>prior_constrained_harmonic_fit</t>
        </is>
      </c>
      <c r="G9" t="inlineStr">
        <is>
          <t>prior_constrained_harmonic_fit</t>
        </is>
      </c>
      <c r="H9" t="n">
        <v>1</v>
      </c>
      <c r="I9" t="inlineStr">
        <is>
          <t>fit_accepted_acoustically_verified</t>
        </is>
      </c>
      <c r="J9" t="n">
        <v>0.0006734153037212821</v>
      </c>
      <c r="K9" s="15" t="n">
        <v>0.08307935674249632</v>
      </c>
      <c r="L9" s="15" t="n">
        <v>-1.411982494472292</v>
      </c>
      <c r="M9" t="inlineStr">
        <is>
          <t>excellent</t>
        </is>
      </c>
      <c r="N9" s="19" t="n">
        <v>0.9074074074074074</v>
      </c>
      <c r="O9" s="19" t="n">
        <v>0.1027625207041792</v>
      </c>
      <c r="P9" s="15" t="n">
        <v>4.276301904916304</v>
      </c>
      <c r="Q9" s="15" t="n">
        <v>17.96524743057586</v>
      </c>
      <c r="R9" s="15" t="n">
        <v>9.539784215815923</v>
      </c>
      <c r="S9" t="inlineStr">
        <is>
          <t>passed</t>
        </is>
      </c>
      <c r="T9" t="inlineStr">
        <is>
          <t>passed</t>
        </is>
      </c>
      <c r="U9" t="inlineStr">
        <is>
          <t>passed</t>
        </is>
      </c>
      <c r="V9" t="inlineStr">
        <is>
          <t>passed</t>
        </is>
      </c>
    </row>
    <row r="10">
      <c r="A10" t="inlineStr">
        <is>
          <t>C3</t>
        </is>
      </c>
      <c r="B10" t="n">
        <v>48</v>
      </c>
      <c r="C10" t="inlineStr">
        <is>
          <t>Middle</t>
        </is>
      </c>
      <c r="D10" s="15" t="n">
        <v>130.8127826502993</v>
      </c>
      <c r="E10" s="15" t="n">
        <v>131.0427536427045</v>
      </c>
      <c r="F10" t="inlineStr">
        <is>
          <t>prior_constrained_harmonic_fit</t>
        </is>
      </c>
      <c r="G10" t="inlineStr">
        <is>
          <t>prior_constrained_harmonic_fit</t>
        </is>
      </c>
      <c r="H10" t="n">
        <v>1</v>
      </c>
      <c r="I10" t="inlineStr">
        <is>
          <t>fit_accepted_acoustically_verified</t>
        </is>
      </c>
      <c r="J10" t="n">
        <v>0.001541136337846616</v>
      </c>
      <c r="K10" s="15" t="n">
        <v>0.201954749450254</v>
      </c>
      <c r="L10" s="15" t="n">
        <v>3.040865359165916</v>
      </c>
      <c r="M10" t="inlineStr">
        <is>
          <t>excellent</t>
        </is>
      </c>
      <c r="N10" s="19" t="n">
        <v>0.881578947368421</v>
      </c>
      <c r="O10" s="19" t="n">
        <v>0.09507458840529752</v>
      </c>
      <c r="P10" s="15" t="n">
        <v>3.2026228690664</v>
      </c>
      <c r="Q10" s="15" t="n">
        <v>17.32978957894387</v>
      </c>
      <c r="R10" s="15" t="n">
        <v>7.660926490061816</v>
      </c>
      <c r="S10" t="inlineStr">
        <is>
          <t>passed</t>
        </is>
      </c>
      <c r="T10" t="inlineStr">
        <is>
          <t>passed</t>
        </is>
      </c>
      <c r="U10" t="inlineStr">
        <is>
          <t>passed</t>
        </is>
      </c>
      <c r="V10" t="inlineStr">
        <is>
          <t>passed</t>
        </is>
      </c>
    </row>
    <row r="11">
      <c r="A11" t="inlineStr">
        <is>
          <t>C#3</t>
        </is>
      </c>
      <c r="B11" t="n">
        <v>49</v>
      </c>
      <c r="C11" t="inlineStr">
        <is>
          <t>Middle</t>
        </is>
      </c>
      <c r="D11" s="15" t="n">
        <v>138.591315488436</v>
      </c>
      <c r="E11" s="15" t="n">
        <v>138.6976376467761</v>
      </c>
      <c r="F11" t="inlineStr">
        <is>
          <t>prior_constrained_harmonic_fit</t>
        </is>
      </c>
      <c r="G11" t="inlineStr">
        <is>
          <t>prior_constrained_harmonic_fit</t>
        </is>
      </c>
      <c r="H11" t="n">
        <v>1</v>
      </c>
      <c r="I11" t="inlineStr">
        <is>
          <t>fit_accepted_acoustically_verified</t>
        </is>
      </c>
      <c r="J11" t="n">
        <v>0.001810568046234157</v>
      </c>
      <c r="K11" s="15" t="n">
        <v>0.2511215108114165</v>
      </c>
      <c r="L11" s="15" t="n">
        <v>1.327629879431333</v>
      </c>
      <c r="M11" t="inlineStr">
        <is>
          <t>excellent</t>
        </is>
      </c>
      <c r="N11" s="19" t="n">
        <v>0.8888888888888888</v>
      </c>
      <c r="O11" s="19" t="n">
        <v>0.0815858903819858</v>
      </c>
      <c r="P11" s="15" t="n">
        <v>3.338046206053059</v>
      </c>
      <c r="Q11" s="15" t="n">
        <v>17.8596333445335</v>
      </c>
      <c r="R11" s="15" t="n">
        <v>8.078315245831508</v>
      </c>
      <c r="S11" t="inlineStr">
        <is>
          <t>passed</t>
        </is>
      </c>
      <c r="T11" t="inlineStr">
        <is>
          <t>passed</t>
        </is>
      </c>
      <c r="U11" t="inlineStr">
        <is>
          <t>passed</t>
        </is>
      </c>
      <c r="V11" t="inlineStr">
        <is>
          <t>passed</t>
        </is>
      </c>
    </row>
    <row r="12">
      <c r="A12" t="inlineStr">
        <is>
          <t>D3</t>
        </is>
      </c>
      <c r="B12" t="n">
        <v>50</v>
      </c>
      <c r="C12" t="inlineStr">
        <is>
          <t>Middle</t>
        </is>
      </c>
      <c r="D12" s="15" t="n">
        <v>146.8323839587038</v>
      </c>
      <c r="E12" s="15" t="n">
        <v>146.5084107364859</v>
      </c>
      <c r="F12" t="inlineStr">
        <is>
          <t>prior_constrained_harmonic_fit</t>
        </is>
      </c>
      <c r="G12" t="inlineStr">
        <is>
          <t>prior_constrained_harmonic_fit</t>
        </is>
      </c>
      <c r="H12" t="n">
        <v>1</v>
      </c>
      <c r="I12" t="inlineStr">
        <is>
          <t>fit_accepted_acoustically_verified</t>
        </is>
      </c>
      <c r="J12" t="n">
        <v>0.00160995331709822</v>
      </c>
      <c r="K12" s="15" t="n">
        <v>0.2358717018479939</v>
      </c>
      <c r="L12" s="15" t="n">
        <v>-3.824041602638717</v>
      </c>
      <c r="M12" t="inlineStr">
        <is>
          <t>excellent</t>
        </is>
      </c>
      <c r="N12" s="19" t="n">
        <v>0.875</v>
      </c>
      <c r="O12" s="19" t="n">
        <v>0.08109297930842414</v>
      </c>
      <c r="P12" s="15" t="n">
        <v>2.44057460744336</v>
      </c>
      <c r="Q12" s="15" t="n">
        <v>17.13138836056068</v>
      </c>
      <c r="R12" s="15" t="n">
        <v>7.762316722073161</v>
      </c>
      <c r="S12" t="inlineStr">
        <is>
          <t>passed</t>
        </is>
      </c>
      <c r="T12" t="inlineStr">
        <is>
          <t>passed</t>
        </is>
      </c>
      <c r="U12" t="inlineStr">
        <is>
          <t>passed</t>
        </is>
      </c>
      <c r="V12" t="inlineStr">
        <is>
          <t>passed</t>
        </is>
      </c>
    </row>
    <row r="13">
      <c r="A13" t="inlineStr">
        <is>
          <t>D#3</t>
        </is>
      </c>
      <c r="B13" t="n">
        <v>51</v>
      </c>
      <c r="C13" t="inlineStr">
        <is>
          <t>Middle</t>
        </is>
      </c>
      <c r="D13" s="15" t="n">
        <v>155.5634918610404</v>
      </c>
      <c r="E13" s="15" t="n">
        <v>155.4344744903509</v>
      </c>
      <c r="F13" t="inlineStr">
        <is>
          <t>prior_constrained_harmonic_fit</t>
        </is>
      </c>
      <c r="G13" t="inlineStr">
        <is>
          <t>prior_constrained_harmonic_fit</t>
        </is>
      </c>
      <c r="H13" t="n">
        <v>1</v>
      </c>
      <c r="I13" t="inlineStr">
        <is>
          <t>fit_accepted_acoustically_verified</t>
        </is>
      </c>
      <c r="J13" t="n">
        <v>0.002456705188972334</v>
      </c>
      <c r="K13" s="15" t="n">
        <v>0.3818566800256329</v>
      </c>
      <c r="L13" s="15" t="n">
        <v>-1.436403462650521</v>
      </c>
      <c r="M13" t="inlineStr">
        <is>
          <t>excellent</t>
        </is>
      </c>
      <c r="N13" s="19" t="n">
        <v>0.8671875</v>
      </c>
      <c r="O13" s="19" t="n">
        <v>0.06580065683388421</v>
      </c>
      <c r="P13" s="15" t="n">
        <v>2.871585269810503</v>
      </c>
      <c r="Q13" s="15" t="n">
        <v>17.49232296516097</v>
      </c>
      <c r="R13" s="15" t="n">
        <v>7.678159419186913</v>
      </c>
      <c r="S13" t="inlineStr">
        <is>
          <t>passed</t>
        </is>
      </c>
      <c r="T13" t="inlineStr">
        <is>
          <t>passed</t>
        </is>
      </c>
      <c r="U13" t="inlineStr">
        <is>
          <t>passed</t>
        </is>
      </c>
      <c r="V13" t="inlineStr">
        <is>
          <t>passed</t>
        </is>
      </c>
    </row>
    <row r="14">
      <c r="A14" t="inlineStr">
        <is>
          <t>E3</t>
        </is>
      </c>
      <c r="B14" t="n">
        <v>52</v>
      </c>
      <c r="C14" t="inlineStr">
        <is>
          <t>Middle</t>
        </is>
      </c>
      <c r="D14" s="15" t="n">
        <v>164.813778456435</v>
      </c>
      <c r="E14" s="15" t="n">
        <v>164.4835995337705</v>
      </c>
      <c r="F14" t="inlineStr">
        <is>
          <t>prior_constrained_harmonic_fit</t>
        </is>
      </c>
      <c r="G14" t="inlineStr">
        <is>
          <t>prior_constrained_harmonic_fit</t>
        </is>
      </c>
      <c r="H14" t="n">
        <v>1</v>
      </c>
      <c r="I14" t="inlineStr">
        <is>
          <t>fit_accepted_acoustically_verified</t>
        </is>
      </c>
      <c r="J14" t="n">
        <v>0.0009037016734154735</v>
      </c>
      <c r="K14" s="15" t="n">
        <v>0.148644104148069</v>
      </c>
      <c r="L14" s="15" t="n">
        <v>-3.471738452642895</v>
      </c>
      <c r="M14" t="inlineStr">
        <is>
          <t>excellent</t>
        </is>
      </c>
      <c r="N14" s="19" t="n">
        <v>0.8677685950413223</v>
      </c>
      <c r="O14" s="19" t="n">
        <v>0.05412146163294176</v>
      </c>
      <c r="P14" s="15" t="n">
        <v>2.792506540643495</v>
      </c>
      <c r="Q14" s="15" t="n">
        <v>15.73207637593295</v>
      </c>
      <c r="R14" s="15" t="n">
        <v>7.174918753224678</v>
      </c>
      <c r="S14" t="inlineStr">
        <is>
          <t>passed</t>
        </is>
      </c>
      <c r="T14" t="inlineStr">
        <is>
          <t>passed</t>
        </is>
      </c>
      <c r="U14" t="inlineStr">
        <is>
          <t>passed</t>
        </is>
      </c>
      <c r="V14" t="inlineStr">
        <is>
          <t>passed</t>
        </is>
      </c>
    </row>
    <row r="15">
      <c r="A15" t="inlineStr">
        <is>
          <t>F3</t>
        </is>
      </c>
      <c r="B15" t="n">
        <v>53</v>
      </c>
      <c r="C15" t="inlineStr">
        <is>
          <t>Middle</t>
        </is>
      </c>
      <c r="D15" s="15" t="n">
        <v>174.6141157165019</v>
      </c>
      <c r="E15" s="15" t="n">
        <v>174.540883236281</v>
      </c>
      <c r="F15" t="inlineStr">
        <is>
          <t>prior_constrained_harmonic_fit</t>
        </is>
      </c>
      <c r="G15" t="inlineStr">
        <is>
          <t>prior_constrained_harmonic_fit</t>
        </is>
      </c>
      <c r="H15" t="n">
        <v>1</v>
      </c>
      <c r="I15" t="inlineStr">
        <is>
          <t>fit_accepted_acoustically_verified</t>
        </is>
      </c>
      <c r="J15" t="n">
        <v>6.659840848706273e-05</v>
      </c>
      <c r="K15" s="15" t="n">
        <v>0.01162414503946256</v>
      </c>
      <c r="L15" s="15" t="n">
        <v>-0.7262251177581081</v>
      </c>
      <c r="M15" t="inlineStr">
        <is>
          <t>excellent</t>
        </is>
      </c>
      <c r="N15" s="19" t="n">
        <v>0.8859649122807017</v>
      </c>
      <c r="O15" s="19" t="n">
        <v>0.0672154422641212</v>
      </c>
      <c r="P15" s="15" t="n">
        <v>2.146212245903476</v>
      </c>
      <c r="Q15" s="15" t="n">
        <v>17.39141313180133</v>
      </c>
      <c r="R15" s="15" t="n">
        <v>7.077360628223937</v>
      </c>
      <c r="S15" t="inlineStr">
        <is>
          <t>passed</t>
        </is>
      </c>
      <c r="T15" t="inlineStr">
        <is>
          <t>passed</t>
        </is>
      </c>
      <c r="U15" t="inlineStr">
        <is>
          <t>passed</t>
        </is>
      </c>
      <c r="V15" t="inlineStr">
        <is>
          <t>passed</t>
        </is>
      </c>
    </row>
    <row r="16">
      <c r="A16" t="inlineStr">
        <is>
          <t>F#3</t>
        </is>
      </c>
      <c r="B16" t="n">
        <v>54</v>
      </c>
      <c r="C16" t="inlineStr">
        <is>
          <t>Middle</t>
        </is>
      </c>
      <c r="D16" s="15" t="n">
        <v>184.9972113558172</v>
      </c>
      <c r="E16" s="15" t="n">
        <v>184.9719495637959</v>
      </c>
      <c r="F16" t="inlineStr">
        <is>
          <t>prior_constrained_harmonic_fit</t>
        </is>
      </c>
      <c r="G16" t="inlineStr">
        <is>
          <t>prior_constrained_harmonic_fit</t>
        </is>
      </c>
      <c r="H16" t="n">
        <v>1</v>
      </c>
      <c r="I16" t="inlineStr">
        <is>
          <t>fit_accepted_acoustically_verified</t>
        </is>
      </c>
      <c r="J16" t="n">
        <v>0.001552189668300144</v>
      </c>
      <c r="K16" s="15" t="n">
        <v>0.2871115490382593</v>
      </c>
      <c r="L16" s="15" t="n">
        <v>-0.236420108351758</v>
      </c>
      <c r="M16" t="inlineStr">
        <is>
          <t>excellent</t>
        </is>
      </c>
      <c r="N16" s="19" t="n">
        <v>0.8518518518518519</v>
      </c>
      <c r="O16" s="19" t="n">
        <v>0.05033236750728939</v>
      </c>
      <c r="P16" s="15" t="n">
        <v>3.498047223027851</v>
      </c>
      <c r="Q16" s="15" t="n">
        <v>17.03051550653316</v>
      </c>
      <c r="R16" s="15" t="n">
        <v>7.88843557977793</v>
      </c>
      <c r="S16" t="inlineStr">
        <is>
          <t>passed</t>
        </is>
      </c>
      <c r="T16" t="inlineStr">
        <is>
          <t>passed</t>
        </is>
      </c>
      <c r="U16" t="inlineStr">
        <is>
          <t>passed</t>
        </is>
      </c>
      <c r="V16" t="inlineStr">
        <is>
          <t>passed</t>
        </is>
      </c>
    </row>
    <row r="17">
      <c r="A17" t="inlineStr">
        <is>
          <t>G3</t>
        </is>
      </c>
      <c r="B17" t="n">
        <v>55</v>
      </c>
      <c r="C17" t="inlineStr">
        <is>
          <t>Middle</t>
        </is>
      </c>
      <c r="D17" s="15" t="n">
        <v>195.9977179908747</v>
      </c>
      <c r="E17" s="15" t="n">
        <v>195.9687567348571</v>
      </c>
      <c r="F17" t="inlineStr">
        <is>
          <t>prior_constrained_harmonic_fit</t>
        </is>
      </c>
      <c r="G17" t="inlineStr">
        <is>
          <t>prior_constrained_harmonic_fit</t>
        </is>
      </c>
      <c r="H17" t="n">
        <v>1</v>
      </c>
      <c r="I17" t="inlineStr">
        <is>
          <t>fit_accepted_acoustically_verified</t>
        </is>
      </c>
      <c r="J17" t="n">
        <v>7.404164782486136e-05</v>
      </c>
      <c r="K17" s="15" t="n">
        <v>0.01450984967083822</v>
      </c>
      <c r="L17" s="15" t="n">
        <v>-0.2558316378850329</v>
      </c>
      <c r="M17" t="inlineStr">
        <is>
          <t>excellent</t>
        </is>
      </c>
      <c r="N17" s="19" t="n">
        <v>0.8823529411764706</v>
      </c>
      <c r="O17" s="19" t="n">
        <v>0.0565958082917992</v>
      </c>
      <c r="P17" s="15" t="n">
        <v>2.563555023916048</v>
      </c>
      <c r="Q17" s="15" t="n">
        <v>17.42795877129876</v>
      </c>
      <c r="R17" s="15" t="n">
        <v>7.39338564665839</v>
      </c>
      <c r="S17" t="inlineStr">
        <is>
          <t>passed</t>
        </is>
      </c>
      <c r="T17" t="inlineStr">
        <is>
          <t>passed</t>
        </is>
      </c>
      <c r="U17" t="inlineStr">
        <is>
          <t>passed</t>
        </is>
      </c>
      <c r="V17" t="inlineStr">
        <is>
          <t>passed</t>
        </is>
      </c>
    </row>
    <row r="18">
      <c r="A18" t="inlineStr">
        <is>
          <t>G#3</t>
        </is>
      </c>
      <c r="B18" t="n">
        <v>56</v>
      </c>
      <c r="C18" t="inlineStr">
        <is>
          <t>Middle</t>
        </is>
      </c>
      <c r="D18" s="15" t="n">
        <v>207.6523487899725</v>
      </c>
      <c r="E18" s="15" t="n">
        <v>207.4116577663625</v>
      </c>
      <c r="F18" t="inlineStr">
        <is>
          <t>prior_constrained_harmonic_fit</t>
        </is>
      </c>
      <c r="G18" t="inlineStr">
        <is>
          <t>prior_constrained_harmonic_fit</t>
        </is>
      </c>
      <c r="H18" t="n">
        <v>1</v>
      </c>
      <c r="I18" t="inlineStr">
        <is>
          <t>fit_accepted_acoustically_verified</t>
        </is>
      </c>
      <c r="J18" t="n">
        <v>0.001132078305994337</v>
      </c>
      <c r="K18" s="15" t="n">
        <v>0.2348062381676209</v>
      </c>
      <c r="L18" s="15" t="n">
        <v>-2.007847153709778</v>
      </c>
      <c r="M18" t="inlineStr">
        <is>
          <t>good</t>
        </is>
      </c>
      <c r="N18" s="19" t="n">
        <v>0.8229166666666666</v>
      </c>
      <c r="O18" s="19" t="n">
        <v>0.08482467786853927</v>
      </c>
      <c r="P18" s="15" t="n">
        <v>4.933421391559317</v>
      </c>
      <c r="Q18" s="15" t="n">
        <v>16.10876579083273</v>
      </c>
      <c r="R18" s="15" t="n">
        <v>7.453988276817922</v>
      </c>
      <c r="S18" t="inlineStr">
        <is>
          <t>passed</t>
        </is>
      </c>
      <c r="T18" t="inlineStr">
        <is>
          <t>passed</t>
        </is>
      </c>
      <c r="U18" t="inlineStr">
        <is>
          <t>passed</t>
        </is>
      </c>
      <c r="V18" t="inlineStr">
        <is>
          <t>passed</t>
        </is>
      </c>
    </row>
    <row r="19">
      <c r="A19" t="inlineStr">
        <is>
          <t>A3</t>
        </is>
      </c>
      <c r="B19" t="n">
        <v>57</v>
      </c>
      <c r="C19" t="inlineStr">
        <is>
          <t>Middle</t>
        </is>
      </c>
      <c r="D19" s="15" t="n">
        <v>220</v>
      </c>
      <c r="E19" s="15" t="n">
        <v>219.4850098710671</v>
      </c>
      <c r="F19" t="inlineStr">
        <is>
          <t>prior_constrained_harmonic_fit</t>
        </is>
      </c>
      <c r="G19" t="inlineStr">
        <is>
          <t>prior_constrained_harmonic_fit</t>
        </is>
      </c>
      <c r="H19" t="n">
        <v>1</v>
      </c>
      <c r="I19" t="inlineStr">
        <is>
          <t>fit_accepted_acoustically_verified</t>
        </is>
      </c>
      <c r="J19" t="n">
        <v>0.001031477564530356</v>
      </c>
      <c r="K19" s="15" t="n">
        <v>0.2263938634327294</v>
      </c>
      <c r="L19" s="15" t="n">
        <v>-4.057334535626929</v>
      </c>
      <c r="M19" t="inlineStr">
        <is>
          <t>good</t>
        </is>
      </c>
      <c r="N19" s="19" t="n">
        <v>0.8351648351648352</v>
      </c>
      <c r="O19" s="19" t="n">
        <v>0.09826037820750737</v>
      </c>
      <c r="P19" s="15" t="n">
        <v>2.689220436904221</v>
      </c>
      <c r="Q19" s="15" t="n">
        <v>15.34094221395734</v>
      </c>
      <c r="R19" s="15" t="n">
        <v>6.612364454725638</v>
      </c>
      <c r="S19" t="inlineStr">
        <is>
          <t>passed</t>
        </is>
      </c>
      <c r="T19" t="inlineStr">
        <is>
          <t>passed</t>
        </is>
      </c>
      <c r="U19" t="inlineStr">
        <is>
          <t>passed</t>
        </is>
      </c>
      <c r="V19" t="inlineStr">
        <is>
          <t>passed</t>
        </is>
      </c>
    </row>
    <row r="20">
      <c r="A20" t="inlineStr">
        <is>
          <t>A#3</t>
        </is>
      </c>
      <c r="B20" t="n">
        <v>58</v>
      </c>
      <c r="C20" t="inlineStr">
        <is>
          <t>Middle</t>
        </is>
      </c>
      <c r="D20" s="15" t="n">
        <v>233.081880759045</v>
      </c>
      <c r="E20" s="15" t="n">
        <v>233.16382510172</v>
      </c>
      <c r="F20" t="inlineStr">
        <is>
          <t>prior_constrained_harmonic_fit</t>
        </is>
      </c>
      <c r="G20" t="inlineStr">
        <is>
          <t>prior_constrained_harmonic_fit</t>
        </is>
      </c>
      <c r="H20" t="n">
        <v>1</v>
      </c>
      <c r="I20" t="inlineStr">
        <is>
          <t>fit_accepted_acoustically_verified</t>
        </is>
      </c>
      <c r="J20" t="n">
        <v>0.00129895515620853</v>
      </c>
      <c r="K20" s="15" t="n">
        <v>0.3028693528571831</v>
      </c>
      <c r="L20" s="15" t="n">
        <v>0.6085411011614178</v>
      </c>
      <c r="M20" t="inlineStr">
        <is>
          <t>good</t>
        </is>
      </c>
      <c r="N20" s="19" t="n">
        <v>0.8470588235294118</v>
      </c>
      <c r="O20" s="19" t="n">
        <v>0.1355810338463802</v>
      </c>
      <c r="P20" s="15" t="n">
        <v>2.413337203643342</v>
      </c>
      <c r="Q20" s="15" t="n">
        <v>15.41144454776091</v>
      </c>
      <c r="R20" s="15" t="n">
        <v>6.145015355702195</v>
      </c>
      <c r="S20" t="inlineStr">
        <is>
          <t>passed</t>
        </is>
      </c>
      <c r="T20" t="inlineStr">
        <is>
          <t>passed</t>
        </is>
      </c>
      <c r="U20" t="inlineStr">
        <is>
          <t>passed</t>
        </is>
      </c>
      <c r="V20" t="inlineStr">
        <is>
          <t>passed</t>
        </is>
      </c>
    </row>
    <row r="21">
      <c r="A21" t="inlineStr">
        <is>
          <t>B3</t>
        </is>
      </c>
      <c r="B21" t="n">
        <v>59</v>
      </c>
      <c r="C21" t="inlineStr">
        <is>
          <t>Middle</t>
        </is>
      </c>
      <c r="D21" s="15" t="n">
        <v>246.941650628062</v>
      </c>
      <c r="E21" s="15" t="n">
        <v>247.134475092839</v>
      </c>
      <c r="F21" t="inlineStr">
        <is>
          <t>prior_constrained_harmonic_fit</t>
        </is>
      </c>
      <c r="G21" t="inlineStr">
        <is>
          <t>prior_constrained_harmonic_fit</t>
        </is>
      </c>
      <c r="H21" t="n">
        <v>1</v>
      </c>
      <c r="I21" t="inlineStr">
        <is>
          <t>fit_accepted_acoustically_verified</t>
        </is>
      </c>
      <c r="J21" t="n">
        <v>0.0008594365909809934</v>
      </c>
      <c r="K21" s="15" t="n">
        <v>0.2123964107876668</v>
      </c>
      <c r="L21" s="15" t="n">
        <v>1.351307130562164</v>
      </c>
      <c r="M21" t="inlineStr">
        <is>
          <t>excellent</t>
        </is>
      </c>
      <c r="N21" s="19" t="n">
        <v>0.85</v>
      </c>
      <c r="O21" s="19" t="n">
        <v>0.1815573191178116</v>
      </c>
      <c r="P21" s="15" t="n">
        <v>2.652237598056104</v>
      </c>
      <c r="Q21" s="15" t="n">
        <v>16.90419851773084</v>
      </c>
      <c r="R21" s="15" t="n">
        <v>6.417210242274274</v>
      </c>
      <c r="S21" t="inlineStr">
        <is>
          <t>passed</t>
        </is>
      </c>
      <c r="T21" t="inlineStr">
        <is>
          <t>passed</t>
        </is>
      </c>
      <c r="U21" t="inlineStr">
        <is>
          <t>passed</t>
        </is>
      </c>
      <c r="V21" t="inlineStr">
        <is>
          <t>passed</t>
        </is>
      </c>
    </row>
    <row r="22">
      <c r="A22" t="inlineStr">
        <is>
          <t>C4</t>
        </is>
      </c>
      <c r="B22" t="n">
        <v>60</v>
      </c>
      <c r="C22" t="inlineStr">
        <is>
          <t>High</t>
        </is>
      </c>
      <c r="D22" s="15" t="n">
        <v>261.6255653005986</v>
      </c>
      <c r="E22" s="15" t="n">
        <v>261.5631780895109</v>
      </c>
      <c r="F22" t="inlineStr">
        <is>
          <t>prior_constrained_harmonic_fit</t>
        </is>
      </c>
      <c r="G22" t="inlineStr">
        <is>
          <t>prior_constrained_harmonic_fit</t>
        </is>
      </c>
      <c r="H22" t="n">
        <v>1</v>
      </c>
      <c r="I22" t="inlineStr">
        <is>
          <t>fit_accepted_acoustically_verified</t>
        </is>
      </c>
      <c r="J22" t="n">
        <v>0.0003305507571644643</v>
      </c>
      <c r="K22" s="15" t="n">
        <v>0.08645990656383146</v>
      </c>
      <c r="L22" s="15" t="n">
        <v>-0.4128791604858451</v>
      </c>
      <c r="M22" t="inlineStr">
        <is>
          <t>excellent</t>
        </is>
      </c>
      <c r="N22" s="19" t="n">
        <v>0.868421052631579</v>
      </c>
      <c r="O22" s="19" t="n">
        <v>0.1856781210033768</v>
      </c>
      <c r="P22" s="15" t="n">
        <v>2.912077780998519</v>
      </c>
      <c r="Q22" s="15" t="n">
        <v>17.79878249833719</v>
      </c>
      <c r="R22" s="15" t="n">
        <v>6.956576456804358</v>
      </c>
      <c r="S22" t="inlineStr">
        <is>
          <t>passed</t>
        </is>
      </c>
      <c r="T22" t="inlineStr">
        <is>
          <t>passed</t>
        </is>
      </c>
      <c r="U22" t="inlineStr">
        <is>
          <t>passed</t>
        </is>
      </c>
      <c r="V22" t="inlineStr">
        <is>
          <t>passed</t>
        </is>
      </c>
    </row>
    <row r="23">
      <c r="A23" t="inlineStr">
        <is>
          <t>C#4</t>
        </is>
      </c>
      <c r="B23" t="n">
        <v>61</v>
      </c>
      <c r="C23" t="inlineStr">
        <is>
          <t>High</t>
        </is>
      </c>
      <c r="D23" s="15" t="n">
        <v>277.182630976872</v>
      </c>
      <c r="E23" s="15" t="n">
        <v>276.8547833031037</v>
      </c>
      <c r="F23" t="inlineStr">
        <is>
          <t>prior_constrained_harmonic_fit</t>
        </is>
      </c>
      <c r="G23" t="inlineStr">
        <is>
          <t>prior_constrained_harmonic_fit</t>
        </is>
      </c>
      <c r="H23" t="n">
        <v>1</v>
      </c>
      <c r="I23" t="inlineStr">
        <is>
          <t>fit_accepted_acoustically_verified</t>
        </is>
      </c>
      <c r="J23" t="n">
        <v>0.0008726821060807653</v>
      </c>
      <c r="K23" s="15" t="n">
        <v>0.2416062153714864</v>
      </c>
      <c r="L23" s="15" t="n">
        <v>-2.048890949795354</v>
      </c>
      <c r="M23" t="inlineStr">
        <is>
          <t>good</t>
        </is>
      </c>
      <c r="N23" s="19" t="n">
        <v>0.8472222222222222</v>
      </c>
      <c r="O23" s="19" t="n">
        <v>0.1603900673793978</v>
      </c>
      <c r="P23" s="15" t="n">
        <v>3.320194444465334</v>
      </c>
      <c r="Q23" s="15" t="n">
        <v>17.31423996401347</v>
      </c>
      <c r="R23" s="15" t="n">
        <v>6.500554183788234</v>
      </c>
      <c r="S23" t="inlineStr">
        <is>
          <t>passed</t>
        </is>
      </c>
      <c r="T23" t="inlineStr">
        <is>
          <t>passed</t>
        </is>
      </c>
      <c r="U23" t="inlineStr">
        <is>
          <t>passed</t>
        </is>
      </c>
      <c r="V23" t="inlineStr">
        <is>
          <t>passed</t>
        </is>
      </c>
    </row>
    <row r="24">
      <c r="A24" t="inlineStr">
        <is>
          <t>D4</t>
        </is>
      </c>
      <c r="B24" t="n">
        <v>62</v>
      </c>
      <c r="C24" t="inlineStr">
        <is>
          <t>High</t>
        </is>
      </c>
      <c r="D24" s="15" t="n">
        <v>293.6647679174076</v>
      </c>
      <c r="E24" s="15" t="n">
        <v>293.9139830452642</v>
      </c>
      <c r="F24" t="inlineStr">
        <is>
          <t>prior_constrained_harmonic_fit</t>
        </is>
      </c>
      <c r="G24" t="inlineStr">
        <is>
          <t>prior_constrained_harmonic_fit</t>
        </is>
      </c>
      <c r="H24" t="n">
        <v>1</v>
      </c>
      <c r="I24" t="inlineStr">
        <is>
          <t>fit_accepted_acoustically_verified</t>
        </is>
      </c>
      <c r="J24" t="n">
        <v>0.0008477408800228068</v>
      </c>
      <c r="K24" s="15" t="n">
        <v>0.2491628986378006</v>
      </c>
      <c r="L24" s="15" t="n">
        <v>1.468568221885617</v>
      </c>
      <c r="M24" t="inlineStr">
        <is>
          <t>good</t>
        </is>
      </c>
      <c r="N24" s="19" t="n">
        <v>0.8382352941176471</v>
      </c>
      <c r="O24" s="19" t="n">
        <v>0.1429475468316686</v>
      </c>
      <c r="P24" s="15" t="n">
        <v>3.470634894166625</v>
      </c>
      <c r="Q24" s="15" t="n">
        <v>15.34177089105929</v>
      </c>
      <c r="R24" s="15" t="n">
        <v>5.989310164412561</v>
      </c>
      <c r="S24" t="inlineStr">
        <is>
          <t>passed</t>
        </is>
      </c>
      <c r="T24" t="inlineStr">
        <is>
          <t>passed</t>
        </is>
      </c>
      <c r="U24" t="inlineStr">
        <is>
          <t>passed</t>
        </is>
      </c>
      <c r="V24" t="inlineStr">
        <is>
          <t>passed</t>
        </is>
      </c>
    </row>
    <row r="25">
      <c r="A25" t="inlineStr">
        <is>
          <t>D#4</t>
        </is>
      </c>
      <c r="B25" t="n">
        <v>63</v>
      </c>
      <c r="C25" t="inlineStr">
        <is>
          <t>High</t>
        </is>
      </c>
      <c r="D25" s="15" t="n">
        <v>311.1269837220809</v>
      </c>
      <c r="E25" s="15" t="n">
        <v>310.6964413638715</v>
      </c>
      <c r="F25" t="inlineStr">
        <is>
          <t>prior_constrained_harmonic_fit</t>
        </is>
      </c>
      <c r="G25" t="inlineStr">
        <is>
          <t>prior_constrained_harmonic_fit</t>
        </is>
      </c>
      <c r="H25" t="n">
        <v>1</v>
      </c>
      <c r="I25" t="inlineStr">
        <is>
          <t>fit_accepted_acoustically_verified</t>
        </is>
      </c>
      <c r="J25" t="n">
        <v>0.000507410614955552</v>
      </c>
      <c r="K25" s="15" t="n">
        <v>0.1576506723769436</v>
      </c>
      <c r="L25" s="15" t="n">
        <v>-2.397367738613267</v>
      </c>
      <c r="M25" t="inlineStr">
        <is>
          <t>excellent</t>
        </is>
      </c>
      <c r="N25" s="19" t="n">
        <v>0.859375</v>
      </c>
      <c r="O25" s="19" t="n">
        <v>0.1414301993822857</v>
      </c>
      <c r="P25" s="15" t="n">
        <v>3.98151412601453</v>
      </c>
      <c r="Q25" s="15" t="n">
        <v>17.4637278834773</v>
      </c>
      <c r="R25" s="15" t="n">
        <v>6.703438351087896</v>
      </c>
      <c r="S25" t="inlineStr">
        <is>
          <t>passed</t>
        </is>
      </c>
      <c r="T25" t="inlineStr">
        <is>
          <t>passed</t>
        </is>
      </c>
      <c r="U25" t="inlineStr">
        <is>
          <t>passed</t>
        </is>
      </c>
      <c r="V25" t="inlineStr">
        <is>
          <t>passed</t>
        </is>
      </c>
    </row>
    <row r="26">
      <c r="A26" t="inlineStr">
        <is>
          <t>E4</t>
        </is>
      </c>
      <c r="B26" t="n">
        <v>64</v>
      </c>
      <c r="C26" t="inlineStr">
        <is>
          <t>High</t>
        </is>
      </c>
      <c r="D26" s="15" t="n">
        <v>329.6275569128699</v>
      </c>
      <c r="E26" s="15" t="n">
        <v>330.0163999143277</v>
      </c>
      <c r="F26" t="inlineStr">
        <is>
          <t>prior_constrained_harmonic_fit</t>
        </is>
      </c>
      <c r="G26" t="inlineStr">
        <is>
          <t>prior_constrained_harmonic_fit</t>
        </is>
      </c>
      <c r="H26" t="n">
        <v>1</v>
      </c>
      <c r="I26" t="inlineStr">
        <is>
          <t>fit_accepted_acoustically_verified</t>
        </is>
      </c>
      <c r="J26" t="n">
        <v>0.0005456461770795953</v>
      </c>
      <c r="K26" s="15" t="n">
        <v>0.1800721869868238</v>
      </c>
      <c r="L26" s="15" t="n">
        <v>2.041035364213641</v>
      </c>
      <c r="M26" t="inlineStr">
        <is>
          <t>excellent</t>
        </is>
      </c>
      <c r="N26" s="19" t="n">
        <v>0.85</v>
      </c>
      <c r="O26" s="19" t="n">
        <v>0.1804193012348174</v>
      </c>
      <c r="P26" s="15" t="n">
        <v>3.094075680365099</v>
      </c>
      <c r="Q26" s="15" t="n">
        <v>17.13391555312715</v>
      </c>
      <c r="R26" s="15" t="n">
        <v>5.897978251404262</v>
      </c>
      <c r="S26" t="inlineStr">
        <is>
          <t>passed</t>
        </is>
      </c>
      <c r="T26" t="inlineStr">
        <is>
          <t>passed</t>
        </is>
      </c>
      <c r="U26" t="inlineStr">
        <is>
          <t>passed</t>
        </is>
      </c>
      <c r="V26" t="inlineStr">
        <is>
          <t>passed</t>
        </is>
      </c>
    </row>
    <row r="27">
      <c r="A27" t="inlineStr">
        <is>
          <t>F4</t>
        </is>
      </c>
      <c r="B27" t="n">
        <v>65</v>
      </c>
      <c r="C27" t="inlineStr">
        <is>
          <t>High</t>
        </is>
      </c>
      <c r="D27" s="15" t="n">
        <v>349.2282314330039</v>
      </c>
      <c r="E27" s="15" t="n">
        <v>349.6022245381592</v>
      </c>
      <c r="F27" t="inlineStr">
        <is>
          <t>prior_constrained_harmonic_fit</t>
        </is>
      </c>
      <c r="G27" t="inlineStr">
        <is>
          <t>prior_constrained_harmonic_fit</t>
        </is>
      </c>
      <c r="H27" t="n">
        <v>1</v>
      </c>
      <c r="I27" t="inlineStr">
        <is>
          <t>fit_accepted_acoustically_verified</t>
        </is>
      </c>
      <c r="J27" t="n">
        <v>0.0007082321853526325</v>
      </c>
      <c r="K27" s="15" t="n">
        <v>0.2475995474888022</v>
      </c>
      <c r="L27" s="15" t="n">
        <v>1.8530092786939</v>
      </c>
      <c r="M27" t="inlineStr">
        <is>
          <t>good</t>
        </is>
      </c>
      <c r="N27" s="19" t="n">
        <v>0.8421052631578947</v>
      </c>
      <c r="O27" s="19" t="n">
        <v>0.1675628314811395</v>
      </c>
      <c r="P27" s="15" t="n">
        <v>3.292884982951713</v>
      </c>
      <c r="Q27" s="15" t="n">
        <v>14.5088832368859</v>
      </c>
      <c r="R27" s="15" t="n">
        <v>5.011293357502539</v>
      </c>
      <c r="S27" t="inlineStr">
        <is>
          <t>passed</t>
        </is>
      </c>
      <c r="T27" t="inlineStr">
        <is>
          <t>passed</t>
        </is>
      </c>
      <c r="U27" t="inlineStr">
        <is>
          <t>passed</t>
        </is>
      </c>
      <c r="V27" t="inlineStr">
        <is>
          <t>passed</t>
        </is>
      </c>
    </row>
    <row r="28">
      <c r="A28" t="inlineStr">
        <is>
          <t>F#4</t>
        </is>
      </c>
      <c r="B28" t="n">
        <v>66</v>
      </c>
      <c r="C28" t="inlineStr">
        <is>
          <t>High</t>
        </is>
      </c>
      <c r="D28" s="15" t="n">
        <v>369.9944227116344</v>
      </c>
      <c r="E28" s="15" t="n">
        <v>370.3561731481509</v>
      </c>
      <c r="F28" t="inlineStr">
        <is>
          <t>prior_constrained_harmonic_fit</t>
        </is>
      </c>
      <c r="G28" t="inlineStr">
        <is>
          <t>prior_constrained_harmonic_fit</t>
        </is>
      </c>
      <c r="H28" t="n">
        <v>1</v>
      </c>
      <c r="I28" t="inlineStr">
        <is>
          <t>fit_accepted_acoustically_verified</t>
        </is>
      </c>
      <c r="J28" t="n">
        <v>0.0003073614168259353</v>
      </c>
      <c r="K28" s="15" t="n">
        <v>0.1138331981090471</v>
      </c>
      <c r="L28" s="15" t="n">
        <v>1.691832832459297</v>
      </c>
      <c r="M28" t="inlineStr">
        <is>
          <t>excellent</t>
        </is>
      </c>
      <c r="N28" s="19" t="n">
        <v>0.8703703703703703</v>
      </c>
      <c r="O28" s="19" t="n">
        <v>0.183821362158446</v>
      </c>
      <c r="P28" s="15" t="n">
        <v>2.449390373878499</v>
      </c>
      <c r="Q28" s="15" t="n">
        <v>16.99934306620994</v>
      </c>
      <c r="R28" s="15" t="n">
        <v>5.264797069634538</v>
      </c>
      <c r="S28" t="inlineStr">
        <is>
          <t>passed</t>
        </is>
      </c>
      <c r="T28" t="inlineStr">
        <is>
          <t>passed</t>
        </is>
      </c>
      <c r="U28" t="inlineStr">
        <is>
          <t>passed</t>
        </is>
      </c>
      <c r="V28" t="inlineStr">
        <is>
          <t>passed</t>
        </is>
      </c>
    </row>
    <row r="29">
      <c r="A29" t="inlineStr">
        <is>
          <t>G4</t>
        </is>
      </c>
      <c r="B29" t="n">
        <v>67</v>
      </c>
      <c r="C29" t="inlineStr">
        <is>
          <t>High</t>
        </is>
      </c>
      <c r="D29" s="15" t="n">
        <v>391.9954359817492</v>
      </c>
      <c r="E29" s="15" t="n">
        <v>392.3376611788245</v>
      </c>
      <c r="F29" t="inlineStr">
        <is>
          <t>prior_constrained_harmonic_fit</t>
        </is>
      </c>
      <c r="G29" t="inlineStr">
        <is>
          <t>prior_constrained_harmonic_fit</t>
        </is>
      </c>
      <c r="H29" t="n">
        <v>1</v>
      </c>
      <c r="I29" t="inlineStr">
        <is>
          <t>fit_accepted_acoustically_verified</t>
        </is>
      </c>
      <c r="J29" t="n">
        <v>0.001304812808561996</v>
      </c>
      <c r="K29" s="15" t="n">
        <v>0.5119272055873869</v>
      </c>
      <c r="L29" s="15" t="n">
        <v>1.510766161388794</v>
      </c>
      <c r="M29" t="inlineStr">
        <is>
          <t>excellent</t>
        </is>
      </c>
      <c r="N29" s="19" t="n">
        <v>0.86</v>
      </c>
      <c r="O29" s="19" t="n">
        <v>0.1013588153259928</v>
      </c>
      <c r="P29" s="15" t="n">
        <v>3.900055409369774</v>
      </c>
      <c r="Q29" s="15" t="n">
        <v>17.59540860426745</v>
      </c>
      <c r="R29" s="15" t="n">
        <v>5.567755144844859</v>
      </c>
      <c r="S29" t="inlineStr">
        <is>
          <t>passed</t>
        </is>
      </c>
      <c r="T29" t="inlineStr">
        <is>
          <t>passed</t>
        </is>
      </c>
      <c r="U29" t="inlineStr">
        <is>
          <t>passed</t>
        </is>
      </c>
      <c r="V29" t="inlineStr">
        <is>
          <t>passed</t>
        </is>
      </c>
    </row>
    <row r="30">
      <c r="A30" t="inlineStr">
        <is>
          <t>G#4</t>
        </is>
      </c>
      <c r="B30" t="n">
        <v>68</v>
      </c>
      <c r="C30" t="inlineStr">
        <is>
          <t>High</t>
        </is>
      </c>
      <c r="D30" s="15" t="n">
        <v>415.3046975799452</v>
      </c>
      <c r="E30" s="15" t="n">
        <v>414.8538714763602</v>
      </c>
      <c r="F30" t="inlineStr">
        <is>
          <t>prior_constrained_harmonic_fit</t>
        </is>
      </c>
      <c r="G30" t="inlineStr">
        <is>
          <t>prior_constrained_harmonic_fit</t>
        </is>
      </c>
      <c r="H30" t="n">
        <v>1</v>
      </c>
      <c r="I30" t="inlineStr">
        <is>
          <t>fit_accepted_acoustically_verified</t>
        </is>
      </c>
      <c r="J30" t="n">
        <v>0.0009947869607437544</v>
      </c>
      <c r="K30" s="15" t="n">
        <v>0.4126912219587484</v>
      </c>
      <c r="L30" s="15" t="n">
        <v>-1.880328907156148</v>
      </c>
      <c r="M30" t="inlineStr">
        <is>
          <t>excellent</t>
        </is>
      </c>
      <c r="N30" s="19" t="n">
        <v>0.875</v>
      </c>
      <c r="O30" s="19" t="n">
        <v>0.1499514873015858</v>
      </c>
      <c r="P30" s="15" t="n">
        <v>2.974809343620075</v>
      </c>
      <c r="Q30" s="15" t="n">
        <v>17.55287336780154</v>
      </c>
      <c r="R30" s="15" t="n">
        <v>5.188271134598065</v>
      </c>
      <c r="S30" t="inlineStr">
        <is>
          <t>passed</t>
        </is>
      </c>
      <c r="T30" t="inlineStr">
        <is>
          <t>passed</t>
        </is>
      </c>
      <c r="U30" t="inlineStr">
        <is>
          <t>passed</t>
        </is>
      </c>
      <c r="V30" t="inlineStr">
        <is>
          <t>passed</t>
        </is>
      </c>
    </row>
    <row r="31">
      <c r="A31" t="inlineStr">
        <is>
          <t>A4</t>
        </is>
      </c>
      <c r="B31" t="n">
        <v>69</v>
      </c>
      <c r="C31" t="inlineStr">
        <is>
          <t>High</t>
        </is>
      </c>
      <c r="D31" s="15" t="n">
        <v>439.9999999999999</v>
      </c>
      <c r="E31" s="15" t="n">
        <v>440.6219969905587</v>
      </c>
      <c r="F31" t="inlineStr">
        <is>
          <t>prior_constrained_harmonic_fit</t>
        </is>
      </c>
      <c r="G31" t="inlineStr">
        <is>
          <t>prior_constrained_harmonic_fit</t>
        </is>
      </c>
      <c r="H31" t="n">
        <v>1</v>
      </c>
      <c r="I31" t="inlineStr">
        <is>
          <t>fit_accepted_acoustically_verified</t>
        </is>
      </c>
      <c r="J31" t="n">
        <v>0.0009886274149187603</v>
      </c>
      <c r="K31" s="15" t="n">
        <v>0.4356109858411178</v>
      </c>
      <c r="L31" s="15" t="n">
        <v>2.445595388762094</v>
      </c>
      <c r="M31" t="inlineStr">
        <is>
          <t>good</t>
        </is>
      </c>
      <c r="N31" s="19" t="n">
        <v>0.8444444444444444</v>
      </c>
      <c r="O31" s="19" t="n">
        <v>0.1237291532698192</v>
      </c>
      <c r="P31" s="15" t="n">
        <v>1.884517948781124</v>
      </c>
      <c r="Q31" s="15" t="n">
        <v>12.73291972067889</v>
      </c>
      <c r="R31" s="15" t="n">
        <v>3.290444280270527</v>
      </c>
      <c r="S31" t="inlineStr">
        <is>
          <t>passed</t>
        </is>
      </c>
      <c r="T31" t="inlineStr">
        <is>
          <t>passed</t>
        </is>
      </c>
      <c r="U31" t="inlineStr">
        <is>
          <t>passed</t>
        </is>
      </c>
      <c r="V31" t="inlineStr">
        <is>
          <t>passed</t>
        </is>
      </c>
    </row>
    <row r="32">
      <c r="A32" t="inlineStr">
        <is>
          <t>A#4</t>
        </is>
      </c>
      <c r="B32" t="n">
        <v>70</v>
      </c>
      <c r="C32" t="inlineStr">
        <is>
          <t>High</t>
        </is>
      </c>
      <c r="D32" s="15" t="n">
        <v>466.1637615180898</v>
      </c>
      <c r="E32" s="15" t="n">
        <v>466.2169888915804</v>
      </c>
      <c r="F32" t="inlineStr">
        <is>
          <t>prior_constrained_harmonic_fit</t>
        </is>
      </c>
      <c r="G32" t="inlineStr">
        <is>
          <t>prior_constrained_harmonic_fit</t>
        </is>
      </c>
      <c r="H32" t="n">
        <v>1</v>
      </c>
      <c r="I32" t="inlineStr">
        <is>
          <t>fit_accepted_acoustically_verified</t>
        </is>
      </c>
      <c r="J32" t="n">
        <v>0.0004433417249885988</v>
      </c>
      <c r="K32" s="15" t="n">
        <v>0.2066934440741836</v>
      </c>
      <c r="L32" s="15" t="n">
        <v>0.1976639723393357</v>
      </c>
      <c r="M32" t="inlineStr">
        <is>
          <t>excellent</t>
        </is>
      </c>
      <c r="N32" s="19" t="n">
        <v>0.8809523809523809</v>
      </c>
      <c r="O32" s="19" t="n">
        <v>0.1229433682140544</v>
      </c>
      <c r="P32" s="15" t="n">
        <v>2.342371947670597</v>
      </c>
      <c r="Q32" s="15" t="n">
        <v>17.81325639555835</v>
      </c>
      <c r="R32" s="15" t="n">
        <v>4.812517250716565</v>
      </c>
      <c r="S32" t="inlineStr">
        <is>
          <t>passed</t>
        </is>
      </c>
      <c r="T32" t="inlineStr">
        <is>
          <t>passed</t>
        </is>
      </c>
      <c r="U32" t="inlineStr">
        <is>
          <t>passed</t>
        </is>
      </c>
      <c r="V32" t="inlineStr">
        <is>
          <t>passed</t>
        </is>
      </c>
    </row>
    <row r="33">
      <c r="A33" t="inlineStr">
        <is>
          <t>B4</t>
        </is>
      </c>
      <c r="B33" t="n">
        <v>71</v>
      </c>
      <c r="C33" t="inlineStr">
        <is>
          <t>High</t>
        </is>
      </c>
      <c r="D33" s="15" t="n">
        <v>493.8833012561242</v>
      </c>
      <c r="E33" s="15" t="n">
        <v>494.0021123349747</v>
      </c>
      <c r="F33" t="inlineStr">
        <is>
          <t>prior_constrained_harmonic_fit</t>
        </is>
      </c>
      <c r="G33" t="inlineStr">
        <is>
          <t>prior_constrained_harmonic_fit</t>
        </is>
      </c>
      <c r="H33" t="n">
        <v>1</v>
      </c>
      <c r="I33" t="inlineStr">
        <is>
          <t>fit_accepted_acoustically_verified</t>
        </is>
      </c>
      <c r="J33" t="n">
        <v>0.0001104693868894689</v>
      </c>
      <c r="K33" s="15" t="n">
        <v>0.05457211047174718</v>
      </c>
      <c r="L33" s="15" t="n">
        <v>0.4164243813589462</v>
      </c>
      <c r="M33" t="inlineStr">
        <is>
          <t>excellent</t>
        </is>
      </c>
      <c r="N33" s="19" t="n">
        <v>0.875</v>
      </c>
      <c r="O33" s="19" t="n">
        <v>0.09636000041132368</v>
      </c>
      <c r="P33" s="15" t="n">
        <v>2.143389807896379</v>
      </c>
      <c r="Q33" s="15" t="n">
        <v>17.67893548049736</v>
      </c>
      <c r="R33" s="15" t="n">
        <v>4.248101550651611</v>
      </c>
      <c r="S33" t="inlineStr">
        <is>
          <t>passed</t>
        </is>
      </c>
      <c r="T33" t="inlineStr">
        <is>
          <t>passed</t>
        </is>
      </c>
      <c r="U33" t="inlineStr">
        <is>
          <t>passed</t>
        </is>
      </c>
      <c r="V33" t="inlineStr">
        <is>
          <t>passed</t>
        </is>
      </c>
    </row>
    <row r="34">
      <c r="A34" t="inlineStr">
        <is>
          <t>C5</t>
        </is>
      </c>
      <c r="B34" t="n">
        <v>72</v>
      </c>
      <c r="C34" t="inlineStr">
        <is>
          <t>Very high</t>
        </is>
      </c>
      <c r="D34" s="15" t="n">
        <v>523.2511306011972</v>
      </c>
      <c r="E34" s="15" t="n">
        <v>523.6479988924611</v>
      </c>
      <c r="F34" t="inlineStr">
        <is>
          <t>prior_constrained_harmonic_fit</t>
        </is>
      </c>
      <c r="G34" t="inlineStr">
        <is>
          <t>prior_constrained_harmonic_fit</t>
        </is>
      </c>
      <c r="H34" t="n">
        <v>1</v>
      </c>
      <c r="I34" t="inlineStr">
        <is>
          <t>fit_accepted_acoustically_verified</t>
        </is>
      </c>
      <c r="J34" t="n">
        <v>0.0008934580108481033</v>
      </c>
      <c r="K34" s="15" t="n">
        <v>0.4678574994750481</v>
      </c>
      <c r="L34" s="15" t="n">
        <v>1.312584779922509</v>
      </c>
      <c r="M34" t="inlineStr">
        <is>
          <t>good</t>
        </is>
      </c>
      <c r="N34" s="19" t="n">
        <v>0.8421052631578947</v>
      </c>
      <c r="O34" s="19" t="n">
        <v>0.1561815886377944</v>
      </c>
      <c r="P34" s="15" t="n">
        <v>2.335280758765241</v>
      </c>
      <c r="Q34" s="15" t="n">
        <v>17.65516766171438</v>
      </c>
      <c r="R34" s="15" t="n">
        <v>4.183644294948311</v>
      </c>
      <c r="S34" t="inlineStr">
        <is>
          <t>passed</t>
        </is>
      </c>
      <c r="T34" t="inlineStr">
        <is>
          <t>passed</t>
        </is>
      </c>
      <c r="U34" t="inlineStr">
        <is>
          <t>passed</t>
        </is>
      </c>
      <c r="V34" t="inlineStr">
        <is>
          <t>passed</t>
        </is>
      </c>
    </row>
  </sheetData>
  <autoFilter ref="A1:V3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  <col width="33" customWidth="1" min="4" max="4"/>
    <col width="22" customWidth="1" min="5" max="5"/>
    <col width="34" customWidth="1" min="6" max="6"/>
    <col width="28" customWidth="1" min="7" max="7"/>
    <col width="20" customWidth="1" min="8" max="8"/>
    <col width="48" customWidth="1" min="9" max="9"/>
    <col width="48" customWidth="1" min="10" max="10"/>
    <col width="46" customWidth="1" min="11" max="11"/>
    <col width="48" customWidth="1" min="12" max="12"/>
    <col width="48" customWidth="1" min="13" max="13"/>
    <col width="48" customWidth="1" min="14" max="14"/>
    <col width="48" customWidth="1" min="15" max="15"/>
    <col width="32" customWidth="1" min="16" max="16"/>
    <col width="32" customWidth="1" min="17" max="17"/>
    <col width="38" customWidth="1" min="18" max="18"/>
    <col width="48" customWidth="1" min="19" max="19"/>
    <col width="28" customWidth="1" min="20" max="20"/>
    <col width="30" customWidth="1" min="21" max="21"/>
    <col width="27" customWidth="1" min="22" max="22"/>
    <col width="25" customWidth="1" min="23" max="23"/>
    <col width="27" customWidth="1" min="24" max="24"/>
    <col width="24" customWidth="1" min="25" max="25"/>
    <col width="24" customWidth="1" min="26" max="26"/>
    <col width="31" customWidth="1" min="27" max="27"/>
    <col width="30" customWidth="1" min="28" max="28"/>
    <col width="26" customWidth="1" min="29" max="29"/>
    <col width="34" customWidth="1" min="30" max="30"/>
    <col width="34" customWidth="1" min="31" max="31"/>
    <col width="27" customWidth="1" min="32" max="32"/>
    <col width="46" customWidth="1" min="33" max="33"/>
    <col width="48" customWidth="1" min="34" max="34"/>
    <col width="37" customWidth="1" min="35" max="35"/>
    <col width="48" customWidth="1" min="36" max="36"/>
    <col width="43" customWidth="1" min="37" max="37"/>
    <col width="33" customWidth="1" min="38" max="38"/>
    <col width="41" customWidth="1" min="39" max="39"/>
    <col width="48" customWidth="1" min="40" max="40"/>
    <col width="42" customWidth="1" min="41" max="41"/>
    <col width="20" customWidth="1" min="42" max="42"/>
    <col width="35" customWidth="1" min="43" max="43"/>
    <col width="22" customWidth="1" min="44" max="44"/>
    <col width="37" customWidth="1" min="45" max="45"/>
    <col width="40" customWidth="1" min="46" max="46"/>
    <col width="42" customWidth="1" min="47" max="47"/>
    <col width="39" customWidth="1" min="48" max="48"/>
    <col width="28" customWidth="1" min="49" max="49"/>
    <col width="27" customWidth="1" min="50" max="50"/>
    <col width="33" customWidth="1" min="51" max="51"/>
    <col width="35" customWidth="1" min="52" max="52"/>
    <col width="32" customWidth="1" min="53" max="53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spectral_body_thickness_index</t>
        </is>
      </c>
      <c r="D1" s="11" t="inlineStr">
        <is>
          <t>body_weighted_effective_density</t>
        </is>
      </c>
      <c r="E1" s="11" t="inlineStr">
        <is>
          <t>low_mid_energy_ratio</t>
        </is>
      </c>
      <c r="F1" s="11" t="inlineStr">
        <is>
          <t>harmonic_body_density_normalized</t>
        </is>
      </c>
      <c r="G1" s="11" t="inlineStr">
        <is>
          <t>core_residual_energy_ratio</t>
        </is>
      </c>
      <c r="H1" s="11" t="inlineStr">
        <is>
          <t>spectral_entropy</t>
        </is>
      </c>
      <c r="I1" s="11" t="inlineStr">
        <is>
          <t>salient_harmonic_order_count_up_to_body_ceiling</t>
        </is>
      </c>
      <c r="J1" s="11" t="inlineStr">
        <is>
          <t>expected_harmonic_order_count_up_to_body_ceiling</t>
        </is>
      </c>
      <c r="K1" s="11" t="inlineStr">
        <is>
          <t>salient_harmonic_coverage_up_to_body_ceiling</t>
        </is>
      </c>
      <c r="L1" s="11" t="inlineStr">
        <is>
          <t>salient_harmonic_order_count_up_to_density_ceiling_hz</t>
        </is>
      </c>
      <c r="M1" s="11" t="inlineStr">
        <is>
          <t>expected_harmonic_order_count_up_to_density_ceiling_hz</t>
        </is>
      </c>
      <c r="N1" s="11" t="inlineStr">
        <is>
          <t>salient_harmonic_coverage_up_to_density_ceiling_hz</t>
        </is>
      </c>
      <c r="O1" s="11" t="inlineStr">
        <is>
          <t>salient_inharmonic_log_bin_count_up_to_body_ceiling</t>
        </is>
      </c>
      <c r="P1" s="11" t="inlineStr">
        <is>
          <t>salient_subbass_particle_count</t>
        </is>
      </c>
      <c r="Q1" s="11" t="inlineStr">
        <is>
          <t>final_note_density_count_based</t>
        </is>
      </c>
      <c r="R1" s="11" t="inlineStr">
        <is>
          <t>final_note_density_salience_weighted</t>
        </is>
      </c>
      <c r="S1" s="11" t="inlineStr">
        <is>
          <t>final_note_density_salience_weighted_norm_for_chart</t>
        </is>
      </c>
      <c r="T1" s="11" t="inlineStr">
        <is>
          <t>harmonic_density_component</t>
        </is>
      </c>
      <c r="U1" s="11" t="inlineStr">
        <is>
          <t>inharmonic_density_component</t>
        </is>
      </c>
      <c r="V1" s="11" t="inlineStr">
        <is>
          <t>subbass_density_component</t>
        </is>
      </c>
      <c r="W1" s="11" t="inlineStr">
        <is>
          <t>harmonic_density_weight</t>
        </is>
      </c>
      <c r="X1" s="11" t="inlineStr">
        <is>
          <t>inharmonic_density_weight</t>
        </is>
      </c>
      <c r="Y1" s="11" t="inlineStr">
        <is>
          <t>subbass_density_weight</t>
        </is>
      </c>
      <c r="Z1" s="11" t="inlineStr">
        <is>
          <t>density_summation_mode</t>
        </is>
      </c>
      <c r="AA1" s="11" t="inlineStr">
        <is>
          <t>density_salience_threshold_db</t>
        </is>
      </c>
      <c r="AB1" s="11" t="inlineStr">
        <is>
          <t>density_frequency_ceiling_hz</t>
        </is>
      </c>
      <c r="AC1" s="11" t="inlineStr">
        <is>
          <t>harmonic_occupancy_ratio</t>
        </is>
      </c>
      <c r="AD1" s="11" t="inlineStr">
        <is>
          <t>residual_log_frequency_occupancy</t>
        </is>
      </c>
      <c r="AE1" s="11" t="inlineStr">
        <is>
          <t>note_effective_component_density</t>
        </is>
      </c>
      <c r="AF1" s="11" t="inlineStr">
        <is>
          <t>effective_partial_density</t>
        </is>
      </c>
      <c r="AG1" s="11" t="inlineStr">
        <is>
          <t>spectral_body_thickness_index_norm_for_chart</t>
        </is>
      </c>
      <c r="AH1" s="11" t="inlineStr">
        <is>
          <t>body_weighted_effective_density_norm_for_chart</t>
        </is>
      </c>
      <c r="AI1" s="11" t="inlineStr">
        <is>
          <t>low_mid_energy_ratio_norm_for_chart</t>
        </is>
      </c>
      <c r="AJ1" s="11" t="inlineStr">
        <is>
          <t>harmonic_body_density_normalized_norm_for_chart</t>
        </is>
      </c>
      <c r="AK1" s="11" t="inlineStr">
        <is>
          <t>core_residual_energy_ratio_norm_for_chart</t>
        </is>
      </c>
      <c r="AL1" s="11" t="inlineStr">
        <is>
          <t>spectral_entropy_norm_for_chart</t>
        </is>
      </c>
      <c r="AM1" s="11" t="inlineStr">
        <is>
          <t>harmonic_occupancy_ratio_norm_for_chart</t>
        </is>
      </c>
      <c r="AN1" s="11" t="inlineStr">
        <is>
          <t>residual_log_frequency_occupancy_norm_for_chart</t>
        </is>
      </c>
      <c r="AO1" s="11" t="inlineStr">
        <is>
          <t>effective_partial_density_norm_for_chart</t>
        </is>
      </c>
      <c r="AP1" s="11" t="inlineStr">
        <is>
          <t>density_metric_raw</t>
        </is>
      </c>
      <c r="AQ1" s="11" t="inlineStr">
        <is>
          <t>density_metric_raw_norm_for_chart</t>
        </is>
      </c>
      <c r="AR1" s="11" t="inlineStr">
        <is>
          <t>density_weighted_sum</t>
        </is>
      </c>
      <c r="AS1" s="11" t="inlineStr">
        <is>
          <t>density_weighted_sum_norm_for_chart</t>
        </is>
      </c>
      <c r="AT1" s="11" t="inlineStr">
        <is>
          <t>weighted_harmonic_density_contribution</t>
        </is>
      </c>
      <c r="AU1" s="11" t="inlineStr">
        <is>
          <t>weighted_inharmonic_density_contribution</t>
        </is>
      </c>
      <c r="AV1" s="11" t="inlineStr">
        <is>
          <t>weighted_subbass_density_contribution</t>
        </is>
      </c>
      <c r="AW1" s="11" t="inlineStr">
        <is>
          <t>core_harmonic_energy_ratio</t>
        </is>
      </c>
      <c r="AX1" s="11" t="inlineStr">
        <is>
          <t>core_subbass_energy_ratio</t>
        </is>
      </c>
      <c r="AY1" s="11" t="inlineStr">
        <is>
          <t>component_harmonic_energy_ratio</t>
        </is>
      </c>
      <c r="AZ1" s="11" t="inlineStr">
        <is>
          <t>component_inharmonic_energy_ratio</t>
        </is>
      </c>
      <c r="BA1" s="11" t="inlineStr">
        <is>
          <t>component_subbass_energy_ratio</t>
        </is>
      </c>
    </row>
    <row r="2">
      <c r="A2" t="inlineStr">
        <is>
          <t>E2</t>
        </is>
      </c>
      <c r="B2" t="n">
        <v>40</v>
      </c>
      <c r="C2" s="15" t="n">
        <v>0.954912129982789</v>
      </c>
      <c r="D2" s="15" t="n">
        <v>196.2743281267799</v>
      </c>
      <c r="E2" s="15" t="n">
        <v>0.79907600157268</v>
      </c>
      <c r="F2" s="15" t="n">
        <v>0.6448200370716054</v>
      </c>
      <c r="G2" s="19" t="n">
        <v>0.09019102620517754</v>
      </c>
      <c r="H2" s="15" t="n">
        <v>0.7536880687960135</v>
      </c>
      <c r="I2" s="15" t="n">
        <v>100</v>
      </c>
      <c r="J2" s="15" t="n">
        <v>242</v>
      </c>
      <c r="K2" s="15" t="n">
        <v>0.4132231404958678</v>
      </c>
      <c r="L2" t="n">
        <v>100</v>
      </c>
      <c r="M2" t="n">
        <v>242</v>
      </c>
      <c r="N2" t="n">
        <v>0.4132231404958678</v>
      </c>
      <c r="O2" t="n">
        <v>75</v>
      </c>
      <c r="P2" t="n">
        <v>0</v>
      </c>
      <c r="Q2" s="15" t="n">
        <v>96.1430456136768</v>
      </c>
      <c r="R2" s="15" t="n">
        <v>62.01970159230927</v>
      </c>
      <c r="S2" s="15" t="n">
        <v>0.8740006834137392</v>
      </c>
      <c r="T2" s="15" t="n">
        <v>64.77671449782419</v>
      </c>
      <c r="U2" s="15" t="n">
        <v>46.90631320858859</v>
      </c>
      <c r="V2" s="15" t="n">
        <v>0</v>
      </c>
      <c r="W2" t="n">
        <v>1</v>
      </c>
      <c r="X2" t="n">
        <v>0.5</v>
      </c>
      <c r="Y2" t="n">
        <v>0.25</v>
      </c>
      <c r="Z2" t="inlineStr">
        <is>
          <t>his_note_adaptive</t>
        </is>
      </c>
      <c r="AA2" t="n">
        <v>-90</v>
      </c>
      <c r="AB2" t="n">
        <v>20000</v>
      </c>
      <c r="AC2" s="15" t="n">
        <v>0.4132231404958678</v>
      </c>
      <c r="AD2" s="15" t="n">
        <v>0.625</v>
      </c>
      <c r="AE2" t="n">
        <v>13.49330801467792</v>
      </c>
      <c r="AF2" s="15" t="n">
        <v>13.2706440997113</v>
      </c>
      <c r="AG2" s="15" t="n">
        <v>0.8835000215820439</v>
      </c>
      <c r="AH2" s="15" t="n">
        <v>0.8884859231233916</v>
      </c>
      <c r="AI2" s="15" t="n">
        <v>0.9255215686627283</v>
      </c>
      <c r="AJ2" s="15" t="n">
        <v>0.4177273436995778</v>
      </c>
      <c r="AK2" s="15" t="n">
        <v>0.215037347783311</v>
      </c>
      <c r="AL2" s="15" t="n">
        <v>0.7465851265987858</v>
      </c>
      <c r="AM2" s="15" t="n">
        <v>0</v>
      </c>
      <c r="AN2" s="15" t="n">
        <v>0.8723404255319148</v>
      </c>
      <c r="AO2" s="15" t="n">
        <v>0.8003728312189194</v>
      </c>
      <c r="AP2" s="15" t="n">
        <v>2.666169438681114</v>
      </c>
      <c r="AQ2" s="15" t="n">
        <v>0.8734874407420058</v>
      </c>
      <c r="AR2" s="15" t="n">
        <v>2131.478096736079</v>
      </c>
      <c r="AS2" s="15" t="n">
        <v>0.4545282827146395</v>
      </c>
      <c r="AT2" s="15" t="n">
        <v>2.292200278594707</v>
      </c>
      <c r="AU2" s="15" t="n">
        <v>0.3448162644792033</v>
      </c>
      <c r="AV2" s="15" t="n">
        <v>0.02915289560720341</v>
      </c>
      <c r="AW2" s="19" t="n">
        <v>0.9098089737948225</v>
      </c>
      <c r="AX2" s="19" t="n">
        <v>0</v>
      </c>
      <c r="AY2" s="19" t="n">
        <v>1</v>
      </c>
      <c r="AZ2" s="19" t="n">
        <v>0</v>
      </c>
      <c r="BA2" s="19" t="n">
        <v>0</v>
      </c>
    </row>
    <row r="3">
      <c r="A3" t="inlineStr">
        <is>
          <t>F2</t>
        </is>
      </c>
      <c r="B3" t="n">
        <v>41</v>
      </c>
      <c r="C3" s="15" t="n">
        <v>1.047656293658716</v>
      </c>
      <c r="D3" s="15" t="n">
        <v>217.4461913664933</v>
      </c>
      <c r="E3" s="15" t="n">
        <v>0.7099875917175194</v>
      </c>
      <c r="F3" s="15" t="n">
        <v>0.7594710906425188</v>
      </c>
      <c r="G3" s="19" t="n">
        <v>0.09857762360108427</v>
      </c>
      <c r="H3" s="15" t="n">
        <v>0.839730265585503</v>
      </c>
      <c r="I3" s="15" t="n">
        <v>95</v>
      </c>
      <c r="J3" s="15" t="n">
        <v>228</v>
      </c>
      <c r="K3" s="15" t="n">
        <v>0.4166666666666667</v>
      </c>
      <c r="L3" t="n">
        <v>95</v>
      </c>
      <c r="M3" t="n">
        <v>228</v>
      </c>
      <c r="N3" t="n">
        <v>0.4166666666666667</v>
      </c>
      <c r="O3" t="n">
        <v>77</v>
      </c>
      <c r="P3" t="n">
        <v>0</v>
      </c>
      <c r="Q3" s="15" t="n">
        <v>91.88412244665675</v>
      </c>
      <c r="R3" s="15" t="n">
        <v>60.50683268551262</v>
      </c>
      <c r="S3" s="15" t="n">
        <v>0.8473247925390183</v>
      </c>
      <c r="T3" s="15" t="n">
        <v>62.8525530309583</v>
      </c>
      <c r="U3" s="15" t="n">
        <v>49.30164626547321</v>
      </c>
      <c r="V3" s="15" t="n">
        <v>0</v>
      </c>
      <c r="W3" t="n">
        <v>1</v>
      </c>
      <c r="X3" t="n">
        <v>0.5</v>
      </c>
      <c r="Y3" t="n">
        <v>0.25</v>
      </c>
      <c r="Z3" t="inlineStr">
        <is>
          <t>his_note_adaptive</t>
        </is>
      </c>
      <c r="AA3" t="n">
        <v>-90</v>
      </c>
      <c r="AB3" t="n">
        <v>20000</v>
      </c>
      <c r="AC3" s="15" t="n">
        <v>0.4166666666666667</v>
      </c>
      <c r="AD3" s="15" t="n">
        <v>0.6416666666666667</v>
      </c>
      <c r="AE3" t="n">
        <v>14.69493292344191</v>
      </c>
      <c r="AF3" s="15" t="n">
        <v>14.48587841176095</v>
      </c>
      <c r="AG3" s="15" t="n">
        <v>0.9309598149738971</v>
      </c>
      <c r="AH3" s="15" t="n">
        <v>1</v>
      </c>
      <c r="AI3" s="15" t="n">
        <v>0.6401842364445308</v>
      </c>
      <c r="AJ3" s="15" t="n">
        <v>0.5976758803319584</v>
      </c>
      <c r="AK3" s="15" t="n">
        <v>0.2627992844238098</v>
      </c>
      <c r="AL3" s="15" t="n">
        <v>0.9261656924194371</v>
      </c>
      <c r="AM3" s="15" t="n">
        <v>0.006780870806566751</v>
      </c>
      <c r="AN3" s="15" t="n">
        <v>0.9148936170212766</v>
      </c>
      <c r="AO3" s="15" t="n">
        <v>0.8948341916238466</v>
      </c>
      <c r="AP3" s="15" t="n">
        <v>2.605813833382737</v>
      </c>
      <c r="AQ3" s="15" t="n">
        <v>0.6974581857038386</v>
      </c>
      <c r="AR3" s="15" t="n">
        <v>2108.456094891425</v>
      </c>
      <c r="AS3" s="15" t="n">
        <v>0.4491048881446836</v>
      </c>
      <c r="AT3" s="15" t="n">
        <v>2.254487560740997</v>
      </c>
      <c r="AU3" s="15" t="n">
        <v>0.3217543104132881</v>
      </c>
      <c r="AV3" s="15" t="n">
        <v>0.02957196222845108</v>
      </c>
      <c r="AW3" s="19" t="n">
        <v>0.9014203937768378</v>
      </c>
      <c r="AX3" s="19" t="n">
        <v>1.982622078050604e-06</v>
      </c>
      <c r="AY3" s="19" t="n">
        <v>0.9999978005626109</v>
      </c>
      <c r="AZ3" s="19" t="n">
        <v>0</v>
      </c>
      <c r="BA3" s="19" t="n">
        <v>2.199437389130457e-06</v>
      </c>
    </row>
    <row r="4">
      <c r="A4" t="inlineStr">
        <is>
          <t>F#2</t>
        </is>
      </c>
      <c r="B4" t="n">
        <v>42</v>
      </c>
      <c r="C4" s="15" t="n">
        <v>0.6523794916775947</v>
      </c>
      <c r="D4" s="15" t="n">
        <v>190.1424805030965</v>
      </c>
      <c r="E4" s="15" t="n">
        <v>0.7029435270945144</v>
      </c>
      <c r="F4" s="15" t="n">
        <v>0.7472119324210029</v>
      </c>
      <c r="G4" s="19" t="n">
        <v>0.05534876891788763</v>
      </c>
      <c r="H4" s="15" t="n">
        <v>0.7884026418777118</v>
      </c>
      <c r="I4" s="15" t="n">
        <v>108</v>
      </c>
      <c r="J4" s="15" t="n">
        <v>216</v>
      </c>
      <c r="K4" s="15" t="n">
        <v>0.5</v>
      </c>
      <c r="L4" t="n">
        <v>108</v>
      </c>
      <c r="M4" t="n">
        <v>216</v>
      </c>
      <c r="N4" t="n">
        <v>0.5</v>
      </c>
      <c r="O4" t="n">
        <v>76</v>
      </c>
      <c r="P4" t="n">
        <v>0</v>
      </c>
      <c r="Q4" s="15" t="n">
        <v>105.4866716977282</v>
      </c>
      <c r="R4" s="15" t="n">
        <v>69.16549661884468</v>
      </c>
      <c r="S4" s="15" t="n">
        <v>1</v>
      </c>
      <c r="T4" s="15" t="n">
        <v>71.26941372783661</v>
      </c>
      <c r="U4" s="15" t="n">
        <v>44.48208657010449</v>
      </c>
      <c r="V4" s="15" t="n">
        <v>0</v>
      </c>
      <c r="W4" t="n">
        <v>1</v>
      </c>
      <c r="X4" t="n">
        <v>0.5</v>
      </c>
      <c r="Y4" t="n">
        <v>0.25</v>
      </c>
      <c r="Z4" t="inlineStr">
        <is>
          <t>his_note_adaptive</t>
        </is>
      </c>
      <c r="AA4" t="n">
        <v>-90</v>
      </c>
      <c r="AB4" t="n">
        <v>20000</v>
      </c>
      <c r="AC4" s="15" t="n">
        <v>0.5</v>
      </c>
      <c r="AD4" s="15" t="n">
        <v>0.6333333333333333</v>
      </c>
      <c r="AE4" t="n">
        <v>16.06611402893991</v>
      </c>
      <c r="AF4" s="15" t="n">
        <v>15.83882419028135</v>
      </c>
      <c r="AG4" s="15" t="n">
        <v>0.7286855735438046</v>
      </c>
      <c r="AH4" s="15" t="n">
        <v>0.8561889391706304</v>
      </c>
      <c r="AI4" s="15" t="n">
        <v>0.6176231130529631</v>
      </c>
      <c r="AJ4" s="15" t="n">
        <v>0.5784347350166896</v>
      </c>
      <c r="AK4" s="15" t="n">
        <v>0.01660959378385031</v>
      </c>
      <c r="AL4" s="15" t="n">
        <v>0.8190386774011436</v>
      </c>
      <c r="AM4" s="15" t="n">
        <v>0.1708779443254818</v>
      </c>
      <c r="AN4" s="15" t="n">
        <v>0.8936170212765956</v>
      </c>
      <c r="AO4" s="15" t="n">
        <v>1</v>
      </c>
      <c r="AP4" s="15" t="n">
        <v>2.709547126612631</v>
      </c>
      <c r="AQ4" s="15" t="n">
        <v>1</v>
      </c>
      <c r="AR4" s="15" t="n">
        <v>3098.049995628886</v>
      </c>
      <c r="AS4" s="15" t="n">
        <v>0.6822278903899121</v>
      </c>
      <c r="AT4" s="15" t="n">
        <v>2.33891464369398</v>
      </c>
      <c r="AU4" s="15" t="n">
        <v>0.3414293532830562</v>
      </c>
      <c r="AV4" s="15" t="n">
        <v>0.0292031296355951</v>
      </c>
      <c r="AW4" s="19" t="n">
        <v>0.9446489369017664</v>
      </c>
      <c r="AX4" s="19" t="n">
        <v>2.294180345978235e-06</v>
      </c>
      <c r="AY4" s="19" t="n">
        <v>0.9999975713996124</v>
      </c>
      <c r="AZ4" s="19" t="n">
        <v>0</v>
      </c>
      <c r="BA4" s="19" t="n">
        <v>2.428600387626888e-06</v>
      </c>
    </row>
    <row r="5">
      <c r="A5" t="inlineStr">
        <is>
          <t>G2</t>
        </is>
      </c>
      <c r="B5" t="n">
        <v>43</v>
      </c>
      <c r="C5" s="15" t="n">
        <v>0.630177255758111</v>
      </c>
      <c r="D5" s="15" t="n">
        <v>188.2045957791</v>
      </c>
      <c r="E5" s="15" t="n">
        <v>0.679005684644282</v>
      </c>
      <c r="F5" s="15" t="n">
        <v>0.7629849140072331</v>
      </c>
      <c r="G5" s="19" t="n">
        <v>0.06766482336983765</v>
      </c>
      <c r="H5" s="15" t="n">
        <v>0.7150922164532557</v>
      </c>
      <c r="I5" s="15" t="n">
        <v>104</v>
      </c>
      <c r="J5" s="15" t="n">
        <v>204</v>
      </c>
      <c r="K5" s="15" t="n">
        <v>0.5098039215686274</v>
      </c>
      <c r="L5" t="n">
        <v>104</v>
      </c>
      <c r="M5" t="n">
        <v>204</v>
      </c>
      <c r="N5" t="n">
        <v>0.5098039215686274</v>
      </c>
      <c r="O5" t="n">
        <v>77</v>
      </c>
      <c r="P5" t="n">
        <v>0</v>
      </c>
      <c r="Q5" s="15" t="n">
        <v>101.3534162424739</v>
      </c>
      <c r="R5" s="15" t="n">
        <v>65.10277728795305</v>
      </c>
      <c r="S5" s="15" t="n">
        <v>0.928363484080745</v>
      </c>
      <c r="T5" s="15" t="n">
        <v>67.24380080054254</v>
      </c>
      <c r="U5" s="15" t="n">
        <v>45.40144093736836</v>
      </c>
      <c r="V5" s="15" t="n">
        <v>0</v>
      </c>
      <c r="W5" t="n">
        <v>1</v>
      </c>
      <c r="X5" t="n">
        <v>0.5</v>
      </c>
      <c r="Y5" t="n">
        <v>0.25</v>
      </c>
      <c r="Z5" t="inlineStr">
        <is>
          <t>his_note_adaptive</t>
        </is>
      </c>
      <c r="AA5" t="n">
        <v>-90</v>
      </c>
      <c r="AB5" t="n">
        <v>20000</v>
      </c>
      <c r="AC5" s="15" t="n">
        <v>0.5098039215686274</v>
      </c>
      <c r="AD5" s="15" t="n">
        <v>0.6416666666666667</v>
      </c>
      <c r="AE5" t="n">
        <v>14.75167104659771</v>
      </c>
      <c r="AF5" s="15" t="n">
        <v>14.51252956620611</v>
      </c>
      <c r="AG5" s="15" t="n">
        <v>0.7173240658455107</v>
      </c>
      <c r="AH5" s="15" t="n">
        <v>0.8459819288738515</v>
      </c>
      <c r="AI5" s="15" t="n">
        <v>0.5409536549841351</v>
      </c>
      <c r="AJ5" s="15" t="n">
        <v>0.6031909397472119</v>
      </c>
      <c r="AK5" s="15" t="n">
        <v>0.08674991227369142</v>
      </c>
      <c r="AL5" s="15" t="n">
        <v>0.6660308722833101</v>
      </c>
      <c r="AM5" s="15" t="n">
        <v>0.1901834823865305</v>
      </c>
      <c r="AN5" s="15" t="n">
        <v>0.9148936170212766</v>
      </c>
      <c r="AO5" s="15" t="n">
        <v>0.8969058121173509</v>
      </c>
      <c r="AP5" s="15" t="n">
        <v>2.699544358245092</v>
      </c>
      <c r="AQ5" s="15" t="n">
        <v>0.9708265726877802</v>
      </c>
      <c r="AR5" s="15" t="n">
        <v>2800.423207204336</v>
      </c>
      <c r="AS5" s="15" t="n">
        <v>0.6121146344225595</v>
      </c>
      <c r="AT5" s="15" t="n">
        <v>2.313199129729078</v>
      </c>
      <c r="AU5" s="15" t="n">
        <v>0.3568306666242551</v>
      </c>
      <c r="AV5" s="15" t="n">
        <v>0.02951456189175878</v>
      </c>
      <c r="AW5" s="19" t="n">
        <v>0.9323340819578726</v>
      </c>
      <c r="AX5" s="19" t="n">
        <v>1.094672289782645e-06</v>
      </c>
      <c r="AY5" s="19" t="n">
        <v>0.9999988258811667</v>
      </c>
      <c r="AZ5" s="19" t="n">
        <v>0</v>
      </c>
      <c r="BA5" s="19" t="n">
        <v>1.174118833249685e-06</v>
      </c>
    </row>
    <row r="6">
      <c r="A6" t="inlineStr">
        <is>
          <t>G#2</t>
        </is>
      </c>
      <c r="B6" t="n">
        <v>44</v>
      </c>
      <c r="C6" s="15" t="n">
        <v>1.072210552625745</v>
      </c>
      <c r="D6" s="15" t="n">
        <v>217.0653461607896</v>
      </c>
      <c r="E6" s="15" t="n">
        <v>0.635058122138759</v>
      </c>
      <c r="F6" s="15" t="n">
        <v>0.9015279850668204</v>
      </c>
      <c r="G6" s="19" t="n">
        <v>0.1064933525597825</v>
      </c>
      <c r="H6" s="15" t="n">
        <v>0.8623013259702531</v>
      </c>
      <c r="I6" s="15" t="n">
        <v>96</v>
      </c>
      <c r="J6" s="15" t="n">
        <v>192</v>
      </c>
      <c r="K6" s="15" t="n">
        <v>0.5</v>
      </c>
      <c r="L6" t="n">
        <v>96</v>
      </c>
      <c r="M6" t="n">
        <v>192</v>
      </c>
      <c r="N6" t="n">
        <v>0.5</v>
      </c>
      <c r="O6" t="n">
        <v>81</v>
      </c>
      <c r="P6" t="n">
        <v>0</v>
      </c>
      <c r="Q6" s="15" t="n">
        <v>93.41472227356395</v>
      </c>
      <c r="R6" s="15" t="n">
        <v>60.13397946794309</v>
      </c>
      <c r="S6" s="15" t="n">
        <v>0.8407504015263605</v>
      </c>
      <c r="T6" s="15" t="n">
        <v>62.08221084793801</v>
      </c>
      <c r="U6" s="15" t="n">
        <v>50.77840762358966</v>
      </c>
      <c r="V6" s="15" t="n">
        <v>0</v>
      </c>
      <c r="W6" t="n">
        <v>1</v>
      </c>
      <c r="X6" t="n">
        <v>0.5</v>
      </c>
      <c r="Y6" t="n">
        <v>0.25</v>
      </c>
      <c r="Z6" t="inlineStr">
        <is>
          <t>his_note_adaptive</t>
        </is>
      </c>
      <c r="AA6" t="n">
        <v>-90</v>
      </c>
      <c r="AB6" t="n">
        <v>20000</v>
      </c>
      <c r="AC6" s="15" t="n">
        <v>0.5</v>
      </c>
      <c r="AD6" s="15" t="n">
        <v>0.675</v>
      </c>
      <c r="AE6" t="n">
        <v>12.76813862614466</v>
      </c>
      <c r="AF6" s="15" t="n">
        <v>12.62590014100744</v>
      </c>
      <c r="AG6" s="15" t="n">
        <v>0.943524918925206</v>
      </c>
      <c r="AH6" s="15" t="n">
        <v>0.9979940546060553</v>
      </c>
      <c r="AI6" s="15" t="n">
        <v>0.4001959485304485</v>
      </c>
      <c r="AJ6" s="15" t="n">
        <v>0.8206387705454581</v>
      </c>
      <c r="AK6" s="15" t="n">
        <v>0.3078796104656003</v>
      </c>
      <c r="AL6" s="15" t="n">
        <v>0.9732742501539909</v>
      </c>
      <c r="AM6" s="15" t="n">
        <v>0.1708779443254818</v>
      </c>
      <c r="AN6" s="15" t="n">
        <v>1</v>
      </c>
      <c r="AO6" s="15" t="n">
        <v>0.7502562480644304</v>
      </c>
      <c r="AP6" s="15" t="n">
        <v>2.559271625639639</v>
      </c>
      <c r="AQ6" s="15" t="n">
        <v>0.5617161926222211</v>
      </c>
      <c r="AR6" s="15" t="n">
        <v>1959.31467346097</v>
      </c>
      <c r="AS6" s="15" t="n">
        <v>0.4139709853416463</v>
      </c>
      <c r="AT6" s="15" t="n">
        <v>2.231030954675665</v>
      </c>
      <c r="AU6" s="15" t="n">
        <v>0.2959114588288331</v>
      </c>
      <c r="AV6" s="15" t="n">
        <v>0.03232921213514092</v>
      </c>
      <c r="AW6" s="19" t="n">
        <v>0.8935051755138783</v>
      </c>
      <c r="AX6" s="19" t="n">
        <v>1.471926339165485e-06</v>
      </c>
      <c r="AY6" s="19" t="n">
        <v>0.9999983526408636</v>
      </c>
      <c r="AZ6" s="19" t="n">
        <v>0</v>
      </c>
      <c r="BA6" s="19" t="n">
        <v>1.647359136479137e-06</v>
      </c>
    </row>
    <row r="7">
      <c r="A7" t="inlineStr">
        <is>
          <t>A2</t>
        </is>
      </c>
      <c r="B7" t="n">
        <v>45</v>
      </c>
      <c r="C7" s="15" t="n">
        <v>1.18257205630037</v>
      </c>
      <c r="D7" s="15" t="n">
        <v>212.535827767518</v>
      </c>
      <c r="E7" s="15" t="n">
        <v>0.6814544537454817</v>
      </c>
      <c r="F7" s="15" t="n">
        <v>0.9285197103407724</v>
      </c>
      <c r="G7" s="19" t="n">
        <v>0.09827751908434597</v>
      </c>
      <c r="H7" s="15" t="n">
        <v>0.7901533618283371</v>
      </c>
      <c r="I7" s="15" t="n">
        <v>89</v>
      </c>
      <c r="J7" s="15" t="n">
        <v>182</v>
      </c>
      <c r="K7" s="15" t="n">
        <v>0.489010989010989</v>
      </c>
      <c r="L7" t="n">
        <v>89</v>
      </c>
      <c r="M7" t="n">
        <v>182</v>
      </c>
      <c r="N7" t="n">
        <v>0.489010989010989</v>
      </c>
      <c r="O7" t="n">
        <v>79</v>
      </c>
      <c r="P7" t="n">
        <v>0</v>
      </c>
      <c r="Q7" s="15" t="n">
        <v>87.40684680017461</v>
      </c>
      <c r="R7" s="15" t="n">
        <v>55.74060629340232</v>
      </c>
      <c r="S7" s="15" t="n">
        <v>0.76328358146716</v>
      </c>
      <c r="T7" s="15" t="n">
        <v>57.01377978697259</v>
      </c>
      <c r="U7" s="15" t="n">
        <v>49.02224768754983</v>
      </c>
      <c r="V7" s="15" t="n">
        <v>0</v>
      </c>
      <c r="W7" t="n">
        <v>1</v>
      </c>
      <c r="X7" t="n">
        <v>0.5</v>
      </c>
      <c r="Y7" t="n">
        <v>0.25</v>
      </c>
      <c r="Z7" t="inlineStr">
        <is>
          <t>his_note_adaptive</t>
        </is>
      </c>
      <c r="AA7" t="n">
        <v>-90</v>
      </c>
      <c r="AB7" t="n">
        <v>20000</v>
      </c>
      <c r="AC7" s="15" t="n">
        <v>0.489010989010989</v>
      </c>
      <c r="AD7" s="15" t="n">
        <v>0.6583333333333333</v>
      </c>
      <c r="AE7" t="n">
        <v>12.49615273127042</v>
      </c>
      <c r="AF7" s="15" t="n">
        <v>12.29075701082698</v>
      </c>
      <c r="AG7" s="15" t="n">
        <v>1</v>
      </c>
      <c r="AH7" s="15" t="n">
        <v>0.9741366804768929</v>
      </c>
      <c r="AI7" s="15" t="n">
        <v>0.5487967093577698</v>
      </c>
      <c r="AJ7" s="15" t="n">
        <v>0.8630031563312957</v>
      </c>
      <c r="AK7" s="15" t="n">
        <v>0.2610901797372085</v>
      </c>
      <c r="AL7" s="15" t="n">
        <v>0.8226926436067715</v>
      </c>
      <c r="AM7" s="15" t="n">
        <v>0.1492387697955149</v>
      </c>
      <c r="AN7" s="15" t="n">
        <v>0.9574468085106381</v>
      </c>
      <c r="AO7" s="15" t="n">
        <v>0.7242052423503006</v>
      </c>
      <c r="AP7" s="15" t="n">
        <v>2.577320193798276</v>
      </c>
      <c r="AQ7" s="15" t="n">
        <v>0.6143554792595446</v>
      </c>
      <c r="AR7" s="15" t="n">
        <v>1936.352326809154</v>
      </c>
      <c r="AS7" s="15" t="n">
        <v>0.408561644008724</v>
      </c>
      <c r="AT7" s="15" t="n">
        <v>2.214874860042106</v>
      </c>
      <c r="AU7" s="15" t="n">
        <v>0.3227878614389315</v>
      </c>
      <c r="AV7" s="15" t="n">
        <v>0.03965747231723885</v>
      </c>
      <c r="AW7" s="19" t="n">
        <v>0.9017191544486236</v>
      </c>
      <c r="AX7" s="19" t="n">
        <v>3.326467030420897e-06</v>
      </c>
      <c r="AY7" s="19" t="n">
        <v>0.9999963109858068</v>
      </c>
      <c r="AZ7" s="19" t="n">
        <v>0</v>
      </c>
      <c r="BA7" s="19" t="n">
        <v>3.689014193195046e-06</v>
      </c>
    </row>
    <row r="8">
      <c r="A8" t="inlineStr">
        <is>
          <t>A#2</t>
        </is>
      </c>
      <c r="B8" t="n">
        <v>46</v>
      </c>
      <c r="C8" s="15" t="n">
        <v>0.5102356277046926</v>
      </c>
      <c r="D8" s="15" t="n">
        <v>155.0380931490785</v>
      </c>
      <c r="E8" s="15" t="n">
        <v>0.7324248104964597</v>
      </c>
      <c r="F8" s="15" t="n">
        <v>0.7637235230851338</v>
      </c>
      <c r="G8" s="19" t="n">
        <v>0.06278227574336</v>
      </c>
      <c r="H8" s="15" t="n">
        <v>0.6788677782102649</v>
      </c>
      <c r="I8" s="15" t="n">
        <v>81</v>
      </c>
      <c r="J8" s="15" t="n">
        <v>171</v>
      </c>
      <c r="K8" s="15" t="n">
        <v>0.4736842105263158</v>
      </c>
      <c r="L8" t="n">
        <v>81</v>
      </c>
      <c r="M8" t="n">
        <v>171</v>
      </c>
      <c r="N8" t="n">
        <v>0.4736842105263158</v>
      </c>
      <c r="O8" t="n">
        <v>69</v>
      </c>
      <c r="P8" t="n">
        <v>0</v>
      </c>
      <c r="Q8" s="15" t="n">
        <v>79.94098514362881</v>
      </c>
      <c r="R8" s="15" t="n">
        <v>51.71530286126995</v>
      </c>
      <c r="S8" s="15" t="n">
        <v>0.6923068070680047</v>
      </c>
      <c r="T8" s="15" t="n">
        <v>52.97179146682893</v>
      </c>
      <c r="U8" s="15" t="n">
        <v>38.73415997752829</v>
      </c>
      <c r="V8" s="15" t="n">
        <v>0</v>
      </c>
      <c r="W8" t="n">
        <v>1</v>
      </c>
      <c r="X8" t="n">
        <v>0.5</v>
      </c>
      <c r="Y8" t="n">
        <v>0.25</v>
      </c>
      <c r="Z8" t="inlineStr">
        <is>
          <t>his_note_adaptive</t>
        </is>
      </c>
      <c r="AA8" t="n">
        <v>-90</v>
      </c>
      <c r="AB8" t="n">
        <v>20000</v>
      </c>
      <c r="AC8" s="15" t="n">
        <v>0.4736842105263158</v>
      </c>
      <c r="AD8" s="15" t="n">
        <v>0.575</v>
      </c>
      <c r="AE8" t="n">
        <v>12.6800781539206</v>
      </c>
      <c r="AF8" s="15" t="n">
        <v>12.47465289137472</v>
      </c>
      <c r="AG8" s="15" t="n">
        <v>0.655946566055998</v>
      </c>
      <c r="AH8" s="15" t="n">
        <v>0.6712910250957239</v>
      </c>
      <c r="AI8" s="15" t="n">
        <v>0.7120474132504419</v>
      </c>
      <c r="AJ8" s="15" t="n">
        <v>0.6043502105831263</v>
      </c>
      <c r="AK8" s="15" t="n">
        <v>0.05894364957007554</v>
      </c>
      <c r="AL8" s="15" t="n">
        <v>0.5904260486160677</v>
      </c>
      <c r="AM8" s="15" t="n">
        <v>0.1190578158458244</v>
      </c>
      <c r="AN8" s="15" t="n">
        <v>0.7446808510638296</v>
      </c>
      <c r="AO8" s="15" t="n">
        <v>0.7384996503316743</v>
      </c>
      <c r="AP8" s="15" t="n">
        <v>2.685812434015638</v>
      </c>
      <c r="AQ8" s="15" t="n">
        <v>0.9307769305642112</v>
      </c>
      <c r="AR8" s="15" t="n">
        <v>2976.746816595592</v>
      </c>
      <c r="AS8" s="15" t="n">
        <v>0.6536519651977112</v>
      </c>
      <c r="AT8" s="15" t="n">
        <v>2.288498683156682</v>
      </c>
      <c r="AU8" s="15" t="n">
        <v>0.3534598968409711</v>
      </c>
      <c r="AV8" s="15" t="n">
        <v>0.0438538540179841</v>
      </c>
      <c r="AW8" s="19" t="n">
        <v>0.9372158666158981</v>
      </c>
      <c r="AX8" s="19" t="n">
        <v>1.857640741932653e-06</v>
      </c>
      <c r="AY8" s="19" t="n">
        <v>0.9999980179197493</v>
      </c>
      <c r="AZ8" s="19" t="n">
        <v>0</v>
      </c>
      <c r="BA8" s="19" t="n">
        <v>1.982080250782765e-06</v>
      </c>
    </row>
    <row r="9">
      <c r="A9" t="inlineStr">
        <is>
          <t>B2</t>
        </is>
      </c>
      <c r="B9" t="n">
        <v>47</v>
      </c>
      <c r="C9" s="15" t="n">
        <v>0.4099547119335289</v>
      </c>
      <c r="D9" s="15" t="n">
        <v>155.6042312716105</v>
      </c>
      <c r="E9" s="15" t="n">
        <v>0.6807059290301659</v>
      </c>
      <c r="F9" s="15" t="n">
        <v>0.8084169663986487</v>
      </c>
      <c r="G9" s="19" t="n">
        <v>0.05243226289294992</v>
      </c>
      <c r="H9" s="15" t="n">
        <v>0.7756275911142217</v>
      </c>
      <c r="I9" s="15" t="n">
        <v>101</v>
      </c>
      <c r="J9" s="15" t="n">
        <v>162</v>
      </c>
      <c r="K9" s="15" t="n">
        <v>0.6234567901234568</v>
      </c>
      <c r="L9" t="n">
        <v>101</v>
      </c>
      <c r="M9" t="n">
        <v>162</v>
      </c>
      <c r="N9" t="n">
        <v>0.6234567901234568</v>
      </c>
      <c r="O9" t="n">
        <v>78</v>
      </c>
      <c r="P9" t="n">
        <v>0</v>
      </c>
      <c r="Q9" s="15" t="n">
        <v>99.52516314132129</v>
      </c>
      <c r="R9" s="15" t="n">
        <v>62.08109316189846</v>
      </c>
      <c r="S9" s="15" t="n">
        <v>0.8750831795927747</v>
      </c>
      <c r="T9" s="15" t="n">
        <v>63.46123675242769</v>
      </c>
      <c r="U9" s="15" t="n">
        <v>41.93797308066774</v>
      </c>
      <c r="V9" s="15" t="n">
        <v>0</v>
      </c>
      <c r="W9" t="n">
        <v>1</v>
      </c>
      <c r="X9" t="n">
        <v>0.5</v>
      </c>
      <c r="Y9" t="n">
        <v>0.25</v>
      </c>
      <c r="Z9" t="inlineStr">
        <is>
          <t>his_note_adaptive</t>
        </is>
      </c>
      <c r="AA9" t="n">
        <v>-90</v>
      </c>
      <c r="AB9" t="n">
        <v>20000</v>
      </c>
      <c r="AC9" s="15" t="n">
        <v>0.6234567901234568</v>
      </c>
      <c r="AD9" s="15" t="n">
        <v>0.65</v>
      </c>
      <c r="AE9" t="n">
        <v>12.29770473578702</v>
      </c>
      <c r="AF9" s="15" t="n">
        <v>12.15807522615018</v>
      </c>
      <c r="AG9" s="15" t="n">
        <v>0.6046300049376557</v>
      </c>
      <c r="AH9" s="15" t="n">
        <v>0.674272924676503</v>
      </c>
      <c r="AI9" s="15" t="n">
        <v>0.5463992926150661</v>
      </c>
      <c r="AJ9" s="15" t="n">
        <v>0.6744980153423284</v>
      </c>
      <c r="AK9" s="15" t="n">
        <v>0</v>
      </c>
      <c r="AL9" s="15" t="n">
        <v>0.7923755873116617</v>
      </c>
      <c r="AM9" s="15" t="n">
        <v>0.4139847199090596</v>
      </c>
      <c r="AN9" s="15" t="n">
        <v>0.9361702127659574</v>
      </c>
      <c r="AO9" s="15" t="n">
        <v>0.7138917565004935</v>
      </c>
      <c r="AP9" s="15" t="n">
        <v>2.639692020978942</v>
      </c>
      <c r="AQ9" s="15" t="n">
        <v>0.796265116644577</v>
      </c>
      <c r="AR9" s="15" t="n">
        <v>2882.286604463504</v>
      </c>
      <c r="AS9" s="15" t="n">
        <v>0.6313995561756435</v>
      </c>
      <c r="AT9" s="15" t="n">
        <v>2.27999697652854</v>
      </c>
      <c r="AU9" s="15" t="n">
        <v>0.3198450588433241</v>
      </c>
      <c r="AV9" s="15" t="n">
        <v>0.03984998560707757</v>
      </c>
      <c r="AW9" s="19" t="n">
        <v>0.9475659303498479</v>
      </c>
      <c r="AX9" s="19" t="n">
        <v>1.806757202020473e-06</v>
      </c>
      <c r="AY9" s="19" t="n">
        <v>0.9999980932685536</v>
      </c>
      <c r="AZ9" s="19" t="n">
        <v>0</v>
      </c>
      <c r="BA9" s="19" t="n">
        <v>1.906731446489041e-06</v>
      </c>
    </row>
    <row r="10">
      <c r="A10" t="inlineStr">
        <is>
          <t>C3</t>
        </is>
      </c>
      <c r="B10" t="n">
        <v>48</v>
      </c>
      <c r="C10" s="15" t="n">
        <v>0.3986877392199826</v>
      </c>
      <c r="D10" s="15" t="n">
        <v>151.5570014968455</v>
      </c>
      <c r="E10" s="15" t="n">
        <v>0.6660111877376216</v>
      </c>
      <c r="F10" s="15" t="n">
        <v>0.81387755109594</v>
      </c>
      <c r="G10" s="19" t="n">
        <v>0.07669091592924503</v>
      </c>
      <c r="H10" s="15" t="n">
        <v>0.875106398819247</v>
      </c>
      <c r="I10" s="15" t="n">
        <v>89</v>
      </c>
      <c r="J10" s="15" t="n">
        <v>152</v>
      </c>
      <c r="K10" s="15" t="n">
        <v>0.5855263157894737</v>
      </c>
      <c r="L10" t="n">
        <v>89</v>
      </c>
      <c r="M10" t="n">
        <v>152</v>
      </c>
      <c r="N10" t="n">
        <v>0.5855263157894737</v>
      </c>
      <c r="O10" t="n">
        <v>70</v>
      </c>
      <c r="P10" t="n">
        <v>0</v>
      </c>
      <c r="Q10" s="15" t="n">
        <v>87.23415309101837</v>
      </c>
      <c r="R10" s="15" t="n">
        <v>55.35088589921457</v>
      </c>
      <c r="S10" s="15" t="n">
        <v>0.7564117773998675</v>
      </c>
      <c r="T10" s="15" t="n">
        <v>57.05804890085853</v>
      </c>
      <c r="U10" s="15" t="n">
        <v>38.68947070404246</v>
      </c>
      <c r="V10" s="15" t="n">
        <v>0</v>
      </c>
      <c r="W10" t="n">
        <v>1</v>
      </c>
      <c r="X10" t="n">
        <v>0.5</v>
      </c>
      <c r="Y10" t="n">
        <v>0.25</v>
      </c>
      <c r="Z10" t="inlineStr">
        <is>
          <t>his_note_adaptive</t>
        </is>
      </c>
      <c r="AA10" t="n">
        <v>-90</v>
      </c>
      <c r="AB10" t="n">
        <v>20000</v>
      </c>
      <c r="AC10" s="15" t="n">
        <v>0.5855263157894737</v>
      </c>
      <c r="AD10" s="15" t="n">
        <v>0.5833333333333334</v>
      </c>
      <c r="AE10" t="n">
        <v>10.77633020544534</v>
      </c>
      <c r="AF10" s="15" t="n">
        <v>10.69830913203692</v>
      </c>
      <c r="AG10" s="15" t="n">
        <v>0.5988643785527433</v>
      </c>
      <c r="AH10" s="15" t="n">
        <v>0.6529558073717837</v>
      </c>
      <c r="AI10" s="15" t="n">
        <v>0.4993341549067147</v>
      </c>
      <c r="AJ10" s="15" t="n">
        <v>0.6830685796313601</v>
      </c>
      <c r="AK10" s="15" t="n">
        <v>0.1381537940367653</v>
      </c>
      <c r="AL10" s="15" t="n">
        <v>1</v>
      </c>
      <c r="AM10" s="15" t="n">
        <v>0.3392933618843683</v>
      </c>
      <c r="AN10" s="15" t="n">
        <v>0.7659574468085106</v>
      </c>
      <c r="AO10" s="15" t="n">
        <v>0.6004226997468595</v>
      </c>
      <c r="AP10" s="15" t="n">
        <v>2.587018792369349</v>
      </c>
      <c r="AQ10" s="15" t="n">
        <v>0.6426417846149496</v>
      </c>
      <c r="AR10" s="15" t="n">
        <v>2733.307661138031</v>
      </c>
      <c r="AS10" s="15" t="n">
        <v>0.5963039290568078</v>
      </c>
      <c r="AT10" s="15" t="n">
        <v>2.258615396399194</v>
      </c>
      <c r="AU10" s="15" t="n">
        <v>0.284636365838858</v>
      </c>
      <c r="AV10" s="15" t="n">
        <v>0.04376703013129735</v>
      </c>
      <c r="AW10" s="19" t="n">
        <v>0.9233075025351694</v>
      </c>
      <c r="AX10" s="19" t="n">
        <v>1.581535585561329e-06</v>
      </c>
      <c r="AY10" s="19" t="n">
        <v>0.9999982871005897</v>
      </c>
      <c r="AZ10" s="19" t="n">
        <v>0</v>
      </c>
      <c r="BA10" s="19" t="n">
        <v>1.712899410226243e-06</v>
      </c>
    </row>
    <row r="11">
      <c r="A11" t="inlineStr">
        <is>
          <t>C#3</t>
        </is>
      </c>
      <c r="B11" t="n">
        <v>49</v>
      </c>
      <c r="C11" s="15" t="n">
        <v>0.4166224363901401</v>
      </c>
      <c r="D11" s="15" t="n">
        <v>148.8398321710174</v>
      </c>
      <c r="E11" s="15" t="n">
        <v>0.6686501999034734</v>
      </c>
      <c r="F11" s="15" t="n">
        <v>0.8327277116099315</v>
      </c>
      <c r="G11" s="19" t="n">
        <v>0.07347343842146963</v>
      </c>
      <c r="H11" s="15" t="n">
        <v>0.8339785761502648</v>
      </c>
      <c r="I11" s="15" t="n">
        <v>76</v>
      </c>
      <c r="J11" s="15" t="n">
        <v>144</v>
      </c>
      <c r="K11" s="15" t="n">
        <v>0.5277777777777778</v>
      </c>
      <c r="L11" t="n">
        <v>76</v>
      </c>
      <c r="M11" t="n">
        <v>144</v>
      </c>
      <c r="N11" t="n">
        <v>0.5277777777777778</v>
      </c>
      <c r="O11" t="n">
        <v>74</v>
      </c>
      <c r="P11" t="n">
        <v>0</v>
      </c>
      <c r="Q11" s="15" t="n">
        <v>75.79561177275113</v>
      </c>
      <c r="R11" s="15" t="n">
        <v>49.29960567316789</v>
      </c>
      <c r="S11" s="15" t="n">
        <v>0.6497116593412743</v>
      </c>
      <c r="T11" s="15" t="n">
        <v>50.27501483859729</v>
      </c>
      <c r="U11" s="15" t="n">
        <v>40.73034410527102</v>
      </c>
      <c r="V11" s="15" t="n">
        <v>0</v>
      </c>
      <c r="W11" t="n">
        <v>1</v>
      </c>
      <c r="X11" t="n">
        <v>0.5</v>
      </c>
      <c r="Y11" t="n">
        <v>0.25</v>
      </c>
      <c r="Z11" t="inlineStr">
        <is>
          <t>his_note_adaptive</t>
        </is>
      </c>
      <c r="AA11" t="n">
        <v>-90</v>
      </c>
      <c r="AB11" t="n">
        <v>20000</v>
      </c>
      <c r="AC11" s="15" t="n">
        <v>0.5277777777777778</v>
      </c>
      <c r="AD11" s="15" t="n">
        <v>0.6166666666666667</v>
      </c>
      <c r="AE11" t="n">
        <v>11.60099155450218</v>
      </c>
      <c r="AF11" s="15" t="n">
        <v>11.49714204332829</v>
      </c>
      <c r="AG11" s="15" t="n">
        <v>0.6080420668137035</v>
      </c>
      <c r="AH11" s="15" t="n">
        <v>0.6386442361294948</v>
      </c>
      <c r="AI11" s="15" t="n">
        <v>0.5077865303876529</v>
      </c>
      <c r="AJ11" s="15" t="n">
        <v>0.7126545162113518</v>
      </c>
      <c r="AK11" s="15" t="n">
        <v>0.1198301581670379</v>
      </c>
      <c r="AL11" s="15" t="n">
        <v>0.914161214596401</v>
      </c>
      <c r="AM11" s="15" t="n">
        <v>0.2255769688317868</v>
      </c>
      <c r="AN11" s="15" t="n">
        <v>0.851063829787234</v>
      </c>
      <c r="AO11" s="15" t="n">
        <v>0.6625167690046144</v>
      </c>
      <c r="AP11" s="15" t="n">
        <v>2.605536248813881</v>
      </c>
      <c r="AQ11" s="15" t="n">
        <v>0.6966486005025261</v>
      </c>
      <c r="AR11" s="15" t="n">
        <v>3097.24905477095</v>
      </c>
      <c r="AS11" s="15" t="n">
        <v>0.6820392092174798</v>
      </c>
      <c r="AT11" s="15" t="n">
        <v>2.262446722071626</v>
      </c>
      <c r="AU11" s="15" t="n">
        <v>0.3004456012270807</v>
      </c>
      <c r="AV11" s="15" t="n">
        <v>0.04264392551517396</v>
      </c>
      <c r="AW11" s="19" t="n">
        <v>0.926525981362366</v>
      </c>
      <c r="AX11" s="19" t="n">
        <v>5.802161643005381e-07</v>
      </c>
      <c r="AY11" s="19" t="n">
        <v>0.9999993737727677</v>
      </c>
      <c r="AZ11" s="19" t="n">
        <v>0</v>
      </c>
      <c r="BA11" s="19" t="n">
        <v>6.262272322900485e-07</v>
      </c>
    </row>
    <row r="12">
      <c r="A12" t="inlineStr">
        <is>
          <t>D3</t>
        </is>
      </c>
      <c r="B12" t="n">
        <v>50</v>
      </c>
      <c r="C12" s="15" t="n">
        <v>0.32651633677804</v>
      </c>
      <c r="D12" s="15" t="n">
        <v>150.530486210617</v>
      </c>
      <c r="E12" s="15" t="n">
        <v>0.6169770019233224</v>
      </c>
      <c r="F12" s="15" t="n">
        <v>0.8925798691657673</v>
      </c>
      <c r="G12" s="19" t="n">
        <v>0.06412326477179818</v>
      </c>
      <c r="H12" s="15" t="n">
        <v>0.820648847050142</v>
      </c>
      <c r="I12" s="15" t="n">
        <v>81</v>
      </c>
      <c r="J12" s="15" t="n">
        <v>136</v>
      </c>
      <c r="K12" s="15" t="n">
        <v>0.5955882352941176</v>
      </c>
      <c r="L12" t="n">
        <v>81</v>
      </c>
      <c r="M12" t="n">
        <v>136</v>
      </c>
      <c r="N12" t="n">
        <v>0.5955882352941176</v>
      </c>
      <c r="O12" t="n">
        <v>73</v>
      </c>
      <c r="P12" t="n">
        <v>0</v>
      </c>
      <c r="Q12" s="15" t="n">
        <v>80.3655305285243</v>
      </c>
      <c r="R12" s="15" t="n">
        <v>51.75646396104724</v>
      </c>
      <c r="S12" s="15" t="n">
        <v>0.6930325864141264</v>
      </c>
      <c r="T12" s="15" t="n">
        <v>52.77858414976544</v>
      </c>
      <c r="U12" s="15" t="n">
        <v>39.89071187637278</v>
      </c>
      <c r="V12" s="15" t="n">
        <v>0</v>
      </c>
      <c r="W12" t="n">
        <v>1</v>
      </c>
      <c r="X12" t="n">
        <v>0.5</v>
      </c>
      <c r="Y12" t="n">
        <v>0.25</v>
      </c>
      <c r="Z12" t="inlineStr">
        <is>
          <t>his_note_adaptive</t>
        </is>
      </c>
      <c r="AA12" t="n">
        <v>-90</v>
      </c>
      <c r="AB12" t="n">
        <v>20000</v>
      </c>
      <c r="AC12" s="15" t="n">
        <v>0.5955882352941176</v>
      </c>
      <c r="AD12" s="15" t="n">
        <v>0.6083333333333333</v>
      </c>
      <c r="AE12" t="n">
        <v>11.19665219497045</v>
      </c>
      <c r="AF12" s="15" t="n">
        <v>11.10005503321136</v>
      </c>
      <c r="AG12" s="15" t="n">
        <v>0.561932244896726</v>
      </c>
      <c r="AH12" s="15" t="n">
        <v>0.6475490605376752</v>
      </c>
      <c r="AI12" s="15" t="n">
        <v>0.3422847273718598</v>
      </c>
      <c r="AJ12" s="15" t="n">
        <v>0.8065944132381306</v>
      </c>
      <c r="AK12" s="15" t="n">
        <v>0.06658062437503384</v>
      </c>
      <c r="AL12" s="15" t="n">
        <v>0.8863404431219972</v>
      </c>
      <c r="AM12" s="15" t="n">
        <v>0.3591069404207078</v>
      </c>
      <c r="AN12" s="15" t="n">
        <v>0.8297872340425529</v>
      </c>
      <c r="AO12" s="15" t="n">
        <v>0.631650804471811</v>
      </c>
      <c r="AP12" s="15" t="n">
        <v>2.617616507858328</v>
      </c>
      <c r="AQ12" s="15" t="n">
        <v>0.7318811027655634</v>
      </c>
      <c r="AR12" s="15" t="n">
        <v>3187.684033743897</v>
      </c>
      <c r="AS12" s="15" t="n">
        <v>0.7033433763010144</v>
      </c>
      <c r="AT12" s="15" t="n">
        <v>2.275485284915711</v>
      </c>
      <c r="AU12" s="15" t="n">
        <v>0.2978574130102796</v>
      </c>
      <c r="AV12" s="15" t="n">
        <v>0.0442738099323368</v>
      </c>
      <c r="AW12" s="19" t="n">
        <v>0.9358755939141176</v>
      </c>
      <c r="AX12" s="19" t="n">
        <v>1.141314084347396e-06</v>
      </c>
      <c r="AY12" s="19" t="n">
        <v>0.9999987804867443</v>
      </c>
      <c r="AZ12" s="19" t="n">
        <v>0</v>
      </c>
      <c r="BA12" s="19" t="n">
        <v>1.219513255737788e-06</v>
      </c>
    </row>
    <row r="13">
      <c r="A13" t="inlineStr">
        <is>
          <t>D#3</t>
        </is>
      </c>
      <c r="B13" t="n">
        <v>51</v>
      </c>
      <c r="C13" s="15" t="n">
        <v>0.4133325180029664</v>
      </c>
      <c r="D13" s="15" t="n">
        <v>156.4829168462796</v>
      </c>
      <c r="E13" s="15" t="n">
        <v>0.5996016744876459</v>
      </c>
      <c r="F13" s="15" t="n">
        <v>0.9393583903657371</v>
      </c>
      <c r="G13" s="19" t="n">
        <v>0.07223548458569974</v>
      </c>
      <c r="H13" s="15" t="n">
        <v>0.7277106182566683</v>
      </c>
      <c r="I13" s="15" t="n">
        <v>77</v>
      </c>
      <c r="J13" s="15" t="n">
        <v>128</v>
      </c>
      <c r="K13" s="15" t="n">
        <v>0.6015625</v>
      </c>
      <c r="L13" t="n">
        <v>77</v>
      </c>
      <c r="M13" t="n">
        <v>128</v>
      </c>
      <c r="N13" t="n">
        <v>0.6015625</v>
      </c>
      <c r="O13" t="n">
        <v>73</v>
      </c>
      <c r="P13" t="n">
        <v>0</v>
      </c>
      <c r="Q13" s="15" t="n">
        <v>76.63862023291985</v>
      </c>
      <c r="R13" s="15" t="n">
        <v>49.38909979095563</v>
      </c>
      <c r="S13" s="15" t="n">
        <v>0.6512896779715139</v>
      </c>
      <c r="T13" s="15" t="n">
        <v>50.27648828326474</v>
      </c>
      <c r="U13" s="15" t="n">
        <v>40.45426166024184</v>
      </c>
      <c r="V13" s="15" t="n">
        <v>0</v>
      </c>
      <c r="W13" t="n">
        <v>1</v>
      </c>
      <c r="X13" t="n">
        <v>0.5</v>
      </c>
      <c r="Y13" t="n">
        <v>0.25</v>
      </c>
      <c r="Z13" t="inlineStr">
        <is>
          <t>his_note_adaptive</t>
        </is>
      </c>
      <c r="AA13" t="n">
        <v>-90</v>
      </c>
      <c r="AB13" t="n">
        <v>20000</v>
      </c>
      <c r="AC13" s="15" t="n">
        <v>0.6015625</v>
      </c>
      <c r="AD13" s="15" t="n">
        <v>0.6083333333333333</v>
      </c>
      <c r="AE13" t="n">
        <v>10.68177198128464</v>
      </c>
      <c r="AF13" s="15" t="n">
        <v>10.53420679315664</v>
      </c>
      <c r="AG13" s="15" t="n">
        <v>0.606358523173406</v>
      </c>
      <c r="AH13" s="15" t="n">
        <v>0.6789010393405076</v>
      </c>
      <c r="AI13" s="15" t="n">
        <v>0.2866340587273751</v>
      </c>
      <c r="AJ13" s="15" t="n">
        <v>0.8800148151758667</v>
      </c>
      <c r="AK13" s="15" t="n">
        <v>0.1127799720335338</v>
      </c>
      <c r="AL13" s="15" t="n">
        <v>0.6923670168747039</v>
      </c>
      <c r="AM13" s="15" t="n">
        <v>0.3708712526766595</v>
      </c>
      <c r="AN13" s="15" t="n">
        <v>0.8297872340425529</v>
      </c>
      <c r="AO13" s="15" t="n">
        <v>0.5876668632612054</v>
      </c>
      <c r="AP13" s="15" t="n">
        <v>2.649546678738376</v>
      </c>
      <c r="AQ13" s="15" t="n">
        <v>0.8250065741359487</v>
      </c>
      <c r="AR13" s="15" t="n">
        <v>3230.505971461748</v>
      </c>
      <c r="AS13" s="15" t="n">
        <v>0.7134311291411484</v>
      </c>
      <c r="AT13" s="15" t="n">
        <v>2.271889559983847</v>
      </c>
      <c r="AU13" s="15" t="n">
        <v>0.3327237974683493</v>
      </c>
      <c r="AV13" s="15" t="n">
        <v>0.04493332128617987</v>
      </c>
      <c r="AW13" s="19" t="n">
        <v>0.9277637318332442</v>
      </c>
      <c r="AX13" s="19" t="n">
        <v>7.835810558827561e-07</v>
      </c>
      <c r="AY13" s="19" t="n">
        <v>0.9999991554095432</v>
      </c>
      <c r="AZ13" s="19" t="n">
        <v>0</v>
      </c>
      <c r="BA13" s="19" t="n">
        <v>8.445904568066415e-07</v>
      </c>
    </row>
    <row r="14">
      <c r="A14" t="inlineStr">
        <is>
          <t>E3</t>
        </is>
      </c>
      <c r="B14" t="n">
        <v>52</v>
      </c>
      <c r="C14" s="15" t="n">
        <v>0.2684878753354278</v>
      </c>
      <c r="D14" s="15" t="n">
        <v>141.6789340598704</v>
      </c>
      <c r="E14" s="15" t="n">
        <v>0.6112995889530789</v>
      </c>
      <c r="F14" s="15" t="n">
        <v>0.9212844378897344</v>
      </c>
      <c r="G14" s="19" t="n">
        <v>0.06030926644217233</v>
      </c>
      <c r="H14" s="15" t="n">
        <v>0.7995334568838133</v>
      </c>
      <c r="I14" s="15" t="n">
        <v>69</v>
      </c>
      <c r="J14" s="15" t="n">
        <v>121</v>
      </c>
      <c r="K14" s="15" t="n">
        <v>0.5702479338842975</v>
      </c>
      <c r="L14" t="n">
        <v>69</v>
      </c>
      <c r="M14" t="n">
        <v>121</v>
      </c>
      <c r="N14" t="n">
        <v>0.5702479338842975</v>
      </c>
      <c r="O14" t="n">
        <v>71</v>
      </c>
      <c r="P14" t="n">
        <v>0</v>
      </c>
      <c r="Q14" s="15" t="n">
        <v>69.15427283787787</v>
      </c>
      <c r="R14" s="15" t="n">
        <v>45.19248231426921</v>
      </c>
      <c r="S14" s="15" t="n">
        <v>0.577292182651134</v>
      </c>
      <c r="T14" s="15" t="n">
        <v>45.63907596221922</v>
      </c>
      <c r="U14" s="15" t="n">
        <v>39.8494158497428</v>
      </c>
      <c r="V14" s="15" t="n">
        <v>0</v>
      </c>
      <c r="W14" t="n">
        <v>1</v>
      </c>
      <c r="X14" t="n">
        <v>0.5</v>
      </c>
      <c r="Y14" t="n">
        <v>0.25</v>
      </c>
      <c r="Z14" t="inlineStr">
        <is>
          <t>his_note_adaptive</t>
        </is>
      </c>
      <c r="AA14" t="n">
        <v>-90</v>
      </c>
      <c r="AB14" t="n">
        <v>20000</v>
      </c>
      <c r="AC14" s="15" t="n">
        <v>0.5702479338842975</v>
      </c>
      <c r="AD14" s="15" t="n">
        <v>0.5916666666666667</v>
      </c>
      <c r="AE14" t="n">
        <v>10.69787503373047</v>
      </c>
      <c r="AF14" s="15" t="n">
        <v>10.60351036374812</v>
      </c>
      <c r="AG14" s="15" t="n">
        <v>0.5322374513727177</v>
      </c>
      <c r="AH14" s="15" t="n">
        <v>0.6009271522134163</v>
      </c>
      <c r="AI14" s="15" t="n">
        <v>0.3241007921836123</v>
      </c>
      <c r="AJ14" s="15" t="n">
        <v>0.851647162215676</v>
      </c>
      <c r="AK14" s="15" t="n">
        <v>0.0448597836136224</v>
      </c>
      <c r="AL14" s="15" t="n">
        <v>0.8422700467922708</v>
      </c>
      <c r="AM14" s="15" t="n">
        <v>0.3092077087794432</v>
      </c>
      <c r="AN14" s="15" t="n">
        <v>0.7872340425531914</v>
      </c>
      <c r="AO14" s="15" t="n">
        <v>0.5930538980857476</v>
      </c>
      <c r="AP14" s="15" t="n">
        <v>2.595506255464624</v>
      </c>
      <c r="AQ14" s="15" t="n">
        <v>0.6673957705693476</v>
      </c>
      <c r="AR14" s="15" t="n">
        <v>3401.961775520417</v>
      </c>
      <c r="AS14" s="15" t="n">
        <v>0.7538217295326222</v>
      </c>
      <c r="AT14" s="15" t="n">
        <v>2.252338645661265</v>
      </c>
      <c r="AU14" s="15" t="n">
        <v>0.2984544518357379</v>
      </c>
      <c r="AV14" s="15" t="n">
        <v>0.04471315796762099</v>
      </c>
      <c r="AW14" s="19" t="n">
        <v>0.9396898456621892</v>
      </c>
      <c r="AX14" s="19" t="n">
        <v>8.878956385201809e-07</v>
      </c>
      <c r="AY14" s="19" t="n">
        <v>0.9999990551192995</v>
      </c>
      <c r="AZ14" s="19" t="n">
        <v>0</v>
      </c>
      <c r="BA14" s="19" t="n">
        <v>9.448807004390244e-07</v>
      </c>
    </row>
    <row r="15">
      <c r="A15" t="inlineStr">
        <is>
          <t>F3</t>
        </is>
      </c>
      <c r="B15" t="n">
        <v>53</v>
      </c>
      <c r="C15" s="15" t="n">
        <v>0.0163618208007178</v>
      </c>
      <c r="D15" s="15" t="n">
        <v>122.1384575347923</v>
      </c>
      <c r="E15" s="15" t="n">
        <v>0.6089401825943098</v>
      </c>
      <c r="F15" s="15" t="n">
        <v>0.8698397872409609</v>
      </c>
      <c r="G15" s="19" t="n">
        <v>0.05643986451741183</v>
      </c>
      <c r="H15" s="15" t="n">
        <v>0.6148888640453856</v>
      </c>
      <c r="I15" s="15" t="n">
        <v>75</v>
      </c>
      <c r="J15" s="15" t="n">
        <v>114</v>
      </c>
      <c r="K15" s="15" t="n">
        <v>0.6578947368421053</v>
      </c>
      <c r="L15" t="n">
        <v>75</v>
      </c>
      <c r="M15" t="n">
        <v>114</v>
      </c>
      <c r="N15" t="n">
        <v>0.6578947368421053</v>
      </c>
      <c r="O15" t="n">
        <v>67</v>
      </c>
      <c r="P15" t="n">
        <v>0</v>
      </c>
      <c r="Q15" s="15" t="n">
        <v>74.52678724179154</v>
      </c>
      <c r="R15" s="15" t="n">
        <v>47.68456238247896</v>
      </c>
      <c r="S15" s="15" t="n">
        <v>0.6212341631174995</v>
      </c>
      <c r="T15" s="15" t="n">
        <v>48.43679756268789</v>
      </c>
      <c r="U15" s="15" t="n">
        <v>35.71972403226484</v>
      </c>
      <c r="V15" s="15" t="n">
        <v>0</v>
      </c>
      <c r="W15" t="n">
        <v>1</v>
      </c>
      <c r="X15" t="n">
        <v>0.5</v>
      </c>
      <c r="Y15" t="n">
        <v>0.25</v>
      </c>
      <c r="Z15" t="inlineStr">
        <is>
          <t>his_note_adaptive</t>
        </is>
      </c>
      <c r="AA15" t="n">
        <v>-90</v>
      </c>
      <c r="AB15" t="n">
        <v>20000</v>
      </c>
      <c r="AC15" s="15" t="n">
        <v>0.6578947368421053</v>
      </c>
      <c r="AD15" s="15" t="n">
        <v>0.5583333333333333</v>
      </c>
      <c r="AE15" t="n">
        <v>11.20361330222341</v>
      </c>
      <c r="AF15" s="15" t="n">
        <v>10.94608488395408</v>
      </c>
      <c r="AG15" s="15" t="n">
        <v>0.4032174679834413</v>
      </c>
      <c r="AH15" s="15" t="n">
        <v>0.4980057335006902</v>
      </c>
      <c r="AI15" s="15" t="n">
        <v>0.3165439537898824</v>
      </c>
      <c r="AJ15" s="15" t="n">
        <v>0.7709031191957401</v>
      </c>
      <c r="AK15" s="15" t="n">
        <v>0.02282341763077026</v>
      </c>
      <c r="AL15" s="15" t="n">
        <v>0.4568942463722251</v>
      </c>
      <c r="AM15" s="15" t="n">
        <v>0.4817987152034262</v>
      </c>
      <c r="AN15" s="15" t="n">
        <v>0.7021276595744681</v>
      </c>
      <c r="AO15" s="15" t="n">
        <v>0.6196825530684569</v>
      </c>
      <c r="AP15" s="15" t="n">
        <v>2.706000161846109</v>
      </c>
      <c r="AQ15" s="15" t="n">
        <v>0.9896551519546383</v>
      </c>
      <c r="AR15" s="15" t="n">
        <v>4204.501911630484</v>
      </c>
      <c r="AS15" s="15" t="n">
        <v>0.9428796509818652</v>
      </c>
      <c r="AT15" s="15" t="n">
        <v>2.281288700465053</v>
      </c>
      <c r="AU15" s="15" t="n">
        <v>0.3801888134739048</v>
      </c>
      <c r="AV15" s="15" t="n">
        <v>0.04452264790715156</v>
      </c>
      <c r="AW15" s="19" t="n">
        <v>0.9435592197024215</v>
      </c>
      <c r="AX15" s="19" t="n">
        <v>9.157801666369161e-07</v>
      </c>
      <c r="AY15" s="19" t="n">
        <v>0.9999990294416516</v>
      </c>
      <c r="AZ15" s="19" t="n">
        <v>0</v>
      </c>
      <c r="BA15" s="19" t="n">
        <v>9.705583483224798e-07</v>
      </c>
    </row>
    <row r="16">
      <c r="A16" t="inlineStr">
        <is>
          <t>F#3</t>
        </is>
      </c>
      <c r="B16" t="n">
        <v>54</v>
      </c>
      <c r="C16" s="15" t="n">
        <v>0.2466250660241984</v>
      </c>
      <c r="D16" s="15" t="n">
        <v>146.0603572219348</v>
      </c>
      <c r="E16" s="15" t="n">
        <v>0.5334740026700827</v>
      </c>
      <c r="F16" s="15" t="n">
        <v>1.015804846171548</v>
      </c>
      <c r="G16" s="19" t="n">
        <v>0.07100037585519375</v>
      </c>
      <c r="H16" s="15" t="n">
        <v>0.834129576706849</v>
      </c>
      <c r="I16" s="15" t="n">
        <v>75</v>
      </c>
      <c r="J16" s="15" t="n">
        <v>108</v>
      </c>
      <c r="K16" s="15" t="n">
        <v>0.6944444444444444</v>
      </c>
      <c r="L16" t="n">
        <v>75</v>
      </c>
      <c r="M16" t="n">
        <v>108</v>
      </c>
      <c r="N16" t="n">
        <v>0.6944444444444444</v>
      </c>
      <c r="O16" t="n">
        <v>75</v>
      </c>
      <c r="P16" t="n">
        <v>0</v>
      </c>
      <c r="Q16" s="15" t="n">
        <v>75.00000000000001</v>
      </c>
      <c r="R16" s="15" t="n">
        <v>48.76661562711841</v>
      </c>
      <c r="S16" s="15" t="n">
        <v>0.640313631368161</v>
      </c>
      <c r="T16" s="15" t="n">
        <v>49.2946466544251</v>
      </c>
      <c r="U16" s="15" t="n">
        <v>42.78099375318132</v>
      </c>
      <c r="V16" s="15" t="n">
        <v>0</v>
      </c>
      <c r="W16" t="n">
        <v>1</v>
      </c>
      <c r="X16" t="n">
        <v>0.5</v>
      </c>
      <c r="Y16" t="n">
        <v>0.25</v>
      </c>
      <c r="Z16" t="inlineStr">
        <is>
          <t>his_note_adaptive</t>
        </is>
      </c>
      <c r="AA16" t="n">
        <v>-90</v>
      </c>
      <c r="AB16" t="n">
        <v>20000</v>
      </c>
      <c r="AC16" s="15" t="n">
        <v>0.6944444444444444</v>
      </c>
      <c r="AD16" s="15" t="n">
        <v>0.625</v>
      </c>
      <c r="AE16" t="n">
        <v>10.69127023210581</v>
      </c>
      <c r="AF16" s="15" t="n">
        <v>10.614365888706</v>
      </c>
      <c r="AG16" s="15" t="n">
        <v>0.5210496378030994</v>
      </c>
      <c r="AH16" s="15" t="n">
        <v>0.6240044956569978</v>
      </c>
      <c r="AI16" s="15" t="n">
        <v>0.074836660020848</v>
      </c>
      <c r="AJ16" s="15" t="n">
        <v>1</v>
      </c>
      <c r="AK16" s="15" t="n">
        <v>0.1057459888642277</v>
      </c>
      <c r="AL16" s="15" t="n">
        <v>0.9144763711870324</v>
      </c>
      <c r="AM16" s="15" t="n">
        <v>0.5537711158696168</v>
      </c>
      <c r="AN16" s="15" t="n">
        <v>0.8723404255319148</v>
      </c>
      <c r="AO16" s="15" t="n">
        <v>0.5938977087363057</v>
      </c>
      <c r="AP16" s="15" t="n">
        <v>2.572815141251787</v>
      </c>
      <c r="AQ16" s="15" t="n">
        <v>0.6012163343574958</v>
      </c>
      <c r="AR16" s="15" t="n">
        <v>3731.642221247376</v>
      </c>
      <c r="AS16" s="15" t="n">
        <v>0.8314860070025412</v>
      </c>
      <c r="AT16" s="15" t="n">
        <v>2.243221392375823</v>
      </c>
      <c r="AU16" s="15" t="n">
        <v>0.2816891660421222</v>
      </c>
      <c r="AV16" s="15" t="n">
        <v>0.04790458283384203</v>
      </c>
      <c r="AW16" s="19" t="n">
        <v>0.9289989228590375</v>
      </c>
      <c r="AX16" s="19" t="n">
        <v>7.012857688466683e-07</v>
      </c>
      <c r="AY16" s="19" t="n">
        <v>0.9999992451172739</v>
      </c>
      <c r="AZ16" s="19" t="n">
        <v>0</v>
      </c>
      <c r="BA16" s="19" t="n">
        <v>7.548827261283762e-07</v>
      </c>
    </row>
    <row r="17">
      <c r="A17" t="inlineStr">
        <is>
          <t>G3</t>
        </is>
      </c>
      <c r="B17" t="n">
        <v>55</v>
      </c>
      <c r="C17" s="15" t="n">
        <v>-0.1096920907774731</v>
      </c>
      <c r="D17" s="15" t="n">
        <v>117.1991173170478</v>
      </c>
      <c r="E17" s="15" t="n">
        <v>0.5627487645425764</v>
      </c>
      <c r="F17" s="15" t="n">
        <v>0.9072983784614362</v>
      </c>
      <c r="G17" s="19" t="n">
        <v>0.05272224410722395</v>
      </c>
      <c r="H17" s="15" t="n">
        <v>0.613472435934719</v>
      </c>
      <c r="I17" s="15" t="n">
        <v>76</v>
      </c>
      <c r="J17" s="15" t="n">
        <v>102</v>
      </c>
      <c r="K17" s="15" t="n">
        <v>0.7450980392156863</v>
      </c>
      <c r="L17" t="n">
        <v>76</v>
      </c>
      <c r="M17" t="n">
        <v>102</v>
      </c>
      <c r="N17" t="n">
        <v>0.7450980392156863</v>
      </c>
      <c r="O17" t="n">
        <v>71</v>
      </c>
      <c r="P17" t="n">
        <v>0</v>
      </c>
      <c r="Q17" s="15" t="n">
        <v>75.7394579159629</v>
      </c>
      <c r="R17" s="15" t="n">
        <v>48.13367104911237</v>
      </c>
      <c r="S17" s="15" t="n">
        <v>0.6291531399225497</v>
      </c>
      <c r="T17" s="15" t="n">
        <v>48.66646513548837</v>
      </c>
      <c r="U17" s="15" t="n">
        <v>38.44174293091415</v>
      </c>
      <c r="V17" s="15" t="n">
        <v>0</v>
      </c>
      <c r="W17" t="n">
        <v>1</v>
      </c>
      <c r="X17" t="n">
        <v>0.5</v>
      </c>
      <c r="Y17" t="n">
        <v>0.25</v>
      </c>
      <c r="Z17" t="inlineStr">
        <is>
          <t>his_note_adaptive</t>
        </is>
      </c>
      <c r="AA17" t="n">
        <v>-90</v>
      </c>
      <c r="AB17" t="n">
        <v>20000</v>
      </c>
      <c r="AC17" s="15" t="n">
        <v>0.7450980392156863</v>
      </c>
      <c r="AD17" s="15" t="n">
        <v>0.5916666666666667</v>
      </c>
      <c r="AE17" t="n">
        <v>10.24677353534445</v>
      </c>
      <c r="AF17" s="15" t="n">
        <v>10.06477129457182</v>
      </c>
      <c r="AG17" s="15" t="n">
        <v>0.3387121410429741</v>
      </c>
      <c r="AH17" s="15" t="n">
        <v>0.4719897915628025</v>
      </c>
      <c r="AI17" s="15" t="n">
        <v>0.1685995015352593</v>
      </c>
      <c r="AJ17" s="15" t="n">
        <v>0.8296955896047965</v>
      </c>
      <c r="AK17" s="15" t="n">
        <v>0.001651452159829524</v>
      </c>
      <c r="AL17" s="15" t="n">
        <v>0.4539379880356313</v>
      </c>
      <c r="AM17" s="15" t="n">
        <v>0.6535163958517025</v>
      </c>
      <c r="AN17" s="15" t="n">
        <v>0.7872340425531914</v>
      </c>
      <c r="AO17" s="15" t="n">
        <v>0.5511771794372716</v>
      </c>
      <c r="AP17" s="15" t="n">
        <v>2.691287687371772</v>
      </c>
      <c r="AQ17" s="15" t="n">
        <v>0.9467457004019217</v>
      </c>
      <c r="AR17" s="15" t="n">
        <v>4446.974548186871</v>
      </c>
      <c r="AS17" s="15" t="n">
        <v>1</v>
      </c>
      <c r="AT17" s="15" t="n">
        <v>2.279587362297928</v>
      </c>
      <c r="AU17" s="15" t="n">
        <v>0.3688228689897697</v>
      </c>
      <c r="AV17" s="15" t="n">
        <v>0.04287745608407385</v>
      </c>
      <c r="AW17" s="19" t="n">
        <v>0.9472772291980852</v>
      </c>
      <c r="AX17" s="19" t="n">
        <v>5.266946907227811e-07</v>
      </c>
      <c r="AY17" s="19" t="n">
        <v>0.9999994439912819</v>
      </c>
      <c r="AZ17" s="19" t="n">
        <v>0</v>
      </c>
      <c r="BA17" s="19" t="n">
        <v>5.560087180833144e-07</v>
      </c>
    </row>
    <row r="18">
      <c r="A18" t="inlineStr">
        <is>
          <t>G#3</t>
        </is>
      </c>
      <c r="B18" t="n">
        <v>56</v>
      </c>
      <c r="C18" s="15" t="n">
        <v>-0.1287458610947479</v>
      </c>
      <c r="D18" s="15" t="n">
        <v>106.0630604754822</v>
      </c>
      <c r="E18" s="15" t="n">
        <v>0.5217155524283708</v>
      </c>
      <c r="F18" s="15" t="n">
        <v>0.7693373283740114</v>
      </c>
      <c r="G18" s="19" t="n">
        <v>0.1535666534963425</v>
      </c>
      <c r="H18" s="15" t="n">
        <v>0.7645306442929961</v>
      </c>
      <c r="I18" s="15" t="n">
        <v>79</v>
      </c>
      <c r="J18" s="15" t="n">
        <v>96</v>
      </c>
      <c r="K18" s="15" t="n">
        <v>0.8229166666666666</v>
      </c>
      <c r="L18" t="n">
        <v>79</v>
      </c>
      <c r="M18" t="n">
        <v>96</v>
      </c>
      <c r="N18" t="n">
        <v>0.8229166666666666</v>
      </c>
      <c r="O18" t="n">
        <v>80</v>
      </c>
      <c r="P18" t="n">
        <v>0</v>
      </c>
      <c r="Q18" s="15" t="n">
        <v>79.17874818127054</v>
      </c>
      <c r="R18" s="15" t="n">
        <v>49.87497627198775</v>
      </c>
      <c r="S18" s="15" t="n">
        <v>0.6598569688507019</v>
      </c>
      <c r="T18" s="15" t="n">
        <v>50.46997795618358</v>
      </c>
      <c r="U18" s="15" t="n">
        <v>47.14126333673086</v>
      </c>
      <c r="V18" s="15" t="n">
        <v>0</v>
      </c>
      <c r="W18" t="n">
        <v>1</v>
      </c>
      <c r="X18" t="n">
        <v>0.5</v>
      </c>
      <c r="Y18" t="n">
        <v>0.25</v>
      </c>
      <c r="Z18" t="inlineStr">
        <is>
          <t>his_note_adaptive</t>
        </is>
      </c>
      <c r="AA18" t="n">
        <v>-90</v>
      </c>
      <c r="AB18" t="n">
        <v>20000</v>
      </c>
      <c r="AC18" s="15" t="n">
        <v>0.8229166666666666</v>
      </c>
      <c r="AD18" s="15" t="n">
        <v>0.6666666666666666</v>
      </c>
      <c r="AE18" t="n">
        <v>10.6350995322623</v>
      </c>
      <c r="AF18" s="15" t="n">
        <v>10.19293248397912</v>
      </c>
      <c r="AG18" s="15" t="n">
        <v>0.3289617916220282</v>
      </c>
      <c r="AH18" s="15" t="n">
        <v>0.4133351949091054</v>
      </c>
      <c r="AI18" s="15" t="n">
        <v>0.03717603920108874</v>
      </c>
      <c r="AJ18" s="15" t="n">
        <v>0.6131612595461244</v>
      </c>
      <c r="AK18" s="15" t="n">
        <v>0.5759635437528301</v>
      </c>
      <c r="AL18" s="15" t="n">
        <v>0.7692149049558527</v>
      </c>
      <c r="AM18" s="15" t="n">
        <v>0.8067541042112776</v>
      </c>
      <c r="AN18" s="15" t="n">
        <v>0.9787234042553189</v>
      </c>
      <c r="AO18" s="15" t="n">
        <v>0.5611392749627908</v>
      </c>
      <c r="AP18" s="15" t="n">
        <v>2.642594451583289</v>
      </c>
      <c r="AQ18" s="15" t="n">
        <v>0.8047301580364645</v>
      </c>
      <c r="AR18" s="15" t="n">
        <v>998.0240004162467</v>
      </c>
      <c r="AS18" s="15" t="n">
        <v>0.1875154993452997</v>
      </c>
      <c r="AT18" s="15" t="n">
        <v>2.243545399396014</v>
      </c>
      <c r="AU18" s="15" t="n">
        <v>0.3604772022082763</v>
      </c>
      <c r="AV18" s="15" t="n">
        <v>0.03857184997899887</v>
      </c>
      <c r="AW18" s="19" t="n">
        <v>0.8464333465036575</v>
      </c>
      <c r="AX18" s="19" t="n">
        <v>0</v>
      </c>
      <c r="AY18" s="19" t="n">
        <v>1</v>
      </c>
      <c r="AZ18" s="19" t="n">
        <v>0</v>
      </c>
      <c r="BA18" s="19" t="n">
        <v>0</v>
      </c>
    </row>
    <row r="19">
      <c r="A19" t="inlineStr">
        <is>
          <t>A3</t>
        </is>
      </c>
      <c r="B19" t="n">
        <v>57</v>
      </c>
      <c r="C19" s="15" t="n">
        <v>-0.02576340955880504</v>
      </c>
      <c r="D19" s="15" t="n">
        <v>96.6370548068686</v>
      </c>
      <c r="E19" s="15" t="n">
        <v>0.6004740846865249</v>
      </c>
      <c r="F19" s="15" t="n">
        <v>0.7689669095827695</v>
      </c>
      <c r="G19" s="19" t="n">
        <v>0.1446635350582265</v>
      </c>
      <c r="H19" s="15" t="n">
        <v>0.7504627258332914</v>
      </c>
      <c r="I19" s="15" t="n">
        <v>65</v>
      </c>
      <c r="J19" s="15" t="n">
        <v>91</v>
      </c>
      <c r="K19" s="15" t="n">
        <v>0.7142857142857143</v>
      </c>
      <c r="L19" t="n">
        <v>65</v>
      </c>
      <c r="M19" t="n">
        <v>91</v>
      </c>
      <c r="N19" t="n">
        <v>0.7142857142857143</v>
      </c>
      <c r="O19" t="n">
        <v>75</v>
      </c>
      <c r="P19" t="n">
        <v>0</v>
      </c>
      <c r="Q19" s="15" t="n">
        <v>66.75301362962607</v>
      </c>
      <c r="R19" s="15" t="n">
        <v>42.51075748523626</v>
      </c>
      <c r="S19" s="15" t="n">
        <v>0.5300062621236339</v>
      </c>
      <c r="T19" s="15" t="n">
        <v>42.35152287771383</v>
      </c>
      <c r="U19" s="15" t="n">
        <v>43.25987067850307</v>
      </c>
      <c r="V19" s="15" t="n">
        <v>0</v>
      </c>
      <c r="W19" t="n">
        <v>1</v>
      </c>
      <c r="X19" t="n">
        <v>0.5</v>
      </c>
      <c r="Y19" t="n">
        <v>0.25</v>
      </c>
      <c r="Z19" t="inlineStr">
        <is>
          <t>his_note_adaptive</t>
        </is>
      </c>
      <c r="AA19" t="n">
        <v>-90</v>
      </c>
      <c r="AB19" t="n">
        <v>20000</v>
      </c>
      <c r="AC19" s="15" t="n">
        <v>0.7142857142857143</v>
      </c>
      <c r="AD19" s="15" t="n">
        <v>0.625</v>
      </c>
      <c r="AE19" t="n">
        <v>9.852111781654557</v>
      </c>
      <c r="AF19" s="15" t="n">
        <v>9.517921303189111</v>
      </c>
      <c r="AG19" s="15" t="n">
        <v>0.3816608044673077</v>
      </c>
      <c r="AH19" s="15" t="n">
        <v>0.3636875890811286</v>
      </c>
      <c r="AI19" s="15" t="n">
        <v>0.2894282628124271</v>
      </c>
      <c r="AJ19" s="15" t="n">
        <v>0.6125798752731584</v>
      </c>
      <c r="AK19" s="15" t="n">
        <v>0.5252600034884911</v>
      </c>
      <c r="AL19" s="15" t="n">
        <v>0.7398534421948141</v>
      </c>
      <c r="AM19" s="15" t="n">
        <v>0.5928418476598348</v>
      </c>
      <c r="AN19" s="15" t="n">
        <v>0.8723404255319148</v>
      </c>
      <c r="AO19" s="15" t="n">
        <v>0.5086699908142739</v>
      </c>
      <c r="AP19" s="15" t="n">
        <v>2.60931319421254</v>
      </c>
      <c r="AQ19" s="15" t="n">
        <v>0.7076641951860521</v>
      </c>
      <c r="AR19" s="15" t="n">
        <v>984.5501986727672</v>
      </c>
      <c r="AS19" s="15" t="n">
        <v>0.1843414164091012</v>
      </c>
      <c r="AT19" s="15" t="n">
        <v>2.222049108497984</v>
      </c>
      <c r="AU19" s="15" t="n">
        <v>0.3489438242360209</v>
      </c>
      <c r="AV19" s="15" t="n">
        <v>0.03832026147853606</v>
      </c>
      <c r="AW19" s="19" t="n">
        <v>0.8553364649417736</v>
      </c>
      <c r="AX19" s="19" t="n">
        <v>0</v>
      </c>
      <c r="AY19" s="19" t="n">
        <v>1</v>
      </c>
      <c r="AZ19" s="19" t="n">
        <v>0</v>
      </c>
      <c r="BA19" s="19" t="n">
        <v>0</v>
      </c>
    </row>
    <row r="20">
      <c r="A20" t="inlineStr">
        <is>
          <t>A#3</t>
        </is>
      </c>
      <c r="B20" t="n">
        <v>58</v>
      </c>
      <c r="C20" s="15" t="n">
        <v>-0.2341416550960549</v>
      </c>
      <c r="D20" s="15" t="n">
        <v>85.90754104658173</v>
      </c>
      <c r="E20" s="15" t="n">
        <v>0.5782509375051196</v>
      </c>
      <c r="F20" s="15" t="n">
        <v>0.716299863911721</v>
      </c>
      <c r="G20" s="19" t="n">
        <v>0.1607236656926391</v>
      </c>
      <c r="H20" s="15" t="n">
        <v>0.6094069143280071</v>
      </c>
      <c r="I20" s="15" t="n">
        <v>64</v>
      </c>
      <c r="J20" s="15" t="n">
        <v>85</v>
      </c>
      <c r="K20" s="15" t="n">
        <v>0.7529411764705882</v>
      </c>
      <c r="L20" t="n">
        <v>64</v>
      </c>
      <c r="M20" t="n">
        <v>85</v>
      </c>
      <c r="N20" t="n">
        <v>0.7529411764705882</v>
      </c>
      <c r="O20" t="n">
        <v>69</v>
      </c>
      <c r="P20" t="n">
        <v>0</v>
      </c>
      <c r="Q20" s="15" t="n">
        <v>64.87978313757107</v>
      </c>
      <c r="R20" s="15" t="n">
        <v>40.88837209663841</v>
      </c>
      <c r="S20" s="15" t="n">
        <v>0.5013993052428717</v>
      </c>
      <c r="T20" s="15" t="n">
        <v>41.431474134265</v>
      </c>
      <c r="U20" s="15" t="n">
        <v>38.34490646529373</v>
      </c>
      <c r="V20" s="15" t="n">
        <v>0</v>
      </c>
      <c r="W20" t="n">
        <v>1</v>
      </c>
      <c r="X20" t="n">
        <v>0.5</v>
      </c>
      <c r="Y20" t="n">
        <v>0.25</v>
      </c>
      <c r="Z20" t="inlineStr">
        <is>
          <t>his_note_adaptive</t>
        </is>
      </c>
      <c r="AA20" t="n">
        <v>-90</v>
      </c>
      <c r="AB20" t="n">
        <v>20000</v>
      </c>
      <c r="AC20" s="15" t="n">
        <v>0.7529411764705882</v>
      </c>
      <c r="AD20" s="15" t="n">
        <v>0.575</v>
      </c>
      <c r="AE20" t="n">
        <v>9.010895605441517</v>
      </c>
      <c r="AF20" s="15" t="n">
        <v>8.623829095775594</v>
      </c>
      <c r="AG20" s="15" t="n">
        <v>0.2750278036554011</v>
      </c>
      <c r="AH20" s="15" t="n">
        <v>0.3071742908056645</v>
      </c>
      <c r="AI20" s="15" t="n">
        <v>0.2182507264691042</v>
      </c>
      <c r="AJ20" s="15" t="n">
        <v>0.5299172437309716</v>
      </c>
      <c r="AK20" s="15" t="n">
        <v>0.6167229539066584</v>
      </c>
      <c r="AL20" s="15" t="n">
        <v>0.445452748261063</v>
      </c>
      <c r="AM20" s="15" t="n">
        <v>0.6689608263005415</v>
      </c>
      <c r="AN20" s="15" t="n">
        <v>0.7446808510638296</v>
      </c>
      <c r="AO20" s="15" t="n">
        <v>0.4391713226131786</v>
      </c>
      <c r="AP20" s="15" t="n">
        <v>2.661430508097722</v>
      </c>
      <c r="AQ20" s="15" t="n">
        <v>0.8596661822831074</v>
      </c>
      <c r="AR20" s="15" t="n">
        <v>1016.997522615676</v>
      </c>
      <c r="AS20" s="15" t="n">
        <v>0.1919851756994095</v>
      </c>
      <c r="AT20" s="15" t="n">
        <v>2.235617460477866</v>
      </c>
      <c r="AU20" s="15" t="n">
        <v>0.3890910403511758</v>
      </c>
      <c r="AV20" s="15" t="n">
        <v>0.03672200726868003</v>
      </c>
      <c r="AW20" s="19" t="n">
        <v>0.839275345157529</v>
      </c>
      <c r="AX20" s="19" t="n">
        <v>9.891498319781117e-07</v>
      </c>
      <c r="AY20" s="19" t="n">
        <v>0.9999988214253261</v>
      </c>
      <c r="AZ20" s="19" t="n">
        <v>0</v>
      </c>
      <c r="BA20" s="19" t="n">
        <v>1.178574673852133e-06</v>
      </c>
    </row>
    <row r="21">
      <c r="A21" t="inlineStr">
        <is>
          <t>B3</t>
        </is>
      </c>
      <c r="B21" t="n">
        <v>59</v>
      </c>
      <c r="C21" s="15" t="n">
        <v>-0.3959876498948626</v>
      </c>
      <c r="D21" s="15" t="n">
        <v>79.46205251196665</v>
      </c>
      <c r="E21" s="15" t="n">
        <v>0.5823037966765411</v>
      </c>
      <c r="F21" s="15" t="n">
        <v>0.7555779150785746</v>
      </c>
      <c r="G21" s="19" t="n">
        <v>0.1199663136815235</v>
      </c>
      <c r="H21" s="15" t="n">
        <v>0.5950032469642753</v>
      </c>
      <c r="I21" s="15" t="n">
        <v>62</v>
      </c>
      <c r="J21" s="15" t="n">
        <v>80</v>
      </c>
      <c r="K21" s="15" t="n">
        <v>0.775</v>
      </c>
      <c r="L21" t="n">
        <v>62</v>
      </c>
      <c r="M21" t="n">
        <v>80</v>
      </c>
      <c r="N21" t="n">
        <v>0.775</v>
      </c>
      <c r="O21" t="n">
        <v>61</v>
      </c>
      <c r="P21" t="n">
        <v>0</v>
      </c>
      <c r="Q21" s="15" t="n">
        <v>61.89321026485037</v>
      </c>
      <c r="R21" s="15" t="n">
        <v>39.66063029413826</v>
      </c>
      <c r="S21" s="15" t="n">
        <v>0.4797509613588173</v>
      </c>
      <c r="T21" s="15" t="n">
        <v>40.55074974152413</v>
      </c>
      <c r="U21" s="15" t="n">
        <v>32.21549686222092</v>
      </c>
      <c r="V21" s="15" t="n">
        <v>0</v>
      </c>
      <c r="W21" t="n">
        <v>1</v>
      </c>
      <c r="X21" t="n">
        <v>0.5</v>
      </c>
      <c r="Y21" t="n">
        <v>0.25</v>
      </c>
      <c r="Z21" t="inlineStr">
        <is>
          <t>his_note_adaptive</t>
        </is>
      </c>
      <c r="AA21" t="n">
        <v>-90</v>
      </c>
      <c r="AB21" t="n">
        <v>20000</v>
      </c>
      <c r="AC21" s="15" t="n">
        <v>0.775</v>
      </c>
      <c r="AD21" s="15" t="n">
        <v>0.5083333333333333</v>
      </c>
      <c r="AE21" t="n">
        <v>8.478854245868163</v>
      </c>
      <c r="AF21" s="15" t="n">
        <v>8.29327453948655</v>
      </c>
      <c r="AG21" s="15" t="n">
        <v>0.1922066624643452</v>
      </c>
      <c r="AH21" s="15" t="n">
        <v>0.2732253324254623</v>
      </c>
      <c r="AI21" s="15" t="n">
        <v>0.2312314500638971</v>
      </c>
      <c r="AJ21" s="15" t="n">
        <v>0.5915654153709767</v>
      </c>
      <c r="AK21" s="15" t="n">
        <v>0.3846085489228785</v>
      </c>
      <c r="AL21" s="15" t="n">
        <v>0.4153905365604504</v>
      </c>
      <c r="AM21" s="15" t="n">
        <v>0.7123982869379015</v>
      </c>
      <c r="AN21" s="15" t="n">
        <v>0.5744680851063828</v>
      </c>
      <c r="AO21" s="15" t="n">
        <v>0.4134769912685956</v>
      </c>
      <c r="AP21" s="15" t="n">
        <v>2.634717199799915</v>
      </c>
      <c r="AQ21" s="15" t="n">
        <v>0.7817558749301917</v>
      </c>
      <c r="AR21" s="15" t="n">
        <v>1061.138394089166</v>
      </c>
      <c r="AS21" s="15" t="n">
        <v>0.2023836355847749</v>
      </c>
      <c r="AT21" s="15" t="n">
        <v>2.238436108032106</v>
      </c>
      <c r="AU21" s="15" t="n">
        <v>0.363597745166895</v>
      </c>
      <c r="AV21" s="15" t="n">
        <v>0.0326833466009148</v>
      </c>
      <c r="AW21" s="19" t="n">
        <v>0.8800336863184764</v>
      </c>
      <c r="AX21" s="19" t="n">
        <v>0</v>
      </c>
      <c r="AY21" s="19" t="n">
        <v>1</v>
      </c>
      <c r="AZ21" s="19" t="n">
        <v>0</v>
      </c>
      <c r="BA21" s="19" t="n">
        <v>0</v>
      </c>
    </row>
    <row r="22">
      <c r="A22" t="inlineStr">
        <is>
          <t>C4</t>
        </is>
      </c>
      <c r="B22" t="n">
        <v>60</v>
      </c>
      <c r="C22" s="15" t="n">
        <v>-0.6334436916960943</v>
      </c>
      <c r="D22" s="15" t="n">
        <v>70.95005295097775</v>
      </c>
      <c r="E22" s="15" t="n">
        <v>0.5575891587292788</v>
      </c>
      <c r="F22" s="15" t="n">
        <v>0.7021951540838988</v>
      </c>
      <c r="G22" s="19" t="n">
        <v>0.123117414421062</v>
      </c>
      <c r="H22" s="15" t="n">
        <v>0.556679542501815</v>
      </c>
      <c r="I22" s="15" t="n">
        <v>70</v>
      </c>
      <c r="J22" s="15" t="n">
        <v>76</v>
      </c>
      <c r="K22" s="15" t="n">
        <v>0.9210526315789473</v>
      </c>
      <c r="L22" t="n">
        <v>70</v>
      </c>
      <c r="M22" t="n">
        <v>76</v>
      </c>
      <c r="N22" t="n">
        <v>0.9210526315789473</v>
      </c>
      <c r="O22" t="n">
        <v>56</v>
      </c>
      <c r="P22" t="n">
        <v>0</v>
      </c>
      <c r="Q22" s="15" t="n">
        <v>68.75600794666431</v>
      </c>
      <c r="R22" s="15" t="n">
        <v>41.62199616083726</v>
      </c>
      <c r="S22" s="15" t="n">
        <v>0.5143350430267061</v>
      </c>
      <c r="T22" s="15" t="n">
        <v>42.8427686143222</v>
      </c>
      <c r="U22" s="15" t="n">
        <v>29.10408410829083</v>
      </c>
      <c r="V22" s="15" t="n">
        <v>0</v>
      </c>
      <c r="W22" t="n">
        <v>1</v>
      </c>
      <c r="X22" t="n">
        <v>0.5</v>
      </c>
      <c r="Y22" t="n">
        <v>0.25</v>
      </c>
      <c r="Z22" t="inlineStr">
        <is>
          <t>his_note_adaptive</t>
        </is>
      </c>
      <c r="AA22" t="n">
        <v>-90</v>
      </c>
      <c r="AB22" t="n">
        <v>20000</v>
      </c>
      <c r="AC22" s="15" t="n">
        <v>0.9210526315789473</v>
      </c>
      <c r="AD22" s="15" t="n">
        <v>0.4666666666666667</v>
      </c>
      <c r="AE22" t="n">
        <v>7.158063049447263</v>
      </c>
      <c r="AF22" s="15" t="n">
        <v>7.026401711199237</v>
      </c>
      <c r="AG22" s="15" t="n">
        <v>0.07069373661692736</v>
      </c>
      <c r="AH22" s="15" t="n">
        <v>0.2283918776335721</v>
      </c>
      <c r="AI22" s="15" t="n">
        <v>0.152074028014547</v>
      </c>
      <c r="AJ22" s="15" t="n">
        <v>0.5077794454806389</v>
      </c>
      <c r="AK22" s="15" t="n">
        <v>0.4025541670043098</v>
      </c>
      <c r="AL22" s="15" t="n">
        <v>0.3354042880857632</v>
      </c>
      <c r="AM22" s="15" t="n">
        <v>1</v>
      </c>
      <c r="AN22" s="15" t="n">
        <v>0.4680851063829787</v>
      </c>
      <c r="AO22" s="15" t="n">
        <v>0.3150017181188296</v>
      </c>
      <c r="AP22" s="15" t="n">
        <v>2.620197986184917</v>
      </c>
      <c r="AQ22" s="15" t="n">
        <v>0.7394100755010732</v>
      </c>
      <c r="AR22" s="15" t="n">
        <v>956.1242095869538</v>
      </c>
      <c r="AS22" s="15" t="n">
        <v>0.1776449807171102</v>
      </c>
      <c r="AT22" s="15" t="n">
        <v>2.225597439066747</v>
      </c>
      <c r="AU22" s="15" t="n">
        <v>0.3615309804436635</v>
      </c>
      <c r="AV22" s="15" t="n">
        <v>0.03306956667450574</v>
      </c>
      <c r="AW22" s="19" t="n">
        <v>0.8768820560860309</v>
      </c>
      <c r="AX22" s="19" t="n">
        <v>5.294929071856865e-07</v>
      </c>
      <c r="AY22" s="19" t="n">
        <v>0.9999993961644171</v>
      </c>
      <c r="AZ22" s="19" t="n">
        <v>0</v>
      </c>
      <c r="BA22" s="19" t="n">
        <v>6.038355828860522e-07</v>
      </c>
    </row>
    <row r="23">
      <c r="A23" t="inlineStr">
        <is>
          <t>C#4</t>
        </is>
      </c>
      <c r="B23" t="n">
        <v>61</v>
      </c>
      <c r="C23" s="15" t="n">
        <v>-0.5070182391088666</v>
      </c>
      <c r="D23" s="15" t="n">
        <v>77.18683178298133</v>
      </c>
      <c r="E23" s="15" t="n">
        <v>0.5363986316950947</v>
      </c>
      <c r="F23" s="15" t="n">
        <v>0.8016914045250837</v>
      </c>
      <c r="G23" s="19" t="n">
        <v>0.1179869622755641</v>
      </c>
      <c r="H23" s="15" t="n">
        <v>0.5947054800565512</v>
      </c>
      <c r="I23" s="15" t="n">
        <v>63</v>
      </c>
      <c r="J23" s="15" t="n">
        <v>72</v>
      </c>
      <c r="K23" s="15" t="n">
        <v>0.875</v>
      </c>
      <c r="L23" t="n">
        <v>63</v>
      </c>
      <c r="M23" t="n">
        <v>72</v>
      </c>
      <c r="N23" t="n">
        <v>0.875</v>
      </c>
      <c r="O23" t="n">
        <v>58</v>
      </c>
      <c r="P23" t="n">
        <v>0</v>
      </c>
      <c r="Q23" s="15" t="n">
        <v>62.54950954271271</v>
      </c>
      <c r="R23" s="15" t="n">
        <v>39.61001738737033</v>
      </c>
      <c r="S23" s="15" t="n">
        <v>0.4788585215897612</v>
      </c>
      <c r="T23" s="15" t="n">
        <v>40.51243579811419</v>
      </c>
      <c r="U23" s="15" t="n">
        <v>30.49648100766268</v>
      </c>
      <c r="V23" s="15" t="n">
        <v>0</v>
      </c>
      <c r="W23" t="n">
        <v>1</v>
      </c>
      <c r="X23" t="n">
        <v>0.5</v>
      </c>
      <c r="Y23" t="n">
        <v>0.25</v>
      </c>
      <c r="Z23" t="inlineStr">
        <is>
          <t>his_note_adaptive</t>
        </is>
      </c>
      <c r="AA23" t="n">
        <v>-90</v>
      </c>
      <c r="AB23" t="n">
        <v>20000</v>
      </c>
      <c r="AC23" s="15" t="n">
        <v>0.875</v>
      </c>
      <c r="AD23" s="15" t="n">
        <v>0.4833333333333333</v>
      </c>
      <c r="AE23" t="n">
        <v>8.43538217989804</v>
      </c>
      <c r="AF23" s="15" t="n">
        <v>8.201840055588329</v>
      </c>
      <c r="AG23" s="15" t="n">
        <v>0.1353891915269247</v>
      </c>
      <c r="AH23" s="15" t="n">
        <v>0.261241543544406</v>
      </c>
      <c r="AI23" s="15" t="n">
        <v>0.08420382512213971</v>
      </c>
      <c r="AJ23" s="15" t="n">
        <v>0.66394202846315</v>
      </c>
      <c r="AK23" s="15" t="n">
        <v>0.3733360802472204</v>
      </c>
      <c r="AL23" s="15" t="n">
        <v>0.4147690606827182</v>
      </c>
      <c r="AM23" s="15" t="n">
        <v>0.9093147751605996</v>
      </c>
      <c r="AN23" s="15" t="n">
        <v>0.5106382978723403</v>
      </c>
      <c r="AO23" s="15" t="n">
        <v>0.4063696987478792</v>
      </c>
      <c r="AP23" s="15" t="n">
        <v>2.62880989364166</v>
      </c>
      <c r="AQ23" s="15" t="n">
        <v>0.7645270078319449</v>
      </c>
      <c r="AR23" s="15" t="n">
        <v>1119.191980057101</v>
      </c>
      <c r="AS23" s="15" t="n">
        <v>0.2160595750199927</v>
      </c>
      <c r="AT23" s="15" t="n">
        <v>2.225113619554089</v>
      </c>
      <c r="AU23" s="15" t="n">
        <v>0.3698364231560345</v>
      </c>
      <c r="AV23" s="15" t="n">
        <v>0.03385985093153661</v>
      </c>
      <c r="AW23" s="19" t="n">
        <v>0.882013037724436</v>
      </c>
      <c r="AX23" s="19" t="n">
        <v>0</v>
      </c>
      <c r="AY23" s="19" t="n">
        <v>1</v>
      </c>
      <c r="AZ23" s="19" t="n">
        <v>0</v>
      </c>
      <c r="BA23" s="19" t="n">
        <v>0</v>
      </c>
    </row>
    <row r="24">
      <c r="A24" t="inlineStr">
        <is>
          <t>D4</t>
        </is>
      </c>
      <c r="B24" t="n">
        <v>62</v>
      </c>
      <c r="C24" s="15" t="n">
        <v>-0.552600114193756</v>
      </c>
      <c r="D24" s="15" t="n">
        <v>76.33573144780534</v>
      </c>
      <c r="E24" s="15" t="n">
        <v>0.5101083989185543</v>
      </c>
      <c r="F24" s="15" t="n">
        <v>0.8341031832615391</v>
      </c>
      <c r="G24" s="19" t="n">
        <v>0.1122801384308615</v>
      </c>
      <c r="H24" s="15" t="n">
        <v>0.5890137925483863</v>
      </c>
      <c r="I24" s="15" t="n">
        <v>57</v>
      </c>
      <c r="J24" s="15" t="n">
        <v>68</v>
      </c>
      <c r="K24" s="15" t="n">
        <v>0.8382352941176471</v>
      </c>
      <c r="L24" t="n">
        <v>57</v>
      </c>
      <c r="M24" t="n">
        <v>68</v>
      </c>
      <c r="N24" t="n">
        <v>0.8382352941176471</v>
      </c>
      <c r="O24" t="n">
        <v>60</v>
      </c>
      <c r="P24" t="n">
        <v>0</v>
      </c>
      <c r="Q24" s="15" t="n">
        <v>57.27434487199521</v>
      </c>
      <c r="R24" s="15" t="n">
        <v>36.60079229130351</v>
      </c>
      <c r="S24" s="15" t="n">
        <v>0.4257979028411603</v>
      </c>
      <c r="T24" s="15" t="n">
        <v>37.03533891381043</v>
      </c>
      <c r="U24" s="15" t="n">
        <v>32.28351010053651</v>
      </c>
      <c r="V24" s="15" t="n">
        <v>0</v>
      </c>
      <c r="W24" t="n">
        <v>1</v>
      </c>
      <c r="X24" t="n">
        <v>0.5</v>
      </c>
      <c r="Y24" t="n">
        <v>0.25</v>
      </c>
      <c r="Z24" t="inlineStr">
        <is>
          <t>his_note_adaptive</t>
        </is>
      </c>
      <c r="AA24" t="n">
        <v>-90</v>
      </c>
      <c r="AB24" t="n">
        <v>20000</v>
      </c>
      <c r="AC24" s="15" t="n">
        <v>0.8382352941176471</v>
      </c>
      <c r="AD24" s="15" t="n">
        <v>0.5</v>
      </c>
      <c r="AE24" t="n">
        <v>8.630299449276249</v>
      </c>
      <c r="AF24" s="15" t="n">
        <v>8.381853390426199</v>
      </c>
      <c r="AG24" s="15" t="n">
        <v>0.1120636658205171</v>
      </c>
      <c r="AH24" s="15" t="n">
        <v>0.2567587227774319</v>
      </c>
      <c r="AI24" s="15" t="n">
        <v>0</v>
      </c>
      <c r="AJ24" s="15" t="n">
        <v>0.7148133634541555</v>
      </c>
      <c r="AK24" s="15" t="n">
        <v>0.3408355384873157</v>
      </c>
      <c r="AL24" s="15" t="n">
        <v>0.4028898142044895</v>
      </c>
      <c r="AM24" s="15" t="n">
        <v>0.8369190074316665</v>
      </c>
      <c r="AN24" s="15" t="n">
        <v>0.553191489361702</v>
      </c>
      <c r="AO24" s="15" t="n">
        <v>0.4203623126258835</v>
      </c>
      <c r="AP24" s="15" t="n">
        <v>2.613804223562382</v>
      </c>
      <c r="AQ24" s="15" t="n">
        <v>0.7207624409396818</v>
      </c>
      <c r="AR24" s="15" t="n">
        <v>1206.429227063567</v>
      </c>
      <c r="AS24" s="15" t="n">
        <v>0.236610438272687</v>
      </c>
      <c r="AT24" s="15" t="n">
        <v>2.210075182719304</v>
      </c>
      <c r="AU24" s="15" t="n">
        <v>0.3709381836029553</v>
      </c>
      <c r="AV24" s="15" t="n">
        <v>0.03279085724012236</v>
      </c>
      <c r="AW24" s="19" t="n">
        <v>0.8877198615691385</v>
      </c>
      <c r="AX24" s="19" t="n">
        <v>0</v>
      </c>
      <c r="AY24" s="19" t="n">
        <v>1</v>
      </c>
      <c r="AZ24" s="19" t="n">
        <v>0</v>
      </c>
      <c r="BA24" s="19" t="n">
        <v>0</v>
      </c>
    </row>
    <row r="25">
      <c r="A25" t="inlineStr">
        <is>
          <t>D#4</t>
        </is>
      </c>
      <c r="B25" t="n">
        <v>63</v>
      </c>
      <c r="C25" s="15" t="n">
        <v>-0.4551643115474869</v>
      </c>
      <c r="D25" s="15" t="n">
        <v>68.99359730655857</v>
      </c>
      <c r="E25" s="15" t="n">
        <v>0.5734269969776787</v>
      </c>
      <c r="F25" s="15" t="n">
        <v>0.7997279159563777</v>
      </c>
      <c r="G25" s="19" t="n">
        <v>0.1224275078420885</v>
      </c>
      <c r="H25" s="15" t="n">
        <v>0.5833049238424285</v>
      </c>
      <c r="I25" s="15" t="n">
        <v>46</v>
      </c>
      <c r="J25" s="15" t="n">
        <v>64</v>
      </c>
      <c r="K25" s="15" t="n">
        <v>0.71875</v>
      </c>
      <c r="L25" t="n">
        <v>46</v>
      </c>
      <c r="M25" t="n">
        <v>64</v>
      </c>
      <c r="N25" t="n">
        <v>0.71875</v>
      </c>
      <c r="O25" t="n">
        <v>56</v>
      </c>
      <c r="P25" t="n">
        <v>0</v>
      </c>
      <c r="Q25" s="15" t="n">
        <v>47.07514335941859</v>
      </c>
      <c r="R25" s="15" t="n">
        <v>30.51813467607584</v>
      </c>
      <c r="S25" s="15" t="n">
        <v>0.3185445182001386</v>
      </c>
      <c r="T25" s="15" t="n">
        <v>30.64912459226327</v>
      </c>
      <c r="U25" s="15" t="n">
        <v>29.43077622002139</v>
      </c>
      <c r="V25" s="15" t="n">
        <v>0</v>
      </c>
      <c r="W25" t="n">
        <v>1</v>
      </c>
      <c r="X25" t="n">
        <v>0.5</v>
      </c>
      <c r="Y25" t="n">
        <v>0.25</v>
      </c>
      <c r="Z25" t="inlineStr">
        <is>
          <t>his_note_adaptive</t>
        </is>
      </c>
      <c r="AA25" t="n">
        <v>-90</v>
      </c>
      <c r="AB25" t="n">
        <v>20000</v>
      </c>
      <c r="AC25" s="15" t="n">
        <v>0.71875</v>
      </c>
      <c r="AD25" s="15" t="n">
        <v>0.4666666666666667</v>
      </c>
      <c r="AE25" t="n">
        <v>8.047829657337223</v>
      </c>
      <c r="AF25" s="15" t="n">
        <v>7.843085192505654</v>
      </c>
      <c r="AG25" s="15" t="n">
        <v>0.1619243026441969</v>
      </c>
      <c r="AH25" s="15" t="n">
        <v>0.2180870526558538</v>
      </c>
      <c r="AI25" s="15" t="n">
        <v>0.2028003404635953</v>
      </c>
      <c r="AJ25" s="15" t="n">
        <v>0.6608602696512738</v>
      </c>
      <c r="AK25" s="15" t="n">
        <v>0.3986251272808957</v>
      </c>
      <c r="AL25" s="15" t="n">
        <v>0.3909747084695679</v>
      </c>
      <c r="AM25" s="15" t="n">
        <v>0.6016327623126337</v>
      </c>
      <c r="AN25" s="15" t="n">
        <v>0.4680851063829787</v>
      </c>
      <c r="AO25" s="15" t="n">
        <v>0.3784833297714178</v>
      </c>
      <c r="AP25" s="15" t="n">
        <v>2.582231907648556</v>
      </c>
      <c r="AQ25" s="15" t="n">
        <v>0.6286806662202443</v>
      </c>
      <c r="AR25" s="15" t="n">
        <v>1210.754448759857</v>
      </c>
      <c r="AS25" s="15" t="n">
        <v>0.237629349834757</v>
      </c>
      <c r="AT25" s="15" t="n">
        <v>2.188072109124729</v>
      </c>
      <c r="AU25" s="15" t="n">
        <v>0.3607906631951999</v>
      </c>
      <c r="AV25" s="15" t="n">
        <v>0.03336913532862671</v>
      </c>
      <c r="AW25" s="19" t="n">
        <v>0.8775724921579116</v>
      </c>
      <c r="AX25" s="19" t="n">
        <v>0</v>
      </c>
      <c r="AY25" s="19" t="n">
        <v>1</v>
      </c>
      <c r="AZ25" s="19" t="n">
        <v>0</v>
      </c>
      <c r="BA25" s="19" t="n">
        <v>0</v>
      </c>
    </row>
    <row r="26">
      <c r="A26" t="inlineStr">
        <is>
          <t>E4</t>
        </is>
      </c>
      <c r="B26" t="n">
        <v>64</v>
      </c>
      <c r="C26" s="15" t="n">
        <v>-0.5280525565762021</v>
      </c>
      <c r="D26" s="15" t="n">
        <v>63.59045529738221</v>
      </c>
      <c r="E26" s="15" t="n">
        <v>0.5579797526443528</v>
      </c>
      <c r="F26" s="15" t="n">
        <v>0.8033203752688487</v>
      </c>
      <c r="G26" s="19" t="n">
        <v>0.134523244695609</v>
      </c>
      <c r="H26" s="15" t="n">
        <v>0.6821736226847314</v>
      </c>
      <c r="I26" s="15" t="n">
        <v>48</v>
      </c>
      <c r="J26" s="15" t="n">
        <v>60</v>
      </c>
      <c r="K26" s="15" t="n">
        <v>0.8</v>
      </c>
      <c r="L26" t="n">
        <v>48</v>
      </c>
      <c r="M26" t="n">
        <v>60</v>
      </c>
      <c r="N26" t="n">
        <v>0.8</v>
      </c>
      <c r="O26" t="n">
        <v>52</v>
      </c>
      <c r="P26" t="n">
        <v>0</v>
      </c>
      <c r="Q26" s="15" t="n">
        <v>48.40669289774077</v>
      </c>
      <c r="R26" s="15" t="n">
        <v>31.21672887026386</v>
      </c>
      <c r="S26" s="15" t="n">
        <v>0.3308625864783296</v>
      </c>
      <c r="T26" s="15" t="n">
        <v>31.75336008981481</v>
      </c>
      <c r="U26" s="15" t="n">
        <v>26.47536067028238</v>
      </c>
      <c r="V26" s="15" t="n">
        <v>0</v>
      </c>
      <c r="W26" t="n">
        <v>1</v>
      </c>
      <c r="X26" t="n">
        <v>0.5</v>
      </c>
      <c r="Y26" t="n">
        <v>0.25</v>
      </c>
      <c r="Z26" t="inlineStr">
        <is>
          <t>his_note_adaptive</t>
        </is>
      </c>
      <c r="AA26" t="n">
        <v>-90</v>
      </c>
      <c r="AB26" t="n">
        <v>20000</v>
      </c>
      <c r="AC26" s="15" t="n">
        <v>0.8</v>
      </c>
      <c r="AD26" s="15" t="n">
        <v>0.4333333333333333</v>
      </c>
      <c r="AE26" t="n">
        <v>7.749079915424287</v>
      </c>
      <c r="AF26" s="15" t="n">
        <v>7.598685349837814</v>
      </c>
      <c r="AG26" s="15" t="n">
        <v>0.1246253405030839</v>
      </c>
      <c r="AH26" s="15" t="n">
        <v>0.1896282256473586</v>
      </c>
      <c r="AI26" s="15" t="n">
        <v>0.1533250440096587</v>
      </c>
      <c r="AJ26" s="15" t="n">
        <v>0.666498750729781</v>
      </c>
      <c r="AK26" s="15" t="n">
        <v>0.4675107300999797</v>
      </c>
      <c r="AL26" s="15" t="n">
        <v>0.5973257494999518</v>
      </c>
      <c r="AM26" s="15" t="n">
        <v>0.7616274089935761</v>
      </c>
      <c r="AN26" s="15" t="n">
        <v>0.3829787234042552</v>
      </c>
      <c r="AO26" s="15" t="n">
        <v>0.3594858892019392</v>
      </c>
      <c r="AP26" s="15" t="n">
        <v>2.565579526559916</v>
      </c>
      <c r="AQ26" s="15" t="n">
        <v>0.5801134084957367</v>
      </c>
      <c r="AR26" s="15" t="n">
        <v>1285.686746024418</v>
      </c>
      <c r="AS26" s="15" t="n">
        <v>0.2552814817753728</v>
      </c>
      <c r="AT26" s="15" t="n">
        <v>2.198255826356089</v>
      </c>
      <c r="AU26" s="15" t="n">
        <v>0.3329615886273606</v>
      </c>
      <c r="AV26" s="15" t="n">
        <v>0.03436211157646664</v>
      </c>
      <c r="AW26" s="19" t="n">
        <v>0.8654767553043909</v>
      </c>
      <c r="AX26" s="19" t="n">
        <v>0</v>
      </c>
      <c r="AY26" s="19" t="n">
        <v>1</v>
      </c>
      <c r="AZ26" s="19" t="n">
        <v>0</v>
      </c>
      <c r="BA26" s="19" t="n">
        <v>0</v>
      </c>
    </row>
    <row r="27">
      <c r="A27" t="inlineStr">
        <is>
          <t>F4</t>
        </is>
      </c>
      <c r="B27" t="n">
        <v>65</v>
      </c>
      <c r="C27" s="15" t="n">
        <v>-0.6950370218739251</v>
      </c>
      <c r="D27" s="15" t="n">
        <v>52.94923170855063</v>
      </c>
      <c r="E27" s="15" t="n">
        <v>0.5808768270369431</v>
      </c>
      <c r="F27" s="15" t="n">
        <v>0.6984033920679154</v>
      </c>
      <c r="G27" s="19" t="n">
        <v>0.1549121970125927</v>
      </c>
      <c r="H27" s="15" t="n">
        <v>0.5051404899234857</v>
      </c>
      <c r="I27" s="15" t="n">
        <v>45</v>
      </c>
      <c r="J27" s="15" t="n">
        <v>57</v>
      </c>
      <c r="K27" s="15" t="n">
        <v>0.7894736842105263</v>
      </c>
      <c r="L27" t="n">
        <v>45</v>
      </c>
      <c r="M27" t="n">
        <v>57</v>
      </c>
      <c r="N27" t="n">
        <v>0.7894736842105263</v>
      </c>
      <c r="O27" t="n">
        <v>44</v>
      </c>
      <c r="P27" t="n">
        <v>0</v>
      </c>
      <c r="Q27" s="15" t="n">
        <v>44.89213941279383</v>
      </c>
      <c r="R27" s="15" t="n">
        <v>27.19468748375587</v>
      </c>
      <c r="S27" s="15" t="n">
        <v>0.2599433305943037</v>
      </c>
      <c r="T27" s="15" t="n">
        <v>27.81572352223723</v>
      </c>
      <c r="U27" s="15" t="n">
        <v>22.05795736716971</v>
      </c>
      <c r="V27" s="15" t="n">
        <v>0</v>
      </c>
      <c r="W27" t="n">
        <v>1</v>
      </c>
      <c r="X27" t="n">
        <v>0.5</v>
      </c>
      <c r="Y27" t="n">
        <v>0.25</v>
      </c>
      <c r="Z27" t="inlineStr">
        <is>
          <t>his_note_adaptive</t>
        </is>
      </c>
      <c r="AA27" t="n">
        <v>-90</v>
      </c>
      <c r="AB27" t="n">
        <v>20000</v>
      </c>
      <c r="AC27" s="15" t="n">
        <v>0.7894736842105263</v>
      </c>
      <c r="AD27" s="15" t="n">
        <v>0.3666666666666666</v>
      </c>
      <c r="AE27" t="n">
        <v>5.465943770081065</v>
      </c>
      <c r="AF27" s="15" t="n">
        <v>5.357901595834638</v>
      </c>
      <c r="AG27" s="15" t="n">
        <v>0.03917469963719337</v>
      </c>
      <c r="AH27" s="15" t="n">
        <v>0.1335799595164743</v>
      </c>
      <c r="AI27" s="15" t="n">
        <v>0.2266610720452388</v>
      </c>
      <c r="AJ27" s="15" t="n">
        <v>0.5018281523631062</v>
      </c>
      <c r="AK27" s="15" t="n">
        <v>0.5836264565095028</v>
      </c>
      <c r="AL27" s="15" t="n">
        <v>0.2278359952105718</v>
      </c>
      <c r="AM27" s="15" t="n">
        <v>0.740899357601713</v>
      </c>
      <c r="AN27" s="15" t="n">
        <v>0.2127659574468083</v>
      </c>
      <c r="AO27" s="15" t="n">
        <v>0.1853075602347503</v>
      </c>
      <c r="AP27" s="15" t="n">
        <v>2.5463832688271</v>
      </c>
      <c r="AQ27" s="15" t="n">
        <v>0.5241268446708336</v>
      </c>
      <c r="AR27" s="15" t="n">
        <v>945.9305028244131</v>
      </c>
      <c r="AS27" s="15" t="n">
        <v>0.1752436042305332</v>
      </c>
      <c r="AT27" s="15" t="n">
        <v>2.159552578594007</v>
      </c>
      <c r="AU27" s="15" t="n">
        <v>0.3535871510095881</v>
      </c>
      <c r="AV27" s="15" t="n">
        <v>0.03324353922350524</v>
      </c>
      <c r="AW27" s="19" t="n">
        <v>0.8450871113213229</v>
      </c>
      <c r="AX27" s="19" t="n">
        <v>6.916660845443456e-07</v>
      </c>
      <c r="AY27" s="19" t="n">
        <v>0.9999991815452997</v>
      </c>
      <c r="AZ27" s="19" t="n">
        <v>0</v>
      </c>
      <c r="BA27" s="19" t="n">
        <v>8.184547003273364e-07</v>
      </c>
    </row>
    <row r="28">
      <c r="A28" t="inlineStr">
        <is>
          <t>F#4</t>
        </is>
      </c>
      <c r="B28" t="n">
        <v>66</v>
      </c>
      <c r="C28" s="15" t="n">
        <v>-0.7715907633769552</v>
      </c>
      <c r="D28" s="15" t="n">
        <v>44.92842435827199</v>
      </c>
      <c r="E28" s="15" t="n">
        <v>0.6499875989593153</v>
      </c>
      <c r="F28" s="15" t="n">
        <v>0.6234471860571097</v>
      </c>
      <c r="G28" s="19" t="n">
        <v>0.1269761216441718</v>
      </c>
      <c r="H28" s="15" t="n">
        <v>0.4965005202729885</v>
      </c>
      <c r="I28" s="15" t="n">
        <v>37</v>
      </c>
      <c r="J28" s="15" t="n">
        <v>54</v>
      </c>
      <c r="K28" s="15" t="n">
        <v>0.6851851851851852</v>
      </c>
      <c r="L28" t="n">
        <v>37</v>
      </c>
      <c r="M28" t="n">
        <v>54</v>
      </c>
      <c r="N28" t="n">
        <v>0.6851851851851852</v>
      </c>
      <c r="O28" t="n">
        <v>34</v>
      </c>
      <c r="P28" t="n">
        <v>0</v>
      </c>
      <c r="Q28" s="15" t="n">
        <v>36.77443198367418</v>
      </c>
      <c r="R28" s="15" t="n">
        <v>23.25119801958017</v>
      </c>
      <c r="S28" s="15" t="n">
        <v>0.1904091534165173</v>
      </c>
      <c r="T28" s="15" t="n">
        <v>23.71324035240269</v>
      </c>
      <c r="U28" s="15" t="n">
        <v>17.56818920088921</v>
      </c>
      <c r="V28" s="15" t="n">
        <v>0</v>
      </c>
      <c r="W28" t="n">
        <v>1</v>
      </c>
      <c r="X28" t="n">
        <v>0.5</v>
      </c>
      <c r="Y28" t="n">
        <v>0.25</v>
      </c>
      <c r="Z28" t="inlineStr">
        <is>
          <t>his_note_adaptive</t>
        </is>
      </c>
      <c r="AA28" t="n">
        <v>-90</v>
      </c>
      <c r="AB28" t="n">
        <v>20000</v>
      </c>
      <c r="AC28" s="15" t="n">
        <v>0.6851851851851852</v>
      </c>
      <c r="AD28" s="15" t="n">
        <v>0.2833333333333333</v>
      </c>
      <c r="AE28" t="n">
        <v>4.54075517046723</v>
      </c>
      <c r="AF28" s="15" t="n">
        <v>4.460217779913613</v>
      </c>
      <c r="AG28" s="15" t="n">
        <v>0</v>
      </c>
      <c r="AH28" s="15" t="n">
        <v>0.09133365755691444</v>
      </c>
      <c r="AI28" s="15" t="n">
        <v>0.4480129102914311</v>
      </c>
      <c r="AJ28" s="15" t="n">
        <v>0.3841819627900027</v>
      </c>
      <c r="AK28" s="15" t="n">
        <v>0.4245296263240045</v>
      </c>
      <c r="AL28" s="15" t="n">
        <v>0.2098033240747382</v>
      </c>
      <c r="AM28" s="15" t="n">
        <v>0.5355381077008486</v>
      </c>
      <c r="AN28" s="15" t="n">
        <v>0</v>
      </c>
      <c r="AO28" s="15" t="n">
        <v>0.1155297127656758</v>
      </c>
      <c r="AP28" s="15" t="n">
        <v>2.513329608318809</v>
      </c>
      <c r="AQ28" s="15" t="n">
        <v>0.427724676110104</v>
      </c>
      <c r="AR28" s="15" t="n">
        <v>849.7745176996428</v>
      </c>
      <c r="AS28" s="15" t="n">
        <v>0.1525917144811834</v>
      </c>
      <c r="AT28" s="15" t="n">
        <v>2.138569371565034</v>
      </c>
      <c r="AU28" s="15" t="n">
        <v>0.343387703639338</v>
      </c>
      <c r="AV28" s="15" t="n">
        <v>0.03137253311443741</v>
      </c>
      <c r="AW28" s="19" t="n">
        <v>0.8730238783558282</v>
      </c>
      <c r="AX28" s="19" t="n">
        <v>0</v>
      </c>
      <c r="AY28" s="19" t="n">
        <v>0.9998559609296928</v>
      </c>
      <c r="AZ28" s="19" t="n">
        <v>0.0001440390703072673</v>
      </c>
      <c r="BA28" s="19" t="n">
        <v>0</v>
      </c>
    </row>
    <row r="29">
      <c r="A29" t="inlineStr">
        <is>
          <t>G4</t>
        </is>
      </c>
      <c r="B29" t="n">
        <v>67</v>
      </c>
      <c r="C29" s="15" t="n">
        <v>-0.5493401247712073</v>
      </c>
      <c r="D29" s="15" t="n">
        <v>42.77295099852452</v>
      </c>
      <c r="E29" s="15" t="n">
        <v>0.7159434937220034</v>
      </c>
      <c r="F29" s="15" t="n">
        <v>0.6197922557666573</v>
      </c>
      <c r="G29" s="19" t="n">
        <v>0.1467700993854789</v>
      </c>
      <c r="H29" s="15" t="n">
        <v>0.4836070158823597</v>
      </c>
      <c r="I29" s="15" t="n">
        <v>27</v>
      </c>
      <c r="J29" s="15" t="n">
        <v>50</v>
      </c>
      <c r="K29" s="15" t="n">
        <v>0.54</v>
      </c>
      <c r="L29" t="n">
        <v>27</v>
      </c>
      <c r="M29" t="n">
        <v>50</v>
      </c>
      <c r="N29" t="n">
        <v>0.54</v>
      </c>
      <c r="O29" t="n">
        <v>35</v>
      </c>
      <c r="P29" t="n">
        <v>0</v>
      </c>
      <c r="Q29" s="15" t="n">
        <v>27.91283840883815</v>
      </c>
      <c r="R29" s="15" t="n">
        <v>17.90748924421539</v>
      </c>
      <c r="S29" s="15" t="n">
        <v>0.09618539647530908</v>
      </c>
      <c r="T29" s="15" t="n">
        <v>17.83024656356768</v>
      </c>
      <c r="U29" s="15" t="n">
        <v>18.50719161671042</v>
      </c>
      <c r="V29" s="15" t="n">
        <v>0</v>
      </c>
      <c r="W29" t="n">
        <v>1</v>
      </c>
      <c r="X29" t="n">
        <v>0.5</v>
      </c>
      <c r="Y29" t="n">
        <v>0.25</v>
      </c>
      <c r="Z29" t="inlineStr">
        <is>
          <t>his_note_adaptive</t>
        </is>
      </c>
      <c r="AA29" t="n">
        <v>-90</v>
      </c>
      <c r="AB29" t="n">
        <v>20000</v>
      </c>
      <c r="AC29" s="15" t="n">
        <v>0.54</v>
      </c>
      <c r="AD29" s="15" t="n">
        <v>0.2916666666666667</v>
      </c>
      <c r="AE29" t="n">
        <v>4.210312004498844</v>
      </c>
      <c r="AF29" s="15" t="n">
        <v>4.100943191147217</v>
      </c>
      <c r="AG29" s="15" t="n">
        <v>0.1137318939690227</v>
      </c>
      <c r="AH29" s="15" t="n">
        <v>0.07998058866435277</v>
      </c>
      <c r="AI29" s="15" t="n">
        <v>0.6592601318575866</v>
      </c>
      <c r="AJ29" s="15" t="n">
        <v>0.3784454314911125</v>
      </c>
      <c r="AK29" s="15" t="n">
        <v>0.5372569537625647</v>
      </c>
      <c r="AL29" s="15" t="n">
        <v>0.1828930068086057</v>
      </c>
      <c r="AM29" s="15" t="n">
        <v>0.2496445396145611</v>
      </c>
      <c r="AN29" s="15" t="n">
        <v>0.02127659574468091</v>
      </c>
      <c r="AO29" s="15" t="n">
        <v>0.08760294499975063</v>
      </c>
      <c r="AP29" s="15" t="n">
        <v>2.484195513816566</v>
      </c>
      <c r="AQ29" s="15" t="n">
        <v>0.3427540602727166</v>
      </c>
      <c r="AR29" s="15" t="n">
        <v>837.7800850447547</v>
      </c>
      <c r="AS29" s="15" t="n">
        <v>0.1497661330495962</v>
      </c>
      <c r="AT29" s="15" t="n">
        <v>2.101436625942636</v>
      </c>
      <c r="AU29" s="15" t="n">
        <v>0.3505597362960895</v>
      </c>
      <c r="AV29" s="15" t="n">
        <v>0.03219915157784133</v>
      </c>
      <c r="AW29" s="19" t="n">
        <v>0.8532292169123571</v>
      </c>
      <c r="AX29" s="19" t="n">
        <v>6.837021639126039e-07</v>
      </c>
      <c r="AY29" s="19" t="n">
        <v>0.9977732402423556</v>
      </c>
      <c r="AZ29" s="19" t="n">
        <v>0.002225960230729636</v>
      </c>
      <c r="BA29" s="19" t="n">
        <v>7.995269148382454e-07</v>
      </c>
    </row>
    <row r="30">
      <c r="A30" t="inlineStr">
        <is>
          <t>G#4</t>
        </is>
      </c>
      <c r="B30" t="n">
        <v>68</v>
      </c>
      <c r="C30" s="15" t="n">
        <v>-0.7509101255328754</v>
      </c>
      <c r="D30" s="15" t="n">
        <v>39.42989896987925</v>
      </c>
      <c r="E30" s="15" t="n">
        <v>0.6738870569036242</v>
      </c>
      <c r="F30" s="15" t="n">
        <v>0.5836593662446723</v>
      </c>
      <c r="G30" s="19" t="n">
        <v>0.1508058819008784</v>
      </c>
      <c r="H30" s="15" t="n">
        <v>0.5174300300079975</v>
      </c>
      <c r="I30" s="15" t="n">
        <v>27</v>
      </c>
      <c r="J30" s="15" t="n">
        <v>48</v>
      </c>
      <c r="K30" s="15" t="n">
        <v>0.5625</v>
      </c>
      <c r="L30" t="n">
        <v>27</v>
      </c>
      <c r="M30" t="n">
        <v>48</v>
      </c>
      <c r="N30" t="n">
        <v>0.5625</v>
      </c>
      <c r="O30" t="n">
        <v>35</v>
      </c>
      <c r="P30" t="n">
        <v>0</v>
      </c>
      <c r="Q30" s="15" t="n">
        <v>27.9049181038898</v>
      </c>
      <c r="R30" s="15" t="n">
        <v>17.76236075619997</v>
      </c>
      <c r="S30" s="15" t="n">
        <v>0.09362639635856404</v>
      </c>
      <c r="T30" s="15" t="n">
        <v>17.7445226073237</v>
      </c>
      <c r="U30" s="15" t="n">
        <v>17.90222217195478</v>
      </c>
      <c r="V30" s="15" t="n">
        <v>0</v>
      </c>
      <c r="W30" t="n">
        <v>1</v>
      </c>
      <c r="X30" t="n">
        <v>0.5</v>
      </c>
      <c r="Y30" t="n">
        <v>0.25</v>
      </c>
      <c r="Z30" t="inlineStr">
        <is>
          <t>his_note_adaptive</t>
        </is>
      </c>
      <c r="AA30" t="n">
        <v>-90</v>
      </c>
      <c r="AB30" t="n">
        <v>20000</v>
      </c>
      <c r="AC30" s="15" t="n">
        <v>0.5625</v>
      </c>
      <c r="AD30" s="15" t="n">
        <v>0.2916666666666667</v>
      </c>
      <c r="AE30" t="n">
        <v>4.129801462897436</v>
      </c>
      <c r="AF30" s="15" t="n">
        <v>4.050191259404746</v>
      </c>
      <c r="AG30" s="15" t="n">
        <v>0.01058286322707472</v>
      </c>
      <c r="AH30" s="15" t="n">
        <v>0.06237243785098595</v>
      </c>
      <c r="AI30" s="15" t="n">
        <v>0.5245594283219699</v>
      </c>
      <c r="AJ30" s="15" t="n">
        <v>0.3217336927737788</v>
      </c>
      <c r="AK30" s="15" t="n">
        <v>0.5602408624559069</v>
      </c>
      <c r="AL30" s="15" t="n">
        <v>0.2534857652583048</v>
      </c>
      <c r="AM30" s="15" t="n">
        <v>0.293950749464668</v>
      </c>
      <c r="AN30" s="15" t="n">
        <v>0.02127659574468091</v>
      </c>
      <c r="AO30" s="15" t="n">
        <v>0.08365794734124475</v>
      </c>
      <c r="AP30" s="15" t="n">
        <v>2.46149093329172</v>
      </c>
      <c r="AQ30" s="15" t="n">
        <v>0.2765353490861652</v>
      </c>
      <c r="AR30" s="15" t="n">
        <v>883.281925983308</v>
      </c>
      <c r="AS30" s="15" t="n">
        <v>0.1604852025177644</v>
      </c>
      <c r="AT30" s="15" t="n">
        <v>2.099075855077206</v>
      </c>
      <c r="AU30" s="15" t="n">
        <v>0.3283047593728396</v>
      </c>
      <c r="AV30" s="15" t="n">
        <v>0.03411031884167504</v>
      </c>
      <c r="AW30" s="19" t="n">
        <v>0.849193355907933</v>
      </c>
      <c r="AX30" s="19" t="n">
        <v>7.621911885803957e-07</v>
      </c>
      <c r="AY30" s="19" t="n">
        <v>0.9992915360946354</v>
      </c>
      <c r="AZ30" s="19" t="n">
        <v>0.0007075669939624184</v>
      </c>
      <c r="BA30" s="19" t="n">
        <v>8.969114022565144e-07</v>
      </c>
    </row>
    <row r="31">
      <c r="A31" t="inlineStr">
        <is>
          <t>A4</t>
        </is>
      </c>
      <c r="B31" t="n">
        <v>69</v>
      </c>
      <c r="C31" s="15" t="n">
        <v>-0.5637441663422493</v>
      </c>
      <c r="D31" s="15" t="n">
        <v>36.92429184834791</v>
      </c>
      <c r="E31" s="15" t="n">
        <v>0.734837317142119</v>
      </c>
      <c r="F31" s="15" t="n">
        <v>0.6009827878710319</v>
      </c>
      <c r="G31" s="19" t="n">
        <v>0.1361814161986707</v>
      </c>
      <c r="H31" s="15" t="n">
        <v>0.4803924945706686</v>
      </c>
      <c r="I31" s="15" t="n">
        <v>21</v>
      </c>
      <c r="J31" s="15" t="n">
        <v>45</v>
      </c>
      <c r="K31" s="15" t="n">
        <v>0.4666666666666667</v>
      </c>
      <c r="L31" t="n">
        <v>21</v>
      </c>
      <c r="M31" t="n">
        <v>45</v>
      </c>
      <c r="N31" t="n">
        <v>0.4666666666666667</v>
      </c>
      <c r="O31" t="n">
        <v>38</v>
      </c>
      <c r="P31" t="n">
        <v>0</v>
      </c>
      <c r="Q31" s="15" t="n">
        <v>23.1007610807848</v>
      </c>
      <c r="R31" s="15" t="n">
        <v>14.96070515633529</v>
      </c>
      <c r="S31" s="15" t="n">
        <v>0.04422577829127344</v>
      </c>
      <c r="T31" s="15" t="n">
        <v>14.40491393590077</v>
      </c>
      <c r="U31" s="15" t="n">
        <v>18.90254616729056</v>
      </c>
      <c r="V31" s="15" t="n">
        <v>0</v>
      </c>
      <c r="W31" t="n">
        <v>1</v>
      </c>
      <c r="X31" t="n">
        <v>0.5</v>
      </c>
      <c r="Y31" t="n">
        <v>0.25</v>
      </c>
      <c r="Z31" t="inlineStr">
        <is>
          <t>his_note_adaptive</t>
        </is>
      </c>
      <c r="AA31" t="n">
        <v>-90</v>
      </c>
      <c r="AB31" t="n">
        <v>20000</v>
      </c>
      <c r="AC31" s="15" t="n">
        <v>0.4666666666666667</v>
      </c>
      <c r="AD31" s="15" t="n">
        <v>0.3166666666666667</v>
      </c>
      <c r="AE31" t="n">
        <v>4.041508002455066</v>
      </c>
      <c r="AF31" s="15" t="n">
        <v>3.976154985567827</v>
      </c>
      <c r="AG31" s="15" t="n">
        <v>0.1063609413411242</v>
      </c>
      <c r="AH31" s="15" t="n">
        <v>0.04917518345681839</v>
      </c>
      <c r="AI31" s="15" t="n">
        <v>0.7197743242072122</v>
      </c>
      <c r="AJ31" s="15" t="n">
        <v>0.3489233632917302</v>
      </c>
      <c r="AK31" s="15" t="n">
        <v>0.476954069100248</v>
      </c>
      <c r="AL31" s="15" t="n">
        <v>0.1761839085110766</v>
      </c>
      <c r="AM31" s="15" t="n">
        <v>0.1052391149179158</v>
      </c>
      <c r="AN31" s="15" t="n">
        <v>0.08510638297872351</v>
      </c>
      <c r="AO31" s="15" t="n">
        <v>0.07790303483046199</v>
      </c>
      <c r="AP31" s="15" t="n">
        <v>2.428905422551113</v>
      </c>
      <c r="AQ31" s="15" t="n">
        <v>0.1814985558612377</v>
      </c>
      <c r="AR31" s="15" t="n">
        <v>911.4677862536759</v>
      </c>
      <c r="AS31" s="15" t="n">
        <v>0.1671250700050195</v>
      </c>
      <c r="AT31" s="15" t="n">
        <v>2.074712361463523</v>
      </c>
      <c r="AU31" s="15" t="n">
        <v>0.3251785003710362</v>
      </c>
      <c r="AV31" s="15" t="n">
        <v>0.02901456071655373</v>
      </c>
      <c r="AW31" s="19" t="n">
        <v>0.8638181476326321</v>
      </c>
      <c r="AX31" s="19" t="n">
        <v>4.361686971909019e-07</v>
      </c>
      <c r="AY31" s="19" t="n">
        <v>0.9999994950690975</v>
      </c>
      <c r="AZ31" s="19" t="n">
        <v>0</v>
      </c>
      <c r="BA31" s="19" t="n">
        <v>5.049309025877786e-07</v>
      </c>
    </row>
    <row r="32">
      <c r="A32" t="inlineStr">
        <is>
          <t>A#4</t>
        </is>
      </c>
      <c r="B32" t="n">
        <v>70</v>
      </c>
      <c r="C32" s="15" t="n">
        <v>-0.4745173633151324</v>
      </c>
      <c r="D32" s="15" t="n">
        <v>33.18899133221714</v>
      </c>
      <c r="E32" s="15" t="n">
        <v>0.7710342343797386</v>
      </c>
      <c r="F32" s="15" t="n">
        <v>0.5831721382207585</v>
      </c>
      <c r="G32" s="19" t="n">
        <v>0.1560730601136729</v>
      </c>
      <c r="H32" s="15" t="n">
        <v>0.4586711149404606</v>
      </c>
      <c r="I32" s="15" t="n">
        <v>19</v>
      </c>
      <c r="J32" s="15" t="n">
        <v>42</v>
      </c>
      <c r="K32" s="15" t="n">
        <v>0.4523809523809524</v>
      </c>
      <c r="L32" t="n">
        <v>19</v>
      </c>
      <c r="M32" t="n">
        <v>42</v>
      </c>
      <c r="N32" t="n">
        <v>0.4523809523809524</v>
      </c>
      <c r="O32" t="n">
        <v>37</v>
      </c>
      <c r="P32" t="n">
        <v>0</v>
      </c>
      <c r="Q32" s="15" t="n">
        <v>21.6369878261321</v>
      </c>
      <c r="R32" s="15" t="n">
        <v>13.78996975687194</v>
      </c>
      <c r="S32" s="15" t="n">
        <v>0.02358260847070761</v>
      </c>
      <c r="T32" s="15" t="n">
        <v>13.00806137606048</v>
      </c>
      <c r="U32" s="15" t="n">
        <v>18.3453445880389</v>
      </c>
      <c r="V32" s="15" t="n">
        <v>0</v>
      </c>
      <c r="W32" t="n">
        <v>1</v>
      </c>
      <c r="X32" t="n">
        <v>0.5</v>
      </c>
      <c r="Y32" t="n">
        <v>0.25</v>
      </c>
      <c r="Z32" t="inlineStr">
        <is>
          <t>his_note_adaptive</t>
        </is>
      </c>
      <c r="AA32" t="n">
        <v>-90</v>
      </c>
      <c r="AB32" t="n">
        <v>20000</v>
      </c>
      <c r="AC32" s="15" t="n">
        <v>0.4523809523809524</v>
      </c>
      <c r="AD32" s="15" t="n">
        <v>0.3083333333333333</v>
      </c>
      <c r="AE32" t="n">
        <v>3.621691770078625</v>
      </c>
      <c r="AF32" s="15" t="n">
        <v>3.576106417752772</v>
      </c>
      <c r="AG32" s="15" t="n">
        <v>0.1520208024993926</v>
      </c>
      <c r="AH32" s="15" t="n">
        <v>0.0295010251554501</v>
      </c>
      <c r="AI32" s="15" t="n">
        <v>0.8357078313367817</v>
      </c>
      <c r="AJ32" s="15" t="n">
        <v>0.3209689726322814</v>
      </c>
      <c r="AK32" s="15" t="n">
        <v>0.5902376084778981</v>
      </c>
      <c r="AL32" s="15" t="n">
        <v>0.1308487382115379</v>
      </c>
      <c r="AM32" s="15" t="n">
        <v>0.07710818802895889</v>
      </c>
      <c r="AN32" s="15" t="n">
        <v>0.06382978723404246</v>
      </c>
      <c r="AO32" s="15" t="n">
        <v>0.04680686549986059</v>
      </c>
      <c r="AP32" s="15" t="n">
        <v>2.407939424820775</v>
      </c>
      <c r="AQ32" s="15" t="n">
        <v>0.1203504828138685</v>
      </c>
      <c r="AR32" s="15" t="n">
        <v>889.4748763295022</v>
      </c>
      <c r="AS32" s="15" t="n">
        <v>0.1619441031601234</v>
      </c>
      <c r="AT32" s="15" t="n">
        <v>2.06359459168007</v>
      </c>
      <c r="AU32" s="15" t="n">
        <v>0.314928441214005</v>
      </c>
      <c r="AV32" s="15" t="n">
        <v>0.02941639192669946</v>
      </c>
      <c r="AW32" s="19" t="n">
        <v>0.843926500166148</v>
      </c>
      <c r="AX32" s="19" t="n">
        <v>4.397201791528476e-07</v>
      </c>
      <c r="AY32" s="19" t="n">
        <v>0.9999994789594236</v>
      </c>
      <c r="AZ32" s="19" t="n">
        <v>0</v>
      </c>
      <c r="BA32" s="19" t="n">
        <v>5.21040576346663e-07</v>
      </c>
    </row>
    <row r="33">
      <c r="A33" t="inlineStr">
        <is>
          <t>B4</t>
        </is>
      </c>
      <c r="B33" t="n">
        <v>71</v>
      </c>
      <c r="C33" s="15" t="n">
        <v>-0.4071011264877638</v>
      </c>
      <c r="D33" s="15" t="n">
        <v>29.24618077218734</v>
      </c>
      <c r="E33" s="15" t="n">
        <v>0.8223297586775176</v>
      </c>
      <c r="F33" s="15" t="n">
        <v>0.5344707699398688</v>
      </c>
      <c r="G33" s="19" t="n">
        <v>0.1582748496365957</v>
      </c>
      <c r="H33" s="15" t="n">
        <v>0.4269771774510698</v>
      </c>
      <c r="I33" s="15" t="n">
        <v>17</v>
      </c>
      <c r="J33" s="15" t="n">
        <v>40</v>
      </c>
      <c r="K33" s="15" t="n">
        <v>0.425</v>
      </c>
      <c r="L33" t="n">
        <v>17</v>
      </c>
      <c r="M33" t="n">
        <v>40</v>
      </c>
      <c r="N33" t="n">
        <v>0.425</v>
      </c>
      <c r="O33" t="n">
        <v>38</v>
      </c>
      <c r="P33" t="n">
        <v>0</v>
      </c>
      <c r="Q33" s="15" t="n">
        <v>20.38302002513009</v>
      </c>
      <c r="R33" s="15" t="n">
        <v>12.45253007157535</v>
      </c>
      <c r="S33" s="15" t="n">
        <v>0</v>
      </c>
      <c r="T33" s="15" t="n">
        <v>11.31860717312161</v>
      </c>
      <c r="U33" s="15" t="n">
        <v>18.35740111777549</v>
      </c>
      <c r="V33" s="15" t="n">
        <v>0</v>
      </c>
      <c r="W33" t="n">
        <v>1</v>
      </c>
      <c r="X33" t="n">
        <v>0.5</v>
      </c>
      <c r="Y33" t="n">
        <v>0.25</v>
      </c>
      <c r="Z33" t="inlineStr">
        <is>
          <t>his_note_adaptive</t>
        </is>
      </c>
      <c r="AA33" t="n">
        <v>-90</v>
      </c>
      <c r="AB33" t="n">
        <v>20000</v>
      </c>
      <c r="AC33" s="15" t="n">
        <v>0.425</v>
      </c>
      <c r="AD33" s="15" t="n">
        <v>0.3166666666666667</v>
      </c>
      <c r="AE33" t="n">
        <v>3.01041047212582</v>
      </c>
      <c r="AF33" s="15" t="n">
        <v>2.973941588122003</v>
      </c>
      <c r="AG33" s="15" t="n">
        <v>0.1865195843555025</v>
      </c>
      <c r="AH33" s="15" t="n">
        <v>0.008733893093292587</v>
      </c>
      <c r="AI33" s="15" t="n">
        <v>1</v>
      </c>
      <c r="AJ33" s="15" t="n">
        <v>0.2445306000121795</v>
      </c>
      <c r="AK33" s="15" t="n">
        <v>0.6027768692442342</v>
      </c>
      <c r="AL33" s="15" t="n">
        <v>0.0646996225473455</v>
      </c>
      <c r="AM33" s="15" t="n">
        <v>0.0231905781584582</v>
      </c>
      <c r="AN33" s="15" t="n">
        <v>0.08510638297872351</v>
      </c>
      <c r="AO33" s="15" t="n">
        <v>0</v>
      </c>
      <c r="AP33" s="15" t="n">
        <v>2.366674543954194</v>
      </c>
      <c r="AQ33" s="15" t="n">
        <v>0</v>
      </c>
      <c r="AR33" s="15" t="n">
        <v>762.6678304048755</v>
      </c>
      <c r="AS33" s="15" t="n">
        <v>0.1320716077559301</v>
      </c>
      <c r="AT33" s="15" t="n">
        <v>2.033244883083726</v>
      </c>
      <c r="AU33" s="15" t="n">
        <v>0.306123862353376</v>
      </c>
      <c r="AV33" s="15" t="n">
        <v>0.02730579851709256</v>
      </c>
      <c r="AW33" s="19" t="n">
        <v>0.8417251503634045</v>
      </c>
      <c r="AX33" s="19" t="n">
        <v>0</v>
      </c>
      <c r="AY33" s="19" t="n">
        <v>1</v>
      </c>
      <c r="AZ33" s="19" t="n">
        <v>0</v>
      </c>
      <c r="BA33" s="19" t="n">
        <v>0</v>
      </c>
    </row>
    <row r="34">
      <c r="A34" t="inlineStr">
        <is>
          <t>C5</t>
        </is>
      </c>
      <c r="B34" t="n">
        <v>72</v>
      </c>
      <c r="C34" s="15" t="n">
        <v>-0.7638816409485486</v>
      </c>
      <c r="D34" s="15" t="n">
        <v>27.5879794463935</v>
      </c>
      <c r="E34" s="15" t="n">
        <v>0.7258382217504408</v>
      </c>
      <c r="F34" s="15" t="n">
        <v>0.3786723875445815</v>
      </c>
      <c r="G34" s="19" t="n">
        <v>0.2280239156986588</v>
      </c>
      <c r="H34" s="15" t="n">
        <v>0.3959777336639057</v>
      </c>
      <c r="I34" s="15" t="n">
        <v>17</v>
      </c>
      <c r="J34" s="15" t="n">
        <v>38</v>
      </c>
      <c r="K34" s="15" t="n">
        <v>0.4473684210526316</v>
      </c>
      <c r="L34" t="n">
        <v>17</v>
      </c>
      <c r="M34" t="n">
        <v>38</v>
      </c>
      <c r="N34" t="n">
        <v>0.4473684210526316</v>
      </c>
      <c r="O34" t="n">
        <v>41</v>
      </c>
      <c r="P34" t="n">
        <v>0</v>
      </c>
      <c r="Q34" s="15" t="n">
        <v>23.4385929008159</v>
      </c>
      <c r="R34" s="15" t="n">
        <v>14.58970842259206</v>
      </c>
      <c r="S34" s="15" t="n">
        <v>0.0376841220117697</v>
      </c>
      <c r="T34" s="15" t="n">
        <v>11.71176506727261</v>
      </c>
      <c r="U34" s="15" t="n">
        <v>22.43936371990899</v>
      </c>
      <c r="V34" s="15" t="n">
        <v>0</v>
      </c>
      <c r="W34" t="n">
        <v>1</v>
      </c>
      <c r="X34" t="n">
        <v>0.5</v>
      </c>
      <c r="Y34" t="n">
        <v>0.25</v>
      </c>
      <c r="Z34" t="inlineStr">
        <is>
          <t>his_note_adaptive</t>
        </is>
      </c>
      <c r="AA34" t="n">
        <v>-90</v>
      </c>
      <c r="AB34" t="n">
        <v>20000</v>
      </c>
      <c r="AC34" s="15" t="n">
        <v>0.4473684210526316</v>
      </c>
      <c r="AD34" s="15" t="n">
        <v>0.3416666666666667</v>
      </c>
      <c r="AE34" t="n">
        <v>3.045954237641734</v>
      </c>
      <c r="AF34" s="15" t="n">
        <v>2.979028940251014</v>
      </c>
      <c r="AG34" s="15" t="n">
        <v>0.003944974467214327</v>
      </c>
      <c r="AH34" s="15" t="n">
        <v>0</v>
      </c>
      <c r="AI34" s="15" t="n">
        <v>0.6909515191351135</v>
      </c>
      <c r="AJ34" s="15" t="n">
        <v>0</v>
      </c>
      <c r="AK34" s="15" t="n">
        <v>1</v>
      </c>
      <c r="AL34" s="15" t="n">
        <v>0</v>
      </c>
      <c r="AM34" s="15" t="n">
        <v>0.067237687366167</v>
      </c>
      <c r="AN34" s="15" t="n">
        <v>0.148936170212766</v>
      </c>
      <c r="AO34" s="15" t="n">
        <v>0.0003954448933841805</v>
      </c>
      <c r="AP34" s="15" t="n">
        <v>2.391382156406972</v>
      </c>
      <c r="AQ34" s="15" t="n">
        <v>0.07206062456557309</v>
      </c>
      <c r="AR34" s="15" t="n">
        <v>202.0313585119185</v>
      </c>
      <c r="AS34" s="15" t="n">
        <v>0</v>
      </c>
      <c r="AT34" s="15" t="n">
        <v>2.033533159910519</v>
      </c>
      <c r="AU34" s="15" t="n">
        <v>0.3311376362557839</v>
      </c>
      <c r="AV34" s="15" t="n">
        <v>0.02671136024066878</v>
      </c>
      <c r="AW34" s="19" t="n">
        <v>0.7719760843013412</v>
      </c>
      <c r="AX34" s="19" t="n">
        <v>0</v>
      </c>
      <c r="AY34" s="19" t="n">
        <v>1</v>
      </c>
      <c r="AZ34" s="19" t="n">
        <v>0</v>
      </c>
      <c r="BA34" s="19" t="n">
        <v>0</v>
      </c>
    </row>
  </sheetData>
  <autoFilter ref="A1:BA3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6" customWidth="1" min="4" max="4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Combined Density Metric</t>
        </is>
      </c>
      <c r="D1" s="11" t="inlineStr">
        <is>
          <t>Weighted Combined Metric</t>
        </is>
      </c>
    </row>
    <row r="2">
      <c r="A2" t="inlineStr">
        <is>
          <t>E2</t>
        </is>
      </c>
      <c r="B2" t="n">
        <v>40</v>
      </c>
      <c r="C2" s="15" t="n">
        <v>122.9968955614443</v>
      </c>
      <c r="D2" s="15" t="n">
        <v>4.724741540320931</v>
      </c>
    </row>
    <row r="3">
      <c r="A3" t="inlineStr">
        <is>
          <t>F2</t>
        </is>
      </c>
      <c r="B3" t="n">
        <v>41</v>
      </c>
      <c r="C3" s="15" t="n">
        <v>90.37330231817998</v>
      </c>
      <c r="D3" s="15" t="n">
        <v>4.985470650458015</v>
      </c>
    </row>
    <row r="4">
      <c r="A4" t="inlineStr">
        <is>
          <t>F#2</t>
        </is>
      </c>
      <c r="B4" t="n">
        <v>42</v>
      </c>
      <c r="C4" s="15" t="n">
        <v>126.4578708412147</v>
      </c>
      <c r="D4" s="15" t="n">
        <v>4.900082799504026</v>
      </c>
    </row>
    <row r="5">
      <c r="A5" t="inlineStr">
        <is>
          <t>G2</t>
        </is>
      </c>
      <c r="B5" t="n">
        <v>43</v>
      </c>
      <c r="C5" s="15" t="n">
        <v>172.7448393083772</v>
      </c>
      <c r="D5" s="15" t="n">
        <v>4.948338251270846</v>
      </c>
    </row>
    <row r="6">
      <c r="A6" t="inlineStr">
        <is>
          <t>G#2</t>
        </is>
      </c>
      <c r="B6" t="n">
        <v>44</v>
      </c>
      <c r="C6" s="15" t="n">
        <v>56.3077931451435</v>
      </c>
      <c r="D6" s="15" t="n">
        <v>5.231409235942051</v>
      </c>
    </row>
    <row r="7">
      <c r="A7" t="inlineStr">
        <is>
          <t>A2</t>
        </is>
      </c>
      <c r="B7" t="n">
        <v>45</v>
      </c>
      <c r="C7" s="15" t="n">
        <v>83.60293075182048</v>
      </c>
      <c r="D7" s="15" t="n">
        <v>5.030973979247454</v>
      </c>
    </row>
    <row r="8">
      <c r="A8" t="inlineStr">
        <is>
          <t>A#2</t>
        </is>
      </c>
      <c r="B8" t="n">
        <v>46</v>
      </c>
      <c r="C8" s="15" t="n">
        <v>124.9349935004863</v>
      </c>
      <c r="D8" s="15" t="n">
        <v>4.739277819381299</v>
      </c>
    </row>
    <row r="9">
      <c r="A9" t="inlineStr">
        <is>
          <t>B2</t>
        </is>
      </c>
      <c r="B9" t="n">
        <v>47</v>
      </c>
      <c r="C9" s="15" t="n">
        <v>81.95823377142767</v>
      </c>
      <c r="D9" s="15" t="n">
        <v>5.007163622876001</v>
      </c>
    </row>
    <row r="10">
      <c r="A10" t="inlineStr">
        <is>
          <t>C3</t>
        </is>
      </c>
      <c r="B10" t="n">
        <v>48</v>
      </c>
      <c r="C10" s="15" t="n">
        <v>46.17673909517278</v>
      </c>
      <c r="D10" s="15" t="n">
        <v>4.923117748075172</v>
      </c>
    </row>
    <row r="11">
      <c r="A11" t="inlineStr">
        <is>
          <t>C#3</t>
        </is>
      </c>
      <c r="B11" t="n">
        <v>49</v>
      </c>
      <c r="C11" s="15" t="n">
        <v>59.91178798034361</v>
      </c>
      <c r="D11" s="15" t="n">
        <v>4.863662250794051</v>
      </c>
    </row>
    <row r="12">
      <c r="A12" t="inlineStr">
        <is>
          <t>D3</t>
        </is>
      </c>
      <c r="B12" t="n">
        <v>50</v>
      </c>
      <c r="C12" s="15" t="n">
        <v>54.96222381229789</v>
      </c>
      <c r="D12" s="15" t="n">
        <v>4.979212465491893</v>
      </c>
    </row>
    <row r="13">
      <c r="A13" t="inlineStr">
        <is>
          <t>D#3</t>
        </is>
      </c>
      <c r="B13" t="n">
        <v>51</v>
      </c>
      <c r="C13" s="15" t="n">
        <v>84.77335401840598</v>
      </c>
      <c r="D13" s="15" t="n">
        <v>5.09210661220445</v>
      </c>
    </row>
    <row r="14">
      <c r="A14" t="inlineStr">
        <is>
          <t>E3</t>
        </is>
      </c>
      <c r="B14" t="n">
        <v>52</v>
      </c>
      <c r="C14" s="15" t="n">
        <v>52.1670628503961</v>
      </c>
      <c r="D14" s="15" t="n">
        <v>5.098503543226153</v>
      </c>
    </row>
    <row r="15">
      <c r="A15" t="inlineStr">
        <is>
          <t>F3</t>
        </is>
      </c>
      <c r="B15" t="n">
        <v>53</v>
      </c>
      <c r="C15" s="15" t="n">
        <v>144.765349298433</v>
      </c>
      <c r="D15" s="15" t="n">
        <v>5.102395147474374</v>
      </c>
    </row>
    <row r="16">
      <c r="A16" t="inlineStr">
        <is>
          <t>F#3</t>
        </is>
      </c>
      <c r="B16" t="n">
        <v>54</v>
      </c>
      <c r="C16" s="15" t="n">
        <v>37.66247729472732</v>
      </c>
      <c r="D16" s="15" t="n">
        <v>5.325891808206964</v>
      </c>
    </row>
    <row r="17">
      <c r="A17" t="inlineStr">
        <is>
          <t>G3</t>
        </is>
      </c>
      <c r="B17" t="n">
        <v>55</v>
      </c>
      <c r="C17" s="15" t="n">
        <v>142.4188802640242</v>
      </c>
      <c r="D17" s="15" t="n">
        <v>5.26450532485821</v>
      </c>
    </row>
    <row r="18">
      <c r="A18" t="inlineStr">
        <is>
          <t>G#3</t>
        </is>
      </c>
      <c r="B18" t="n">
        <v>56</v>
      </c>
      <c r="C18" s="15" t="n">
        <v>64.52460723117009</v>
      </c>
      <c r="D18" s="15" t="n">
        <v>4.603936250010701</v>
      </c>
    </row>
    <row r="19">
      <c r="A19" t="inlineStr">
        <is>
          <t>A3</t>
        </is>
      </c>
      <c r="B19" t="n">
        <v>57</v>
      </c>
      <c r="C19" s="15" t="n">
        <v>54.97502193922493</v>
      </c>
      <c r="D19" s="15" t="n">
        <v>4.292617031440942</v>
      </c>
    </row>
    <row r="20">
      <c r="A20" t="inlineStr">
        <is>
          <t>A#3</t>
        </is>
      </c>
      <c r="B20" t="n">
        <v>58</v>
      </c>
      <c r="C20" s="15" t="n">
        <v>113.1703980288982</v>
      </c>
      <c r="D20" s="15" t="n">
        <v>4.146225020200606</v>
      </c>
    </row>
    <row r="21">
      <c r="A21" t="inlineStr">
        <is>
          <t>B3</t>
        </is>
      </c>
      <c r="B21" t="n">
        <v>59</v>
      </c>
      <c r="C21" s="15" t="n">
        <v>112.001640655825</v>
      </c>
      <c r="D21" s="15" t="n">
        <v>3.983171096532689</v>
      </c>
    </row>
    <row r="22">
      <c r="A22" t="inlineStr">
        <is>
          <t>C4</t>
        </is>
      </c>
      <c r="B22" t="n">
        <v>60</v>
      </c>
      <c r="C22" s="15" t="n">
        <v>115.1354219196286</v>
      </c>
      <c r="D22" s="15" t="n">
        <v>4.060826626124213</v>
      </c>
    </row>
    <row r="23">
      <c r="A23" t="inlineStr">
        <is>
          <t>C#4</t>
        </is>
      </c>
      <c r="B23" t="n">
        <v>61</v>
      </c>
      <c r="C23" s="15" t="n">
        <v>104.1303317442577</v>
      </c>
      <c r="D23" s="15" t="n">
        <v>4.173093376014764</v>
      </c>
    </row>
    <row r="24">
      <c r="A24" t="inlineStr">
        <is>
          <t>D4</t>
        </is>
      </c>
      <c r="B24" t="n">
        <v>62</v>
      </c>
      <c r="C24" s="15" t="n">
        <v>99.03474053243455</v>
      </c>
      <c r="D24" s="15" t="n">
        <v>4.091107195221205</v>
      </c>
    </row>
    <row r="25">
      <c r="A25" t="inlineStr">
        <is>
          <t>D#4</t>
        </is>
      </c>
      <c r="B25" t="n">
        <v>63</v>
      </c>
      <c r="C25" s="15" t="n">
        <v>74.69162690330332</v>
      </c>
      <c r="D25" s="15" t="n">
        <v>3.93472918575599</v>
      </c>
    </row>
    <row r="26">
      <c r="A26" t="inlineStr">
        <is>
          <t>E4</t>
        </is>
      </c>
      <c r="B26" t="n">
        <v>64</v>
      </c>
      <c r="C26" s="15" t="n">
        <v>50.78543561488662</v>
      </c>
      <c r="D26" s="15" t="n">
        <v>3.857209908854204</v>
      </c>
    </row>
    <row r="27">
      <c r="A27" t="inlineStr">
        <is>
          <t>F4</t>
        </is>
      </c>
      <c r="B27" t="n">
        <v>65</v>
      </c>
      <c r="C27" s="15" t="n">
        <v>60.72731540430024</v>
      </c>
      <c r="D27" s="15" t="n">
        <v>3.758087966657743</v>
      </c>
    </row>
    <row r="28">
      <c r="A28" t="inlineStr">
        <is>
          <t>F#4</t>
        </is>
      </c>
      <c r="B28" t="n">
        <v>66</v>
      </c>
      <c r="C28" s="15" t="n">
        <v>44.60341457716531</v>
      </c>
      <c r="D28" s="15" t="n">
        <v>3.643277863827762</v>
      </c>
    </row>
    <row r="29">
      <c r="A29" t="inlineStr">
        <is>
          <t>G4</t>
        </is>
      </c>
      <c r="B29" t="n">
        <v>67</v>
      </c>
      <c r="C29" s="15" t="n">
        <v>29.29501577191161</v>
      </c>
      <c r="D29" s="15" t="n">
        <v>3.633878104812621</v>
      </c>
    </row>
    <row r="30">
      <c r="A30" t="inlineStr">
        <is>
          <t>G#4</t>
        </is>
      </c>
      <c r="B30" t="n">
        <v>68</v>
      </c>
      <c r="C30" s="15" t="n">
        <v>25.09875421964448</v>
      </c>
      <c r="D30" s="15" t="n">
        <v>3.529610795870029</v>
      </c>
    </row>
    <row r="31">
      <c r="A31" t="inlineStr">
        <is>
          <t>A4</t>
        </is>
      </c>
      <c r="B31" t="n">
        <v>69</v>
      </c>
      <c r="C31" s="15" t="n">
        <v>20.95180475915595</v>
      </c>
      <c r="D31" s="15" t="n">
        <v>3.383089897064322</v>
      </c>
    </row>
    <row r="32">
      <c r="A32" t="inlineStr">
        <is>
          <t>A#4</t>
        </is>
      </c>
      <c r="B32" t="n">
        <v>70</v>
      </c>
      <c r="C32" s="15" t="n">
        <v>18.12959841068905</v>
      </c>
      <c r="D32" s="15" t="n">
        <v>3.361729915795017</v>
      </c>
    </row>
    <row r="33">
      <c r="A33" t="inlineStr">
        <is>
          <t>B4</t>
        </is>
      </c>
      <c r="B33" t="n">
        <v>71</v>
      </c>
      <c r="C33" s="15" t="n">
        <v>12.77567355538972</v>
      </c>
      <c r="D33" s="15" t="n">
        <v>3.337236476107321</v>
      </c>
    </row>
    <row r="34">
      <c r="A34" t="inlineStr">
        <is>
          <t>C5</t>
        </is>
      </c>
      <c r="B34" t="n">
        <v>72</v>
      </c>
      <c r="C34" s="15" t="n">
        <v>16.49972107526203</v>
      </c>
      <c r="D34" s="15" t="n">
        <v>2.559841195176569</v>
      </c>
    </row>
  </sheetData>
  <autoFilter ref="A1:D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32" customWidth="1" min="4" max="4"/>
    <col width="36" customWidth="1" min="5" max="5"/>
    <col width="11" customWidth="1" min="6" max="6"/>
    <col width="15" customWidth="1" min="7" max="7"/>
    <col width="10" customWidth="1" min="8" max="8"/>
    <col width="12" customWidth="1" min="9" max="9"/>
    <col width="14" customWidth="1" min="10" max="10"/>
    <col width="16" customWidth="1" min="11" max="11"/>
    <col width="23" customWidth="1" min="12" max="12"/>
    <col width="19" customWidth="1" min="13" max="13"/>
    <col width="18" customWidth="1" min="14" max="14"/>
    <col width="18" customWidth="1" min="15" max="15"/>
    <col width="18" customWidth="1" min="16" max="16"/>
    <col width="24" customWidth="1" min="17" max="17"/>
    <col width="25" customWidth="1" min="18" max="18"/>
    <col width="27" customWidth="1" min="19" max="19"/>
    <col width="24" customWidth="1" min="20" max="20"/>
    <col width="31" customWidth="1" min="21" max="21"/>
    <col width="30" customWidth="1" min="22" max="22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f0_used_for_density_hz</t>
        </is>
      </c>
      <c r="D1" s="11" t="inlineStr">
        <is>
          <t>f0_used_for_density_source</t>
        </is>
      </c>
      <c r="E1" s="11" t="inlineStr">
        <is>
          <t>acoustic_f0_status</t>
        </is>
      </c>
      <c r="F1" s="11" t="inlineStr">
        <is>
          <t>tier_name</t>
        </is>
      </c>
      <c r="G1" s="11" t="inlineStr">
        <is>
          <t>fft_policy</t>
        </is>
      </c>
      <c r="H1" s="11" t="inlineStr">
        <is>
          <t>n_fft</t>
        </is>
      </c>
      <c r="I1" s="11" t="inlineStr">
        <is>
          <t>hop_length</t>
        </is>
      </c>
      <c r="J1" s="11" t="inlineStr">
        <is>
          <t>zero_padding</t>
        </is>
      </c>
      <c r="K1" s="11" t="inlineStr">
        <is>
          <t>window_type</t>
        </is>
      </c>
      <c r="L1" s="11" t="inlineStr">
        <is>
          <t>harmonic_tolerance_hz</t>
        </is>
      </c>
      <c r="M1" s="11" t="inlineStr">
        <is>
          <t>frequency_min_hz</t>
        </is>
      </c>
      <c r="N1" s="11" t="inlineStr">
        <is>
          <t>frequency_max_hz</t>
        </is>
      </c>
      <c r="O1" s="11" t="inlineStr">
        <is>
          <t>magnitude_min_db</t>
        </is>
      </c>
      <c r="P1" s="11" t="inlineStr">
        <is>
          <t>magnitude_max_db</t>
        </is>
      </c>
      <c r="Q1" s="11" t="inlineStr">
        <is>
          <t>density_summation_mode</t>
        </is>
      </c>
      <c r="R1" s="11" t="inlineStr">
        <is>
          <t>harmonic_density_weight</t>
        </is>
      </c>
      <c r="S1" s="11" t="inlineStr">
        <is>
          <t>inharmonic_density_weight</t>
        </is>
      </c>
      <c r="T1" s="11" t="inlineStr">
        <is>
          <t>subbass_density_weight</t>
        </is>
      </c>
      <c r="U1" s="11" t="inlineStr">
        <is>
          <t>density_salience_threshold_db</t>
        </is>
      </c>
      <c r="V1" s="11" t="inlineStr">
        <is>
          <t>density_frequency_ceiling_hz</t>
        </is>
      </c>
    </row>
    <row r="2">
      <c r="A2" t="inlineStr">
        <is>
          <t>E2</t>
        </is>
      </c>
      <c r="B2" t="n">
        <v>40</v>
      </c>
      <c r="C2" s="15" t="n">
        <v>82.46890160441437</v>
      </c>
      <c r="D2" s="15" t="inlineStr">
        <is>
          <t>prior_constrained_harmonic_fit</t>
        </is>
      </c>
      <c r="E2" s="15" t="inlineStr">
        <is>
          <t>fit_accepted_acoustically_verified</t>
        </is>
      </c>
      <c r="F2" t="inlineStr">
        <is>
          <t>Tier_13</t>
        </is>
      </c>
      <c r="G2" t="inlineStr">
        <is>
          <t>adaptive_tier</t>
        </is>
      </c>
      <c r="H2" t="n">
        <v>8192</v>
      </c>
      <c r="I2" t="n">
        <v>1024</v>
      </c>
      <c r="J2" t="n">
        <v>2</v>
      </c>
      <c r="K2" t="inlineStr">
        <is>
          <t>blackmanharris</t>
        </is>
      </c>
      <c r="L2" s="15" t="n">
        <v>4.8</v>
      </c>
      <c r="M2" t="n">
        <v>65.57777451001532</v>
      </c>
      <c r="N2" t="n">
        <v>20000</v>
      </c>
      <c r="O2" t="n">
        <v>-90</v>
      </c>
      <c r="P2" t="n">
        <v>0</v>
      </c>
      <c r="Q2" t="inlineStr">
        <is>
          <t>his_note_adaptive</t>
        </is>
      </c>
      <c r="R2" t="n">
        <v>1</v>
      </c>
      <c r="S2" t="n">
        <v>0.5</v>
      </c>
      <c r="T2" t="n">
        <v>0.25</v>
      </c>
      <c r="U2" t="n">
        <v>-90</v>
      </c>
      <c r="V2" s="15" t="n">
        <v>20000</v>
      </c>
    </row>
    <row r="3">
      <c r="A3" t="inlineStr">
        <is>
          <t>F2</t>
        </is>
      </c>
      <c r="B3" t="n">
        <v>41</v>
      </c>
      <c r="C3" s="15" t="n">
        <v>87.39302496373875</v>
      </c>
      <c r="D3" s="15" t="inlineStr">
        <is>
          <t>prior_constrained_harmonic_fit</t>
        </is>
      </c>
      <c r="E3" s="15" t="inlineStr">
        <is>
          <t>fit_accepted_acoustically_verified</t>
        </is>
      </c>
      <c r="F3" t="inlineStr">
        <is>
          <t>Tier_14</t>
        </is>
      </c>
      <c r="G3" t="inlineStr">
        <is>
          <t>adaptive_tier</t>
        </is>
      </c>
      <c r="H3" t="n">
        <v>8192</v>
      </c>
      <c r="I3" t="n">
        <v>1024</v>
      </c>
      <c r="J3" t="n">
        <v>2</v>
      </c>
      <c r="K3" t="inlineStr">
        <is>
          <t>blackmanharris</t>
        </is>
      </c>
      <c r="L3" s="15" t="n">
        <v>5</v>
      </c>
      <c r="M3" t="n">
        <v>70.20479071906236</v>
      </c>
      <c r="N3" t="n">
        <v>20000</v>
      </c>
      <c r="O3" t="n">
        <v>-90</v>
      </c>
      <c r="P3" t="n">
        <v>0</v>
      </c>
      <c r="Q3" t="inlineStr">
        <is>
          <t>his_note_adaptive</t>
        </is>
      </c>
      <c r="R3" t="n">
        <v>1</v>
      </c>
      <c r="S3" t="n">
        <v>0.5</v>
      </c>
      <c r="T3" t="n">
        <v>0.25</v>
      </c>
      <c r="U3" t="n">
        <v>-90</v>
      </c>
      <c r="V3" s="15" t="n">
        <v>20000</v>
      </c>
    </row>
    <row r="4">
      <c r="A4" t="inlineStr">
        <is>
          <t>F#2</t>
        </is>
      </c>
      <c r="B4" t="n">
        <v>42</v>
      </c>
      <c r="C4" s="15" t="n">
        <v>92.37086148906324</v>
      </c>
      <c r="D4" s="15" t="inlineStr">
        <is>
          <t>prior_constrained_harmonic_fit</t>
        </is>
      </c>
      <c r="E4" s="15" t="inlineStr">
        <is>
          <t>fit_accepted_acoustically_verified</t>
        </is>
      </c>
      <c r="F4" t="inlineStr">
        <is>
          <t>Tier_14</t>
        </is>
      </c>
      <c r="G4" t="inlineStr">
        <is>
          <t>adaptive_tier</t>
        </is>
      </c>
      <c r="H4" t="n">
        <v>8192</v>
      </c>
      <c r="I4" t="n">
        <v>1024</v>
      </c>
      <c r="J4" t="n">
        <v>2</v>
      </c>
      <c r="K4" t="inlineStr">
        <is>
          <t>blackmanharris</t>
        </is>
      </c>
      <c r="L4" s="15" t="n">
        <v>5</v>
      </c>
      <c r="M4" t="n">
        <v>75.15020652804711</v>
      </c>
      <c r="N4" t="n">
        <v>20000</v>
      </c>
      <c r="O4" t="n">
        <v>-90</v>
      </c>
      <c r="P4" t="n">
        <v>0</v>
      </c>
      <c r="Q4" t="inlineStr">
        <is>
          <t>his_note_adaptive</t>
        </is>
      </c>
      <c r="R4" t="n">
        <v>1</v>
      </c>
      <c r="S4" t="n">
        <v>0.5</v>
      </c>
      <c r="T4" t="n">
        <v>0.25</v>
      </c>
      <c r="U4" t="n">
        <v>-90</v>
      </c>
      <c r="V4" s="15" t="n">
        <v>20000</v>
      </c>
    </row>
    <row r="5">
      <c r="A5" t="inlineStr">
        <is>
          <t>G2</t>
        </is>
      </c>
      <c r="B5" t="n">
        <v>43</v>
      </c>
      <c r="C5" s="15" t="n">
        <v>97.9692723115943</v>
      </c>
      <c r="D5" s="15" t="inlineStr">
        <is>
          <t>prior_constrained_harmonic_fit</t>
        </is>
      </c>
      <c r="E5" s="15" t="inlineStr">
        <is>
          <t>fit_accepted_acoustically_verified</t>
        </is>
      </c>
      <c r="F5" t="inlineStr">
        <is>
          <t>Tier_15</t>
        </is>
      </c>
      <c r="G5" t="inlineStr">
        <is>
          <t>adaptive_tier</t>
        </is>
      </c>
      <c r="H5" t="n">
        <v>8192</v>
      </c>
      <c r="I5" t="n">
        <v>1024</v>
      </c>
      <c r="J5" t="n">
        <v>2</v>
      </c>
      <c r="K5" t="inlineStr">
        <is>
          <t>blackmanharris</t>
        </is>
      </c>
      <c r="L5" s="15" t="n">
        <v>5.2</v>
      </c>
      <c r="M5" t="n">
        <v>80.43552750824023</v>
      </c>
      <c r="N5" t="n">
        <v>20000</v>
      </c>
      <c r="O5" t="n">
        <v>-90</v>
      </c>
      <c r="P5" t="n">
        <v>0</v>
      </c>
      <c r="Q5" t="inlineStr">
        <is>
          <t>his_note_adaptive</t>
        </is>
      </c>
      <c r="R5" t="n">
        <v>1</v>
      </c>
      <c r="S5" t="n">
        <v>0.5</v>
      </c>
      <c r="T5" t="n">
        <v>0.25</v>
      </c>
      <c r="U5" t="n">
        <v>-90</v>
      </c>
      <c r="V5" s="15" t="n">
        <v>20000</v>
      </c>
    </row>
    <row r="6">
      <c r="A6" t="inlineStr">
        <is>
          <t>G#2</t>
        </is>
      </c>
      <c r="B6" t="n">
        <v>44</v>
      </c>
      <c r="C6" s="15" t="n">
        <v>103.9567580107547</v>
      </c>
      <c r="D6" s="15" t="inlineStr">
        <is>
          <t>prior_constrained_harmonic_fit</t>
        </is>
      </c>
      <c r="E6" s="15" t="inlineStr">
        <is>
          <t>fit_accepted_acoustically_verified</t>
        </is>
      </c>
      <c r="F6" t="inlineStr">
        <is>
          <t>Tier_15</t>
        </is>
      </c>
      <c r="G6" t="inlineStr">
        <is>
          <t>adaptive_tier</t>
        </is>
      </c>
      <c r="H6" t="n">
        <v>8192</v>
      </c>
      <c r="I6" t="n">
        <v>1024</v>
      </c>
      <c r="J6" t="n">
        <v>2</v>
      </c>
      <c r="K6" t="inlineStr">
        <is>
          <t>blackmanharris</t>
        </is>
      </c>
      <c r="L6" s="15" t="n">
        <v>5.2</v>
      </c>
      <c r="M6" t="n">
        <v>86.08369099026061</v>
      </c>
      <c r="N6" t="n">
        <v>20000</v>
      </c>
      <c r="O6" t="n">
        <v>-90</v>
      </c>
      <c r="P6" t="n">
        <v>0</v>
      </c>
      <c r="Q6" t="inlineStr">
        <is>
          <t>his_note_adaptive</t>
        </is>
      </c>
      <c r="R6" t="n">
        <v>1</v>
      </c>
      <c r="S6" t="n">
        <v>0.5</v>
      </c>
      <c r="T6" t="n">
        <v>0.25</v>
      </c>
      <c r="U6" t="n">
        <v>-90</v>
      </c>
      <c r="V6" s="15" t="n">
        <v>20000</v>
      </c>
    </row>
    <row r="7">
      <c r="A7" t="inlineStr">
        <is>
          <t>A2</t>
        </is>
      </c>
      <c r="B7" t="n">
        <v>45</v>
      </c>
      <c r="C7" s="15" t="n">
        <v>109.8129355156599</v>
      </c>
      <c r="D7" s="15" t="inlineStr">
        <is>
          <t>prior_constrained_harmonic_fit</t>
        </is>
      </c>
      <c r="E7" s="15" t="inlineStr">
        <is>
          <t>fit_accepted_acoustically_verified</t>
        </is>
      </c>
      <c r="F7" t="inlineStr">
        <is>
          <t>Tier_16</t>
        </is>
      </c>
      <c r="G7" t="inlineStr">
        <is>
          <t>adaptive_tier</t>
        </is>
      </c>
      <c r="H7" t="n">
        <v>8192</v>
      </c>
      <c r="I7" t="n">
        <v>1024</v>
      </c>
      <c r="J7" t="n">
        <v>2</v>
      </c>
      <c r="K7" t="inlineStr">
        <is>
          <t>blackmanharris</t>
        </is>
      </c>
      <c r="L7" s="15" t="n">
        <v>5.4</v>
      </c>
      <c r="M7" t="n">
        <v>92.11916029707757</v>
      </c>
      <c r="N7" t="n">
        <v>20000</v>
      </c>
      <c r="O7" t="n">
        <v>-90</v>
      </c>
      <c r="P7" t="n">
        <v>0</v>
      </c>
      <c r="Q7" t="inlineStr">
        <is>
          <t>his_note_adaptive</t>
        </is>
      </c>
      <c r="R7" t="n">
        <v>1</v>
      </c>
      <c r="S7" t="n">
        <v>0.5</v>
      </c>
      <c r="T7" t="n">
        <v>0.25</v>
      </c>
      <c r="U7" t="n">
        <v>-90</v>
      </c>
      <c r="V7" s="15" t="n">
        <v>20000</v>
      </c>
    </row>
    <row r="8">
      <c r="A8" t="inlineStr">
        <is>
          <t>A#2</t>
        </is>
      </c>
      <c r="B8" t="n">
        <v>46</v>
      </c>
      <c r="C8" s="15" t="n">
        <v>116.3000859536529</v>
      </c>
      <c r="D8" s="15" t="inlineStr">
        <is>
          <t>prior_constrained_harmonic_fit</t>
        </is>
      </c>
      <c r="E8" s="15" t="inlineStr">
        <is>
          <t>fit_accepted_acoustically_verified</t>
        </is>
      </c>
      <c r="F8" t="inlineStr">
        <is>
          <t>Tier_17</t>
        </is>
      </c>
      <c r="G8" t="inlineStr">
        <is>
          <t>adaptive_tier</t>
        </is>
      </c>
      <c r="H8" t="n">
        <v>8192</v>
      </c>
      <c r="I8" t="n">
        <v>1024</v>
      </c>
      <c r="J8" t="n">
        <v>2</v>
      </c>
      <c r="K8" t="inlineStr">
        <is>
          <t>blackmanharris</t>
        </is>
      </c>
      <c r="L8" s="15" t="n">
        <v>5.6</v>
      </c>
      <c r="M8" t="n">
        <v>98.56802512128441</v>
      </c>
      <c r="N8" t="n">
        <v>20000</v>
      </c>
      <c r="O8" t="n">
        <v>-90</v>
      </c>
      <c r="P8" t="n">
        <v>0</v>
      </c>
      <c r="Q8" t="inlineStr">
        <is>
          <t>his_note_adaptive</t>
        </is>
      </c>
      <c r="R8" t="n">
        <v>1</v>
      </c>
      <c r="S8" t="n">
        <v>0.5</v>
      </c>
      <c r="T8" t="n">
        <v>0.25</v>
      </c>
      <c r="U8" t="n">
        <v>-90</v>
      </c>
      <c r="V8" s="15" t="n">
        <v>20000</v>
      </c>
    </row>
    <row r="9">
      <c r="A9" t="inlineStr">
        <is>
          <t>B2</t>
        </is>
      </c>
      <c r="B9" t="n">
        <v>47</v>
      </c>
      <c r="C9" s="15" t="n">
        <v>123.3701644191944</v>
      </c>
      <c r="D9" s="15" t="inlineStr">
        <is>
          <t>prior_constrained_harmonic_fit</t>
        </is>
      </c>
      <c r="E9" s="15" t="inlineStr">
        <is>
          <t>fit_accepted_acoustically_verified</t>
        </is>
      </c>
      <c r="F9" t="inlineStr">
        <is>
          <t>Tier_17</t>
        </is>
      </c>
      <c r="G9" t="inlineStr">
        <is>
          <t>adaptive_tier</t>
        </is>
      </c>
      <c r="H9" t="n">
        <v>8192</v>
      </c>
      <c r="I9" t="n">
        <v>1024</v>
      </c>
      <c r="J9" t="n">
        <v>2</v>
      </c>
      <c r="K9" t="inlineStr">
        <is>
          <t>blackmanharris</t>
        </is>
      </c>
      <c r="L9" s="15" t="n">
        <v>5.6</v>
      </c>
      <c r="M9" t="n">
        <v>105.1423098960441</v>
      </c>
      <c r="N9" t="n">
        <v>20000</v>
      </c>
      <c r="O9" t="n">
        <v>-90</v>
      </c>
      <c r="P9" t="n">
        <v>0</v>
      </c>
      <c r="Q9" t="inlineStr">
        <is>
          <t>his_note_adaptive</t>
        </is>
      </c>
      <c r="R9" t="n">
        <v>1</v>
      </c>
      <c r="S9" t="n">
        <v>0.5</v>
      </c>
      <c r="T9" t="n">
        <v>0.25</v>
      </c>
      <c r="U9" t="n">
        <v>-90</v>
      </c>
      <c r="V9" s="15" t="n">
        <v>20000</v>
      </c>
    </row>
    <row r="10">
      <c r="A10" t="inlineStr">
        <is>
          <t>C3</t>
        </is>
      </c>
      <c r="B10" t="n">
        <v>48</v>
      </c>
      <c r="C10" s="15" t="n">
        <v>131.0427536427045</v>
      </c>
      <c r="D10" s="15" t="inlineStr">
        <is>
          <t>prior_constrained_harmonic_fit</t>
        </is>
      </c>
      <c r="E10" s="15" t="inlineStr">
        <is>
          <t>fit_accepted_acoustically_verified</t>
        </is>
      </c>
      <c r="F10" t="inlineStr">
        <is>
          <t>Tier_18</t>
        </is>
      </c>
      <c r="G10" t="inlineStr">
        <is>
          <t>adaptive_tier</t>
        </is>
      </c>
      <c r="H10" t="n">
        <v>8192</v>
      </c>
      <c r="I10" t="n">
        <v>1024</v>
      </c>
      <c r="J10" t="n">
        <v>2</v>
      </c>
      <c r="K10" t="inlineStr">
        <is>
          <t>blackmanharris</t>
        </is>
      </c>
      <c r="L10" s="15" t="n">
        <v>5.8</v>
      </c>
      <c r="M10" t="n">
        <v>111.8067138655349</v>
      </c>
      <c r="N10" t="n">
        <v>20000</v>
      </c>
      <c r="O10" t="n">
        <v>-90</v>
      </c>
      <c r="P10" t="n">
        <v>0</v>
      </c>
      <c r="Q10" t="inlineStr">
        <is>
          <t>his_note_adaptive</t>
        </is>
      </c>
      <c r="R10" t="n">
        <v>1</v>
      </c>
      <c r="S10" t="n">
        <v>0.5</v>
      </c>
      <c r="T10" t="n">
        <v>0.25</v>
      </c>
      <c r="U10" t="n">
        <v>-90</v>
      </c>
      <c r="V10" s="15" t="n">
        <v>20000</v>
      </c>
    </row>
    <row r="11">
      <c r="A11" t="inlineStr">
        <is>
          <t>C#3</t>
        </is>
      </c>
      <c r="B11" t="n">
        <v>49</v>
      </c>
      <c r="C11" s="15" t="n">
        <v>138.6976376467761</v>
      </c>
      <c r="D11" s="15" t="inlineStr">
        <is>
          <t>prior_constrained_harmonic_fit</t>
        </is>
      </c>
      <c r="E11" s="15" t="inlineStr">
        <is>
          <t>fit_accepted_acoustically_verified</t>
        </is>
      </c>
      <c r="F11" t="inlineStr">
        <is>
          <t>Tier_19</t>
        </is>
      </c>
      <c r="G11" t="inlineStr">
        <is>
          <t>adaptive_tier</t>
        </is>
      </c>
      <c r="H11" t="n">
        <v>8192</v>
      </c>
      <c r="I11" t="n">
        <v>1024</v>
      </c>
      <c r="J11" t="n">
        <v>2</v>
      </c>
      <c r="K11" t="inlineStr">
        <is>
          <t>blackmanharris</t>
        </is>
      </c>
      <c r="L11" s="15" t="n">
        <v>6</v>
      </c>
      <c r="M11" t="n">
        <v>118.8919215543554</v>
      </c>
      <c r="N11" t="n">
        <v>20000</v>
      </c>
      <c r="O11" t="n">
        <v>-90</v>
      </c>
      <c r="P11" t="n">
        <v>0</v>
      </c>
      <c r="Q11" t="inlineStr">
        <is>
          <t>his_note_adaptive</t>
        </is>
      </c>
      <c r="R11" t="n">
        <v>1</v>
      </c>
      <c r="S11" t="n">
        <v>0.5</v>
      </c>
      <c r="T11" t="n">
        <v>0.25</v>
      </c>
      <c r="U11" t="n">
        <v>-90</v>
      </c>
      <c r="V11" s="15" t="n">
        <v>20000</v>
      </c>
    </row>
    <row r="12">
      <c r="A12" t="inlineStr">
        <is>
          <t>D3</t>
        </is>
      </c>
      <c r="B12" t="n">
        <v>50</v>
      </c>
      <c r="C12" s="15" t="n">
        <v>146.5084107364859</v>
      </c>
      <c r="D12" s="15" t="inlineStr">
        <is>
          <t>prior_constrained_harmonic_fit</t>
        </is>
      </c>
      <c r="E12" s="15" t="inlineStr">
        <is>
          <t>fit_accepted_acoustically_verified</t>
        </is>
      </c>
      <c r="F12" t="inlineStr">
        <is>
          <t>Tier_20</t>
        </is>
      </c>
      <c r="G12" t="inlineStr">
        <is>
          <t>adaptive_tier</t>
        </is>
      </c>
      <c r="H12" t="n">
        <v>8192</v>
      </c>
      <c r="I12" t="n">
        <v>1024</v>
      </c>
      <c r="J12" t="n">
        <v>2</v>
      </c>
      <c r="K12" t="inlineStr">
        <is>
          <t>blackmanharris</t>
        </is>
      </c>
      <c r="L12" s="15" t="n">
        <v>6.2</v>
      </c>
      <c r="M12" t="n">
        <v>126.4244131483516</v>
      </c>
      <c r="N12" t="n">
        <v>20000</v>
      </c>
      <c r="O12" t="n">
        <v>-90</v>
      </c>
      <c r="P12" t="n">
        <v>0</v>
      </c>
      <c r="Q12" t="inlineStr">
        <is>
          <t>his_note_adaptive</t>
        </is>
      </c>
      <c r="R12" t="n">
        <v>1</v>
      </c>
      <c r="S12" t="n">
        <v>0.5</v>
      </c>
      <c r="T12" t="n">
        <v>0.25</v>
      </c>
      <c r="U12" t="n">
        <v>-90</v>
      </c>
      <c r="V12" s="15" t="n">
        <v>20000</v>
      </c>
    </row>
    <row r="13">
      <c r="A13" t="inlineStr">
        <is>
          <t>D#3</t>
        </is>
      </c>
      <c r="B13" t="n">
        <v>51</v>
      </c>
      <c r="C13" s="15" t="n">
        <v>155.4344744903509</v>
      </c>
      <c r="D13" s="15" t="inlineStr">
        <is>
          <t>prior_constrained_harmonic_fit</t>
        </is>
      </c>
      <c r="E13" s="15" t="inlineStr">
        <is>
          <t>fit_accepted_acoustically_verified</t>
        </is>
      </c>
      <c r="F13" t="inlineStr">
        <is>
          <t>Tier_21</t>
        </is>
      </c>
      <c r="G13" t="inlineStr">
        <is>
          <t>adaptive_tier</t>
        </is>
      </c>
      <c r="H13" t="n">
        <v>8192</v>
      </c>
      <c r="I13" t="n">
        <v>1024</v>
      </c>
      <c r="J13" t="n">
        <v>2</v>
      </c>
      <c r="K13" t="inlineStr">
        <is>
          <t>blackmanharris</t>
        </is>
      </c>
      <c r="L13" s="15" t="n">
        <v>6.4</v>
      </c>
      <c r="M13" t="n">
        <v>134.4323301180821</v>
      </c>
      <c r="N13" t="n">
        <v>20000</v>
      </c>
      <c r="O13" t="n">
        <v>-90</v>
      </c>
      <c r="P13" t="n">
        <v>0</v>
      </c>
      <c r="Q13" t="inlineStr">
        <is>
          <t>his_note_adaptive</t>
        </is>
      </c>
      <c r="R13" t="n">
        <v>1</v>
      </c>
      <c r="S13" t="n">
        <v>0.5</v>
      </c>
      <c r="T13" t="n">
        <v>0.25</v>
      </c>
      <c r="U13" t="n">
        <v>-90</v>
      </c>
      <c r="V13" s="15" t="n">
        <v>20000</v>
      </c>
    </row>
    <row r="14">
      <c r="A14" t="inlineStr">
        <is>
          <t>E3</t>
        </is>
      </c>
      <c r="B14" t="n">
        <v>52</v>
      </c>
      <c r="C14" s="15" t="n">
        <v>164.4835995337705</v>
      </c>
      <c r="D14" s="15" t="inlineStr">
        <is>
          <t>prior_constrained_harmonic_fit</t>
        </is>
      </c>
      <c r="E14" s="15" t="inlineStr">
        <is>
          <t>fit_accepted_acoustically_verified</t>
        </is>
      </c>
      <c r="F14" t="inlineStr">
        <is>
          <t>Tier_21</t>
        </is>
      </c>
      <c r="G14" t="inlineStr">
        <is>
          <t>adaptive_tier</t>
        </is>
      </c>
      <c r="H14" t="n">
        <v>8192</v>
      </c>
      <c r="I14" t="n">
        <v>1024</v>
      </c>
      <c r="J14" t="n">
        <v>2</v>
      </c>
      <c r="K14" t="inlineStr">
        <is>
          <t>blackmanharris</t>
        </is>
      </c>
      <c r="L14" s="15" t="n">
        <v>6.4</v>
      </c>
      <c r="M14" t="n">
        <v>142.9455791588579</v>
      </c>
      <c r="N14" t="n">
        <v>20000</v>
      </c>
      <c r="O14" t="n">
        <v>-90</v>
      </c>
      <c r="P14" t="n">
        <v>0</v>
      </c>
      <c r="Q14" t="inlineStr">
        <is>
          <t>his_note_adaptive</t>
        </is>
      </c>
      <c r="R14" t="n">
        <v>1</v>
      </c>
      <c r="S14" t="n">
        <v>0.5</v>
      </c>
      <c r="T14" t="n">
        <v>0.25</v>
      </c>
      <c r="U14" t="n">
        <v>-90</v>
      </c>
      <c r="V14" s="15" t="n">
        <v>20000</v>
      </c>
    </row>
    <row r="15">
      <c r="A15" t="inlineStr">
        <is>
          <t>F3</t>
        </is>
      </c>
      <c r="B15" t="n">
        <v>53</v>
      </c>
      <c r="C15" s="15" t="n">
        <v>174.540883236281</v>
      </c>
      <c r="D15" s="15" t="inlineStr">
        <is>
          <t>prior_constrained_harmonic_fit</t>
        </is>
      </c>
      <c r="E15" s="15" t="inlineStr">
        <is>
          <t>fit_accepted_acoustically_verified</t>
        </is>
      </c>
      <c r="F15" t="inlineStr">
        <is>
          <t>Tier_22</t>
        </is>
      </c>
      <c r="G15" t="inlineStr">
        <is>
          <t>adaptive_tier</t>
        </is>
      </c>
      <c r="H15" t="n">
        <v>8192</v>
      </c>
      <c r="I15" t="n">
        <v>1024</v>
      </c>
      <c r="J15" t="n">
        <v>2</v>
      </c>
      <c r="K15" t="inlineStr">
        <is>
          <t>blackmanharris</t>
        </is>
      </c>
      <c r="L15" s="15" t="n">
        <v>6.6</v>
      </c>
      <c r="M15" t="n">
        <v>151.9959426179061</v>
      </c>
      <c r="N15" t="n">
        <v>20000</v>
      </c>
      <c r="O15" t="n">
        <v>-90</v>
      </c>
      <c r="P15" t="n">
        <v>0</v>
      </c>
      <c r="Q15" t="inlineStr">
        <is>
          <t>his_note_adaptive</t>
        </is>
      </c>
      <c r="R15" t="n">
        <v>1</v>
      </c>
      <c r="S15" t="n">
        <v>0.5</v>
      </c>
      <c r="T15" t="n">
        <v>0.25</v>
      </c>
      <c r="U15" t="n">
        <v>-90</v>
      </c>
      <c r="V15" s="15" t="n">
        <v>20000</v>
      </c>
    </row>
    <row r="16">
      <c r="A16" t="inlineStr">
        <is>
          <t>F#3</t>
        </is>
      </c>
      <c r="B16" t="n">
        <v>54</v>
      </c>
      <c r="C16" s="15" t="n">
        <v>184.9719495637959</v>
      </c>
      <c r="D16" s="15" t="inlineStr">
        <is>
          <t>prior_constrained_harmonic_fit</t>
        </is>
      </c>
      <c r="E16" s="15" t="inlineStr">
        <is>
          <t>fit_accepted_acoustically_verified</t>
        </is>
      </c>
      <c r="F16" t="inlineStr">
        <is>
          <t>Tier_23</t>
        </is>
      </c>
      <c r="G16" t="inlineStr">
        <is>
          <t>adaptive_tier</t>
        </is>
      </c>
      <c r="H16" t="n">
        <v>8192</v>
      </c>
      <c r="I16" t="n">
        <v>1024</v>
      </c>
      <c r="J16" t="n">
        <v>2</v>
      </c>
      <c r="K16" t="inlineStr">
        <is>
          <t>blackmanharris</t>
        </is>
      </c>
      <c r="L16" s="15" t="n">
        <v>6.8</v>
      </c>
      <c r="M16" t="n">
        <v>161.6171958126281</v>
      </c>
      <c r="N16" t="n">
        <v>20000</v>
      </c>
      <c r="O16" t="n">
        <v>-90</v>
      </c>
      <c r="P16" t="n">
        <v>0</v>
      </c>
      <c r="Q16" t="inlineStr">
        <is>
          <t>his_note_adaptive</t>
        </is>
      </c>
      <c r="R16" t="n">
        <v>1</v>
      </c>
      <c r="S16" t="n">
        <v>0.5</v>
      </c>
      <c r="T16" t="n">
        <v>0.25</v>
      </c>
      <c r="U16" t="n">
        <v>-90</v>
      </c>
      <c r="V16" s="15" t="n">
        <v>20000</v>
      </c>
    </row>
    <row r="17">
      <c r="A17" t="inlineStr">
        <is>
          <t>G3</t>
        </is>
      </c>
      <c r="B17" t="n">
        <v>55</v>
      </c>
      <c r="C17" s="15" t="n">
        <v>195.9687567348571</v>
      </c>
      <c r="D17" s="15" t="inlineStr">
        <is>
          <t>prior_constrained_harmonic_fit</t>
        </is>
      </c>
      <c r="E17" s="15" t="inlineStr">
        <is>
          <t>fit_accepted_acoustically_verified</t>
        </is>
      </c>
      <c r="F17" t="inlineStr">
        <is>
          <t>Tier_25</t>
        </is>
      </c>
      <c r="G17" t="inlineStr">
        <is>
          <t>adaptive_tier</t>
        </is>
      </c>
      <c r="H17" t="n">
        <v>8192</v>
      </c>
      <c r="I17" t="n">
        <v>1024</v>
      </c>
      <c r="J17" t="n">
        <v>2</v>
      </c>
      <c r="K17" t="inlineStr">
        <is>
          <t>blackmanharris</t>
        </is>
      </c>
      <c r="L17" s="15" t="n">
        <v>7.2</v>
      </c>
      <c r="M17" t="n">
        <v>171.8452316690294</v>
      </c>
      <c r="N17" t="n">
        <v>20000</v>
      </c>
      <c r="O17" t="n">
        <v>-90</v>
      </c>
      <c r="P17" t="n">
        <v>0</v>
      </c>
      <c r="Q17" t="inlineStr">
        <is>
          <t>his_note_adaptive</t>
        </is>
      </c>
      <c r="R17" t="n">
        <v>1</v>
      </c>
      <c r="S17" t="n">
        <v>0.5</v>
      </c>
      <c r="T17" t="n">
        <v>0.25</v>
      </c>
      <c r="U17" t="n">
        <v>-90</v>
      </c>
      <c r="V17" s="15" t="n">
        <v>20000</v>
      </c>
    </row>
    <row r="18">
      <c r="A18" t="inlineStr">
        <is>
          <t>G#3</t>
        </is>
      </c>
      <c r="B18" t="n">
        <v>56</v>
      </c>
      <c r="C18" s="15" t="n">
        <v>207.4116577663625</v>
      </c>
      <c r="D18" s="15" t="inlineStr">
        <is>
          <t>prior_constrained_harmonic_fit</t>
        </is>
      </c>
      <c r="E18" s="15" t="inlineStr">
        <is>
          <t>fit_accepted_acoustically_verified</t>
        </is>
      </c>
      <c r="F18" t="inlineStr">
        <is>
          <t>Tier_26</t>
        </is>
      </c>
      <c r="G18" t="inlineStr">
        <is>
          <t>adaptive_tier</t>
        </is>
      </c>
      <c r="H18" t="n">
        <v>4096</v>
      </c>
      <c r="I18" t="n">
        <v>512</v>
      </c>
      <c r="J18" t="n">
        <v>2</v>
      </c>
      <c r="K18" t="inlineStr">
        <is>
          <t>blackmanharris</t>
        </is>
      </c>
      <c r="L18" s="15" t="n">
        <v>7.4</v>
      </c>
      <c r="M18" t="n">
        <v>182.7181931360602</v>
      </c>
      <c r="N18" t="n">
        <v>20000</v>
      </c>
      <c r="O18" t="n">
        <v>-90</v>
      </c>
      <c r="P18" t="n">
        <v>0</v>
      </c>
      <c r="Q18" t="inlineStr">
        <is>
          <t>his_note_adaptive</t>
        </is>
      </c>
      <c r="R18" t="n">
        <v>1</v>
      </c>
      <c r="S18" t="n">
        <v>0.5</v>
      </c>
      <c r="T18" t="n">
        <v>0.25</v>
      </c>
      <c r="U18" t="n">
        <v>-90</v>
      </c>
      <c r="V18" s="15" t="n">
        <v>20000</v>
      </c>
    </row>
    <row r="19">
      <c r="A19" t="inlineStr">
        <is>
          <t>A3</t>
        </is>
      </c>
      <c r="B19" t="n">
        <v>57</v>
      </c>
      <c r="C19" s="15" t="n">
        <v>219.4850098710671</v>
      </c>
      <c r="D19" s="15" t="inlineStr">
        <is>
          <t>prior_constrained_harmonic_fit</t>
        </is>
      </c>
      <c r="E19" s="15" t="inlineStr">
        <is>
          <t>fit_accepted_acoustically_verified</t>
        </is>
      </c>
      <c r="F19" t="inlineStr">
        <is>
          <t>Tier_27</t>
        </is>
      </c>
      <c r="G19" t="inlineStr">
        <is>
          <t>adaptive_tier</t>
        </is>
      </c>
      <c r="H19" t="n">
        <v>4096</v>
      </c>
      <c r="I19" t="n">
        <v>512</v>
      </c>
      <c r="J19" t="n">
        <v>2</v>
      </c>
      <c r="K19" t="inlineStr">
        <is>
          <t>blackmanharris</t>
        </is>
      </c>
      <c r="L19" s="15" t="n">
        <v>7.6</v>
      </c>
      <c r="M19" t="n">
        <v>194.2766138599219</v>
      </c>
      <c r="N19" t="n">
        <v>20000</v>
      </c>
      <c r="O19" t="n">
        <v>-90</v>
      </c>
      <c r="P19" t="n">
        <v>0</v>
      </c>
      <c r="Q19" t="inlineStr">
        <is>
          <t>his_note_adaptive</t>
        </is>
      </c>
      <c r="R19" t="n">
        <v>1</v>
      </c>
      <c r="S19" t="n">
        <v>0.5</v>
      </c>
      <c r="T19" t="n">
        <v>0.25</v>
      </c>
      <c r="U19" t="n">
        <v>-90</v>
      </c>
      <c r="V19" s="15" t="n">
        <v>20000</v>
      </c>
    </row>
    <row r="20">
      <c r="A20" t="inlineStr">
        <is>
          <t>A#3</t>
        </is>
      </c>
      <c r="B20" t="n">
        <v>58</v>
      </c>
      <c r="C20" s="15" t="n">
        <v>233.16382510172</v>
      </c>
      <c r="D20" s="15" t="inlineStr">
        <is>
          <t>prior_constrained_harmonic_fit</t>
        </is>
      </c>
      <c r="E20" s="15" t="inlineStr">
        <is>
          <t>fit_accepted_acoustically_verified</t>
        </is>
      </c>
      <c r="F20" t="inlineStr">
        <is>
          <t>Tier_28</t>
        </is>
      </c>
      <c r="G20" t="inlineStr">
        <is>
          <t>adaptive_tier</t>
        </is>
      </c>
      <c r="H20" t="n">
        <v>4096</v>
      </c>
      <c r="I20" t="n">
        <v>512</v>
      </c>
      <c r="J20" t="n">
        <v>2</v>
      </c>
      <c r="K20" t="inlineStr">
        <is>
          <t>blackmanharris</t>
        </is>
      </c>
      <c r="L20" s="15" t="n">
        <v>7.8</v>
      </c>
      <c r="M20" t="n">
        <v>206.5635676324679</v>
      </c>
      <c r="N20" t="n">
        <v>20000</v>
      </c>
      <c r="O20" t="n">
        <v>-90</v>
      </c>
      <c r="P20" t="n">
        <v>0</v>
      </c>
      <c r="Q20" t="inlineStr">
        <is>
          <t>his_note_adaptive</t>
        </is>
      </c>
      <c r="R20" t="n">
        <v>1</v>
      </c>
      <c r="S20" t="n">
        <v>0.5</v>
      </c>
      <c r="T20" t="n">
        <v>0.25</v>
      </c>
      <c r="U20" t="n">
        <v>-90</v>
      </c>
      <c r="V20" s="15" t="n">
        <v>20000</v>
      </c>
    </row>
    <row r="21">
      <c r="A21" t="inlineStr">
        <is>
          <t>B3</t>
        </is>
      </c>
      <c r="B21" t="n">
        <v>59</v>
      </c>
      <c r="C21" s="15" t="n">
        <v>247.134475092839</v>
      </c>
      <c r="D21" s="15" t="inlineStr">
        <is>
          <t>prior_constrained_harmonic_fit</t>
        </is>
      </c>
      <c r="E21" s="15" t="inlineStr">
        <is>
          <t>fit_accepted_acoustically_verified</t>
        </is>
      </c>
      <c r="F21" t="inlineStr">
        <is>
          <t>Tier_30</t>
        </is>
      </c>
      <c r="G21" t="inlineStr">
        <is>
          <t>adaptive_tier</t>
        </is>
      </c>
      <c r="H21" t="n">
        <v>4096</v>
      </c>
      <c r="I21" t="n">
        <v>512</v>
      </c>
      <c r="J21" t="n">
        <v>2</v>
      </c>
      <c r="K21" t="inlineStr">
        <is>
          <t>blackmanharris</t>
        </is>
      </c>
      <c r="L21" s="15" t="n">
        <v>8.199999999999999</v>
      </c>
      <c r="M21" t="n">
        <v>219.6248271597629</v>
      </c>
      <c r="N21" t="n">
        <v>20000</v>
      </c>
      <c r="O21" t="n">
        <v>-90</v>
      </c>
      <c r="P21" t="n">
        <v>0</v>
      </c>
      <c r="Q21" t="inlineStr">
        <is>
          <t>his_note_adaptive</t>
        </is>
      </c>
      <c r="R21" t="n">
        <v>1</v>
      </c>
      <c r="S21" t="n">
        <v>0.5</v>
      </c>
      <c r="T21" t="n">
        <v>0.25</v>
      </c>
      <c r="U21" t="n">
        <v>-90</v>
      </c>
      <c r="V21" s="15" t="n">
        <v>20000</v>
      </c>
    </row>
    <row r="22">
      <c r="A22" t="inlineStr">
        <is>
          <t>C4</t>
        </is>
      </c>
      <c r="B22" t="n">
        <v>60</v>
      </c>
      <c r="C22" s="15" t="n">
        <v>261.5631780895109</v>
      </c>
      <c r="D22" s="15" t="inlineStr">
        <is>
          <t>prior_constrained_harmonic_fit</t>
        </is>
      </c>
      <c r="E22" s="15" t="inlineStr">
        <is>
          <t>fit_accepted_acoustically_verified</t>
        </is>
      </c>
      <c r="F22" t="inlineStr">
        <is>
          <t>Tier_31</t>
        </is>
      </c>
      <c r="G22" t="inlineStr">
        <is>
          <t>adaptive_tier</t>
        </is>
      </c>
      <c r="H22" t="n">
        <v>4096</v>
      </c>
      <c r="I22" t="n">
        <v>512</v>
      </c>
      <c r="J22" t="n">
        <v>2</v>
      </c>
      <c r="K22" t="inlineStr">
        <is>
          <t>blackmanharris</t>
        </is>
      </c>
      <c r="L22" s="15" t="n">
        <v>8.4</v>
      </c>
      <c r="M22" t="n">
        <v>233.5090327307839</v>
      </c>
      <c r="N22" t="n">
        <v>20000</v>
      </c>
      <c r="O22" t="n">
        <v>-90</v>
      </c>
      <c r="P22" t="n">
        <v>0</v>
      </c>
      <c r="Q22" t="inlineStr">
        <is>
          <t>his_note_adaptive</t>
        </is>
      </c>
      <c r="R22" t="n">
        <v>1</v>
      </c>
      <c r="S22" t="n">
        <v>0.5</v>
      </c>
      <c r="T22" t="n">
        <v>0.25</v>
      </c>
      <c r="U22" t="n">
        <v>-90</v>
      </c>
      <c r="V22" s="15" t="n">
        <v>20000</v>
      </c>
    </row>
    <row r="23">
      <c r="A23" t="inlineStr">
        <is>
          <t>C#4</t>
        </is>
      </c>
      <c r="B23" t="n">
        <v>61</v>
      </c>
      <c r="C23" s="15" t="n">
        <v>276.8547833031037</v>
      </c>
      <c r="D23" s="15" t="inlineStr">
        <is>
          <t>prior_constrained_harmonic_fit</t>
        </is>
      </c>
      <c r="E23" s="15" t="inlineStr">
        <is>
          <t>fit_accepted_acoustically_verified</t>
        </is>
      </c>
      <c r="F23" t="inlineStr">
        <is>
          <t>Tier_32</t>
        </is>
      </c>
      <c r="G23" t="inlineStr">
        <is>
          <t>adaptive_tier</t>
        </is>
      </c>
      <c r="H23" t="n">
        <v>4096</v>
      </c>
      <c r="I23" t="n">
        <v>512</v>
      </c>
      <c r="J23" t="n">
        <v>2</v>
      </c>
      <c r="K23" t="inlineStr">
        <is>
          <t>blackmanharris</t>
        </is>
      </c>
      <c r="L23" s="15" t="n">
        <v>8.6</v>
      </c>
      <c r="M23" t="n">
        <v>248.2678714022651</v>
      </c>
      <c r="N23" t="n">
        <v>20000</v>
      </c>
      <c r="O23" t="n">
        <v>-90</v>
      </c>
      <c r="P23" t="n">
        <v>0</v>
      </c>
      <c r="Q23" t="inlineStr">
        <is>
          <t>his_note_adaptive</t>
        </is>
      </c>
      <c r="R23" t="n">
        <v>1</v>
      </c>
      <c r="S23" t="n">
        <v>0.5</v>
      </c>
      <c r="T23" t="n">
        <v>0.25</v>
      </c>
      <c r="U23" t="n">
        <v>-90</v>
      </c>
      <c r="V23" s="15" t="n">
        <v>20000</v>
      </c>
    </row>
    <row r="24">
      <c r="A24" t="inlineStr">
        <is>
          <t>D4</t>
        </is>
      </c>
      <c r="B24" t="n">
        <v>62</v>
      </c>
      <c r="C24" s="15" t="n">
        <v>293.9139830452642</v>
      </c>
      <c r="D24" s="15" t="inlineStr">
        <is>
          <t>prior_constrained_harmonic_fit</t>
        </is>
      </c>
      <c r="E24" s="15" t="inlineStr">
        <is>
          <t>fit_accepted_acoustically_verified</t>
        </is>
      </c>
      <c r="F24" t="inlineStr">
        <is>
          <t>Tier_33</t>
        </is>
      </c>
      <c r="G24" t="inlineStr">
        <is>
          <t>adaptive_tier</t>
        </is>
      </c>
      <c r="H24" t="n">
        <v>4096</v>
      </c>
      <c r="I24" t="n">
        <v>512</v>
      </c>
      <c r="J24" t="n">
        <v>2</v>
      </c>
      <c r="K24" t="inlineStr">
        <is>
          <t>blackmanharris</t>
        </is>
      </c>
      <c r="L24" s="15" t="n">
        <v>8.800000000000001</v>
      </c>
      <c r="M24" t="n">
        <v>263.9562673539427</v>
      </c>
      <c r="N24" t="n">
        <v>20000</v>
      </c>
      <c r="O24" t="n">
        <v>-90</v>
      </c>
      <c r="P24" t="n">
        <v>0</v>
      </c>
      <c r="Q24" t="inlineStr">
        <is>
          <t>his_note_adaptive</t>
        </is>
      </c>
      <c r="R24" t="n">
        <v>1</v>
      </c>
      <c r="S24" t="n">
        <v>0.5</v>
      </c>
      <c r="T24" t="n">
        <v>0.25</v>
      </c>
      <c r="U24" t="n">
        <v>-90</v>
      </c>
      <c r="V24" s="15" t="n">
        <v>20000</v>
      </c>
    </row>
    <row r="25">
      <c r="A25" t="inlineStr">
        <is>
          <t>D#4</t>
        </is>
      </c>
      <c r="B25" t="n">
        <v>63</v>
      </c>
      <c r="C25" s="15" t="n">
        <v>310.6964413638715</v>
      </c>
      <c r="D25" s="15" t="inlineStr">
        <is>
          <t>prior_constrained_harmonic_fit</t>
        </is>
      </c>
      <c r="E25" s="15" t="inlineStr">
        <is>
          <t>fit_accepted_acoustically_verified</t>
        </is>
      </c>
      <c r="F25" t="inlineStr">
        <is>
          <t>Tier_34</t>
        </is>
      </c>
      <c r="G25" t="inlineStr">
        <is>
          <t>adaptive_tier</t>
        </is>
      </c>
      <c r="H25" t="n">
        <v>4096</v>
      </c>
      <c r="I25" t="n">
        <v>512</v>
      </c>
      <c r="J25" t="n">
        <v>2</v>
      </c>
      <c r="K25" t="inlineStr">
        <is>
          <t>blackmanharris</t>
        </is>
      </c>
      <c r="L25" s="15" t="n">
        <v>9</v>
      </c>
      <c r="M25" t="n">
        <v>280.0142853498729</v>
      </c>
      <c r="N25" t="n">
        <v>20000</v>
      </c>
      <c r="O25" t="n">
        <v>-90</v>
      </c>
      <c r="P25" t="n">
        <v>0</v>
      </c>
      <c r="Q25" t="inlineStr">
        <is>
          <t>his_note_adaptive</t>
        </is>
      </c>
      <c r="R25" t="n">
        <v>1</v>
      </c>
      <c r="S25" t="n">
        <v>0.5</v>
      </c>
      <c r="T25" t="n">
        <v>0.25</v>
      </c>
      <c r="U25" t="n">
        <v>-90</v>
      </c>
      <c r="V25" s="15" t="n">
        <v>20000</v>
      </c>
    </row>
    <row r="26">
      <c r="A26" t="inlineStr">
        <is>
          <t>E4</t>
        </is>
      </c>
      <c r="B26" t="n">
        <v>64</v>
      </c>
      <c r="C26" s="15" t="n">
        <v>330.0163999143277</v>
      </c>
      <c r="D26" s="15" t="inlineStr">
        <is>
          <t>prior_constrained_harmonic_fit</t>
        </is>
      </c>
      <c r="E26" s="15" t="inlineStr">
        <is>
          <t>fit_accepted_acoustically_verified</t>
        </is>
      </c>
      <c r="F26" t="inlineStr">
        <is>
          <t>Tier_35</t>
        </is>
      </c>
      <c r="G26" t="inlineStr">
        <is>
          <t>adaptive_tier</t>
        </is>
      </c>
      <c r="H26" t="n">
        <v>4096</v>
      </c>
      <c r="I26" t="n">
        <v>512</v>
      </c>
      <c r="J26" t="n">
        <v>2</v>
      </c>
      <c r="K26" t="inlineStr">
        <is>
          <t>blackmanharris</t>
        </is>
      </c>
      <c r="L26" s="15" t="n">
        <v>9.199999999999999</v>
      </c>
      <c r="M26" t="n">
        <v>296.6648012215829</v>
      </c>
      <c r="N26" t="n">
        <v>20000</v>
      </c>
      <c r="O26" t="n">
        <v>-90</v>
      </c>
      <c r="P26" t="n">
        <v>0</v>
      </c>
      <c r="Q26" t="inlineStr">
        <is>
          <t>his_note_adaptive</t>
        </is>
      </c>
      <c r="R26" t="n">
        <v>1</v>
      </c>
      <c r="S26" t="n">
        <v>0.5</v>
      </c>
      <c r="T26" t="n">
        <v>0.25</v>
      </c>
      <c r="U26" t="n">
        <v>-90</v>
      </c>
      <c r="V26" s="15" t="n">
        <v>20000</v>
      </c>
    </row>
    <row r="27">
      <c r="A27" t="inlineStr">
        <is>
          <t>F4</t>
        </is>
      </c>
      <c r="B27" t="n">
        <v>65</v>
      </c>
      <c r="C27" s="15" t="n">
        <v>349.6022245381592</v>
      </c>
      <c r="D27" s="15" t="inlineStr">
        <is>
          <t>prior_constrained_harmonic_fit</t>
        </is>
      </c>
      <c r="E27" s="15" t="inlineStr">
        <is>
          <t>fit_accepted_acoustically_verified</t>
        </is>
      </c>
      <c r="F27" t="inlineStr">
        <is>
          <t>Tier_36</t>
        </is>
      </c>
      <c r="G27" t="inlineStr">
        <is>
          <t>adaptive_tier</t>
        </is>
      </c>
      <c r="H27" t="n">
        <v>4096</v>
      </c>
      <c r="I27" t="n">
        <v>512</v>
      </c>
      <c r="J27" t="n">
        <v>2</v>
      </c>
      <c r="K27" t="inlineStr">
        <is>
          <t>blackmanharris</t>
        </is>
      </c>
      <c r="L27" s="15" t="n">
        <v>9.4</v>
      </c>
      <c r="M27" t="n">
        <v>314.3054082897035</v>
      </c>
      <c r="N27" t="n">
        <v>20000</v>
      </c>
      <c r="O27" t="n">
        <v>-90</v>
      </c>
      <c r="P27" t="n">
        <v>0</v>
      </c>
      <c r="Q27" t="inlineStr">
        <is>
          <t>his_note_adaptive</t>
        </is>
      </c>
      <c r="R27" t="n">
        <v>1</v>
      </c>
      <c r="S27" t="n">
        <v>0.5</v>
      </c>
      <c r="T27" t="n">
        <v>0.25</v>
      </c>
      <c r="U27" t="n">
        <v>-90</v>
      </c>
      <c r="V27" s="15" t="n">
        <v>20000</v>
      </c>
    </row>
    <row r="28">
      <c r="A28" t="inlineStr">
        <is>
          <t>F#4</t>
        </is>
      </c>
      <c r="B28" t="n">
        <v>66</v>
      </c>
      <c r="C28" s="15" t="n">
        <v>370.3561731481509</v>
      </c>
      <c r="D28" s="15" t="inlineStr">
        <is>
          <t>prior_constrained_harmonic_fit</t>
        </is>
      </c>
      <c r="E28" s="15" t="inlineStr">
        <is>
          <t>fit_accepted_acoustically_verified</t>
        </is>
      </c>
      <c r="F28" t="inlineStr">
        <is>
          <t>Tier_37</t>
        </is>
      </c>
      <c r="G28" t="inlineStr">
        <is>
          <t>adaptive_tier</t>
        </is>
      </c>
      <c r="H28" t="n">
        <v>4096</v>
      </c>
      <c r="I28" t="n">
        <v>512</v>
      </c>
      <c r="J28" t="n">
        <v>2</v>
      </c>
      <c r="K28" t="inlineStr">
        <is>
          <t>blackmanharris</t>
        </is>
      </c>
      <c r="L28" s="15" t="n">
        <v>9.6</v>
      </c>
      <c r="M28" t="n">
        <v>332.994980440471</v>
      </c>
      <c r="N28" t="n">
        <v>20000</v>
      </c>
      <c r="O28" t="n">
        <v>-90</v>
      </c>
      <c r="P28" t="n">
        <v>0</v>
      </c>
      <c r="Q28" t="inlineStr">
        <is>
          <t>his_note_adaptive</t>
        </is>
      </c>
      <c r="R28" t="n">
        <v>1</v>
      </c>
      <c r="S28" t="n">
        <v>0.5</v>
      </c>
      <c r="T28" t="n">
        <v>0.25</v>
      </c>
      <c r="U28" t="n">
        <v>-90</v>
      </c>
      <c r="V28" s="15" t="n">
        <v>20000</v>
      </c>
    </row>
    <row r="29">
      <c r="A29" t="inlineStr">
        <is>
          <t>G4</t>
        </is>
      </c>
      <c r="B29" t="n">
        <v>67</v>
      </c>
      <c r="C29" s="15" t="n">
        <v>392.3376611788245</v>
      </c>
      <c r="D29" s="15" t="inlineStr">
        <is>
          <t>prior_constrained_harmonic_fit</t>
        </is>
      </c>
      <c r="E29" s="15" t="inlineStr">
        <is>
          <t>fit_accepted_acoustically_verified</t>
        </is>
      </c>
      <c r="F29" t="inlineStr">
        <is>
          <t>Tier_38</t>
        </is>
      </c>
      <c r="G29" t="inlineStr">
        <is>
          <t>adaptive_tier</t>
        </is>
      </c>
      <c r="H29" t="n">
        <v>4096</v>
      </c>
      <c r="I29" t="n">
        <v>512</v>
      </c>
      <c r="J29" t="n">
        <v>2</v>
      </c>
      <c r="K29" t="inlineStr">
        <is>
          <t>blackmanharris</t>
        </is>
      </c>
      <c r="L29" s="15" t="n">
        <v>9.800000000000001</v>
      </c>
      <c r="M29" t="n">
        <v>352.7958923835744</v>
      </c>
      <c r="N29" t="n">
        <v>20000</v>
      </c>
      <c r="O29" t="n">
        <v>-90</v>
      </c>
      <c r="P29" t="n">
        <v>0</v>
      </c>
      <c r="Q29" t="inlineStr">
        <is>
          <t>his_note_adaptive</t>
        </is>
      </c>
      <c r="R29" t="n">
        <v>1</v>
      </c>
      <c r="S29" t="n">
        <v>0.5</v>
      </c>
      <c r="T29" t="n">
        <v>0.25</v>
      </c>
      <c r="U29" t="n">
        <v>-90</v>
      </c>
      <c r="V29" s="15" t="n">
        <v>20000</v>
      </c>
    </row>
    <row r="30">
      <c r="A30" t="inlineStr">
        <is>
          <t>G#4</t>
        </is>
      </c>
      <c r="B30" t="n">
        <v>68</v>
      </c>
      <c r="C30" s="15" t="n">
        <v>414.8538714763602</v>
      </c>
      <c r="D30" s="15" t="inlineStr">
        <is>
          <t>prior_constrained_harmonic_fit</t>
        </is>
      </c>
      <c r="E30" s="15" t="inlineStr">
        <is>
          <t>fit_accepted_acoustically_verified</t>
        </is>
      </c>
      <c r="F30" t="inlineStr">
        <is>
          <t>Tier_39</t>
        </is>
      </c>
      <c r="G30" t="inlineStr">
        <is>
          <t>adaptive_tier</t>
        </is>
      </c>
      <c r="H30" t="n">
        <v>4096</v>
      </c>
      <c r="I30" t="n">
        <v>512</v>
      </c>
      <c r="J30" t="n">
        <v>2</v>
      </c>
      <c r="K30" t="inlineStr">
        <is>
          <t>blackmanharris</t>
        </is>
      </c>
      <c r="L30" s="15" t="n">
        <v>10</v>
      </c>
      <c r="M30" t="n">
        <v>373.7742278219506</v>
      </c>
      <c r="N30" t="n">
        <v>20000</v>
      </c>
      <c r="O30" t="n">
        <v>-90</v>
      </c>
      <c r="P30" t="n">
        <v>0</v>
      </c>
      <c r="Q30" t="inlineStr">
        <is>
          <t>his_note_adaptive</t>
        </is>
      </c>
      <c r="R30" t="n">
        <v>1</v>
      </c>
      <c r="S30" t="n">
        <v>0.5</v>
      </c>
      <c r="T30" t="n">
        <v>0.25</v>
      </c>
      <c r="U30" t="n">
        <v>-90</v>
      </c>
      <c r="V30" s="15" t="n">
        <v>20000</v>
      </c>
    </row>
    <row r="31">
      <c r="A31" t="inlineStr">
        <is>
          <t>A4</t>
        </is>
      </c>
      <c r="B31" t="n">
        <v>69</v>
      </c>
      <c r="C31" s="15" t="n">
        <v>440.6219969905587</v>
      </c>
      <c r="D31" s="15" t="inlineStr">
        <is>
          <t>prior_constrained_harmonic_fit</t>
        </is>
      </c>
      <c r="E31" s="15" t="inlineStr">
        <is>
          <t>fit_accepted_acoustically_verified</t>
        </is>
      </c>
      <c r="F31" t="inlineStr">
        <is>
          <t>Tier_40</t>
        </is>
      </c>
      <c r="G31" t="inlineStr">
        <is>
          <t>adaptive_tier</t>
        </is>
      </c>
      <c r="H31" t="n">
        <v>4096</v>
      </c>
      <c r="I31" t="n">
        <v>512</v>
      </c>
      <c r="J31" t="n">
        <v>2</v>
      </c>
      <c r="K31" t="inlineStr">
        <is>
          <t>blackmanharris</t>
        </is>
      </c>
      <c r="L31" s="15" t="n">
        <v>10.2</v>
      </c>
      <c r="M31" t="n">
        <v>396</v>
      </c>
      <c r="N31" t="n">
        <v>20000</v>
      </c>
      <c r="O31" t="n">
        <v>-90</v>
      </c>
      <c r="P31" t="n">
        <v>0</v>
      </c>
      <c r="Q31" t="inlineStr">
        <is>
          <t>his_note_adaptive</t>
        </is>
      </c>
      <c r="R31" t="n">
        <v>1</v>
      </c>
      <c r="S31" t="n">
        <v>0.5</v>
      </c>
      <c r="T31" t="n">
        <v>0.25</v>
      </c>
      <c r="U31" t="n">
        <v>-90</v>
      </c>
      <c r="V31" s="15" t="n">
        <v>20000</v>
      </c>
    </row>
    <row r="32">
      <c r="A32" t="inlineStr">
        <is>
          <t>A#4</t>
        </is>
      </c>
      <c r="B32" t="n">
        <v>70</v>
      </c>
      <c r="C32" s="15" t="n">
        <v>466.2169888915804</v>
      </c>
      <c r="D32" s="15" t="inlineStr">
        <is>
          <t>prior_constrained_harmonic_fit</t>
        </is>
      </c>
      <c r="E32" s="15" t="inlineStr">
        <is>
          <t>fit_accepted_acoustically_verified</t>
        </is>
      </c>
      <c r="F32" t="inlineStr">
        <is>
          <t>Tier_41</t>
        </is>
      </c>
      <c r="G32" t="inlineStr">
        <is>
          <t>adaptive_tier</t>
        </is>
      </c>
      <c r="H32" t="n">
        <v>4096</v>
      </c>
      <c r="I32" t="n">
        <v>512</v>
      </c>
      <c r="J32" t="n">
        <v>2</v>
      </c>
      <c r="K32" t="inlineStr">
        <is>
          <t>blackmanharris</t>
        </is>
      </c>
      <c r="L32" s="15" t="n">
        <v>10.4</v>
      </c>
      <c r="M32" t="n">
        <v>419.5473853662809</v>
      </c>
      <c r="N32" t="n">
        <v>20000</v>
      </c>
      <c r="O32" t="n">
        <v>-90</v>
      </c>
      <c r="P32" t="n">
        <v>0</v>
      </c>
      <c r="Q32" t="inlineStr">
        <is>
          <t>his_note_adaptive</t>
        </is>
      </c>
      <c r="R32" t="n">
        <v>1</v>
      </c>
      <c r="S32" t="n">
        <v>0.5</v>
      </c>
      <c r="T32" t="n">
        <v>0.25</v>
      </c>
      <c r="U32" t="n">
        <v>-90</v>
      </c>
      <c r="V32" s="15" t="n">
        <v>20000</v>
      </c>
    </row>
    <row r="33">
      <c r="A33" t="inlineStr">
        <is>
          <t>B4</t>
        </is>
      </c>
      <c r="B33" t="n">
        <v>71</v>
      </c>
      <c r="C33" s="15" t="n">
        <v>494.0021123349747</v>
      </c>
      <c r="D33" s="15" t="inlineStr">
        <is>
          <t>prior_constrained_harmonic_fit</t>
        </is>
      </c>
      <c r="E33" s="15" t="inlineStr">
        <is>
          <t>fit_accepted_acoustically_verified</t>
        </is>
      </c>
      <c r="F33" t="inlineStr">
        <is>
          <t>Tier_42</t>
        </is>
      </c>
      <c r="G33" t="inlineStr">
        <is>
          <t>adaptive_tier</t>
        </is>
      </c>
      <c r="H33" t="n">
        <v>4096</v>
      </c>
      <c r="I33" t="n">
        <v>512</v>
      </c>
      <c r="J33" t="n">
        <v>2</v>
      </c>
      <c r="K33" t="inlineStr">
        <is>
          <t>blackmanharris</t>
        </is>
      </c>
      <c r="L33" s="15" t="n">
        <v>10.6</v>
      </c>
      <c r="M33" t="n">
        <v>444.4949711305117</v>
      </c>
      <c r="N33" t="n">
        <v>20000</v>
      </c>
      <c r="O33" t="n">
        <v>-90</v>
      </c>
      <c r="P33" t="n">
        <v>0</v>
      </c>
      <c r="Q33" t="inlineStr">
        <is>
          <t>his_note_adaptive</t>
        </is>
      </c>
      <c r="R33" t="n">
        <v>1</v>
      </c>
      <c r="S33" t="n">
        <v>0.5</v>
      </c>
      <c r="T33" t="n">
        <v>0.25</v>
      </c>
      <c r="U33" t="n">
        <v>-90</v>
      </c>
      <c r="V33" s="15" t="n">
        <v>20000</v>
      </c>
    </row>
    <row r="34">
      <c r="A34" t="inlineStr">
        <is>
          <t>C5</t>
        </is>
      </c>
      <c r="B34" t="n">
        <v>72</v>
      </c>
      <c r="C34" s="15" t="n">
        <v>523.6479988924611</v>
      </c>
      <c r="D34" s="15" t="inlineStr">
        <is>
          <t>prior_constrained_harmonic_fit</t>
        </is>
      </c>
      <c r="E34" s="15" t="inlineStr">
        <is>
          <t>fit_accepted_acoustically_verified</t>
        </is>
      </c>
      <c r="F34" t="inlineStr">
        <is>
          <t>Tier_43</t>
        </is>
      </c>
      <c r="G34" t="inlineStr">
        <is>
          <t>adaptive_tier</t>
        </is>
      </c>
      <c r="H34" t="n">
        <v>2048</v>
      </c>
      <c r="I34" t="n">
        <v>256</v>
      </c>
      <c r="J34" t="n">
        <v>2</v>
      </c>
      <c r="K34" t="inlineStr">
        <is>
          <t>blackmanharris</t>
        </is>
      </c>
      <c r="L34" s="15" t="n">
        <v>10.8</v>
      </c>
      <c r="M34" t="n">
        <v>470.9260175410776</v>
      </c>
      <c r="N34" t="n">
        <v>20000</v>
      </c>
      <c r="O34" t="n">
        <v>-90</v>
      </c>
      <c r="P34" t="n">
        <v>0</v>
      </c>
      <c r="Q34" t="inlineStr">
        <is>
          <t>his_note_adaptive</t>
        </is>
      </c>
      <c r="R34" t="n">
        <v>1</v>
      </c>
      <c r="S34" t="n">
        <v>0.5</v>
      </c>
      <c r="T34" t="n">
        <v>0.25</v>
      </c>
      <c r="U34" t="n">
        <v>-90</v>
      </c>
      <c r="V34" s="15" t="n">
        <v>20000</v>
      </c>
    </row>
  </sheetData>
  <autoFilter ref="A1:V3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1" t="inlineStr">
        <is>
          <t>Field</t>
        </is>
      </c>
      <c r="B1" s="11" t="inlineStr">
        <is>
          <t>Value</t>
        </is>
      </c>
    </row>
    <row r="2">
      <c r="A2" t="inlineStr">
        <is>
          <t>source_corpus_path</t>
        </is>
      </c>
      <c r="B2" t="inlineStr">
        <is>
          <t>D:\METAIS\TROMBONE\IOWA_Trombone - Test\TenorTrombone\IOWA_Trombone_ff\_Sustains_Stable</t>
        </is>
      </c>
    </row>
    <row r="3">
      <c r="A3" t="inlineStr">
        <is>
          <t>output_path</t>
        </is>
      </c>
      <c r="B3" t="inlineStr">
        <is>
          <t>analysis_results</t>
        </is>
      </c>
    </row>
    <row r="4">
      <c r="A4" t="inlineStr">
        <is>
          <t>source_workbook_sha256</t>
        </is>
      </c>
      <c r="B4" t="inlineStr">
        <is>
          <t>fccda534105bc5b9fce64cc393499b204fd4d23c2f4d374d16f06348851ea38c</t>
        </is>
      </c>
    </row>
    <row r="5">
      <c r="A5" t="inlineStr">
        <is>
          <t>git_commit</t>
        </is>
      </c>
      <c r="B5" t="inlineStr">
        <is>
          <t>unavailable_not_a_git_repository</t>
        </is>
      </c>
    </row>
    <row r="6">
      <c r="A6" t="inlineStr">
        <is>
          <t>package_version</t>
        </is>
      </c>
      <c r="B6" t="inlineStr">
        <is>
          <t>4.1.0</t>
        </is>
      </c>
    </row>
    <row r="7">
      <c r="A7" t="inlineStr">
        <is>
          <t>code_commit</t>
        </is>
      </c>
      <c r="B7" t="inlineStr">
        <is>
          <t>6b0e51a</t>
        </is>
      </c>
    </row>
    <row r="8">
      <c r="A8" t="inlineStr">
        <is>
          <t>code_dirty</t>
        </is>
      </c>
      <c r="B8" t="b">
        <v>0</v>
      </c>
    </row>
    <row r="9">
      <c r="A9" t="inlineStr">
        <is>
          <t>git_status_reason</t>
        </is>
      </c>
      <c r="B9" t="inlineStr">
        <is>
          <t>not_a_git_repository</t>
        </is>
      </c>
    </row>
    <row r="10">
      <c r="A10" t="inlineStr">
        <is>
          <t>git_branch</t>
        </is>
      </c>
      <c r="B10" t="inlineStr">
        <is>
          <t>unavailable_not_recorded</t>
        </is>
      </c>
    </row>
    <row r="11">
      <c r="A11" t="inlineStr">
        <is>
          <t>research_export_created_at</t>
        </is>
      </c>
      <c r="B11" t="inlineStr">
        <is>
          <t>2026-08-19T16:37:54Z</t>
        </is>
      </c>
    </row>
    <row r="12">
      <c r="A12" t="inlineStr">
        <is>
          <t>research_export_script</t>
        </is>
      </c>
      <c r="B12" t="inlineStr">
        <is>
          <t>export_research_density_workbook.py</t>
        </is>
      </c>
    </row>
    <row r="13">
      <c r="A13" t="inlineStr">
        <is>
          <t>research_export_version</t>
        </is>
      </c>
      <c r="B13" t="inlineStr">
        <is>
          <t>1.1.3</t>
        </is>
      </c>
    </row>
    <row r="14">
      <c r="A14" t="inlineStr">
        <is>
          <t>pipeline_contract_version</t>
        </is>
      </c>
      <c r="B14" t="inlineStr">
        <is>
          <t>SSA_CANONICAL_PIPELINE_2026_06_STAGE1_STAGE2_STAGE3_EWSD_v18_1_UQ</t>
        </is>
      </c>
    </row>
    <row r="15">
      <c r="A15" t="inlineStr">
        <is>
          <t>analysis_schema_version</t>
        </is>
      </c>
      <c r="B15" t="inlineStr">
        <is>
          <t>unavailable_not_recorded</t>
        </is>
      </c>
    </row>
    <row r="16">
      <c r="A16" t="inlineStr">
        <is>
          <t>stage1_module</t>
        </is>
      </c>
      <c r="B16" t="inlineStr">
        <is>
          <t>proc_audio</t>
        </is>
      </c>
    </row>
    <row r="17">
      <c r="A17" t="inlineStr">
        <is>
          <t>stage1_class</t>
        </is>
      </c>
      <c r="B17" t="inlineStr">
        <is>
          <t>AudioProcessor</t>
        </is>
      </c>
    </row>
    <row r="18">
      <c r="A18" t="inlineStr">
        <is>
          <t>stage2_module</t>
        </is>
      </c>
      <c r="B18" t="inlineStr">
        <is>
          <t>compile_metrics</t>
        </is>
      </c>
    </row>
    <row r="19">
      <c r="A19" t="inlineStr">
        <is>
          <t>stage2_function</t>
        </is>
      </c>
      <c r="B19" t="inlineStr">
        <is>
          <t>compile_density_metrics_with_pca</t>
        </is>
      </c>
    </row>
    <row r="20">
      <c r="A20" t="inlineStr">
        <is>
          <t>compiled_from</t>
        </is>
      </c>
      <c r="B20" t="inlineStr">
        <is>
          <t>spectral_analysis.xlsx</t>
        </is>
      </c>
    </row>
    <row r="21">
      <c r="A21" t="inlineStr">
        <is>
          <t>accepted_input_engine</t>
        </is>
      </c>
      <c r="B21" t="inlineStr">
        <is>
          <t>proc_audio.AudioProcessor</t>
        </is>
      </c>
    </row>
    <row r="22">
      <c r="A22" t="inlineStr">
        <is>
          <t>legacy_pipeline_used</t>
        </is>
      </c>
      <c r="B22" t="n">
        <v>0</v>
      </c>
    </row>
    <row r="23">
      <c r="A23" t="inlineStr">
        <is>
          <t>legacy_super_json_allowed</t>
        </is>
      </c>
      <c r="B23" t="n">
        <v>0</v>
      </c>
    </row>
    <row r="24">
      <c r="A24" t="inlineStr">
        <is>
          <t>publication_output_allowed</t>
        </is>
      </c>
      <c r="B24" t="n">
        <v>1</v>
      </c>
    </row>
    <row r="25">
      <c r="A25" t="inlineStr">
        <is>
          <t>input_schema_validation_status</t>
        </is>
      </c>
      <c r="B25" t="inlineStr">
        <is>
          <t>gui_orchestrator_pipeline</t>
        </is>
      </c>
    </row>
    <row r="26">
      <c r="A26" t="inlineStr">
        <is>
          <t>weight_function</t>
        </is>
      </c>
      <c r="B26" t="inlineStr">
        <is>
          <t>log</t>
        </is>
      </c>
    </row>
    <row r="27">
      <c r="A27" t="inlineStr">
        <is>
          <t>window_type</t>
        </is>
      </c>
      <c r="B27" t="inlineStr">
        <is>
          <t>blackmanharris</t>
        </is>
      </c>
    </row>
    <row r="28">
      <c r="A28" t="inlineStr">
        <is>
          <t>n_fft_strategy_or_tier_strategy</t>
        </is>
      </c>
      <c r="B28" t="inlineStr">
        <is>
          <t>90_tier_granular</t>
        </is>
      </c>
    </row>
    <row r="29">
      <c r="A29" t="inlineStr">
        <is>
          <t>n_fft</t>
        </is>
      </c>
      <c r="B29" t="inlineStr">
        <is>
          <t>tier_dependent_see_Analysis_Settings_By_Note</t>
        </is>
      </c>
    </row>
    <row r="30">
      <c r="A30" t="inlineStr">
        <is>
          <t>hop_length_strategy_or_tier_strategy</t>
        </is>
      </c>
      <c r="B30" t="inlineStr">
        <is>
          <t>90_tier_granular</t>
        </is>
      </c>
    </row>
    <row r="31">
      <c r="A31" t="inlineStr">
        <is>
          <t>hop_length</t>
        </is>
      </c>
      <c r="B31" t="inlineStr">
        <is>
          <t>tier_dependent_see_Analysis_Settings_By_Note</t>
        </is>
      </c>
    </row>
    <row r="32">
      <c r="A32" t="inlineStr">
        <is>
          <t>zero_padding</t>
        </is>
      </c>
      <c r="B32" t="inlineStr">
        <is>
          <t>tier_dependent_see_Analysis_Settings_By_Note</t>
        </is>
      </c>
    </row>
    <row r="33">
      <c r="A33" t="inlineStr">
        <is>
          <t>harmonic_tolerance_strategy</t>
        </is>
      </c>
      <c r="B33" t="inlineStr">
        <is>
          <t>90_tier_granular</t>
        </is>
      </c>
    </row>
    <row r="34">
      <c r="A34" t="inlineStr">
        <is>
          <t>harmonic_tolerance</t>
        </is>
      </c>
      <c r="B34" t="inlineStr">
        <is>
          <t>tier_dependent_see_Analysis_Settings_By_Note</t>
        </is>
      </c>
    </row>
    <row r="35">
      <c r="A35" t="inlineStr">
        <is>
          <t>harmonic_tolerance_policy_version</t>
        </is>
      </c>
      <c r="B35" t="n">
        <v/>
      </c>
    </row>
    <row r="36">
      <c r="A36" t="inlineStr">
        <is>
          <t>harmonic_tolerance_spacing_cap_fraction</t>
        </is>
      </c>
      <c r="B36" t="n">
        <v/>
      </c>
    </row>
    <row r="37">
      <c r="A37" t="inlineStr">
        <is>
          <t>harmonic_body_stop_enabled</t>
        </is>
      </c>
      <c r="B37" t="n">
        <v/>
      </c>
    </row>
    <row r="38">
      <c r="A38" t="inlineStr">
        <is>
          <t>harmonic_body_stop_margin_db</t>
        </is>
      </c>
      <c r="B38" t="n">
        <v/>
      </c>
    </row>
    <row r="39">
      <c r="A39" t="inlineStr">
        <is>
          <t>density_ci_enabled</t>
        </is>
      </c>
      <c r="B39" t="n">
        <v/>
      </c>
    </row>
    <row r="40">
      <c r="A40" t="inlineStr">
        <is>
          <t>frequency_min_hz</t>
        </is>
      </c>
      <c r="B40" t="inlineStr">
        <is>
          <t>unknown_not_parseable</t>
        </is>
      </c>
    </row>
    <row r="41">
      <c r="A41" t="inlineStr">
        <is>
          <t>frequency_max_hz</t>
        </is>
      </c>
      <c r="B41" t="inlineStr">
        <is>
          <t>unknown_not_parseable</t>
        </is>
      </c>
    </row>
    <row r="42">
      <c r="A42" t="inlineStr">
        <is>
          <t>magnitude_min_db</t>
        </is>
      </c>
      <c r="B42" t="inlineStr">
        <is>
          <t>unknown_not_parseable</t>
        </is>
      </c>
    </row>
    <row r="43">
      <c r="A43" t="inlineStr">
        <is>
          <t>magnitude_max_db</t>
        </is>
      </c>
      <c r="B43" t="inlineStr">
        <is>
          <t>unknown_not_parseable</t>
        </is>
      </c>
    </row>
    <row r="44">
      <c r="A44" t="inlineStr">
        <is>
          <t>density_summation_mode</t>
        </is>
      </c>
      <c r="B44" t="inlineStr">
        <is>
          <t>unavailable_not_recorded</t>
        </is>
      </c>
    </row>
    <row r="45">
      <c r="A45" t="inlineStr">
        <is>
          <t>harmonic_density_weight</t>
        </is>
      </c>
      <c r="B45" t="n">
        <v>0.766640008307819</v>
      </c>
    </row>
    <row r="46">
      <c r="A46" t="inlineStr">
        <is>
          <t>inharmonic_density_weight</t>
        </is>
      </c>
      <c r="B46" t="n">
        <v>0.1653290506509894</v>
      </c>
    </row>
    <row r="47">
      <c r="A47" t="inlineStr">
        <is>
          <t>subbass_density_weight</t>
        </is>
      </c>
      <c r="B47" t="n">
        <v>0.06803094104119156</v>
      </c>
    </row>
    <row r="48">
      <c r="A48" t="inlineStr">
        <is>
          <t>density_salience_threshold_db</t>
        </is>
      </c>
      <c r="B48" t="n">
        <v>-90</v>
      </c>
    </row>
    <row r="49">
      <c r="A49" t="inlineStr">
        <is>
          <t>density_frequency_ceiling_hz</t>
        </is>
      </c>
      <c r="B49" t="n">
        <v>20000</v>
      </c>
    </row>
    <row r="50">
      <c r="A50" t="inlineStr">
        <is>
          <t>sample_row_count</t>
        </is>
      </c>
      <c r="B50" t="n">
        <v>33</v>
      </c>
    </row>
    <row r="51">
      <c r="A51" t="inlineStr">
        <is>
          <t>unique_midi_count</t>
        </is>
      </c>
      <c r="B51" t="n">
        <v>33</v>
      </c>
    </row>
    <row r="52">
      <c r="A52" t="inlineStr">
        <is>
          <t>unique_note_label_count</t>
        </is>
      </c>
      <c r="B52" t="n">
        <v>33</v>
      </c>
    </row>
    <row r="53">
      <c r="A53" t="inlineStr">
        <is>
          <t>notes_count</t>
        </is>
      </c>
      <c r="B53" t="n">
        <v>33</v>
      </c>
    </row>
    <row r="54">
      <c r="A54" t="inlineStr">
        <is>
          <t>notes_count_semantics</t>
        </is>
      </c>
      <c r="B54" t="inlineStr">
        <is>
          <t>sample_row_count (compiled rows), not unique pitch count</t>
        </is>
      </c>
    </row>
    <row r="55">
      <c r="A55" t="inlineStr">
        <is>
          <t>pitch_range</t>
        </is>
      </c>
      <c r="B55" t="inlineStr">
        <is>
          <t>40-72</t>
        </is>
      </c>
    </row>
    <row r="56">
      <c r="A56" t="inlineStr">
        <is>
          <t>harmonic_slot_coverage_ratio_formula</t>
        </is>
      </c>
      <c r="B56" t="inlineStr">
        <is>
          <t>harmonic_slot_matched_count / harmonic_slot_expected_count</t>
        </is>
      </c>
    </row>
    <row r="57">
      <c r="A57" t="inlineStr">
        <is>
          <t>harmonic_region_occupancy_count_definition</t>
        </is>
      </c>
      <c r="B57" t="inlineStr">
        <is>
          <t>Occupancy/slot-derived descriptor; not a strict count of detected harmonic partial orders and not bounded by floor(ceiling/f0).</t>
        </is>
      </c>
    </row>
    <row r="58">
      <c r="A58" t="inlineStr">
        <is>
          <t>harmonic_occupancy_detected_order_count_definition</t>
        </is>
      </c>
      <c r="B58" t="inlineStr">
        <is>
          <t>DEPRECATED alias of harmonic_region_occupancy_count. Occupancy/slot-derived descriptor; not a strict count of detected harmonic partial orders and not bounded by floor(ceiling/f0).</t>
        </is>
      </c>
    </row>
    <row r="59">
      <c r="A59" t="inlineStr">
        <is>
          <t>theoretical_harmonic_order_count_up_to_body_ceiling_definition</t>
        </is>
      </c>
      <c r="B59" t="inlineStr">
        <is>
          <t>alias of expected_harmonic_order_count_up_to_body_ceiling (= floor(body_density_frequency_ceiling_hz/f0))</t>
        </is>
      </c>
    </row>
    <row r="60">
      <c r="A60" t="inlineStr">
        <is>
          <t>detected_salient_harmonic_order_count_up_to_body_ceiling_definition</t>
        </is>
      </c>
      <c r="B60" t="inlineStr">
        <is>
          <t>alias of salient_harmonic_order_count_up_to_body_ceiling</t>
        </is>
      </c>
    </row>
    <row r="61">
      <c r="A61" t="inlineStr">
        <is>
          <t>salient_harmonic_coverage_ratio_up_to_body_ceiling_definition</t>
        </is>
      </c>
      <c r="B61" t="inlineStr">
        <is>
          <t>alias of salient_harmonic_coverage_up_to_body_ceiling</t>
        </is>
      </c>
    </row>
    <row r="62">
      <c r="A62" t="inlineStr">
        <is>
          <t>legacy_high_ceiling_harmonic_slot_index_count_definition</t>
        </is>
      </c>
      <c r="B62" t="inlineStr">
        <is>
          <t>legacy high-ceiling harmonic-slot index count (historical Harmonic Count/Harmonic Count (N)); not a fixed-ceiling physical harmonic-order count</t>
        </is>
      </c>
    </row>
    <row r="63">
      <c r="A63" t="inlineStr">
        <is>
          <t>density_body_weighted_sum_body_ceiling_definition</t>
        </is>
      </c>
      <c r="B63" t="inlineStr">
        <is>
          <t>alias of density_component_body_weighted_sum_body_ceiling (component-based body metric)</t>
        </is>
      </c>
    </row>
    <row r="64">
      <c r="A64" t="inlineStr">
        <is>
          <t>density_component_body_weighted_sum_body_ceiling_definition</t>
        </is>
      </c>
      <c r="B64" t="inlineStr">
        <is>
          <t>legacy alias of density_component_body_weighted_sum_body_ceiling</t>
        </is>
      </c>
    </row>
    <row r="65">
      <c r="A65" t="inlineStr">
        <is>
          <t>harmonic_component_energy_sum_body_ceiling_definition</t>
        </is>
      </c>
      <c r="B65" t="inlineStr">
        <is>
          <t>legacy alias of harmonic_component_energy_sum_body_ceiling</t>
        </is>
      </c>
    </row>
    <row r="66">
      <c r="A66" t="inlineStr">
        <is>
          <t>inharmonic_component_energy_sum_body_ceiling_definition</t>
        </is>
      </c>
      <c r="B66" t="inlineStr">
        <is>
          <t>legacy alias of inharmonic_component_energy_sum_body_ceiling</t>
        </is>
      </c>
    </row>
    <row r="67">
      <c r="A67" t="inlineStr">
        <is>
          <t>subbass_component_energy_sum_body_ceiling_definition</t>
        </is>
      </c>
      <c r="B67" t="inlineStr">
        <is>
          <t>sum Power_raw of accepted subbass residual candidates under subbass policy with current body-ceiling configuration</t>
        </is>
      </c>
    </row>
    <row r="68">
      <c r="A68" t="inlineStr">
        <is>
          <t>subbass_component_energy_sum_definition</t>
        </is>
      </c>
      <c r="B68" t="inlineStr">
        <is>
          <t>legacy alias of subbass_component_energy_sum_body_ceiling</t>
        </is>
      </c>
    </row>
    <row r="69">
      <c r="A69" t="inlineStr">
        <is>
          <t>harmonic_body_energy_sum_body_ceiling_definition</t>
        </is>
      </c>
      <c r="B69" t="inlineStr">
        <is>
          <t>harmonic component energy sum with runtime body ceiling</t>
        </is>
      </c>
    </row>
    <row r="70">
      <c r="A70" t="inlineStr">
        <is>
          <t>inharmonic_body_energy_sum_body_ceiling_definition</t>
        </is>
      </c>
      <c r="B70" t="inlineStr">
        <is>
          <t>inharmonic component energy sum with runtime body ceiling</t>
        </is>
      </c>
    </row>
    <row r="71">
      <c r="A71" t="inlineStr">
        <is>
          <t>subbass_rumble_energy_sum_definition</t>
        </is>
      </c>
      <c r="B71" t="inlineStr">
        <is>
          <t>subbass/rumble component energy sum used in body-density weighting</t>
        </is>
      </c>
    </row>
    <row r="72">
      <c r="A72" t="inlineStr">
        <is>
          <t>body_band_harmonic_bin_energy_sum_body_ceiling_definition</t>
        </is>
      </c>
      <c r="B72" t="inlineStr">
        <is>
          <t>diagnostic-only bin-integrated harmonic-band energy within runtime body ceiling</t>
        </is>
      </c>
    </row>
    <row r="73">
      <c r="A73" t="inlineStr">
        <is>
          <t>body_band_residual_bin_energy_sum_body_ceiling_definition</t>
        </is>
      </c>
      <c r="B73" t="inlineStr">
        <is>
          <t>diagnostic-only bin-integrated residual-band energy within runtime body ceiling</t>
        </is>
      </c>
    </row>
    <row r="74">
      <c r="A74" t="inlineStr">
        <is>
          <t>body_band_total_bin_energy_sum_body_ceiling_definition</t>
        </is>
      </c>
      <c r="B74" t="inlineStr">
        <is>
          <t>diagnostic-only total bin-integrated body-band energy within runtime body ceiling</t>
        </is>
      </c>
    </row>
    <row r="75">
      <c r="A75" t="inlineStr">
        <is>
          <t>density_body_band_bin_integrated_index_body_ceiling_definition</t>
        </is>
      </c>
      <c r="B75" t="inlineStr">
        <is>
          <t>diagnostic-only weighted index from bin-integrated body-band energies; not the primary fatness metric</t>
        </is>
      </c>
    </row>
    <row r="76">
      <c r="A76" t="inlineStr">
        <is>
          <t>density_full_spectrum_weighted_sum_20khz_definition</t>
        </is>
      </c>
      <c r="B76" t="inlineStr">
        <is>
          <t>full-spectrum weighted diagnostic sum (&lt;=20000 Hz); not the primary body/fatness metric</t>
        </is>
      </c>
    </row>
    <row r="77">
      <c r="A77" t="inlineStr">
        <is>
          <t>harmonic_full_spectrum_energy_sum_20khz_definition</t>
        </is>
      </c>
      <c r="B77" t="inlineStr">
        <is>
          <t>harmonic full-spectrum energy sum (&lt;=20000 Hz diagnostic/extension family)</t>
        </is>
      </c>
    </row>
    <row r="78">
      <c r="A78" t="inlineStr">
        <is>
          <t>inharmonic_full_spectrum_energy_sum_20khz_definition</t>
        </is>
      </c>
      <c r="B78" t="inlineStr">
        <is>
          <t>inharmonic full-spectrum energy sum (&lt;=20000 Hz diagnostic/extension family)</t>
        </is>
      </c>
    </row>
    <row r="79">
      <c r="A79" t="inlineStr">
        <is>
          <t>high_frequency_spectral_activity_sum_definition</t>
        </is>
      </c>
      <c r="B79" t="inlineStr">
        <is>
          <t>upper-band spectral activity above body ceiling; diagnostic for brightness/extension</t>
        </is>
      </c>
    </row>
    <row r="80">
      <c r="A80" t="inlineStr">
        <is>
          <t>spectral_extension_index_20khz_definition</t>
        </is>
      </c>
      <c r="B80" t="inlineStr">
        <is>
          <t>ratio-like extension indicator comparing full-spectrum to body-limited weighted energy</t>
        </is>
      </c>
    </row>
    <row r="81">
      <c r="A81" t="inlineStr">
        <is>
          <t>brightness_or_upper_spectral_activity_index_20khz_definition</t>
        </is>
      </c>
      <c r="B81" t="inlineStr">
        <is>
          <t>upper-band activity index in the full-spectrum diagnostic family (20 kHz ceiling)</t>
        </is>
      </c>
    </row>
    <row r="82">
      <c r="A82" t="inlineStr">
        <is>
          <t>full_spectrum_harmonic_candidate_count_20khz_definition</t>
        </is>
      </c>
      <c r="B82" t="inlineStr">
        <is>
          <t>harmonic candidate count under full-spectrum ceiling (20 kHz); not a body-density harmonic-order metric</t>
        </is>
      </c>
    </row>
    <row r="83">
      <c r="A83" t="inlineStr">
        <is>
          <t>harmonic_occupancy_ratio_formula</t>
        </is>
      </c>
      <c r="B83" t="inlineStr">
        <is>
          <t>unique harmonic-order bins (nearest n*f0 within harmonic_tolerance_cents, excluding subbass) / expected_harmonic_slot_count</t>
        </is>
      </c>
    </row>
    <row r="84">
      <c r="A84" t="inlineStr">
        <is>
          <t>harmonic_occupancy_ratio_definition</t>
        </is>
      </c>
      <c r="B84" t="inlineStr">
        <is>
          <t>acoustic_density_core occupancy metric based on accepted harmonic-order bins; not identical to validation-slot coverage</t>
        </is>
      </c>
    </row>
    <row r="85">
      <c r="A85" t="inlineStr">
        <is>
          <t>body_weighted_effective_density_formula</t>
        </is>
      </c>
      <c r="B85" t="inlineStr">
        <is>
          <t>(sum(w_body_i*sqrt(P_i))^2)/sum((w_body_i*sqrt(P_i))^2), with w_body(f)=1/(1+(f/1800)^2) on salient peaks up to runtime body ceiling</t>
        </is>
      </c>
    </row>
    <row r="86">
      <c r="A86" t="inlineStr">
        <is>
          <t>spectral_body_thickness_index_formula</t>
        </is>
      </c>
      <c r="B86" t="inlineStr">
        <is>
          <t>0.45*z(body_weighted_effective_density)+0.25*z(low_mid_energy_ratio)+0.20*z(harmonic_body_density_normalized)+0.10*z(residual_body_contribution_capped)</t>
        </is>
      </c>
    </row>
    <row r="87">
      <c r="A87" t="inlineStr">
        <is>
          <t>instrument_detected</t>
        </is>
      </c>
      <c r="B87" t="inlineStr">
        <is>
          <t>Trombone</t>
        </is>
      </c>
    </row>
    <row r="88">
      <c r="A88" t="inlineStr">
        <is>
          <t>dynamic_detected</t>
        </is>
      </c>
      <c r="B88" t="inlineStr">
        <is>
          <t>ff</t>
        </is>
      </c>
    </row>
    <row r="89">
      <c r="A89" t="inlineStr">
        <is>
          <t>frequency_magnitude_fields_recovery_status</t>
        </is>
      </c>
      <c r="B89" t="inlineStr">
        <is>
          <t>partially_unavailable_in_compiled_source</t>
        </is>
      </c>
    </row>
    <row r="90">
      <c r="A90" t="inlineStr">
        <is>
          <t>research_export_source_workbook</t>
        </is>
      </c>
      <c r="B90" t="inlineStr">
        <is>
          <t>compiled_density_metrics.xlsx</t>
        </is>
      </c>
    </row>
    <row r="91">
      <c r="A91" t="inlineStr">
        <is>
          <t>git_describe</t>
        </is>
      </c>
      <c r="B91" t="inlineStr">
        <is>
          <t>v0.1.0-validated-2026-05-15-242-g6b0e51a</t>
        </is>
      </c>
    </row>
    <row r="92">
      <c r="A92" t="inlineStr">
        <is>
          <t>analysis_version</t>
        </is>
      </c>
      <c r="B92" t="inlineStr">
        <is>
          <t>4.1.0+v0.1.0-validated-2026-05-15-242-g6b0e51a</t>
        </is>
      </c>
    </row>
    <row r="93">
      <c r="A93" t="inlineStr">
        <is>
          <t>export_schema_version</t>
        </is>
      </c>
      <c r="B93" t="inlineStr">
        <is>
          <t>spectral_analysis_schema_2026_08</t>
        </is>
      </c>
    </row>
  </sheetData>
  <autoFilter ref="A1:B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2026-08-19T16:38:00Z</dcterms:created>
  <dcterms:modified xmlns:dcterms="http://purl.org/dc/terms/" xmlns:xsi="http://www.w3.org/2001/XMLSchema-instance" xsi:type="dcterms:W3CDTF">2026-08-19T16:38:01Z</dcterms:modified>
</cp:coreProperties>
</file>