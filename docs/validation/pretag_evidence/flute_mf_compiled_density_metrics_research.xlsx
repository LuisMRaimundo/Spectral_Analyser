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pectral_Density_Metrics" sheetId="3" state="visible" r:id="rId3"/>
    <sheet xmlns:r="http://schemas.openxmlformats.org/officeDocument/2006/relationships" name="Stage3_Diagnostics" sheetId="4" state="visible" r:id="rId4"/>
    <sheet xmlns:r="http://schemas.openxmlformats.org/officeDocument/2006/relationships" name="Stage3_Summary" sheetId="5" state="visible" r:id="rId5"/>
    <sheet xmlns:r="http://schemas.openxmlformats.org/officeDocument/2006/relationships" name="Uncertainty_Summary" sheetId="6" state="visible" r:id="rId6"/>
    <sheet xmlns:r="http://schemas.openxmlformats.org/officeDocument/2006/relationships" name="Primary_Statistics_Eligible" sheetId="7" state="visible" r:id="rId7"/>
    <sheet xmlns:r="http://schemas.openxmlformats.org/officeDocument/2006/relationships" name="Component_Balance" sheetId="8" state="visible" r:id="rId8"/>
    <sheet xmlns:r="http://schemas.openxmlformats.org/officeDocument/2006/relationships" name="Validation_Summary" sheetId="9" state="visible" r:id="rId9"/>
    <sheet xmlns:r="http://schemas.openxmlformats.org/officeDocument/2006/relationships" name="Charts_Data" sheetId="10" state="visible" r:id="rId10"/>
    <sheet xmlns:r="http://schemas.openxmlformats.org/officeDocument/2006/relationships" name="Legacy_Compatibility" sheetId="11" state="visible" r:id="rId11"/>
    <sheet xmlns:r="http://schemas.openxmlformats.org/officeDocument/2006/relationships" name="Analysis_Settings_By_Note" sheetId="12" state="visible" r:id="rId12"/>
    <sheet xmlns:r="http://schemas.openxmlformats.org/officeDocument/2006/relationships" name="Metadata" sheetId="13" state="visible" r:id="rId13"/>
  </sheets>
  <definedNames>
    <definedName name="_xlnm._FilterDatabase" localSheetId="2" hidden="1">'Spectral_Density_Metrics'!$A$1:$HI$39</definedName>
    <definedName name="_xlnm._FilterDatabase" localSheetId="3" hidden="1">'Stage3_Diagnostics'!$A$1:$H$39</definedName>
    <definedName name="_xlnm._FilterDatabase" localSheetId="4" hidden="1">'Stage3_Summary'!$A$1:$J$2</definedName>
    <definedName name="_xlnm._FilterDatabase" localSheetId="5" hidden="1">'Uncertainty_Summary'!$A$1:$I$115</definedName>
    <definedName name="_xlnm._FilterDatabase" localSheetId="6" hidden="1">'Primary_Statistics_Eligible'!$A$1:$A$2</definedName>
    <definedName name="_xlnm._FilterDatabase" localSheetId="7" hidden="1">'Component_Balance'!$A$1:$AF$39</definedName>
    <definedName name="_xlnm._FilterDatabase" localSheetId="8" hidden="1">'Validation_Summary'!$A$1:$V$39</definedName>
    <definedName name="_xlnm._FilterDatabase" localSheetId="9" hidden="1">'Charts_Data'!$A$1:$BA$39</definedName>
    <definedName name="_xlnm._FilterDatabase" localSheetId="10" hidden="1">'Legacy_Compatibility'!$A$1:$D$39</definedName>
    <definedName name="_xlnm._FilterDatabase" localSheetId="11" hidden="1">'Analysis_Settings_By_Note'!$A$1:$V$39</definedName>
    <definedName name="_xlnm._FilterDatabase" localSheetId="12" hidden="1">'Metadata'!$A$1:$B$93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6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D6E4F0"/>
      </patternFill>
    </fill>
    <fill>
      <patternFill patternType="solid">
        <fgColor rgb="00ADD8E6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164" fontId="0" fillId="4" borderId="1" pivotButton="0" quotePrefix="0" xfId="0"/>
    <xf numFmtId="10" fontId="0" fillId="4" borderId="1" pivotButton="0" quotePrefix="0" xfId="0"/>
    <xf numFmtId="0" fontId="0" fillId="4" borderId="1" pivotButton="0" quotePrefix="0" xfId="0"/>
    <xf numFmtId="165" fontId="0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Harmonic occupancy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'Charts_Data'!$AC$2:$AC$39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harmonic_occupancy_ratio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log-frequency occupancy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'Charts_Data'!$AD$2:$AD$39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descriptor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'Charts_Data'!$AG$2:$AG$39</f>
            </numRef>
          </val>
        </ser>
        <ser>
          <idx val="1"/>
          <order val="1"/>
          <tx>
            <strRef>
              <f>'Charts_Data'!AH1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'Charts_Data'!$AH$2:$AH$39</f>
            </numRef>
          </val>
        </ser>
        <ser>
          <idx val="2"/>
          <order val="2"/>
          <tx>
            <strRef>
              <f>'Charts_Data'!AI1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'Charts_Data'!$AI$2:$AI$39</f>
            </numRef>
          </val>
        </ser>
        <ser>
          <idx val="3"/>
          <order val="3"/>
          <tx>
            <strRef>
              <f>'Charts_Data'!AJ1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'Charts_Data'!$AJ$2:$AJ$39</f>
            </numRef>
          </val>
        </ser>
        <ser>
          <idx val="4"/>
          <order val="4"/>
          <tx>
            <strRef>
              <f>'Charts_Data'!AM1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'Charts_Data'!$AM$2:$AM$39</f>
            </numRef>
          </val>
        </ser>
        <ser>
          <idx val="5"/>
          <order val="5"/>
          <tx>
            <strRef>
              <f>'Charts_Data'!AN1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'Charts_Data'!$AN$2:$AN$39</f>
            </numRef>
          </val>
        </ser>
        <ser>
          <idx val="6"/>
          <order val="6"/>
          <tx>
            <strRef>
              <f>'Charts_Data'!AK1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'Charts_Data'!$AK$2:$AK$39</f>
            </numRef>
          </val>
        </ser>
        <ser>
          <idx val="7"/>
          <order val="7"/>
          <tx>
            <strRef>
              <f>'Charts_Data'!AL1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'Charts_Data'!$AL$2:$AL$39</f>
            </numRef>
          </val>
        </ser>
        <ser>
          <idx val="8"/>
          <order val="8"/>
          <tx>
            <strRef>
              <f>'Charts_Data'!AO1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'Charts_Data'!$A$2:$A$39</f>
            </numRef>
          </cat>
          <val>
            <numRef>
              <f>'Charts_Data'!$AO$2:$AO$39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component contributions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'Charts_Data'!AT1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'Charts_Data'!$A$2:$A$39</f>
            </numRef>
          </cat>
          <val>
            <numRef>
              <f>'Charts_Data'!$AT$2:$AT$39</f>
            </numRef>
          </val>
        </ser>
        <ser>
          <idx val="1"/>
          <order val="1"/>
          <tx>
            <strRef>
              <f>'Charts_Data'!AU1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'Charts_Data'!$A$2:$A$39</f>
            </numRef>
          </cat>
          <val>
            <numRef>
              <f>'Charts_Data'!$AU$2:$AU$39</f>
            </numRef>
          </val>
        </ser>
        <ser>
          <idx val="2"/>
          <order val="2"/>
          <tx>
            <strRef>
              <f>'Charts_Data'!AV1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'Charts_Data'!$A$2:$A$39</f>
            </numRef>
          </cat>
          <val>
            <numRef>
              <f>'Charts_Data'!$AV$2:$AV$39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energy ratios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'Charts_Data'!AY1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'Charts_Data'!$A$2:$A$39</f>
            </numRef>
          </cat>
          <val>
            <numRef>
              <f>'Charts_Data'!$AY$2:$AY$39</f>
            </numRef>
          </val>
        </ser>
        <ser>
          <idx val="1"/>
          <order val="1"/>
          <tx>
            <strRef>
              <f>'Charts_Data'!AZ1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'Charts_Data'!$A$2:$A$39</f>
            </numRef>
          </cat>
          <val>
            <numRef>
              <f>'Charts_Data'!$AZ$2:$AZ$39</f>
            </numRef>
          </val>
        </ser>
        <ser>
          <idx val="2"/>
          <order val="2"/>
          <tx>
            <strRef>
              <f>'Charts_Data'!BA1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'Charts_Data'!$A$2:$A$39</f>
            </numRef>
          </cat>
          <val>
            <numRef>
              <f>'Charts_Data'!$BA$2:$BA$39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MIDI vs salient_harmonic_order_count_up_to_body_ceiling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'Charts_Data'!$B$2:$B$39</f>
            </numRef>
          </cat>
          <val>
            <numRef>
              <f>'Charts_Data'!$I$2:$I$39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MIDI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salient_harmonic_order_count_up_to_body_ceiling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36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78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102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124</row>
      <rowOff>0</rowOff>
    </from>
    <ext cx="64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t="inlineStr">
        <is>
          <t>Spectral density — research export workbook</t>
        </is>
      </c>
    </row>
    <row r="2">
      <c r="A2" t="inlineStr"/>
    </row>
    <row r="3">
      <c r="A3" t="inlineStr">
        <is>
          <t>Source compiled workbook (filename only):</t>
        </is>
      </c>
    </row>
    <row r="4">
      <c r="A4" t="inlineStr">
        <is>
          <t>compiled_density_metrics.xlsx</t>
        </is>
      </c>
    </row>
    <row r="5">
      <c r="A5" t="inlineStr"/>
    </row>
    <row r="6">
      <c r="A6" t="inlineStr">
        <is>
          <t>Generated: 2026-08-19T17:16:44Z</t>
        </is>
      </c>
    </row>
    <row r="7">
      <c r="A7" t="inlineStr">
        <is>
          <t>Script: export_research_density_workbook.py  version 1.1.3</t>
        </is>
      </c>
    </row>
    <row r="8">
      <c r="A8" t="inlineStr">
        <is>
          <t>Number of notes in export: 38</t>
        </is>
      </c>
    </row>
    <row r="9">
      <c r="A9" t="inlineStr"/>
    </row>
    <row r="10">
      <c r="A10" s="1" t="inlineStr">
        <is>
          <t>Purpose</t>
        </is>
      </c>
    </row>
    <row r="11">
      <c r="A11" t="inlineStr">
        <is>
          <t>-------</t>
        </is>
      </c>
    </row>
    <row r="12">
      <c r="A12" t="inlineStr">
        <is>
          <t>This workbook is a reduced, professionally formatted export intended for secondary research,</t>
        </is>
      </c>
    </row>
    <row r="13">
      <c r="A13" t="inlineStr">
        <is>
          <t>plotting, thesis writing, and visual inspection.</t>
        </is>
      </c>
    </row>
    <row r="14">
      <c r="A14" t="inlineStr"/>
    </row>
    <row r="15">
      <c r="A15" t="inlineStr">
        <is>
          <t>The file compiled_density_metrics.xlsx remains the complete technical and audit export.</t>
        </is>
      </c>
    </row>
    <row r="16">
      <c r="A16" t="inlineStr">
        <is>
          <t>This workbook (compiled_density_metrics_research.xlsx) is the recommended research and reporting export.</t>
        </is>
      </c>
    </row>
    <row r="17">
      <c r="A17" t="inlineStr"/>
    </row>
    <row r="18">
      <c r="A18" s="1" t="inlineStr">
        <is>
          <t>Metric hierarchy (read carefully)</t>
        </is>
      </c>
    </row>
    <row r="19">
      <c r="A19" t="inlineStr">
        <is>
          <t>-----------------------------------</t>
        </is>
      </c>
    </row>
    <row r="20">
      <c r="A20" t="inlineStr">
        <is>
          <t>density_metric_raw:</t>
        </is>
      </c>
    </row>
    <row r="21">
      <c r="A21" t="inlineStr">
        <is>
          <t xml:space="preserve">    D_H·w_H + D_I·w_I + D_S·w_S where each D_* uses the compile weight_function (linear, log, sqrt,</t>
        </is>
      </c>
    </row>
    <row r="22">
      <c r="A22" t="inlineStr">
        <is>
          <t xml:space="preserve">    d3, …) and w_* are measured component_harmonic / inharmonic / subbass energy ratios.</t>
        </is>
      </c>
    </row>
    <row r="23">
      <c r="A23" t="inlineStr"/>
    </row>
    <row r="24">
      <c r="A24" t="inlineStr">
        <is>
          <t>density_weighted_sum:</t>
        </is>
      </c>
    </row>
    <row r="25">
      <c r="A25" t="inlineStr">
        <is>
          <t xml:space="preserve">    Numerically equal to density_metric_raw. Changes when you change the compile weight_function.</t>
        </is>
      </c>
    </row>
    <row r="26">
      <c r="A26" t="inlineStr">
        <is>
          <t xml:space="preserve">    harmonic_amplitude_sum (if present) is a separate linear diagnostic and does not follow that key.</t>
        </is>
      </c>
    </row>
    <row r="27">
      <c r="A27" t="inlineStr">
        <is>
          <t xml:space="preserve">    Highlighted (soft blue) on Spectral_Density_Metrics.</t>
        </is>
      </c>
    </row>
    <row r="28">
      <c r="A28" t="inlineStr"/>
    </row>
    <row r="29">
      <c r="A29" t="inlineStr">
        <is>
          <t>harmonic_slot_coverage_ratio:</t>
        </is>
      </c>
    </row>
    <row r="30">
      <c r="A30" t="inlineStr">
        <is>
          <t xml:space="preserve">    Defined as harmonic_slot_matched_count / harmonic_slot_expected_count.</t>
        </is>
      </c>
    </row>
    <row r="31">
      <c r="A31" t="inlineStr"/>
    </row>
    <row r="32">
      <c r="A32" t="inlineStr">
        <is>
          <t>harmonic_occupancy_ratio:</t>
        </is>
      </c>
    </row>
    <row r="33">
      <c r="A33" t="inlineStr">
        <is>
          <t xml:space="preserve">    Acoustic core occupancy: unique harmonic-order bins passing n·f0 proximity and subbass exclusion,</t>
        </is>
      </c>
    </row>
    <row r="34">
      <c r="A34" t="inlineStr">
        <is>
          <t xml:space="preserve">    divided by expected_harmonic_slot_count. This is intentionally separate from slot-coverage ratio.</t>
        </is>
      </c>
    </row>
    <row r="35">
      <c r="A35" t="inlineStr"/>
    </row>
    <row r="36">
      <c r="A36" t="inlineStr">
        <is>
          <t>Combined Density Metric:</t>
        </is>
      </c>
    </row>
    <row r="37">
      <c r="A37" t="inlineStr">
        <is>
          <t xml:space="preserve">    Legacy Stage-1 combined harmonic/inharmonic scalar (log/expm1 path in proc_audio).</t>
        </is>
      </c>
    </row>
    <row r="38">
      <c r="A38" t="inlineStr">
        <is>
          <t xml:space="preserve">    Legacy-only (see Legacy_Compatibility sheet), not a primary Spectral_Density_Metrics field.</t>
        </is>
      </c>
    </row>
    <row r="39">
      <c r="A39" t="inlineStr"/>
    </row>
    <row r="40">
      <c r="A40" t="inlineStr">
        <is>
          <t>density_weighted_sum_cdm_mean (legacy editorial blend):</t>
        </is>
      </c>
    </row>
    <row r="41">
      <c r="A41" t="inlineStr">
        <is>
          <t xml:space="preserve">    Deprecated and not acoustically/dimensionally valid as a final scalar.</t>
        </is>
      </c>
    </row>
    <row r="42">
      <c r="A42" t="inlineStr">
        <is>
          <t xml:space="preserve">    Exported only with --include-legacy-cdm-mean.</t>
        </is>
      </c>
    </row>
    <row r="43">
      <c r="A43" t="inlineStr"/>
    </row>
    <row r="44">
      <c r="A44" t="inlineStr">
        <is>
          <t>Total sum:</t>
        </is>
      </c>
    </row>
    <row r="45">
      <c r="A45" t="inlineStr">
        <is>
          <t xml:space="preserve">    Unweighted sum of per-band D values (D_H + D_I + D_S); diagnostic, not energy-ratio-weighted.</t>
        </is>
      </c>
    </row>
    <row r="46">
      <c r="A46" t="inlineStr"/>
    </row>
    <row r="47">
      <c r="A47" t="inlineStr">
        <is>
          <t>effective_partial_density:</t>
        </is>
      </c>
    </row>
    <row r="48">
      <c r="A48" t="inlineStr">
        <is>
          <t xml:space="preserve">    Effective spectral component participation descriptor (not the primary perceived thickness answer).</t>
        </is>
      </c>
    </row>
    <row r="49">
      <c r="A49" t="inlineStr"/>
    </row>
    <row r="50">
      <c r="A50" t="inlineStr">
        <is>
          <t>spectral_body_thickness_index:</t>
        </is>
      </c>
    </row>
    <row r="51">
      <c r="A51" t="inlineStr">
        <is>
          <t xml:space="preserve">    Recommended note-thickness index combining body-weighted effective density, low-mid ratio,</t>
        </is>
      </c>
    </row>
    <row r="52">
      <c r="A52" t="inlineStr">
        <is>
          <t xml:space="preserve">    harmonic body density, and capped residual body contribution (corpus-relative z-score blend).</t>
        </is>
      </c>
    </row>
    <row r="53">
      <c r="A53" t="inlineStr"/>
    </row>
    <row r="54">
      <c r="A54" t="inlineStr">
        <is>
          <t>note_density_final:</t>
        </is>
      </c>
    </row>
    <row r="55">
      <c r="A55" t="inlineStr">
        <is>
          <t xml:space="preserve">    Per-note principled scalar: component_*_energy_ratio × *_density_sum (GUI weight inside sums).</t>
        </is>
      </c>
    </row>
    <row r="56">
      <c r="A56" t="inlineStr">
        <is>
          <t xml:space="preserve">    Highlighted (light blue) on Spectral_Density_Metrics.</t>
        </is>
      </c>
    </row>
    <row r="57">
      <c r="A57" t="inlineStr"/>
    </row>
    <row r="58">
      <c r="A58" t="inlineStr">
        <is>
          <t>EWSD_score_total (Stage 3):</t>
        </is>
      </c>
    </row>
    <row r="59">
      <c r="A59" t="inlineStr">
        <is>
          <t xml:space="preserve">    Strict Effective Weighted Spectral Density (EWSD-R v18): anti-concentration penalty (N_eff/N)^1</t>
        </is>
      </c>
    </row>
    <row r="60">
      <c r="A60" t="inlineStr">
        <is>
          <t xml:space="preserve">    applied separately in each H/I/S compartment using per-note ratios from Metrics.</t>
        </is>
      </c>
    </row>
    <row r="61">
      <c r="A61" t="inlineStr">
        <is>
          <t xml:space="preserve">    Highlighted (pale orange). Requires per-note spectral_analysis.xlsx under the analysis folder.</t>
        </is>
      </c>
    </row>
    <row r="62">
      <c r="A62" t="inlineStr"/>
    </row>
    <row r="63">
      <c r="A63" t="inlineStr">
        <is>
          <t>EWSD_score_acoustic_balanced (Stage 3):</t>
        </is>
      </c>
    </row>
    <row r="64">
      <c r="A64" t="inlineStr">
        <is>
          <t xml:space="preserve">    Companion EWSD with moderated penalty (N_eff/N)^0.5. Preferred for cross-instrument</t>
        </is>
      </c>
    </row>
    <row r="65">
      <c r="A65" t="inlineStr">
        <is>
          <t xml:space="preserve">    bibliographic distance. Filter thesis rows with ewsd_primary_analysis_eligible == True.</t>
        </is>
      </c>
    </row>
    <row r="66">
      <c r="A66" t="inlineStr"/>
    </row>
    <row r="67">
      <c r="A67" t="inlineStr">
        <is>
          <t>EWSD_score_acoustic_balanced_ci_low / _ci_high / _rel_uncertainty:</t>
        </is>
      </c>
    </row>
    <row r="68">
      <c r="A68" t="inlineStr">
        <is>
          <t xml:space="preserve">    Bootstrap 95% uncertainty band for the balanced EWSD (partials + H/I/S ratios resampled).</t>
        </is>
      </c>
    </row>
    <row r="69">
      <c r="A69" t="inlineStr"/>
    </row>
    <row r="70">
      <c r="A70" t="inlineStr">
        <is>
          <t>ewsd_uncertainty_sources:</t>
        </is>
      </c>
    </row>
    <row r="71">
      <c r="A71" t="inlineStr">
        <is>
          <t xml:space="preserve">    UQ provenance: partials+ratios, partials, or unavailable.</t>
        </is>
      </c>
    </row>
    <row r="72">
      <c r="A72" t="inlineStr"/>
    </row>
    <row r="73">
      <c r="A73" t="inlineStr">
        <is>
          <t>ewsd_primary_analysis_eligible:</t>
        </is>
      </c>
    </row>
    <row r="74">
      <c r="A74" t="inlineStr">
        <is>
          <t xml:space="preserve">    Thesis gate: True only for individual_exact rows with valid H/I/S ratios, finite EWSD,</t>
        </is>
      </c>
    </row>
    <row r="75">
      <c r="A75" t="inlineStr">
        <is>
          <t xml:space="preserve">    no warnings, parsed note, and a thesis-safe weight function.</t>
        </is>
      </c>
    </row>
    <row r="76">
      <c r="A76" t="inlineStr"/>
    </row>
    <row r="77">
      <c r="A77" t="inlineStr">
        <is>
          <t>spectral_entropy:</t>
        </is>
      </c>
    </row>
    <row r="78">
      <c r="A78" t="inlineStr">
        <is>
          <t xml:space="preserve">    Distributional spread of spectral power.</t>
        </is>
      </c>
    </row>
    <row r="79">
      <c r="A79" t="inlineStr"/>
    </row>
    <row r="80">
      <c r="A80" t="inlineStr">
        <is>
          <t>core_harmonic_energy_ratio / core_residual_energy_ratio / core_subbass_energy_ratio:</t>
        </is>
      </c>
    </row>
    <row r="81">
      <c r="A81" t="inlineStr">
        <is>
          <t xml:space="preserve">    Acoustic-core peak-classification energy family (sums to ~1).</t>
        </is>
      </c>
    </row>
    <row r="82">
      <c r="A82" t="inlineStr"/>
    </row>
    <row r="83">
      <c r="A83" t="inlineStr">
        <is>
          <t>component_harmonic_energy_ratio / component_inharmonic_energy_ratio / component_subbass_energy_ratio:</t>
        </is>
      </c>
    </row>
    <row r="84">
      <c r="A84" t="inlineStr">
        <is>
          <t xml:space="preserve">    Component-balance energy family (sums to ~1).</t>
        </is>
      </c>
    </row>
    <row r="85">
      <c r="A85" t="inlineStr"/>
    </row>
    <row r="86">
      <c r="A86" t="inlineStr">
        <is>
          <t>nonharmonic / inharmonic fields:</t>
        </is>
      </c>
    </row>
    <row r="87">
      <c r="A87" t="inlineStr">
        <is>
          <t xml:space="preserve">    Interpret as nonharmonic candidate material unless stricter validation is explicitly present.</t>
        </is>
      </c>
    </row>
    <row r="88">
      <c r="A88" t="inlineStr"/>
    </row>
    <row r="89">
      <c r="A89" t="inlineStr">
        <is>
          <t>subbass / low-frequency fields:</t>
        </is>
      </c>
    </row>
    <row r="90">
      <c r="A90" t="inlineStr">
        <is>
          <t xml:space="preserve">    Interpret as low-frequency residual material, not automatically 'ground noise'.</t>
        </is>
      </c>
    </row>
    <row r="91">
      <c r="A91" t="inlineStr"/>
    </row>
    <row r="92">
      <c r="A92" s="1" t="inlineStr">
        <is>
          <t>Instrument and dynamic metadata</t>
        </is>
      </c>
    </row>
    <row r="93">
      <c r="A93" t="inlineStr">
        <is>
          <t>-------------------------------</t>
        </is>
      </c>
    </row>
    <row r="94">
      <c r="A94" t="inlineStr">
        <is>
          <t>Instrument and dynamic may be read from source metadata, inferred conservatively from filenames,</t>
        </is>
      </c>
    </row>
    <row r="95">
      <c r="A95" t="inlineStr">
        <is>
          <t>folder paths, and the compiled workbook location, or supplied manually with --instrument and --dynamic.</t>
        </is>
      </c>
    </row>
    <row r="96">
      <c r="A96" t="inlineStr">
        <is>
          <t>Use --force-metadata to override non-empty workbook values with the CLI arguments.</t>
        </is>
      </c>
    </row>
    <row r="97">
      <c r="A97" t="inlineStr"/>
    </row>
    <row r="98">
      <c r="A98" s="1" t="inlineStr">
        <is>
          <t>Sheets</t>
        </is>
      </c>
    </row>
    <row r="99">
      <c r="A99" t="inlineStr">
        <is>
          <t>------</t>
        </is>
      </c>
    </row>
    <row r="100">
      <c r="A100" t="inlineStr">
        <is>
          <t>README — This sheet.</t>
        </is>
      </c>
    </row>
    <row r="101">
      <c r="A101" t="inlineStr">
        <is>
          <t>Dashboard — Overview KPIs and charts (charts omitted if export was run with --no-charts).</t>
        </is>
      </c>
    </row>
    <row r="102">
      <c r="A102" t="inlineStr">
        <is>
          <t>Spectral_Density_Metrics — Main clean per-note table for analysis.</t>
        </is>
      </c>
    </row>
    <row r="103">
      <c r="A103" t="inlineStr">
        <is>
          <t>Component_Balance — How density_metric_raw and totals relate to components and energy ratios.</t>
        </is>
      </c>
    </row>
    <row r="104">
      <c r="A104" t="inlineStr">
        <is>
          <t>Validation_Summary — Compact QC fields including f0 and alignment.</t>
        </is>
      </c>
    </row>
    <row r="105">
      <c r="A105" t="inlineStr">
        <is>
          <t>Charts_Data — Chart source data (sorted by MIDI); Dashboard charts reference this sheet.</t>
        </is>
      </c>
    </row>
    <row r="106">
      <c r="A106" t="inlineStr">
        <is>
          <t>Metadata — Pipeline and export metadata extracted from Analysis_Metadata plus export audit fields.</t>
        </is>
      </c>
    </row>
    <row r="107">
      <c r="A107" t="inlineStr"/>
    </row>
    <row r="108">
      <c r="A108" s="1" t="inlineStr">
        <is>
          <t>Warnings / Missing Fields</t>
        </is>
      </c>
    </row>
    <row r="109">
      <c r="A109" t="inlineStr">
        <is>
          <t>-------------------------</t>
        </is>
      </c>
    </row>
    <row r="110">
      <c r="A110" t="inlineStr">
        <is>
          <t>- Instrument column missing and could not be inferred; left blank.</t>
        </is>
      </c>
    </row>
    <row r="111">
      <c r="A111" t="inlineStr">
        <is>
          <t>- Legacy editorial mean density_weighted_sum_cdm_mean omitted by default (use --include-legacy-cdm-mean to export it).</t>
        </is>
      </c>
    </row>
    <row r="112">
      <c r="A112" t="inlineStr">
        <is>
          <t>- Run-parameter comparability warning: 38/38 note rows are not in the primary comparable profile (wf=log, threshold/ceiling runtime-configured). Use Primary_Statistics_Eligible for thesis-grade primary statistics.</t>
        </is>
      </c>
    </row>
    <row r="113">
      <c r="A113" t="inlineStr">
        <is>
          <t>- Metadata sheet missing keys (left blank in Metadata sheet): Dynamic, Instrument, density_ci_enabled, dynamic_detected, harmonic_body_stop_enabled, harmonic_body_stop_margin_db, harmonic_tolerance_policy_version, harmonic_tolerance_spacing_cap_fraction, instrument_detected, output_path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3" customWidth="1" min="3" max="3"/>
    <col width="26" customWidth="1" min="4" max="4"/>
    <col width="16" customWidth="1" min="5" max="5"/>
    <col width="3" customWidth="1" min="6" max="6"/>
    <col width="26" customWidth="1" min="7" max="7"/>
    <col width="16" customWidth="1" min="8" max="8"/>
  </cols>
  <sheetData>
    <row r="1">
      <c r="A1" s="2" t="inlineStr">
        <is>
          <t>Spectral Density Research Dashboard</t>
        </is>
      </c>
      <c r="D1" s="3" t="inlineStr">
        <is>
          <t>Summary statistics</t>
        </is>
      </c>
    </row>
    <row r="2"/>
    <row r="4">
      <c r="A4" s="1" t="inlineStr">
        <is>
          <t>Run context</t>
        </is>
      </c>
      <c r="D4" s="1" t="inlineStr">
        <is>
          <t>Key performance indicators</t>
        </is>
      </c>
    </row>
    <row r="5">
      <c r="A5" s="4" t="inlineStr">
        <is>
          <t>Compiled workbook</t>
        </is>
      </c>
      <c r="B5" s="5" t="inlineStr">
        <is>
          <t>compiled_density_metrics.xlsx</t>
        </is>
      </c>
      <c r="D5" s="4" t="inlineStr">
        <is>
          <t>Mean spectral_body_thickness_index</t>
        </is>
      </c>
      <c r="E5" s="6" t="n">
        <v>5.843279076974508e-17</v>
      </c>
      <c r="G5" s="4" t="inlineStr">
        <is>
          <t>Mean harmonic_occupancy_ratio</t>
        </is>
      </c>
      <c r="H5" s="7" t="n">
        <v>0.6392425243202294</v>
      </c>
    </row>
    <row r="6">
      <c r="A6" s="4" t="inlineStr">
        <is>
          <t>Number of notes</t>
        </is>
      </c>
      <c r="B6" s="5" t="n">
        <v>38</v>
      </c>
      <c r="D6" s="4" t="inlineStr">
        <is>
          <t>Mean body_weighted_effective_density</t>
        </is>
      </c>
      <c r="E6" s="6" t="n">
        <v>19.11050941777541</v>
      </c>
      <c r="G6" s="4" t="inlineStr">
        <is>
          <t>Mean residual_log_frequency_occupancy</t>
        </is>
      </c>
      <c r="H6" s="6" t="n">
        <v>0.3021929824561404</v>
      </c>
    </row>
    <row r="7">
      <c r="A7" s="4" t="inlineStr">
        <is>
          <t>Pitch range (MIDI)</t>
        </is>
      </c>
      <c r="B7" s="5" t="inlineStr">
        <is>
          <t>59–96</t>
        </is>
      </c>
      <c r="D7" s="4" t="inlineStr">
        <is>
          <t>Mean low_mid_energy_ratio</t>
        </is>
      </c>
      <c r="E7" s="7" t="n">
        <v>0.7986360267018136</v>
      </c>
      <c r="G7" s="4" t="inlineStr">
        <is>
          <t>Mean effective_partial_density</t>
        </is>
      </c>
      <c r="H7" s="6" t="n">
        <v>1.807696286483311</v>
      </c>
    </row>
    <row r="8">
      <c r="A8" s="4" t="inlineStr">
        <is>
          <t>Dynamic</t>
        </is>
      </c>
      <c r="B8" s="5" t="inlineStr">
        <is>
          <t>mf</t>
        </is>
      </c>
      <c r="D8" s="4" t="inlineStr">
        <is>
          <t>Mean harmonic_body_density_normalized</t>
        </is>
      </c>
      <c r="E8" s="6" t="n">
        <v>0.3303095272177557</v>
      </c>
      <c r="G8" s="4" t="inlineStr">
        <is>
          <t>Mean spectral_entropy</t>
        </is>
      </c>
      <c r="H8" s="6" t="n">
        <v>0.2508190509117377</v>
      </c>
    </row>
    <row r="9">
      <c r="A9" s="4" t="inlineStr">
        <is>
          <t>Generated</t>
        </is>
      </c>
      <c r="B9" s="5" t="inlineStr">
        <is>
          <t>2026-08-19T17:16:44Z</t>
        </is>
      </c>
      <c r="D9" s="4" t="inlineStr">
        <is>
          <t>Mean salient_harmonic_order_count_up_to_body_ceiling</t>
        </is>
      </c>
      <c r="E9" s="6" t="n">
        <v>17.94736842105263</v>
      </c>
      <c r="G9" s="4" t="inlineStr">
        <is>
          <t>Mean core_harmonic_energy_ratio</t>
        </is>
      </c>
      <c r="H9" s="7" t="n">
        <v>0.7740992650603932</v>
      </c>
    </row>
    <row r="10">
      <c r="D10" s="4" t="inlineStr">
        <is>
          <t>Corr(MIDI, salient_harmonic_order_count_up_to_body_ceiling)</t>
        </is>
      </c>
      <c r="E10" s="8" t="n">
        <v>-0.8322862742631408</v>
      </c>
      <c r="G10" s="4" t="inlineStr">
        <is>
          <t>Arithmetic validation passed count</t>
        </is>
      </c>
      <c r="H10" s="8" t="n">
        <v>38</v>
      </c>
    </row>
    <row r="11">
      <c r="D11" s="4" t="inlineStr">
        <is>
          <t>Mean final_note_density_salience_weighted</t>
        </is>
      </c>
      <c r="E11" s="6" t="n">
        <v>12.10992143365442</v>
      </c>
      <c r="G11" s="4" t="inlineStr">
        <is>
          <t>Acoustic f0 verified count</t>
        </is>
      </c>
      <c r="H11" s="8" t="n">
        <v>38</v>
      </c>
    </row>
    <row r="12">
      <c r="D12" s="4" t="inlineStr">
        <is>
          <t>Corr(MIDI, final_note_density_salience_weighted)</t>
        </is>
      </c>
      <c r="E12" s="8" t="n">
        <v>-0.8302270983088776</v>
      </c>
      <c r="G12" s="4" t="inlineStr">
        <is>
          <t>f0 fallback / acoustically unverified count</t>
        </is>
      </c>
      <c r="H12" s="8" t="n">
        <v>0</v>
      </c>
    </row>
    <row r="13">
      <c r="D13" s="4" t="inlineStr">
        <is>
          <t>Corr(final_note_density_salience_weighted, salient_harmonic_order_count_up_to_body_ceiling)</t>
        </is>
      </c>
      <c r="E13" s="8" t="n">
        <v>0.8731091934868511</v>
      </c>
      <c r="G13" s="4" t="inlineStr">
        <is>
          <t>f0 accepted count</t>
        </is>
      </c>
      <c r="H13" s="8" t="n">
        <v>38</v>
      </c>
    </row>
    <row r="16">
      <c r="D16" s="1" t="inlineStr">
        <is>
          <t>Top 5 thickest notes by spectral_body_thickness_index</t>
        </is>
      </c>
      <c r="G16" s="1" t="inlineStr">
        <is>
          <t>Bottom 5 thinnest notes by spectral_body_thickness_index</t>
        </is>
      </c>
    </row>
    <row r="17">
      <c r="D17" t="inlineStr">
        <is>
          <t>C#4</t>
        </is>
      </c>
      <c r="E17" s="9" t="n">
        <v>1.381454892199212</v>
      </c>
      <c r="G17" t="inlineStr">
        <is>
          <t>C7</t>
        </is>
      </c>
      <c r="H17" s="9" t="n">
        <v>-1.309624496747523</v>
      </c>
    </row>
    <row r="18">
      <c r="D18" t="inlineStr">
        <is>
          <t>C4</t>
        </is>
      </c>
      <c r="E18" s="9" t="n">
        <v>1.337642721496353</v>
      </c>
      <c r="G18" t="inlineStr">
        <is>
          <t>A5</t>
        </is>
      </c>
      <c r="H18" s="9" t="n">
        <v>-0.6776886975156792</v>
      </c>
    </row>
    <row r="19">
      <c r="D19" t="inlineStr">
        <is>
          <t>B3</t>
        </is>
      </c>
      <c r="E19" s="9" t="n">
        <v>0.9689630166112151</v>
      </c>
      <c r="G19" t="inlineStr">
        <is>
          <t>F6</t>
        </is>
      </c>
      <c r="H19" s="9" t="n">
        <v>-0.6492006536979323</v>
      </c>
    </row>
    <row r="20">
      <c r="D20" t="inlineStr">
        <is>
          <t>G4</t>
        </is>
      </c>
      <c r="E20" s="9" t="n">
        <v>0.8491924913978777</v>
      </c>
      <c r="G20" t="inlineStr">
        <is>
          <t>F5</t>
        </is>
      </c>
      <c r="H20" s="9" t="n">
        <v>-0.5893888790132257</v>
      </c>
    </row>
    <row r="21">
      <c r="D21" t="inlineStr">
        <is>
          <t>D#4</t>
        </is>
      </c>
      <c r="E21" s="9" t="n">
        <v>0.8058077250718031</v>
      </c>
      <c r="G21" t="inlineStr">
        <is>
          <t>C6</t>
        </is>
      </c>
      <c r="H21" s="9" t="n">
        <v>-0.5725731749746953</v>
      </c>
    </row>
    <row r="24">
      <c r="D24" s="1" t="inlineStr">
        <is>
          <t>Top 5 by salient_harmonic_order_count_up_to_body_ceiling</t>
        </is>
      </c>
      <c r="G24" s="1" t="inlineStr">
        <is>
          <t>Bottom 5 by salient_harmonic_order_count_up_to_body_ceiling</t>
        </is>
      </c>
    </row>
    <row r="25">
      <c r="D25" t="inlineStr">
        <is>
          <t>C4</t>
        </is>
      </c>
      <c r="E25" t="n">
        <v>43</v>
      </c>
      <c r="G25" t="inlineStr">
        <is>
          <t>C7</t>
        </is>
      </c>
      <c r="H25" t="n">
        <v>7</v>
      </c>
    </row>
    <row r="26">
      <c r="D26" t="inlineStr">
        <is>
          <t>D4</t>
        </is>
      </c>
      <c r="E26" t="n">
        <v>36</v>
      </c>
      <c r="G26" t="inlineStr">
        <is>
          <t>D6</t>
        </is>
      </c>
      <c r="H26" t="n">
        <v>10</v>
      </c>
    </row>
    <row r="27">
      <c r="D27" t="inlineStr">
        <is>
          <t>C#4</t>
        </is>
      </c>
      <c r="E27" t="n">
        <v>29</v>
      </c>
      <c r="G27" t="inlineStr">
        <is>
          <t>A6</t>
        </is>
      </c>
      <c r="H27" t="n">
        <v>10</v>
      </c>
    </row>
    <row r="28">
      <c r="D28" t="inlineStr">
        <is>
          <t>A#4</t>
        </is>
      </c>
      <c r="E28" t="n">
        <v>29</v>
      </c>
      <c r="G28" t="inlineStr">
        <is>
          <t>A#6</t>
        </is>
      </c>
      <c r="H28" t="n">
        <v>10</v>
      </c>
    </row>
    <row r="29">
      <c r="D29" t="inlineStr">
        <is>
          <t>B3</t>
        </is>
      </c>
      <c r="E29" t="n">
        <v>28</v>
      </c>
      <c r="G29" t="inlineStr">
        <is>
          <t>B6</t>
        </is>
      </c>
      <c r="H29" t="n">
        <v>10</v>
      </c>
    </row>
    <row r="32">
      <c r="D32" s="1" t="inlineStr">
        <is>
          <t>Top 5 densest notes by final_note_density_salience_weighted</t>
        </is>
      </c>
      <c r="G32" s="1" t="inlineStr">
        <is>
          <t>Bottom 5 least dense notes by final_note_density_salience_weighted</t>
        </is>
      </c>
    </row>
    <row r="33">
      <c r="D33" t="inlineStr">
        <is>
          <t>C4</t>
        </is>
      </c>
      <c r="E33" s="9" t="n">
        <v>26.33424576061304</v>
      </c>
      <c r="G33" t="inlineStr">
        <is>
          <t>C7</t>
        </is>
      </c>
      <c r="H33" s="9" t="n">
        <v>5.978511730341143</v>
      </c>
    </row>
    <row r="34">
      <c r="D34" t="inlineStr">
        <is>
          <t>B3</t>
        </is>
      </c>
      <c r="E34" s="9" t="n">
        <v>22.48647607095869</v>
      </c>
      <c r="G34" t="inlineStr">
        <is>
          <t>G#6</t>
        </is>
      </c>
      <c r="H34" s="9" t="n">
        <v>7.000115973540878</v>
      </c>
    </row>
    <row r="35">
      <c r="D35" t="inlineStr">
        <is>
          <t>C#4</t>
        </is>
      </c>
      <c r="E35" s="9" t="n">
        <v>22.16938033275376</v>
      </c>
      <c r="G35" t="inlineStr">
        <is>
          <t>E6</t>
        </is>
      </c>
      <c r="H35" s="9" t="n">
        <v>7.001427879859353</v>
      </c>
    </row>
    <row r="36">
      <c r="D36" t="inlineStr">
        <is>
          <t>D4</t>
        </is>
      </c>
      <c r="E36" s="9" t="n">
        <v>21.17740523425789</v>
      </c>
      <c r="G36" t="inlineStr">
        <is>
          <t>D6</t>
        </is>
      </c>
      <c r="H36" s="9" t="n">
        <v>7.063428919843023</v>
      </c>
    </row>
    <row r="37">
      <c r="D37" t="inlineStr">
        <is>
          <t>D#4</t>
        </is>
      </c>
      <c r="E37" s="9" t="n">
        <v>19.67146626100801</v>
      </c>
      <c r="G37" t="inlineStr">
        <is>
          <t>F6</t>
        </is>
      </c>
      <c r="H37" s="9" t="n">
        <v>7.668759679371654</v>
      </c>
    </row>
    <row r="40">
      <c r="A40" s="1" t="inlineStr">
        <is>
          <t>Validation snapshot (from Spectral_Density_Metrics)</t>
        </is>
      </c>
    </row>
    <row r="41">
      <c r="A41" s="10" t="inlineStr">
        <is>
          <t>Note</t>
        </is>
      </c>
      <c r="B41" s="10" t="inlineStr">
        <is>
          <t>f0_fit_accepted</t>
        </is>
      </c>
      <c r="C41" s="10" t="inlineStr">
        <is>
          <t>acoustic_validation_status</t>
        </is>
      </c>
      <c r="D41" s="10" t="inlineStr">
        <is>
          <t>debug_counts_invariant_status</t>
        </is>
      </c>
      <c r="E41" s="10" t="inlineStr">
        <is>
          <t>harmonic_alignment_status</t>
        </is>
      </c>
    </row>
    <row r="42">
      <c r="A42" t="inlineStr">
        <is>
          <t>B3</t>
        </is>
      </c>
      <c r="B42" t="n">
        <v>1</v>
      </c>
      <c r="C42" t="inlineStr">
        <is>
          <t>passed</t>
        </is>
      </c>
      <c r="D42" t="inlineStr">
        <is>
          <t>passed</t>
        </is>
      </c>
      <c r="E42" t="inlineStr">
        <is>
          <t>excellent</t>
        </is>
      </c>
    </row>
    <row r="43">
      <c r="A43" t="inlineStr">
        <is>
          <t>C4</t>
        </is>
      </c>
      <c r="B43" t="n">
        <v>1</v>
      </c>
      <c r="C43" t="inlineStr">
        <is>
          <t>passed</t>
        </is>
      </c>
      <c r="D43" t="inlineStr">
        <is>
          <t>passed</t>
        </is>
      </c>
      <c r="E43" t="inlineStr">
        <is>
          <t>excellent</t>
        </is>
      </c>
    </row>
    <row r="44">
      <c r="A44" t="inlineStr">
        <is>
          <t>C#4</t>
        </is>
      </c>
      <c r="B44" t="n">
        <v>1</v>
      </c>
      <c r="C44" t="inlineStr">
        <is>
          <t>passed</t>
        </is>
      </c>
      <c r="D44" t="inlineStr">
        <is>
          <t>passed</t>
        </is>
      </c>
      <c r="E44" t="inlineStr">
        <is>
          <t>excellent</t>
        </is>
      </c>
    </row>
    <row r="45">
      <c r="A45" t="inlineStr">
        <is>
          <t>D4</t>
        </is>
      </c>
      <c r="B45" t="n">
        <v>1</v>
      </c>
      <c r="C45" t="inlineStr">
        <is>
          <t>passed</t>
        </is>
      </c>
      <c r="D45" t="inlineStr">
        <is>
          <t>passed</t>
        </is>
      </c>
      <c r="E45" t="inlineStr">
        <is>
          <t>excellent</t>
        </is>
      </c>
    </row>
    <row r="46">
      <c r="A46" t="inlineStr">
        <is>
          <t>D#4</t>
        </is>
      </c>
      <c r="B46" t="n">
        <v>1</v>
      </c>
      <c r="C46" t="inlineStr">
        <is>
          <t>passed</t>
        </is>
      </c>
      <c r="D46" t="inlineStr">
        <is>
          <t>passed</t>
        </is>
      </c>
      <c r="E46" t="inlineStr">
        <is>
          <t>excellent</t>
        </is>
      </c>
    </row>
    <row r="47">
      <c r="A47" t="inlineStr">
        <is>
          <t>E4</t>
        </is>
      </c>
      <c r="B47" t="n">
        <v>1</v>
      </c>
      <c r="C47" t="inlineStr">
        <is>
          <t>passed</t>
        </is>
      </c>
      <c r="D47" t="inlineStr">
        <is>
          <t>passed</t>
        </is>
      </c>
      <c r="E47" t="inlineStr">
        <is>
          <t>excellent</t>
        </is>
      </c>
    </row>
    <row r="48">
      <c r="A48" t="inlineStr">
        <is>
          <t>F4</t>
        </is>
      </c>
      <c r="B48" t="n">
        <v>1</v>
      </c>
      <c r="C48" t="inlineStr">
        <is>
          <t>passed</t>
        </is>
      </c>
      <c r="D48" t="inlineStr">
        <is>
          <t>passed</t>
        </is>
      </c>
      <c r="E48" t="inlineStr">
        <is>
          <t>excellent</t>
        </is>
      </c>
    </row>
    <row r="49">
      <c r="A49" t="inlineStr">
        <is>
          <t>F#4</t>
        </is>
      </c>
      <c r="B49" t="n">
        <v>1</v>
      </c>
      <c r="C49" t="inlineStr">
        <is>
          <t>passed</t>
        </is>
      </c>
      <c r="D49" t="inlineStr">
        <is>
          <t>passed</t>
        </is>
      </c>
      <c r="E49" t="inlineStr">
        <is>
          <t>excellent</t>
        </is>
      </c>
    </row>
    <row r="50">
      <c r="A50" t="inlineStr">
        <is>
          <t>G4</t>
        </is>
      </c>
      <c r="B50" t="n">
        <v>1</v>
      </c>
      <c r="C50" t="inlineStr">
        <is>
          <t>passed</t>
        </is>
      </c>
      <c r="D50" t="inlineStr">
        <is>
          <t>passed</t>
        </is>
      </c>
      <c r="E50" t="inlineStr">
        <is>
          <t>excellent</t>
        </is>
      </c>
    </row>
    <row r="51">
      <c r="A51" t="inlineStr">
        <is>
          <t>G#4</t>
        </is>
      </c>
      <c r="B51" t="n">
        <v>1</v>
      </c>
      <c r="C51" t="inlineStr">
        <is>
          <t>passed</t>
        </is>
      </c>
      <c r="D51" t="inlineStr">
        <is>
          <t>passed</t>
        </is>
      </c>
      <c r="E51" t="inlineStr">
        <is>
          <t>excellent</t>
        </is>
      </c>
    </row>
    <row r="52">
      <c r="A52" t="inlineStr">
        <is>
          <t>A4</t>
        </is>
      </c>
      <c r="B52" t="n">
        <v>1</v>
      </c>
      <c r="C52" t="inlineStr">
        <is>
          <t>passed</t>
        </is>
      </c>
      <c r="D52" t="inlineStr">
        <is>
          <t>passed</t>
        </is>
      </c>
      <c r="E52" t="inlineStr">
        <is>
          <t>excellent</t>
        </is>
      </c>
    </row>
    <row r="53">
      <c r="A53" t="inlineStr">
        <is>
          <t>A#4</t>
        </is>
      </c>
      <c r="B53" t="n">
        <v>1</v>
      </c>
      <c r="C53" t="inlineStr">
        <is>
          <t>passed</t>
        </is>
      </c>
      <c r="D53" t="inlineStr">
        <is>
          <t>passed</t>
        </is>
      </c>
      <c r="E53" t="inlineStr">
        <is>
          <t>excellent</t>
        </is>
      </c>
    </row>
    <row r="54">
      <c r="A54" t="inlineStr">
        <is>
          <t>B4</t>
        </is>
      </c>
      <c r="B54" t="n">
        <v>1</v>
      </c>
      <c r="C54" t="inlineStr">
        <is>
          <t>passed</t>
        </is>
      </c>
      <c r="D54" t="inlineStr">
        <is>
          <t>passed</t>
        </is>
      </c>
      <c r="E54" t="inlineStr">
        <is>
          <t>excellent</t>
        </is>
      </c>
    </row>
    <row r="55">
      <c r="A55" t="inlineStr">
        <is>
          <t>C5</t>
        </is>
      </c>
      <c r="B55" t="n">
        <v>1</v>
      </c>
      <c r="C55" t="inlineStr">
        <is>
          <t>passed</t>
        </is>
      </c>
      <c r="D55" t="inlineStr">
        <is>
          <t>passed</t>
        </is>
      </c>
      <c r="E55" t="inlineStr">
        <is>
          <t>excellent</t>
        </is>
      </c>
    </row>
    <row r="56">
      <c r="A56" t="inlineStr">
        <is>
          <t>C#5</t>
        </is>
      </c>
      <c r="B56" t="n">
        <v>1</v>
      </c>
      <c r="C56" t="inlineStr">
        <is>
          <t>passed</t>
        </is>
      </c>
      <c r="D56" t="inlineStr">
        <is>
          <t>passed</t>
        </is>
      </c>
      <c r="E56" t="inlineStr">
        <is>
          <t>excellent</t>
        </is>
      </c>
    </row>
    <row r="57">
      <c r="A57" t="inlineStr">
        <is>
          <t>D5</t>
        </is>
      </c>
      <c r="B57" t="n">
        <v>1</v>
      </c>
      <c r="C57" t="inlineStr">
        <is>
          <t>passed</t>
        </is>
      </c>
      <c r="D57" t="inlineStr">
        <is>
          <t>passed</t>
        </is>
      </c>
      <c r="E57" t="inlineStr">
        <is>
          <t>good</t>
        </is>
      </c>
    </row>
    <row r="58">
      <c r="A58" t="inlineStr">
        <is>
          <t>D#5</t>
        </is>
      </c>
      <c r="B58" t="n">
        <v>1</v>
      </c>
      <c r="C58" t="inlineStr">
        <is>
          <t>passed</t>
        </is>
      </c>
      <c r="D58" t="inlineStr">
        <is>
          <t>passed</t>
        </is>
      </c>
      <c r="E58" t="inlineStr">
        <is>
          <t>excellent</t>
        </is>
      </c>
    </row>
    <row r="59">
      <c r="A59" t="inlineStr">
        <is>
          <t>E5</t>
        </is>
      </c>
      <c r="B59" t="n">
        <v>1</v>
      </c>
      <c r="C59" t="inlineStr">
        <is>
          <t>passed</t>
        </is>
      </c>
      <c r="D59" t="inlineStr">
        <is>
          <t>passed</t>
        </is>
      </c>
      <c r="E59" t="inlineStr">
        <is>
          <t>excellent</t>
        </is>
      </c>
    </row>
    <row r="60">
      <c r="A60" t="inlineStr">
        <is>
          <t>F5</t>
        </is>
      </c>
      <c r="B60" t="n">
        <v>1</v>
      </c>
      <c r="C60" t="inlineStr">
        <is>
          <t>passed</t>
        </is>
      </c>
      <c r="D60" t="inlineStr">
        <is>
          <t>passed</t>
        </is>
      </c>
      <c r="E60" t="inlineStr">
        <is>
          <t>excellent</t>
        </is>
      </c>
    </row>
    <row r="61">
      <c r="A61" t="inlineStr">
        <is>
          <t>F#5</t>
        </is>
      </c>
      <c r="B61" t="n">
        <v>1</v>
      </c>
      <c r="C61" t="inlineStr">
        <is>
          <t>passed</t>
        </is>
      </c>
      <c r="D61" t="inlineStr">
        <is>
          <t>passed</t>
        </is>
      </c>
      <c r="E61" t="inlineStr">
        <is>
          <t>excellent</t>
        </is>
      </c>
    </row>
    <row r="62">
      <c r="A62" t="inlineStr">
        <is>
          <t>G5</t>
        </is>
      </c>
      <c r="B62" t="n">
        <v>1</v>
      </c>
      <c r="C62" t="inlineStr">
        <is>
          <t>passed</t>
        </is>
      </c>
      <c r="D62" t="inlineStr">
        <is>
          <t>passed</t>
        </is>
      </c>
      <c r="E62" t="inlineStr">
        <is>
          <t>good</t>
        </is>
      </c>
    </row>
    <row r="63">
      <c r="A63" t="inlineStr">
        <is>
          <t>G#5</t>
        </is>
      </c>
      <c r="B63" t="n">
        <v>1</v>
      </c>
      <c r="C63" t="inlineStr">
        <is>
          <t>passed</t>
        </is>
      </c>
      <c r="D63" t="inlineStr">
        <is>
          <t>passed</t>
        </is>
      </c>
      <c r="E63" t="inlineStr">
        <is>
          <t>excellent</t>
        </is>
      </c>
    </row>
    <row r="64">
      <c r="A64" t="inlineStr">
        <is>
          <t>A5</t>
        </is>
      </c>
      <c r="B64" t="n">
        <v>1</v>
      </c>
      <c r="C64" t="inlineStr">
        <is>
          <t>passed</t>
        </is>
      </c>
      <c r="D64" t="inlineStr">
        <is>
          <t>passed</t>
        </is>
      </c>
      <c r="E64" t="inlineStr">
        <is>
          <t>excellent</t>
        </is>
      </c>
    </row>
    <row r="65">
      <c r="A65" t="inlineStr">
        <is>
          <t>A#5</t>
        </is>
      </c>
      <c r="B65" t="n">
        <v>1</v>
      </c>
      <c r="C65" t="inlineStr">
        <is>
          <t>passed</t>
        </is>
      </c>
      <c r="D65" t="inlineStr">
        <is>
          <t>passed</t>
        </is>
      </c>
      <c r="E65" t="inlineStr">
        <is>
          <t>excellent</t>
        </is>
      </c>
    </row>
    <row r="66">
      <c r="A66" t="inlineStr">
        <is>
          <t>B5</t>
        </is>
      </c>
      <c r="B66" t="n">
        <v>1</v>
      </c>
      <c r="C66" t="inlineStr">
        <is>
          <t>passed</t>
        </is>
      </c>
      <c r="D66" t="inlineStr">
        <is>
          <t>passed</t>
        </is>
      </c>
      <c r="E66" t="inlineStr">
        <is>
          <t>excellent</t>
        </is>
      </c>
    </row>
    <row r="67">
      <c r="A67" t="inlineStr">
        <is>
          <t>C6</t>
        </is>
      </c>
      <c r="B67" t="n">
        <v>1</v>
      </c>
      <c r="C67" t="inlineStr">
        <is>
          <t>passed</t>
        </is>
      </c>
      <c r="D67" t="inlineStr">
        <is>
          <t>passed</t>
        </is>
      </c>
      <c r="E67" t="inlineStr">
        <is>
          <t>good</t>
        </is>
      </c>
    </row>
    <row r="68">
      <c r="A68" t="inlineStr">
        <is>
          <t>C#6</t>
        </is>
      </c>
      <c r="B68" t="n">
        <v>1</v>
      </c>
      <c r="C68" t="inlineStr">
        <is>
          <t>passed</t>
        </is>
      </c>
      <c r="D68" t="inlineStr">
        <is>
          <t>passed</t>
        </is>
      </c>
      <c r="E68" t="inlineStr">
        <is>
          <t>excellent</t>
        </is>
      </c>
    </row>
    <row r="69">
      <c r="A69" t="inlineStr">
        <is>
          <t>D6</t>
        </is>
      </c>
      <c r="B69" t="n">
        <v>1</v>
      </c>
      <c r="C69" t="inlineStr">
        <is>
          <t>passed</t>
        </is>
      </c>
      <c r="D69" t="inlineStr">
        <is>
          <t>passed</t>
        </is>
      </c>
      <c r="E69" t="inlineStr">
        <is>
          <t>excellent</t>
        </is>
      </c>
    </row>
    <row r="70">
      <c r="A70" t="inlineStr">
        <is>
          <t>D#6</t>
        </is>
      </c>
      <c r="B70" t="n">
        <v>1</v>
      </c>
      <c r="C70" t="inlineStr">
        <is>
          <t>passed</t>
        </is>
      </c>
      <c r="D70" t="inlineStr">
        <is>
          <t>passed</t>
        </is>
      </c>
      <c r="E70" t="inlineStr">
        <is>
          <t>good</t>
        </is>
      </c>
    </row>
    <row r="71">
      <c r="A71" t="inlineStr">
        <is>
          <t>E6</t>
        </is>
      </c>
      <c r="B71" t="n">
        <v>1</v>
      </c>
      <c r="C71" t="inlineStr">
        <is>
          <t>passed</t>
        </is>
      </c>
      <c r="D71" t="inlineStr">
        <is>
          <t>passed</t>
        </is>
      </c>
      <c r="E71" t="inlineStr">
        <is>
          <t>good</t>
        </is>
      </c>
    </row>
    <row r="72">
      <c r="A72" t="inlineStr">
        <is>
          <t>F6</t>
        </is>
      </c>
      <c r="B72" t="n">
        <v>1</v>
      </c>
      <c r="C72" t="inlineStr">
        <is>
          <t>passed</t>
        </is>
      </c>
      <c r="D72" t="inlineStr">
        <is>
          <t>passed</t>
        </is>
      </c>
      <c r="E72" t="inlineStr">
        <is>
          <t>excellent</t>
        </is>
      </c>
    </row>
    <row r="73">
      <c r="A73" t="inlineStr">
        <is>
          <t>F#6</t>
        </is>
      </c>
      <c r="B73" t="n">
        <v>1</v>
      </c>
      <c r="C73" t="inlineStr">
        <is>
          <t>passed</t>
        </is>
      </c>
      <c r="D73" t="inlineStr">
        <is>
          <t>passed</t>
        </is>
      </c>
      <c r="E73" t="inlineStr">
        <is>
          <t>good</t>
        </is>
      </c>
    </row>
    <row r="74">
      <c r="A74" t="inlineStr">
        <is>
          <t>G6</t>
        </is>
      </c>
      <c r="B74" t="n">
        <v>1</v>
      </c>
      <c r="C74" t="inlineStr">
        <is>
          <t>passed</t>
        </is>
      </c>
      <c r="D74" t="inlineStr">
        <is>
          <t>passed</t>
        </is>
      </c>
      <c r="E74" t="inlineStr">
        <is>
          <t>good</t>
        </is>
      </c>
    </row>
    <row r="75">
      <c r="A75" t="inlineStr">
        <is>
          <t>G#6</t>
        </is>
      </c>
      <c r="B75" t="n">
        <v>1</v>
      </c>
      <c r="C75" t="inlineStr">
        <is>
          <t>passed</t>
        </is>
      </c>
      <c r="D75" t="inlineStr">
        <is>
          <t>passed</t>
        </is>
      </c>
      <c r="E75" t="inlineStr">
        <is>
          <t>excellent</t>
        </is>
      </c>
    </row>
    <row r="76">
      <c r="A76" t="inlineStr">
        <is>
          <t>A6</t>
        </is>
      </c>
      <c r="B76" t="n">
        <v>1</v>
      </c>
      <c r="C76" t="inlineStr">
        <is>
          <t>passed</t>
        </is>
      </c>
      <c r="D76" t="inlineStr">
        <is>
          <t>passed</t>
        </is>
      </c>
      <c r="E76" t="inlineStr">
        <is>
          <t>good</t>
        </is>
      </c>
    </row>
    <row r="77">
      <c r="A77" t="inlineStr">
        <is>
          <t>A#6</t>
        </is>
      </c>
      <c r="B77" t="n">
        <v>1</v>
      </c>
      <c r="C77" t="inlineStr">
        <is>
          <t>passed</t>
        </is>
      </c>
      <c r="D77" t="inlineStr">
        <is>
          <t>passed</t>
        </is>
      </c>
      <c r="E77" t="inlineStr">
        <is>
          <t>good</t>
        </is>
      </c>
    </row>
    <row r="78">
      <c r="A78" t="inlineStr">
        <is>
          <t>B6</t>
        </is>
      </c>
      <c r="B78" t="n">
        <v>1</v>
      </c>
      <c r="C78" t="inlineStr">
        <is>
          <t>passed</t>
        </is>
      </c>
      <c r="D78" t="inlineStr">
        <is>
          <t>passed</t>
        </is>
      </c>
      <c r="E78" t="inlineStr">
        <is>
          <t>good</t>
        </is>
      </c>
    </row>
    <row r="79">
      <c r="A79" t="inlineStr">
        <is>
          <t>C7</t>
        </is>
      </c>
      <c r="B79" t="n">
        <v>1</v>
      </c>
      <c r="C79" t="inlineStr">
        <is>
          <t>passed</t>
        </is>
      </c>
      <c r="D79" t="inlineStr">
        <is>
          <t>passed</t>
        </is>
      </c>
      <c r="E79" t="inlineStr">
        <is>
          <t>good</t>
        </is>
      </c>
    </row>
  </sheetData>
  <mergeCells count="3">
    <mergeCell ref="A1:B2"/>
    <mergeCell ref="D4:H4"/>
    <mergeCell ref="D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2" customWidth="1" min="3" max="3"/>
    <col width="48" customWidth="1" min="4" max="4"/>
    <col width="48" customWidth="1" min="5" max="5"/>
    <col width="24" customWidth="1" min="6" max="6"/>
    <col width="32" customWidth="1" min="7" max="7"/>
    <col width="36" customWidth="1" min="8" max="8"/>
    <col width="22" customWidth="1" min="9" max="9"/>
    <col width="45" customWidth="1" min="10" max="10"/>
    <col width="39" customWidth="1" min="11" max="11"/>
    <col width="48" customWidth="1" min="12" max="12"/>
    <col width="44" customWidth="1" min="13" max="13"/>
    <col width="46" customWidth="1" min="14" max="14"/>
    <col width="30" customWidth="1" min="15" max="15"/>
    <col width="32" customWidth="1" min="16" max="16"/>
    <col width="48" customWidth="1" min="17" max="17"/>
    <col width="48" customWidth="1" min="18" max="18"/>
    <col width="48" customWidth="1" min="19" max="19"/>
    <col width="32" customWidth="1" min="20" max="20"/>
    <col width="31" customWidth="1" min="21" max="21"/>
    <col width="33" customWidth="1" min="22" max="22"/>
    <col width="22" customWidth="1" min="23" max="23"/>
    <col width="34" customWidth="1" min="24" max="24"/>
    <col width="48" customWidth="1" min="25" max="25"/>
    <col width="48" customWidth="1" min="26" max="26"/>
    <col width="46" customWidth="1" min="27" max="27"/>
    <col width="48" customWidth="1" min="28" max="28"/>
    <col width="48" customWidth="1" min="29" max="29"/>
    <col width="48" customWidth="1" min="30" max="30"/>
    <col width="42" customWidth="1" min="31" max="31"/>
    <col width="48" customWidth="1" min="32" max="32"/>
    <col width="48" customWidth="1" min="33" max="33"/>
    <col width="48" customWidth="1" min="34" max="34"/>
    <col width="48" customWidth="1" min="35" max="35"/>
    <col width="47" customWidth="1" min="36" max="36"/>
    <col width="48" customWidth="1" min="37" max="37"/>
    <col width="32" customWidth="1" min="38" max="38"/>
    <col width="48" customWidth="1" min="39" max="39"/>
    <col width="32" customWidth="1" min="40" max="40"/>
    <col width="48" customWidth="1" min="41" max="41"/>
    <col width="48" customWidth="1" min="42" max="42"/>
    <col width="32" customWidth="1" min="43" max="43"/>
    <col width="38" customWidth="1" min="44" max="44"/>
    <col width="48" customWidth="1" min="45" max="45"/>
    <col width="20" customWidth="1" min="46" max="46"/>
    <col width="20" customWidth="1" min="47" max="47"/>
    <col width="30" customWidth="1" min="48" max="48"/>
    <col width="32" customWidth="1" min="49" max="49"/>
    <col width="28" customWidth="1" min="50" max="50"/>
    <col width="30" customWidth="1" min="51" max="51"/>
    <col width="27" customWidth="1" min="52" max="52"/>
    <col width="25" customWidth="1" min="53" max="53"/>
    <col width="27" customWidth="1" min="54" max="54"/>
    <col width="24" customWidth="1" min="55" max="55"/>
    <col width="24" customWidth="1" min="56" max="56"/>
    <col width="31" customWidth="1" min="57" max="57"/>
    <col width="30" customWidth="1" min="58" max="58"/>
    <col width="33" customWidth="1" min="59" max="59"/>
    <col width="26" customWidth="1" min="60" max="60"/>
    <col width="30" customWidth="1" min="61" max="61"/>
    <col width="30" customWidth="1" min="62" max="62"/>
    <col width="30" customWidth="1" min="63" max="63"/>
    <col width="29" customWidth="1" min="64" max="64"/>
    <col width="30" customWidth="1" min="65" max="65"/>
    <col width="45" customWidth="1" min="66" max="66"/>
    <col width="34" customWidth="1" min="67" max="67"/>
    <col width="28" customWidth="1" min="68" max="68"/>
    <col width="28" customWidth="1" min="69" max="69"/>
    <col width="27" customWidth="1" min="70" max="70"/>
    <col width="35" customWidth="1" min="71" max="71"/>
    <col width="33" customWidth="1" min="72" max="72"/>
    <col width="35" customWidth="1" min="73" max="73"/>
    <col width="32" customWidth="1" min="74" max="74"/>
    <col width="10" customWidth="1" min="75" max="75"/>
    <col width="10" customWidth="1" min="76" max="76"/>
    <col width="13" customWidth="1" min="77" max="77"/>
    <col width="10" customWidth="1" min="78" max="78"/>
    <col width="11" customWidth="1" min="79" max="79"/>
    <col width="10" customWidth="1" min="80" max="80"/>
    <col width="19" customWidth="1" min="81" max="81"/>
    <col width="19" customWidth="1" min="82" max="82"/>
    <col width="32" customWidth="1" min="83" max="83"/>
    <col width="36" customWidth="1" min="84" max="84"/>
    <col width="17" customWidth="1" min="85" max="85"/>
    <col width="32" customWidth="1" min="86" max="86"/>
    <col width="20" customWidth="1" min="87" max="87"/>
    <col width="19" customWidth="1" min="88" max="88"/>
    <col width="19" customWidth="1" min="89" max="89"/>
    <col width="21" customWidth="1" min="90" max="90"/>
    <col width="22" customWidth="1" min="91" max="91"/>
    <col width="32" customWidth="1" min="92" max="92"/>
    <col width="20" customWidth="1" min="93" max="93"/>
    <col width="40" customWidth="1" min="94" max="94"/>
    <col width="48" customWidth="1" min="95" max="95"/>
    <col width="43" customWidth="1" min="96" max="96"/>
    <col width="48" customWidth="1" min="97" max="97"/>
    <col width="48" customWidth="1" min="98" max="98"/>
    <col width="45" customWidth="1" min="99" max="99"/>
    <col width="43" customWidth="1" min="100" max="100"/>
    <col width="39" customWidth="1" min="101" max="101"/>
    <col width="41" customWidth="1" min="102" max="102"/>
    <col width="27" customWidth="1" min="103" max="103"/>
    <col width="42" customWidth="1" min="104" max="104"/>
    <col width="41" customWidth="1" min="105" max="105"/>
    <col width="43" customWidth="1" min="106" max="106"/>
    <col width="38" customWidth="1" min="107" max="107"/>
    <col width="32" customWidth="1" min="108" max="108"/>
    <col width="48" customWidth="1" min="109" max="109"/>
    <col width="46" customWidth="1" min="110" max="110"/>
    <col width="33" customWidth="1" min="111" max="111"/>
    <col width="46" customWidth="1" min="112" max="112"/>
    <col width="27" customWidth="1" min="113" max="113"/>
    <col width="22" customWidth="1" min="114" max="114"/>
    <col width="19" customWidth="1" min="115" max="115"/>
    <col width="34" customWidth="1" min="116" max="116"/>
    <col width="41" customWidth="1" min="117" max="117"/>
    <col width="42" customWidth="1" min="118" max="118"/>
    <col width="48" customWidth="1" min="119" max="119"/>
    <col width="22" customWidth="1" min="120" max="120"/>
    <col width="24" customWidth="1" min="121" max="121"/>
    <col width="30" customWidth="1" min="122" max="122"/>
    <col width="27" customWidth="1" min="123" max="123"/>
    <col width="23" customWidth="1" min="124" max="124"/>
    <col width="44" customWidth="1" min="125" max="125"/>
    <col width="28" customWidth="1" min="126" max="126"/>
    <col width="27" customWidth="1" min="127" max="127"/>
    <col width="28" customWidth="1" min="128" max="128"/>
    <col width="36" customWidth="1" min="129" max="129"/>
    <col width="17" customWidth="1" min="130" max="130"/>
    <col width="33" customWidth="1" min="131" max="131"/>
    <col width="30" customWidth="1" min="132" max="132"/>
    <col width="23" customWidth="1" min="133" max="133"/>
    <col width="26" customWidth="1" min="134" max="134"/>
    <col width="43" customWidth="1" min="135" max="135"/>
    <col width="21" customWidth="1" min="136" max="136"/>
    <col width="27" customWidth="1" min="137" max="137"/>
    <col width="30" customWidth="1" min="138" max="138"/>
    <col width="31" customWidth="1" min="139" max="139"/>
    <col width="48" customWidth="1" min="140" max="140"/>
    <col width="48" customWidth="1" min="141" max="141"/>
    <col width="20" customWidth="1" min="142" max="142"/>
    <col width="20" customWidth="1" min="143" max="143"/>
    <col width="32" customWidth="1" min="144" max="144"/>
    <col width="31" customWidth="1" min="145" max="145"/>
    <col width="29" customWidth="1" min="146" max="146"/>
    <col width="27" customWidth="1" min="147" max="147"/>
    <col width="38" customWidth="1" min="148" max="148"/>
    <col width="21" customWidth="1" min="149" max="149"/>
    <col width="22" customWidth="1" min="150" max="150"/>
    <col width="22" customWidth="1" min="151" max="151"/>
    <col width="17" customWidth="1" min="152" max="152"/>
    <col width="23" customWidth="1" min="153" max="153"/>
    <col width="23" customWidth="1" min="154" max="154"/>
    <col width="22" customWidth="1" min="155" max="155"/>
    <col width="35" customWidth="1" min="156" max="156"/>
    <col width="36" customWidth="1" min="157" max="157"/>
    <col width="23" customWidth="1" min="158" max="158"/>
    <col width="21" customWidth="1" min="159" max="159"/>
    <col width="22" customWidth="1" min="160" max="160"/>
    <col width="24" customWidth="1" min="161" max="161"/>
    <col width="21" customWidth="1" min="162" max="162"/>
    <col width="40" customWidth="1" min="163" max="163"/>
    <col width="42" customWidth="1" min="164" max="164"/>
    <col width="39" customWidth="1" min="165" max="165"/>
    <col width="21" customWidth="1" min="166" max="166"/>
    <col width="23" customWidth="1" min="167" max="167"/>
    <col width="21" customWidth="1" min="168" max="168"/>
    <col width="24" customWidth="1" min="169" max="169"/>
    <col width="23" customWidth="1" min="170" max="170"/>
    <col width="25" customWidth="1" min="171" max="171"/>
    <col width="22" customWidth="1" min="172" max="172"/>
    <col width="27" customWidth="1" min="173" max="173"/>
    <col width="35" customWidth="1" min="174" max="174"/>
    <col width="35" customWidth="1" min="175" max="175"/>
    <col width="34" customWidth="1" min="176" max="176"/>
    <col width="31" customWidth="1" min="177" max="177"/>
    <col width="24" customWidth="1" min="178" max="178"/>
    <col width="26" customWidth="1" min="179" max="179"/>
    <col width="23" customWidth="1" min="180" max="180"/>
    <col width="35" customWidth="1" min="181" max="181"/>
    <col width="37" customWidth="1" min="182" max="182"/>
    <col width="26" customWidth="1" min="183" max="183"/>
    <col width="48" customWidth="1" min="184" max="184"/>
    <col width="42" customWidth="1" min="185" max="185"/>
    <col width="48" customWidth="1" min="186" max="186"/>
    <col width="37" customWidth="1" min="187" max="187"/>
    <col width="48" customWidth="1" min="188" max="188"/>
    <col width="48" customWidth="1" min="189" max="189"/>
    <col width="46" customWidth="1" min="190" max="190"/>
    <col width="41" customWidth="1" min="191" max="191"/>
    <col width="45" customWidth="1" min="192" max="192"/>
    <col width="48" customWidth="1" min="193" max="193"/>
    <col width="43" customWidth="1" min="194" max="194"/>
    <col width="38" customWidth="1" min="195" max="195"/>
    <col width="33" customWidth="1" min="196" max="196"/>
    <col width="47" customWidth="1" min="197" max="197"/>
    <col width="32" customWidth="1" min="198" max="198"/>
    <col width="48" customWidth="1" min="199" max="199"/>
    <col width="18" customWidth="1" min="200" max="200"/>
    <col width="23" customWidth="1" min="201" max="201"/>
    <col width="20" customWidth="1" min="202" max="202"/>
    <col width="21" customWidth="1" min="203" max="203"/>
    <col width="20" customWidth="1" min="204" max="204"/>
    <col width="32" customWidth="1" min="205" max="205"/>
    <col width="29" customWidth="1" min="206" max="206"/>
    <col width="21" customWidth="1" min="207" max="207"/>
    <col width="25" customWidth="1" min="208" max="208"/>
    <col width="26" customWidth="1" min="209" max="209"/>
    <col width="34" customWidth="1" min="210" max="210"/>
    <col width="37" customWidth="1" min="211" max="211"/>
    <col width="38" customWidth="1" min="212" max="212"/>
    <col width="46" customWidth="1" min="213" max="213"/>
    <col width="26" customWidth="1" min="214" max="214"/>
    <col width="25" customWidth="1" min="215" max="215"/>
    <col width="30" customWidth="1" min="216" max="216"/>
    <col width="28" customWidth="1" min="217" max="217"/>
  </cols>
  <sheetData>
    <row r="1">
      <c r="A1" s="11" t="inlineStr">
        <is>
          <t>metadata_inference_status</t>
        </is>
      </c>
      <c r="B1" s="11" t="inlineStr">
        <is>
          <t>metadata_missing_reason</t>
        </is>
      </c>
      <c r="C1" s="11" t="inlineStr">
        <is>
          <t>f0_final_source</t>
        </is>
      </c>
      <c r="D1" s="11" t="inlineStr">
        <is>
          <t>amplitude_mass_chart_file</t>
        </is>
      </c>
      <c r="E1" s="11" t="inlineStr">
        <is>
          <t>energy_ratio_chart_file</t>
        </is>
      </c>
      <c r="F1" s="11" t="inlineStr">
        <is>
          <t>f0_used_for_density_hz</t>
        </is>
      </c>
      <c r="G1" s="11" t="inlineStr">
        <is>
          <t>f0_used_for_density_source</t>
        </is>
      </c>
      <c r="H1" s="11" t="inlineStr">
        <is>
          <t>acoustic_f0_status</t>
        </is>
      </c>
      <c r="I1" s="12" t="inlineStr">
        <is>
          <t>density_weighted_sum</t>
        </is>
      </c>
      <c r="J1" s="11" t="inlineStr">
        <is>
          <t>density_weighted_sum_alias_of</t>
        </is>
      </c>
      <c r="K1" s="11" t="inlineStr">
        <is>
          <t>density_weighted_sum_semantic_status</t>
        </is>
      </c>
      <c r="L1" s="11" t="inlineStr">
        <is>
          <t>density_component_body_weighted_sum_body_ceiling</t>
        </is>
      </c>
      <c r="M1" s="11" t="inlineStr">
        <is>
          <t>harmonic_component_energy_sum_body_ceiling</t>
        </is>
      </c>
      <c r="N1" s="11" t="inlineStr">
        <is>
          <t>inharmonic_component_energy_sum_body_ceiling</t>
        </is>
      </c>
      <c r="O1" s="11" t="inlineStr">
        <is>
          <t>subbass_component_energy_sum</t>
        </is>
      </c>
      <c r="P1" s="11" t="inlineStr">
        <is>
          <t>spectral_slope_db_per_harmonic</t>
        </is>
      </c>
      <c r="Q1" s="11" t="inlineStr">
        <is>
          <t>validated_harmonic_component_count_body_ceiling</t>
        </is>
      </c>
      <c r="R1" s="11" t="inlineStr">
        <is>
          <t>probable_harmonic_component_count_body_ceiling</t>
        </is>
      </c>
      <c r="S1" s="11" t="inlineStr">
        <is>
          <t>probable_harmonic_component_energy_sum_body_ceiling</t>
        </is>
      </c>
      <c r="T1" s="11" t="inlineStr">
        <is>
          <t>harmonic_candidate_count_20khz</t>
        </is>
      </c>
      <c r="U1" s="11" t="inlineStr">
        <is>
          <t>spectral_body_thickness_index</t>
        </is>
      </c>
      <c r="V1" s="11" t="inlineStr">
        <is>
          <t>body_weighted_effective_density</t>
        </is>
      </c>
      <c r="W1" s="11" t="inlineStr">
        <is>
          <t>low_mid_energy_ratio</t>
        </is>
      </c>
      <c r="X1" s="11" t="inlineStr">
        <is>
          <t>harmonic_body_density_normalized</t>
        </is>
      </c>
      <c r="Y1" s="11" t="inlineStr">
        <is>
          <t>salient_harmonic_order_count_up_to_body_ceiling</t>
        </is>
      </c>
      <c r="Z1" s="11" t="inlineStr">
        <is>
          <t>expected_harmonic_order_count_up_to_body_ceiling</t>
        </is>
      </c>
      <c r="AA1" s="11" t="inlineStr">
        <is>
          <t>salient_harmonic_coverage_up_to_body_ceiling</t>
        </is>
      </c>
      <c r="AB1" s="11" t="inlineStr">
        <is>
          <t>theoretical_harmonic_order_count_up_to_body_ceiling</t>
        </is>
      </c>
      <c r="AC1" s="11" t="inlineStr">
        <is>
          <t>detected_salient_harmonic_order_count_up_to_body_ceiling</t>
        </is>
      </c>
      <c r="AD1" s="11" t="inlineStr">
        <is>
          <t>salient_harmonic_coverage_ratio_up_to_body_ceiling</t>
        </is>
      </c>
      <c r="AE1" s="11" t="inlineStr">
        <is>
          <t>salient_harmonic_mass_up_to_body_ceiling</t>
        </is>
      </c>
      <c r="AF1" s="11" t="inlineStr">
        <is>
          <t>salient_harmonic_order_count_up_to_density_ceiling_hz</t>
        </is>
      </c>
      <c r="AG1" s="11" t="inlineStr">
        <is>
          <t>expected_harmonic_order_count_up_to_density_ceiling_hz</t>
        </is>
      </c>
      <c r="AH1" s="11" t="inlineStr">
        <is>
          <t>salient_harmonic_coverage_up_to_density_ceiling_hz</t>
        </is>
      </c>
      <c r="AI1" s="11" t="inlineStr">
        <is>
          <t>salient_harmonic_mass_up_to_density_ceiling_hz</t>
        </is>
      </c>
      <c r="AJ1" s="11" t="inlineStr">
        <is>
          <t>salient_odd_harmonic_count_up_to_body_ceiling</t>
        </is>
      </c>
      <c r="AK1" s="11" t="inlineStr">
        <is>
          <t>salient_even_harmonic_count_up_to_body_ceiling</t>
        </is>
      </c>
      <c r="AL1" s="11" t="inlineStr">
        <is>
          <t>odd_even_harmonic_energy_ratio</t>
        </is>
      </c>
      <c r="AM1" s="11" t="inlineStr">
        <is>
          <t>salient_inharmonic_log_bin_count_up_to_body_ceiling</t>
        </is>
      </c>
      <c r="AN1" s="11" t="inlineStr">
        <is>
          <t>salient_subbass_particle_count</t>
        </is>
      </c>
      <c r="AO1" s="11" t="inlineStr">
        <is>
          <t>salient_inharmonic_log_bin_count_up_to_density_ceiling_hz</t>
        </is>
      </c>
      <c r="AP1" s="11" t="inlineStr">
        <is>
          <t>salient_subbass_particle_count_up_to_density_ceiling_hz</t>
        </is>
      </c>
      <c r="AQ1" s="11" t="inlineStr">
        <is>
          <t>final_note_density_count_based</t>
        </is>
      </c>
      <c r="AR1" s="11" t="inlineStr">
        <is>
          <t>final_note_density_salience_weighted</t>
        </is>
      </c>
      <c r="AS1" s="11" t="inlineStr">
        <is>
          <t>final_note_density_salience_weighted_norm_for_chart</t>
        </is>
      </c>
      <c r="AT1" s="13" t="inlineStr">
        <is>
          <t>note_density_final</t>
        </is>
      </c>
      <c r="AU1" s="14" t="inlineStr">
        <is>
          <t>EWSD_score_total</t>
        </is>
      </c>
      <c r="AV1" s="11" t="inlineStr">
        <is>
          <t>EWSD_score_acoustic_balanced</t>
        </is>
      </c>
      <c r="AW1" s="11" t="inlineStr">
        <is>
          <t>ewsd_primary_analysis_eligible</t>
        </is>
      </c>
      <c r="AX1" s="11" t="inlineStr">
        <is>
          <t>harmonic_density_component</t>
        </is>
      </c>
      <c r="AY1" s="11" t="inlineStr">
        <is>
          <t>inharmonic_density_component</t>
        </is>
      </c>
      <c r="AZ1" s="11" t="inlineStr">
        <is>
          <t>subbass_density_component</t>
        </is>
      </c>
      <c r="BA1" s="11" t="inlineStr">
        <is>
          <t>harmonic_density_weight</t>
        </is>
      </c>
      <c r="BB1" s="11" t="inlineStr">
        <is>
          <t>inharmonic_density_weight</t>
        </is>
      </c>
      <c r="BC1" s="11" t="inlineStr">
        <is>
          <t>subbass_density_weight</t>
        </is>
      </c>
      <c r="BD1" s="11" t="inlineStr">
        <is>
          <t>density_summation_mode</t>
        </is>
      </c>
      <c r="BE1" s="11" t="inlineStr">
        <is>
          <t>density_salience_threshold_db</t>
        </is>
      </c>
      <c r="BF1" s="11" t="inlineStr">
        <is>
          <t>density_frequency_ceiling_hz</t>
        </is>
      </c>
      <c r="BG1" s="11" t="inlineStr">
        <is>
          <t>harmonic_region_occupancy_count</t>
        </is>
      </c>
      <c r="BH1" s="11" t="inlineStr">
        <is>
          <t>harmonic_occupancy_ratio</t>
        </is>
      </c>
      <c r="BI1" s="11" t="inlineStr">
        <is>
          <t>expected_harmonic_slot_count</t>
        </is>
      </c>
      <c r="BJ1" s="11" t="inlineStr">
        <is>
          <t>detected_harmonic_slot_count</t>
        </is>
      </c>
      <c r="BK1" s="11" t="inlineStr">
        <is>
          <t>harmonic_slot_expected_count</t>
        </is>
      </c>
      <c r="BL1" s="11" t="inlineStr">
        <is>
          <t>harmonic_slot_matched_count</t>
        </is>
      </c>
      <c r="BM1" s="11" t="inlineStr">
        <is>
          <t>harmonic_slot_coverage_ratio</t>
        </is>
      </c>
      <c r="BN1" s="11" t="inlineStr">
        <is>
          <t>harmonic_effective_power_density_normalized</t>
        </is>
      </c>
      <c r="BO1" s="11" t="inlineStr">
        <is>
          <t>residual_log_frequency_occupancy</t>
        </is>
      </c>
      <c r="BP1" s="11" t="inlineStr">
        <is>
          <t>core_harmonic_energy_ratio</t>
        </is>
      </c>
      <c r="BQ1" s="11" t="inlineStr">
        <is>
          <t>core_residual_energy_ratio</t>
        </is>
      </c>
      <c r="BR1" s="11" t="inlineStr">
        <is>
          <t>core_subbass_energy_ratio</t>
        </is>
      </c>
      <c r="BS1" s="11" t="inlineStr">
        <is>
          <t>residual_body_contribution_capped</t>
        </is>
      </c>
      <c r="BT1" s="11" t="inlineStr">
        <is>
          <t>component_harmonic_energy_ratio</t>
        </is>
      </c>
      <c r="BU1" s="11" t="inlineStr">
        <is>
          <t>component_inharmonic_energy_ratio</t>
        </is>
      </c>
      <c r="BV1" s="11" t="inlineStr">
        <is>
          <t>component_subbass_energy_ratio</t>
        </is>
      </c>
      <c r="BW1" s="11" t="inlineStr">
        <is>
          <t>Note</t>
        </is>
      </c>
      <c r="BX1" s="11" t="inlineStr">
        <is>
          <t>MIDI</t>
        </is>
      </c>
      <c r="BY1" s="11" t="inlineStr">
        <is>
          <t>Pitch_Class</t>
        </is>
      </c>
      <c r="BZ1" s="11" t="inlineStr">
        <is>
          <t>Octave</t>
        </is>
      </c>
      <c r="CA1" s="11" t="inlineStr">
        <is>
          <t>Register</t>
        </is>
      </c>
      <c r="CB1" s="11" t="inlineStr">
        <is>
          <t>Dynamic</t>
        </is>
      </c>
      <c r="CC1" s="11" t="inlineStr">
        <is>
          <t>f0_nominal_hz</t>
        </is>
      </c>
      <c r="CD1" s="11" t="inlineStr">
        <is>
          <t>f0_final_hz</t>
        </is>
      </c>
      <c r="CE1" s="11" t="inlineStr">
        <is>
          <t>f0_source</t>
        </is>
      </c>
      <c r="CF1" s="11" t="inlineStr">
        <is>
          <t>f0_used_for_harmonic_validation_hz</t>
        </is>
      </c>
      <c r="CG1" s="11" t="inlineStr">
        <is>
          <t>f0_fit_accepted</t>
        </is>
      </c>
      <c r="CH1" s="11" t="inlineStr">
        <is>
          <t>f0_epistemic_status</t>
        </is>
      </c>
      <c r="CI1" s="11" t="inlineStr">
        <is>
          <t>f0_validation_mode</t>
        </is>
      </c>
      <c r="CJ1" s="11" t="inlineStr">
        <is>
          <t>nominal_prior_hz</t>
        </is>
      </c>
      <c r="CK1" s="11" t="inlineStr">
        <is>
          <t>f0_candidate_hz</t>
        </is>
      </c>
      <c r="CL1" s="11" t="inlineStr">
        <is>
          <t>f0_deviation_cents</t>
        </is>
      </c>
      <c r="CM1" s="11" t="inlineStr">
        <is>
          <t>f0_validation_max_hz</t>
        </is>
      </c>
      <c r="CN1" s="11" t="inlineStr">
        <is>
          <t>f0_detuning_cents_from_nominal</t>
        </is>
      </c>
      <c r="CO1" s="11" t="inlineStr">
        <is>
          <t>density_metric_raw</t>
        </is>
      </c>
      <c r="CP1" s="11" t="inlineStr">
        <is>
          <t>density_body_weighted_sum_body_ceiling</t>
        </is>
      </c>
      <c r="CQ1" s="11" t="inlineStr">
        <is>
          <t>harmonic_effective_component_count_body_ceiling</t>
        </is>
      </c>
      <c r="CR1" s="11" t="inlineStr">
        <is>
          <t>normalized_harmonic_richness_body_ceiling</t>
        </is>
      </c>
      <c r="CS1" s="11" t="inlineStr">
        <is>
          <t>body_density_per_expected_harmonic_slot_body_ceiling</t>
        </is>
      </c>
      <c r="CT1" s="11" t="inlineStr">
        <is>
          <t>pitch_normalized_harmonic_component_energy_body_ceiling</t>
        </is>
      </c>
      <c r="CU1" s="11" t="inlineStr">
        <is>
          <t>richness_weighted_body_density_body_ceiling</t>
        </is>
      </c>
      <c r="CV1" s="11" t="inlineStr">
        <is>
          <t>subbass_component_energy_sum_body_ceiling</t>
        </is>
      </c>
      <c r="CW1" s="11" t="inlineStr">
        <is>
          <t>harmonic_body_energy_sum_body_ceiling</t>
        </is>
      </c>
      <c r="CX1" s="11" t="inlineStr">
        <is>
          <t>inharmonic_body_energy_sum_body_ceiling</t>
        </is>
      </c>
      <c r="CY1" s="11" t="inlineStr">
        <is>
          <t>subbass_rumble_energy_sum</t>
        </is>
      </c>
      <c r="CZ1" s="11" t="inlineStr">
        <is>
          <t>density_full_spectrum_weighted_sum_20khz</t>
        </is>
      </c>
      <c r="DA1" s="11" t="inlineStr">
        <is>
          <t>harmonic_full_spectrum_energy_sum_20khz</t>
        </is>
      </c>
      <c r="DB1" s="11" t="inlineStr">
        <is>
          <t>inharmonic_full_spectrum_energy_sum_20khz</t>
        </is>
      </c>
      <c r="DC1" s="11" t="inlineStr">
        <is>
          <t>high_frequency_spectral_activity_sum</t>
        </is>
      </c>
      <c r="DD1" s="11" t="inlineStr">
        <is>
          <t>spectral_extension_index_20khz</t>
        </is>
      </c>
      <c r="DE1" s="11" t="inlineStr">
        <is>
          <t>brightness_or_upper_spectral_activity_index_20khz</t>
        </is>
      </c>
      <c r="DF1" s="11" t="inlineStr">
        <is>
          <t>full_spectrum_harmonic_candidate_count_20khz</t>
        </is>
      </c>
      <c r="DG1" s="11" t="inlineStr">
        <is>
          <t>density_metric_raw_source_sheet</t>
        </is>
      </c>
      <c r="DH1" s="11" t="inlineStr">
        <is>
          <t>energy_weighted_component_density_diagnostic</t>
        </is>
      </c>
      <c r="DI1" s="11" t="inlineStr">
        <is>
          <t>density_metric_normalized</t>
        </is>
      </c>
      <c r="DJ1" s="11" t="inlineStr">
        <is>
          <t>density_log_weighted</t>
        </is>
      </c>
      <c r="DK1" s="11" t="inlineStr">
        <is>
          <t>Total sum</t>
        </is>
      </c>
      <c r="DL1" s="11" t="inlineStr">
        <is>
          <t>note_effective_component_density</t>
        </is>
      </c>
      <c r="DM1" s="11" t="inlineStr">
        <is>
          <t>note_effective_component_density_ci_low</t>
        </is>
      </c>
      <c r="DN1" s="11" t="inlineStr">
        <is>
          <t>note_effective_component_density_ci_high</t>
        </is>
      </c>
      <c r="DO1" s="11" t="inlineStr">
        <is>
          <t>note_effective_component_density_rel_uncertainty</t>
        </is>
      </c>
      <c r="DP1" s="11" t="inlineStr">
        <is>
          <t>ci_basis_frame_count</t>
        </is>
      </c>
      <c r="DQ1" s="11" t="inlineStr">
        <is>
          <t>ci_basis_partial_count</t>
        </is>
      </c>
      <c r="DR1" s="11" t="inlineStr">
        <is>
          <t>ci_basis_frames_insufficient</t>
        </is>
      </c>
      <c r="DS1" s="11" t="inlineStr">
        <is>
          <t>effective_partial_density</t>
        </is>
      </c>
      <c r="DT1" s="11" t="inlineStr">
        <is>
          <t>harmonic_body_density</t>
        </is>
      </c>
      <c r="DU1" s="11" t="inlineStr">
        <is>
          <t>expected_harmonic_slots_up_to_body_ceiling</t>
        </is>
      </c>
      <c r="DV1" s="11" t="inlineStr">
        <is>
          <t>residual_body_contribution</t>
        </is>
      </c>
      <c r="DW1" s="11" t="inlineStr">
        <is>
          <t>note_density_final_ci_low</t>
        </is>
      </c>
      <c r="DX1" s="11" t="inlineStr">
        <is>
          <t>note_density_final_ci_high</t>
        </is>
      </c>
      <c r="DY1" s="11" t="inlineStr">
        <is>
          <t>note_density_final_rel_uncertainty</t>
        </is>
      </c>
      <c r="DZ1" s="11" t="inlineStr">
        <is>
          <t>density_fragile</t>
        </is>
      </c>
      <c r="EA1" s="11" t="inlineStr">
        <is>
          <t>density_perturbation_spread_pct</t>
        </is>
      </c>
      <c r="EB1" s="11" t="inlineStr">
        <is>
          <t>density_effective_ceiling_hz</t>
        </is>
      </c>
      <c r="EC1" s="11" t="inlineStr">
        <is>
          <t>harmonic_body_stop_hz</t>
        </is>
      </c>
      <c r="ED1" s="11" t="inlineStr">
        <is>
          <t>harmonic_body_stop_order</t>
        </is>
      </c>
      <c r="EE1" s="11" t="inlineStr">
        <is>
          <t>validated_harmonics_above_body_stop_count</t>
        </is>
      </c>
      <c r="EF1" s="11" t="inlineStr">
        <is>
          <t>bin_to_f0_ratio</t>
        </is>
      </c>
      <c r="EG1" s="11" t="inlineStr">
        <is>
          <t>low_f0_resolution_warning</t>
        </is>
      </c>
      <c r="EH1" s="11" t="inlineStr">
        <is>
          <t>valid_for_primary_statistics</t>
        </is>
      </c>
      <c r="EI1" s="11" t="inlineStr">
        <is>
          <t>is_primary_comparable_profile</t>
        </is>
      </c>
      <c r="EJ1" s="11" t="inlineStr">
        <is>
          <t>analysis_parameter_profile_id</t>
        </is>
      </c>
      <c r="EK1" s="11" t="inlineStr">
        <is>
          <t>primary_comparable_profile_definition</t>
        </is>
      </c>
      <c r="EL1" s="11" t="inlineStr">
        <is>
          <t>density_confidence</t>
        </is>
      </c>
      <c r="EM1" s="11" t="inlineStr">
        <is>
          <t>f0_confidence</t>
        </is>
      </c>
      <c r="EN1" s="11" t="inlineStr">
        <is>
          <t>harmonic_assignment_confidence</t>
        </is>
      </c>
      <c r="EO1" s="11" t="inlineStr">
        <is>
          <t>spectral_stability_confidence</t>
        </is>
      </c>
      <c r="EP1" s="11" t="inlineStr">
        <is>
          <t>qc_status</t>
        </is>
      </c>
      <c r="EQ1" s="11" t="inlineStr">
        <is>
          <t>outlier_ratio_max_to_mean</t>
        </is>
      </c>
      <c r="ER1" s="11" t="inlineStr">
        <is>
          <t>outlier_policy_applied</t>
        </is>
      </c>
      <c r="ES1" s="11" t="inlineStr">
        <is>
          <t>density_winsorized</t>
        </is>
      </c>
      <c r="ET1" s="11" t="inlineStr">
        <is>
          <t>density_median_based</t>
        </is>
      </c>
      <c r="EU1" s="11" t="inlineStr">
        <is>
          <t>density_trimmed_mean</t>
        </is>
      </c>
      <c r="EV1" s="11" t="inlineStr">
        <is>
          <t>sethares_status</t>
        </is>
      </c>
      <c r="EW1" s="11" t="inlineStr">
        <is>
          <t>sethares_value_status</t>
        </is>
      </c>
      <c r="EX1" s="11" t="inlineStr">
        <is>
          <t>sethares_curve_status</t>
        </is>
      </c>
      <c r="EY1" s="11" t="inlineStr">
        <is>
          <t>sethares_plot_status</t>
        </is>
      </c>
      <c r="EZ1" s="11" t="inlineStr">
        <is>
          <t>body_density_frequency_ceiling_hz</t>
        </is>
      </c>
      <c r="FA1" s="11" t="inlineStr">
        <is>
          <t>full_spectrum_frequency_ceiling_hz</t>
        </is>
      </c>
      <c r="FB1" s="11" t="inlineStr">
        <is>
          <t>residual_energy_ratio</t>
        </is>
      </c>
      <c r="FC1" s="11" t="inlineStr">
        <is>
          <t>spectral_entropy</t>
        </is>
      </c>
      <c r="FD1" s="11" t="inlineStr">
        <is>
          <t>harmonic_density_sum</t>
        </is>
      </c>
      <c r="FE1" s="11" t="inlineStr">
        <is>
          <t>inharmonic_density_sum</t>
        </is>
      </c>
      <c r="FF1" s="11" t="inlineStr">
        <is>
          <t>subbass_density_sum</t>
        </is>
      </c>
      <c r="FG1" s="11" t="inlineStr">
        <is>
          <t>weighted_harmonic_density_contribution</t>
        </is>
      </c>
      <c r="FH1" s="11" t="inlineStr">
        <is>
          <t>weighted_inharmonic_density_contribution</t>
        </is>
      </c>
      <c r="FI1" s="11" t="inlineStr">
        <is>
          <t>weighted_subbass_density_contribution</t>
        </is>
      </c>
      <c r="FJ1" s="11" t="inlineStr">
        <is>
          <t>harmonic_energy_sum</t>
        </is>
      </c>
      <c r="FK1" s="11" t="inlineStr">
        <is>
          <t>inharmonic_energy_sum</t>
        </is>
      </c>
      <c r="FL1" s="11" t="inlineStr">
        <is>
          <t>subbass_energy_sum</t>
        </is>
      </c>
      <c r="FM1" s="11" t="inlineStr">
        <is>
          <t>total_component_energy</t>
        </is>
      </c>
      <c r="FN1" s="11" t="inlineStr">
        <is>
          <t>harmonic_energy_ratio</t>
        </is>
      </c>
      <c r="FO1" s="11" t="inlineStr">
        <is>
          <t>inharmonic_energy_ratio</t>
        </is>
      </c>
      <c r="FP1" s="11" t="inlineStr">
        <is>
          <t>subbass_energy_ratio</t>
        </is>
      </c>
      <c r="FQ1" s="11" t="inlineStr">
        <is>
          <t>harmonic_alignment_status</t>
        </is>
      </c>
      <c r="FR1" s="11" t="inlineStr">
        <is>
          <t>harmonic_alignment_coverage_ratio</t>
        </is>
      </c>
      <c r="FS1" s="11" t="inlineStr">
        <is>
          <t>mean_abs_harmonic_deviation_cents</t>
        </is>
      </c>
      <c r="FT1" s="11" t="inlineStr">
        <is>
          <t>max_abs_harmonic_deviation_cents</t>
        </is>
      </c>
      <c r="FU1" s="11" t="inlineStr">
        <is>
          <t>debug_counts_invariant_status</t>
        </is>
      </c>
      <c r="FV1" s="11" t="inlineStr">
        <is>
          <t>harmonic_amplitude_sum</t>
        </is>
      </c>
      <c r="FW1" s="11" t="inlineStr">
        <is>
          <t>inharmonic_amplitude_sum</t>
        </is>
      </c>
      <c r="FX1" s="11" t="inlineStr">
        <is>
          <t>subbass_amplitude_sum</t>
        </is>
      </c>
      <c r="FY1" s="11" t="inlineStr">
        <is>
          <t>density_metric_raw_norm_for_chart</t>
        </is>
      </c>
      <c r="FZ1" s="11" t="inlineStr">
        <is>
          <t>density_weighted_sum_norm_for_chart</t>
        </is>
      </c>
      <c r="GA1" s="11" t="inlineStr">
        <is>
          <t>Total sum_norm_for_chart</t>
        </is>
      </c>
      <c r="GB1" s="11" t="inlineStr">
        <is>
          <t>note_effective_component_density_norm_for_chart</t>
        </is>
      </c>
      <c r="GC1" s="11" t="inlineStr">
        <is>
          <t>effective_partial_density_norm_for_chart</t>
        </is>
      </c>
      <c r="GD1" s="11" t="inlineStr">
        <is>
          <t>body_weighted_effective_density_norm_for_chart</t>
        </is>
      </c>
      <c r="GE1" s="11" t="inlineStr">
        <is>
          <t>low_mid_energy_ratio_norm_for_chart</t>
        </is>
      </c>
      <c r="GF1" s="11" t="inlineStr">
        <is>
          <t>harmonic_body_density_normalized_norm_for_chart</t>
        </is>
      </c>
      <c r="GG1" s="11" t="inlineStr">
        <is>
          <t>residual_body_contribution_capped_norm_for_chart</t>
        </is>
      </c>
      <c r="GH1" s="11" t="inlineStr">
        <is>
          <t>spectral_body_thickness_index_norm_for_chart</t>
        </is>
      </c>
      <c r="GI1" s="11" t="inlineStr">
        <is>
          <t>harmonic_occupancy_ratio_norm_for_chart</t>
        </is>
      </c>
      <c r="GJ1" s="11" t="inlineStr">
        <is>
          <t>harmonic_slot_coverage_ratio_norm_for_chart</t>
        </is>
      </c>
      <c r="GK1" s="11" t="inlineStr">
        <is>
          <t>residual_log_frequency_occupancy_norm_for_chart</t>
        </is>
      </c>
      <c r="GL1" s="11" t="inlineStr">
        <is>
          <t>core_residual_energy_ratio_norm_for_chart</t>
        </is>
      </c>
      <c r="GM1" s="11" t="inlineStr">
        <is>
          <t>residual_energy_ratio_norm_for_chart</t>
        </is>
      </c>
      <c r="GN1" s="11" t="inlineStr">
        <is>
          <t>spectral_entropy_norm_for_chart</t>
        </is>
      </c>
      <c r="GO1" s="11" t="inlineStr">
        <is>
          <t>final_note_density_count_based_norm_for_chart</t>
        </is>
      </c>
      <c r="GP1" s="11" t="inlineStr">
        <is>
          <t>richness_weighted_body_density</t>
        </is>
      </c>
      <c r="GQ1" s="11" t="inlineStr">
        <is>
          <t>density_weighted_sum_legacy_compiled_semantics</t>
        </is>
      </c>
      <c r="GR1" s="11" t="inlineStr">
        <is>
          <t>ewsd_mode</t>
        </is>
      </c>
      <c r="GS1" s="11" t="inlineStr">
        <is>
          <t>ewsd_his_ratio_source</t>
        </is>
      </c>
      <c r="GT1" s="11" t="inlineStr">
        <is>
          <t>ewsd_H_ratio</t>
        </is>
      </c>
      <c r="GU1" s="11" t="inlineStr">
        <is>
          <t>ewsd_I_ratio</t>
        </is>
      </c>
      <c r="GV1" s="11" t="inlineStr">
        <is>
          <t>ewsd_S_noise_ratio</t>
        </is>
      </c>
      <c r="GW1" s="11" t="inlineStr">
        <is>
          <t>ewsd_weight_function_canonical</t>
        </is>
      </c>
      <c r="GX1" s="11" t="inlineStr">
        <is>
          <t>ewsd_acoustic_balance_alpha</t>
        </is>
      </c>
      <c r="GY1" s="11" t="inlineStr">
        <is>
          <t>ewsd_stage3_version</t>
        </is>
      </c>
      <c r="GZ1" s="11" t="inlineStr">
        <is>
          <t>EWSD_score_total_ci_low</t>
        </is>
      </c>
      <c r="HA1" s="11" t="inlineStr">
        <is>
          <t>EWSD_score_total_ci_high</t>
        </is>
      </c>
      <c r="HB1" s="11" t="inlineStr">
        <is>
          <t>EWSD_score_total_rel_uncertainty</t>
        </is>
      </c>
      <c r="HC1" s="11" t="inlineStr">
        <is>
          <t>EWSD_score_acoustic_balanced_ci_low</t>
        </is>
      </c>
      <c r="HD1" s="11" t="inlineStr">
        <is>
          <t>EWSD_score_acoustic_balanced_ci_high</t>
        </is>
      </c>
      <c r="HE1" s="11" t="inlineStr">
        <is>
          <t>EWSD_score_acoustic_balanced_rel_uncertainty</t>
        </is>
      </c>
      <c r="HF1" s="11" t="inlineStr">
        <is>
          <t>ewsd_uncertainty_sources</t>
        </is>
      </c>
      <c r="HG1" s="11" t="inlineStr">
        <is>
          <t>ewsd_merge_status</t>
        </is>
      </c>
      <c r="HH1" s="11" t="inlineStr">
        <is>
          <t>arithmetic_validation_status</t>
        </is>
      </c>
      <c r="HI1" s="11" t="inlineStr">
        <is>
          <t>acoustic_validation_status</t>
        </is>
      </c>
    </row>
    <row r="2">
      <c r="A2" t="inlineStr">
        <is>
          <t>incomplete_inference</t>
        </is>
      </c>
      <c r="B2" t="inlineStr">
        <is>
          <t>missing_instrument_technique</t>
        </is>
      </c>
      <c r="C2" t="inlineStr">
        <is>
          <t>prior_constrained_harmonic_fit</t>
        </is>
      </c>
      <c r="D2" t="inlineStr">
        <is>
          <t>IOWA_flt_mf.B3_SustainStable/B3/component_amplitude_mass_pie.png</t>
        </is>
      </c>
      <c r="E2" t="inlineStr">
        <is>
          <t>IOWA_flt_mf.B3_SustainStable/B3/component_energy_ratio_pie.png</t>
        </is>
      </c>
      <c r="F2" s="15" t="n">
        <v>247.1740794879363</v>
      </c>
      <c r="G2" s="15" t="inlineStr">
        <is>
          <t>prior_constrained_harmonic_fit</t>
        </is>
      </c>
      <c r="H2" s="15" t="inlineStr">
        <is>
          <t>fit_accepted_acoustically_verified</t>
        </is>
      </c>
      <c r="I2" s="16" t="n">
        <v>325.0203354400017</v>
      </c>
      <c r="J2" t="inlineStr">
        <is>
          <t>richness_weighted_body_density_body_ceiling</t>
        </is>
      </c>
      <c r="K2" t="inlineStr">
        <is>
          <t>research_body_ceiling_richness_metric</t>
        </is>
      </c>
      <c r="L2" s="15" t="n">
        <v>37985.20913431203</v>
      </c>
      <c r="M2" s="15" t="n">
        <v>37985.20913431203</v>
      </c>
      <c r="N2" s="15" t="n">
        <v>166.7245096077761</v>
      </c>
      <c r="O2" s="15" t="n">
        <v>171.0886087241917</v>
      </c>
      <c r="P2" s="15" t="n">
        <v>-3.164403435859643</v>
      </c>
      <c r="Q2" s="15" t="n">
        <v>13</v>
      </c>
      <c r="R2" s="15" t="n">
        <v>57</v>
      </c>
      <c r="S2" s="15" t="n">
        <v>9496.867281050079</v>
      </c>
      <c r="T2" s="15" t="n">
        <v>81</v>
      </c>
      <c r="U2" s="15" t="n">
        <v>0.9689630166112151</v>
      </c>
      <c r="V2" s="15" t="n">
        <v>36.3346770876898</v>
      </c>
      <c r="W2" s="15" t="n">
        <v>0.9198345629787595</v>
      </c>
      <c r="X2" s="15" t="n">
        <v>0.261742091298197</v>
      </c>
      <c r="Y2" s="15" t="n">
        <v>28</v>
      </c>
      <c r="Z2" s="15" t="n">
        <v>80</v>
      </c>
      <c r="AA2" s="15" t="n">
        <v>0.35</v>
      </c>
      <c r="AB2" s="15" t="n">
        <v>80</v>
      </c>
      <c r="AC2" s="15" t="n">
        <v>28</v>
      </c>
      <c r="AD2" s="15" t="n">
        <v>0.35</v>
      </c>
      <c r="AE2" s="15" t="n">
        <v>622.8345420700025</v>
      </c>
      <c r="AF2" s="15" t="n">
        <v>28</v>
      </c>
      <c r="AG2" s="15" t="n">
        <v>80</v>
      </c>
      <c r="AH2" s="15" t="n">
        <v>0.35</v>
      </c>
      <c r="AI2" s="15" t="n">
        <v>622.8345420700025</v>
      </c>
      <c r="AJ2" s="15" t="n">
        <v>14</v>
      </c>
      <c r="AK2" s="15" t="n">
        <v>14</v>
      </c>
      <c r="AL2" s="15" t="n">
        <v>0.6716161425731308</v>
      </c>
      <c r="AM2" s="15" t="n">
        <v>62</v>
      </c>
      <c r="AN2" s="15" t="n">
        <v>0</v>
      </c>
      <c r="AO2" s="15" t="n">
        <v>62</v>
      </c>
      <c r="AP2" s="15" t="n">
        <v>0</v>
      </c>
      <c r="AQ2" s="15" t="n">
        <v>41.95104898821363</v>
      </c>
      <c r="AR2" s="15" t="n">
        <v>22.48647607095869</v>
      </c>
      <c r="AS2" s="15" t="n">
        <v>0.8109736704197371</v>
      </c>
      <c r="AT2" s="17" t="n">
        <v>2.645187558149807</v>
      </c>
      <c r="AU2" s="18" t="n">
        <v>18.49123101233097</v>
      </c>
      <c r="AV2" s="15" t="n">
        <v>20.29318484026282</v>
      </c>
      <c r="AW2" s="15" t="b">
        <v>1</v>
      </c>
      <c r="AX2" s="15" t="n">
        <v>16.49325219918358</v>
      </c>
      <c r="AY2" s="15" t="n">
        <v>31.09929449840465</v>
      </c>
      <c r="AZ2" s="15" t="n">
        <v>0</v>
      </c>
      <c r="BA2" s="15" t="n">
        <v>1</v>
      </c>
      <c r="BB2" s="15" t="n">
        <v>0.5</v>
      </c>
      <c r="BC2" s="15" t="n">
        <v>0.25</v>
      </c>
      <c r="BD2" s="15" t="inlineStr">
        <is>
          <t>his_note_adaptive</t>
        </is>
      </c>
      <c r="BE2" s="15" t="n">
        <v>-90</v>
      </c>
      <c r="BF2" s="15" t="n">
        <v>20000</v>
      </c>
      <c r="BG2" s="15" t="n">
        <v>28</v>
      </c>
      <c r="BH2" s="15" t="n">
        <v>0.35</v>
      </c>
      <c r="BI2" s="15" t="n">
        <v>80</v>
      </c>
      <c r="BJ2" s="15" t="n">
        <v>28</v>
      </c>
      <c r="BK2" s="15" t="n">
        <v>80</v>
      </c>
      <c r="BL2" s="15" t="n">
        <v>72</v>
      </c>
      <c r="BM2" s="15" t="n">
        <v>0.9</v>
      </c>
      <c r="BN2" s="15" t="n">
        <v>0.1220407173603586</v>
      </c>
      <c r="BO2" s="15" t="n">
        <v>0.5166666666666667</v>
      </c>
      <c r="BP2" s="19" t="n">
        <v>0.7782292562044544</v>
      </c>
      <c r="BQ2" s="19" t="n">
        <v>0.2217707437955457</v>
      </c>
      <c r="BR2" s="19" t="n">
        <v>0</v>
      </c>
      <c r="BS2" s="15" t="n">
        <v>0.1472336718872072</v>
      </c>
      <c r="BT2" s="19" t="n">
        <v>1</v>
      </c>
      <c r="BU2" s="19" t="n">
        <v>0</v>
      </c>
      <c r="BV2" s="19" t="n">
        <v>0</v>
      </c>
      <c r="BW2" t="inlineStr">
        <is>
          <t>B3</t>
        </is>
      </c>
      <c r="BX2" t="n">
        <v>59</v>
      </c>
      <c r="BY2" t="inlineStr">
        <is>
          <t>B</t>
        </is>
      </c>
      <c r="BZ2" t="n">
        <v>3</v>
      </c>
      <c r="CA2" t="inlineStr">
        <is>
          <t>Middle</t>
        </is>
      </c>
      <c r="CB2" t="inlineStr">
        <is>
          <t>mf</t>
        </is>
      </c>
      <c r="CC2" s="15" t="n">
        <v>246.941650628062</v>
      </c>
      <c r="CD2" s="15" t="n">
        <v>247.1740794879363</v>
      </c>
      <c r="CE2" t="inlineStr">
        <is>
          <t>prior_constrained_harmonic_fit</t>
        </is>
      </c>
      <c r="CF2" t="n">
        <v>247.1740794879363</v>
      </c>
      <c r="CG2" s="15" t="n">
        <v>1</v>
      </c>
      <c r="CH2" t="inlineStr">
        <is>
          <t>free_fit_acoustically_verified</t>
        </is>
      </c>
      <c r="CI2" s="15" t="inlineStr">
        <is>
          <t>free_f0_fit</t>
        </is>
      </c>
      <c r="CJ2" s="15" t="n">
        <v>246.941650628062</v>
      </c>
      <c r="CK2" s="15" t="n">
        <v>247.1740794879363</v>
      </c>
      <c r="CL2" s="15" t="n">
        <v>1.628722832946228</v>
      </c>
      <c r="CM2" s="15" t="n">
        <v>20000</v>
      </c>
      <c r="CN2" s="15" t="n">
        <v>1.628722832946228</v>
      </c>
      <c r="CO2" s="15" t="n">
        <v>2.386908922262766</v>
      </c>
      <c r="CP2" s="15" t="n">
        <v>37985.20913431203</v>
      </c>
      <c r="CQ2" t="n">
        <v>2.738079102659237</v>
      </c>
      <c r="CR2" t="n">
        <v>0.03422598878324046</v>
      </c>
      <c r="CS2" t="n">
        <v>118.7037785447251</v>
      </c>
      <c r="CT2" t="n">
        <v>118.7037785447251</v>
      </c>
      <c r="CU2" t="n">
        <v>325.0203354400017</v>
      </c>
      <c r="CV2" t="n">
        <v>171.0886087241917</v>
      </c>
      <c r="CW2" s="15" t="n">
        <v>37985.20913431203</v>
      </c>
      <c r="CX2" s="15" t="n">
        <v>166.7245096077761</v>
      </c>
      <c r="CY2" s="15" t="n">
        <v>171.0886087241917</v>
      </c>
      <c r="CZ2" s="15" t="n">
        <v>2.645187558149807</v>
      </c>
      <c r="DA2" s="15" t="n">
        <v>2.645187558149807</v>
      </c>
      <c r="DB2" s="15" t="n">
        <v>1.673558947803316</v>
      </c>
      <c r="DC2" s="15" t="n">
        <v>0</v>
      </c>
      <c r="DD2" s="15" t="n">
        <v>6.963730405686801e-05</v>
      </c>
      <c r="DE2" s="15" t="n">
        <v>0</v>
      </c>
      <c r="DF2" s="15" t="n">
        <v>13</v>
      </c>
      <c r="DG2" s="15" t="inlineStr">
        <is>
          <t>Density_Metrics</t>
        </is>
      </c>
      <c r="DH2" s="15" t="n">
        <v>2.386908922262766</v>
      </c>
      <c r="DI2" t="n">
        <v>0.9744444679347974</v>
      </c>
      <c r="DJ2" s="15" t="n">
        <v>0.5617198792586221</v>
      </c>
      <c r="DK2" s="15" t="n">
        <v>5.886257640430103</v>
      </c>
      <c r="DL2" s="15" t="n">
        <v>2.78695481303585</v>
      </c>
      <c r="DM2" s="15" t="n">
        <v>1.368717665253864</v>
      </c>
      <c r="DN2" s="15" t="n">
        <v>6.460534090669429</v>
      </c>
      <c r="DO2" s="15" t="n">
        <v>0.4629443174437017</v>
      </c>
      <c r="DP2" s="15" t="n">
        <v>5.5625</v>
      </c>
      <c r="DQ2" s="15" t="n">
        <v>35</v>
      </c>
      <c r="DR2" s="15" t="b">
        <v>1</v>
      </c>
      <c r="DS2" s="15" t="n">
        <v>2.738079102659237</v>
      </c>
      <c r="DT2" s="15" t="n">
        <v>20.93936730385576</v>
      </c>
      <c r="DU2" t="n">
        <v>80</v>
      </c>
      <c r="DV2" s="15" t="n">
        <v>0.1472336718872072</v>
      </c>
      <c r="DW2" s="15" t="n">
        <v>1.940128008188126</v>
      </c>
      <c r="DX2" s="15" t="n">
        <v>2.565435151195722</v>
      </c>
      <c r="DY2" s="15" t="n">
        <v>0.06993150067739541</v>
      </c>
      <c r="DZ2" s="15" t="b">
        <v>1</v>
      </c>
      <c r="EA2" s="15" t="n">
        <v>0.1163650286170909</v>
      </c>
      <c r="EB2" s="15" t="n">
        <v>20000</v>
      </c>
      <c r="EC2" s="15" t="n">
        <v>3213.263033343172</v>
      </c>
      <c r="ED2" s="15" t="n">
        <v>13</v>
      </c>
      <c r="EE2" s="15" t="n">
        <v>0</v>
      </c>
      <c r="EF2" s="15" t="n">
        <v>0.0435997796852683</v>
      </c>
      <c r="EG2" s="15" t="b">
        <v>0</v>
      </c>
      <c r="EH2" s="15" t="b">
        <v>1</v>
      </c>
      <c r="EI2" s="15" t="b">
        <v>0</v>
      </c>
      <c r="EJ2" s="15" t="inlineStr">
        <is>
          <t>wf=log|dst=-90.0|ceil=20000.0|fft=adaptive_tier</t>
        </is>
      </c>
      <c r="EK2" s="15" t="inlineStr">
        <is>
          <t>wf=log|dst=runtime_configured|ceil=runtime_configured|fft=fixed</t>
        </is>
      </c>
      <c r="EL2" s="15" t="n">
        <v>0.5716145641813299</v>
      </c>
      <c r="EM2" s="15" t="n">
        <v>0.9804778306745572</v>
      </c>
      <c r="EN2" s="15" t="n">
        <v>0.1604938271604938</v>
      </c>
      <c r="EO2" s="15" t="n">
        <v>0.3711335043580317</v>
      </c>
      <c r="EP2" s="15" t="inlineStr">
        <is>
          <t>warn:power_outlier_detected</t>
        </is>
      </c>
      <c r="EQ2" s="15" t="n">
        <v>484.8210796296796</v>
      </c>
      <c r="ER2" s="15" t="inlineStr">
        <is>
          <t>winsorize_p95_for_robust_diagnostics</t>
        </is>
      </c>
      <c r="ES2" s="15" t="n">
        <v>0.167067346327413</v>
      </c>
      <c r="ET2" s="15" t="n">
        <v>0.03258183003254825</v>
      </c>
      <c r="EU2" s="15" t="n">
        <v>0.05881191883945538</v>
      </c>
      <c r="EV2" t="inlineStr">
        <is>
          <t>computed</t>
        </is>
      </c>
      <c r="EW2" s="15" t="inlineStr">
        <is>
          <t>computed</t>
        </is>
      </c>
      <c r="EX2" s="15" t="inlineStr">
        <is>
          <t>computed</t>
        </is>
      </c>
      <c r="EY2" s="15" t="inlineStr">
        <is>
          <t>available_from_curve</t>
        </is>
      </c>
      <c r="EZ2" s="15" t="n">
        <v>20000</v>
      </c>
      <c r="FA2" s="15" t="n">
        <v>20000</v>
      </c>
      <c r="FB2" s="15" t="n">
        <v>0.2217707437955457</v>
      </c>
      <c r="FC2" s="15" t="n">
        <v>0.4948720815703075</v>
      </c>
      <c r="FD2" s="15" t="n">
        <v>2.645187558149807</v>
      </c>
      <c r="FE2" s="15" t="n">
        <v>1.673558947803316</v>
      </c>
      <c r="FF2" s="15" t="n">
        <v>1.567511134476979</v>
      </c>
      <c r="FG2" s="15" t="n">
        <v>1.957574574992219</v>
      </c>
      <c r="FH2" s="15" t="n">
        <v>0.3450066798735263</v>
      </c>
      <c r="FI2" s="15" t="n">
        <v>0.08432766739701973</v>
      </c>
      <c r="FJ2" s="15" t="n">
        <v>9496.302283578008</v>
      </c>
      <c r="FK2" s="15" t="n">
        <v>41.68112740194402</v>
      </c>
      <c r="FL2" s="15" t="n">
        <v>42.77215218104793</v>
      </c>
      <c r="FM2" s="15" t="n">
        <v>0.004381865884741473</v>
      </c>
      <c r="FN2" t="n">
        <v>1</v>
      </c>
      <c r="FO2" t="n">
        <v>0</v>
      </c>
      <c r="FP2" t="n">
        <v>0</v>
      </c>
      <c r="FQ2" t="inlineStr">
        <is>
          <t>excellent</t>
        </is>
      </c>
      <c r="FR2" s="19" t="n">
        <v>0.9</v>
      </c>
      <c r="FS2" s="15" t="n">
        <v>3.397826686744148</v>
      </c>
      <c r="FT2" s="15" t="n">
        <v>15.70314973897821</v>
      </c>
      <c r="FU2" t="inlineStr">
        <is>
          <t>passed</t>
        </is>
      </c>
      <c r="FV2" t="n">
        <v>220.3805944744097</v>
      </c>
      <c r="FW2" t="n">
        <v>23.07919380861949</v>
      </c>
      <c r="FX2" t="n">
        <v>17.97060576272509</v>
      </c>
      <c r="FY2" t="n">
        <v>0.8412077003496398</v>
      </c>
      <c r="FZ2" t="n">
        <v>0.4118423039794199</v>
      </c>
      <c r="GA2" t="n">
        <v>0.960882729720094</v>
      </c>
      <c r="GB2" t="n">
        <v>0.6122632361548896</v>
      </c>
      <c r="GC2" t="n">
        <v>0.6090050192910577</v>
      </c>
      <c r="GD2" t="n">
        <v>0.8160358250944468</v>
      </c>
      <c r="GE2" t="n">
        <v>0.9921772967903646</v>
      </c>
      <c r="GF2" t="n">
        <v>0.2848031248976672</v>
      </c>
      <c r="GG2" t="n">
        <v>0.8223649460557672</v>
      </c>
      <c r="GH2" t="n">
        <v>0.8467188009085669</v>
      </c>
      <c r="GI2" t="n">
        <v>0.1333333333333333</v>
      </c>
      <c r="GJ2" t="n">
        <v>0.9000000000000004</v>
      </c>
      <c r="GK2" t="n">
        <v>0.9375000000000002</v>
      </c>
      <c r="GL2" t="n">
        <v>0.6813253221096913</v>
      </c>
      <c r="GM2" t="n">
        <v>0.6813253221096913</v>
      </c>
      <c r="GN2" t="n">
        <v>0.8852748609674962</v>
      </c>
      <c r="GO2" t="n">
        <v>0.7958055157899223</v>
      </c>
      <c r="GP2" t="n">
        <v>325.0203354400017</v>
      </c>
      <c r="GQ2" t="inlineStr">
        <is>
          <t>compiled workbook density_weighted_sum = density_component_ratio_weighted_sum (per-note component ratios); research density_weighted_sum maps body-ceiling richness</t>
        </is>
      </c>
      <c r="GR2" s="15" t="inlineStr">
        <is>
          <t>individual_exact</t>
        </is>
      </c>
      <c r="GS2" s="15" t="inlineStr">
        <is>
          <t>density_weight</t>
        </is>
      </c>
      <c r="GT2" s="15" t="n">
        <v>0.5896750297584227</v>
      </c>
      <c r="GU2" s="15" t="n">
        <v>0.4103249702415774</v>
      </c>
      <c r="GV2" s="15" t="n">
        <v>0</v>
      </c>
      <c r="GW2" s="15" t="inlineStr">
        <is>
          <t>log</t>
        </is>
      </c>
      <c r="GX2" s="15" t="n">
        <v>0.5</v>
      </c>
      <c r="GY2" s="15" t="inlineStr">
        <is>
          <t>EWSD-R v18.1</t>
        </is>
      </c>
      <c r="GZ2" s="15" t="n">
        <v>14.51889827243441</v>
      </c>
      <c r="HA2" s="15" t="n">
        <v>31.60984318644245</v>
      </c>
      <c r="HB2" s="15" t="n">
        <v>0.238226418682102</v>
      </c>
      <c r="HC2" s="15" t="n">
        <v>17.17150613917291</v>
      </c>
      <c r="HD2" s="15" t="n">
        <v>33.93816561912479</v>
      </c>
      <c r="HE2" s="15" t="n">
        <v>0.2124819009538448</v>
      </c>
      <c r="HF2" s="15" t="inlineStr">
        <is>
          <t>partials+ratios</t>
        </is>
      </c>
      <c r="HG2" s="15" t="inlineStr">
        <is>
          <t>merged_individual_exact</t>
        </is>
      </c>
      <c r="HH2" s="15" t="inlineStr">
        <is>
          <t>passed</t>
        </is>
      </c>
      <c r="HI2" s="15" t="inlineStr">
        <is>
          <t>passed</t>
        </is>
      </c>
    </row>
    <row r="3">
      <c r="A3" t="inlineStr">
        <is>
          <t>incomplete_inference</t>
        </is>
      </c>
      <c r="B3" t="inlineStr">
        <is>
          <t>missing_instrument_technique</t>
        </is>
      </c>
      <c r="C3" t="inlineStr">
        <is>
          <t>prior_constrained_harmonic_fit</t>
        </is>
      </c>
      <c r="D3" t="inlineStr">
        <is>
          <t>IOWA_flt_mf.C4_SustainStable/C4/component_amplitude_mass_pie.png</t>
        </is>
      </c>
      <c r="E3" t="inlineStr">
        <is>
          <t>IOWA_flt_mf.C4_SustainStable/C4/component_energy_ratio_pie.png</t>
        </is>
      </c>
      <c r="F3" s="15" t="n">
        <v>261.4995198685824</v>
      </c>
      <c r="G3" s="15" t="inlineStr">
        <is>
          <t>prior_constrained_harmonic_fit</t>
        </is>
      </c>
      <c r="H3" s="15" t="inlineStr">
        <is>
          <t>fit_accepted_acoustically_verified</t>
        </is>
      </c>
      <c r="I3" s="16" t="n">
        <v>467.5001640844405</v>
      </c>
      <c r="J3" t="inlineStr">
        <is>
          <t>richness_weighted_body_density_body_ceiling</t>
        </is>
      </c>
      <c r="K3" t="inlineStr">
        <is>
          <t>research_body_ceiling_richness_metric</t>
        </is>
      </c>
      <c r="L3" s="15" t="n">
        <v>38046.73791877415</v>
      </c>
      <c r="M3" s="15" t="n">
        <v>38046.73791877415</v>
      </c>
      <c r="N3" s="15" t="n">
        <v>196.8101835745007</v>
      </c>
      <c r="O3" s="15" t="n">
        <v>100.303672054619</v>
      </c>
      <c r="P3" s="15" t="n">
        <v>-2.532499976292248</v>
      </c>
      <c r="Q3" s="15" t="n">
        <v>19</v>
      </c>
      <c r="R3" s="15" t="n">
        <v>63</v>
      </c>
      <c r="S3" s="15" t="n">
        <v>9511.873944493376</v>
      </c>
      <c r="T3" s="15" t="n">
        <v>77</v>
      </c>
      <c r="U3" s="15" t="n">
        <v>1.337642721496353</v>
      </c>
      <c r="V3" s="15" t="n">
        <v>42.55503990397145</v>
      </c>
      <c r="W3" s="15" t="n">
        <v>0.8326845842977757</v>
      </c>
      <c r="X3" s="15" t="n">
        <v>0.3540749789582759</v>
      </c>
      <c r="Y3" s="15" t="n">
        <v>43</v>
      </c>
      <c r="Z3" s="15" t="n">
        <v>76</v>
      </c>
      <c r="AA3" s="15" t="n">
        <v>0.5657894736842105</v>
      </c>
      <c r="AB3" s="15" t="n">
        <v>76</v>
      </c>
      <c r="AC3" s="15" t="n">
        <v>43</v>
      </c>
      <c r="AD3" s="15" t="n">
        <v>0.5657894736842105</v>
      </c>
      <c r="AE3" s="15" t="n">
        <v>717.7474183152384</v>
      </c>
      <c r="AF3" s="15" t="n">
        <v>43</v>
      </c>
      <c r="AG3" s="15" t="n">
        <v>76</v>
      </c>
      <c r="AH3" s="15" t="n">
        <v>0.5657894736842105</v>
      </c>
      <c r="AI3" s="15" t="n">
        <v>717.7474183152384</v>
      </c>
      <c r="AJ3" s="15" t="n">
        <v>22</v>
      </c>
      <c r="AK3" s="15" t="n">
        <v>21</v>
      </c>
      <c r="AL3" s="15" t="n">
        <v>1.193347703982794</v>
      </c>
      <c r="AM3" s="15" t="n">
        <v>65</v>
      </c>
      <c r="AN3" s="15" t="n">
        <v>0</v>
      </c>
      <c r="AO3" s="15" t="n">
        <v>65</v>
      </c>
      <c r="AP3" s="15" t="n">
        <v>0</v>
      </c>
      <c r="AQ3" s="15" t="n">
        <v>49.66776927814645</v>
      </c>
      <c r="AR3" s="15" t="n">
        <v>26.33424576061304</v>
      </c>
      <c r="AS3" s="15" t="n">
        <v>1</v>
      </c>
      <c r="AT3" s="17" t="n">
        <v>2.70708766946932</v>
      </c>
      <c r="AU3" s="18" t="n">
        <v>22.43281398452201</v>
      </c>
      <c r="AV3" s="15" t="n">
        <v>26.02866044902019</v>
      </c>
      <c r="AW3" s="15" t="b">
        <v>1</v>
      </c>
      <c r="AX3" s="15" t="n">
        <v>24.00716686180695</v>
      </c>
      <c r="AY3" s="15" t="n">
        <v>31.6852573352622</v>
      </c>
      <c r="AZ3" s="15" t="n">
        <v>0</v>
      </c>
      <c r="BA3" s="15" t="n">
        <v>1</v>
      </c>
      <c r="BB3" s="15" t="n">
        <v>0.5</v>
      </c>
      <c r="BC3" s="15" t="n">
        <v>0.25</v>
      </c>
      <c r="BD3" s="15" t="inlineStr">
        <is>
          <t>his_note_adaptive</t>
        </is>
      </c>
      <c r="BE3" s="15" t="n">
        <v>-90</v>
      </c>
      <c r="BF3" s="15" t="n">
        <v>20000</v>
      </c>
      <c r="BG3" s="15" t="n">
        <v>43</v>
      </c>
      <c r="BH3" s="15" t="n">
        <v>0.5657894736842105</v>
      </c>
      <c r="BI3" s="15" t="n">
        <v>76</v>
      </c>
      <c r="BJ3" s="15" t="n">
        <v>43</v>
      </c>
      <c r="BK3" s="15" t="n">
        <v>76</v>
      </c>
      <c r="BL3" s="15" t="n">
        <v>66</v>
      </c>
      <c r="BM3" s="15" t="n">
        <v>0.868421052631579</v>
      </c>
      <c r="BN3" s="15" t="n">
        <v>0.1910238751637294</v>
      </c>
      <c r="BO3" s="15" t="n">
        <v>0.5416666666666666</v>
      </c>
      <c r="BP3" s="19" t="n">
        <v>0.7839497678447269</v>
      </c>
      <c r="BQ3" s="19" t="n">
        <v>0.2160502321552731</v>
      </c>
      <c r="BR3" s="19" t="n">
        <v>0</v>
      </c>
      <c r="BS3" s="15" t="n">
        <v>0.1492789638880093</v>
      </c>
      <c r="BT3" s="19" t="n">
        <v>1</v>
      </c>
      <c r="BU3" s="19" t="n">
        <v>0</v>
      </c>
      <c r="BV3" s="19" t="n">
        <v>0</v>
      </c>
      <c r="BW3" t="inlineStr">
        <is>
          <t>C4</t>
        </is>
      </c>
      <c r="BX3" t="n">
        <v>60</v>
      </c>
      <c r="BY3" t="inlineStr">
        <is>
          <t>C</t>
        </is>
      </c>
      <c r="BZ3" t="n">
        <v>4</v>
      </c>
      <c r="CA3" t="inlineStr">
        <is>
          <t>High</t>
        </is>
      </c>
      <c r="CB3" t="inlineStr">
        <is>
          <t>mf</t>
        </is>
      </c>
      <c r="CC3" s="15" t="n">
        <v>261.6255653005986</v>
      </c>
      <c r="CD3" s="15" t="n">
        <v>261.4995198685824</v>
      </c>
      <c r="CE3" t="inlineStr">
        <is>
          <t>prior_constrained_harmonic_fit</t>
        </is>
      </c>
      <c r="CF3" t="n">
        <v>261.4995198685824</v>
      </c>
      <c r="CG3" s="15" t="n">
        <v>1</v>
      </c>
      <c r="CH3" t="inlineStr">
        <is>
          <t>free_fit_acoustically_verified</t>
        </is>
      </c>
      <c r="CI3" s="15" t="inlineStr">
        <is>
          <t>free_f0_fit</t>
        </is>
      </c>
      <c r="CJ3" s="15" t="n">
        <v>261.6255653005986</v>
      </c>
      <c r="CK3" s="15" t="n">
        <v>261.4995198685824</v>
      </c>
      <c r="CL3" s="15" t="n">
        <v>-0.8342713972058434</v>
      </c>
      <c r="CM3" s="15" t="n">
        <v>20000</v>
      </c>
      <c r="CN3" s="15" t="n">
        <v>-0.8342713972058434</v>
      </c>
      <c r="CO3" s="15" t="n">
        <v>2.449507386830873</v>
      </c>
      <c r="CP3" s="15" t="n">
        <v>38046.73791877415</v>
      </c>
      <c r="CQ3" t="n">
        <v>3.735406966691377</v>
      </c>
      <c r="CR3" t="n">
        <v>0.0491500916669918</v>
      </c>
      <c r="CS3" t="n">
        <v>125.1537431538623</v>
      </c>
      <c r="CT3" t="n">
        <v>125.1537431538623</v>
      </c>
      <c r="CU3" t="n">
        <v>467.5001640844405</v>
      </c>
      <c r="CV3" t="n">
        <v>100.303672054619</v>
      </c>
      <c r="CW3" s="15" t="n">
        <v>38046.73791877415</v>
      </c>
      <c r="CX3" s="15" t="n">
        <v>196.8101835745007</v>
      </c>
      <c r="CY3" s="15" t="n">
        <v>100.303672054619</v>
      </c>
      <c r="CZ3" s="15" t="n">
        <v>2.70708766946932</v>
      </c>
      <c r="DA3" s="15" t="n">
        <v>2.70708766946932</v>
      </c>
      <c r="DB3" s="15" t="n">
        <v>1.781614751258453</v>
      </c>
      <c r="DC3" s="15" t="n">
        <v>0</v>
      </c>
      <c r="DD3" s="15" t="n">
        <v>7.115163658047828e-05</v>
      </c>
      <c r="DE3" s="15" t="n">
        <v>0</v>
      </c>
      <c r="DF3" s="15" t="n">
        <v>19</v>
      </c>
      <c r="DG3" s="15" t="inlineStr">
        <is>
          <t>Density_Metrics</t>
        </is>
      </c>
      <c r="DH3" s="15" t="n">
        <v>2.449507386830873</v>
      </c>
      <c r="DI3" t="n">
        <v>1</v>
      </c>
      <c r="DJ3" s="15" t="n">
        <v>0.569032856846003</v>
      </c>
      <c r="DK3" s="15" t="n">
        <v>5.954225654415668</v>
      </c>
      <c r="DL3" s="15" t="n">
        <v>3.793934545896793</v>
      </c>
      <c r="DM3" s="15" t="n">
        <v>1.785103763087447</v>
      </c>
      <c r="DN3" s="15" t="n">
        <v>7.512550527129132</v>
      </c>
      <c r="DO3" s="15" t="n">
        <v>0.3808937739301669</v>
      </c>
      <c r="DP3" s="15" t="n">
        <v>7.8125</v>
      </c>
      <c r="DQ3" s="15" t="n">
        <v>47</v>
      </c>
      <c r="DR3" s="15" t="b">
        <v>1</v>
      </c>
      <c r="DS3" s="15" t="n">
        <v>3.735406966691377</v>
      </c>
      <c r="DT3" s="15" t="n">
        <v>26.90969840082897</v>
      </c>
      <c r="DU3" t="n">
        <v>76</v>
      </c>
      <c r="DV3" s="15" t="n">
        <v>0.1492789638880093</v>
      </c>
      <c r="DW3" s="15" t="n">
        <v>2.069555378648851</v>
      </c>
      <c r="DX3" s="15" t="n">
        <v>2.632962982699787</v>
      </c>
      <c r="DY3" s="15" t="n">
        <v>0.05772985680093697</v>
      </c>
      <c r="DZ3" s="15" t="b">
        <v>1</v>
      </c>
      <c r="EA3" s="15" t="n">
        <v>0.1721327846801415</v>
      </c>
      <c r="EB3" s="15" t="n">
        <v>20000</v>
      </c>
      <c r="EC3" s="15" t="n">
        <v>4968.490877503064</v>
      </c>
      <c r="ED3" s="15" t="n">
        <v>19</v>
      </c>
      <c r="EE3" s="15" t="n">
        <v>0</v>
      </c>
      <c r="EF3" s="15" t="n">
        <v>0.04115271208350588</v>
      </c>
      <c r="EG3" s="15" t="b">
        <v>0</v>
      </c>
      <c r="EH3" s="15" t="b">
        <v>1</v>
      </c>
      <c r="EI3" s="15" t="b">
        <v>0</v>
      </c>
      <c r="EJ3" s="15" t="inlineStr">
        <is>
          <t>wf=log|dst=-90.0|ceil=20000.0|fft=adaptive_tier</t>
        </is>
      </c>
      <c r="EK3" s="15" t="inlineStr">
        <is>
          <t>wf=log|dst=runtime_configured|ceil=runtime_configured|fft=fixed</t>
        </is>
      </c>
      <c r="EL3" s="15" t="n">
        <v>0.6088512185519634</v>
      </c>
      <c r="EM3" s="15" t="n">
        <v>0.9852981967973587</v>
      </c>
      <c r="EN3" s="15" t="n">
        <v>0.2467532467532468</v>
      </c>
      <c r="EO3" s="15" t="n">
        <v>0.3955169681475781</v>
      </c>
      <c r="EP3" s="15" t="inlineStr">
        <is>
          <t>warn:power_outlier_detected</t>
        </is>
      </c>
      <c r="EQ3" s="15" t="n">
        <v>327.5487725133626</v>
      </c>
      <c r="ER3" s="15" t="inlineStr">
        <is>
          <t>winsorize_p95_for_robust_diagnostics</t>
        </is>
      </c>
      <c r="ES3" s="15" t="n">
        <v>0.1479474530279254</v>
      </c>
      <c r="ET3" s="15" t="n">
        <v>0.04236295597648955</v>
      </c>
      <c r="EU3" s="15" t="n">
        <v>0.06429947418091059</v>
      </c>
      <c r="EV3" t="inlineStr">
        <is>
          <t>computed</t>
        </is>
      </c>
      <c r="EW3" s="15" t="inlineStr">
        <is>
          <t>computed</t>
        </is>
      </c>
      <c r="EX3" s="15" t="inlineStr">
        <is>
          <t>computed</t>
        </is>
      </c>
      <c r="EY3" s="15" t="inlineStr">
        <is>
          <t>available_from_curve</t>
        </is>
      </c>
      <c r="EZ3" s="15" t="n">
        <v>20000</v>
      </c>
      <c r="FA3" s="15" t="n">
        <v>20000</v>
      </c>
      <c r="FB3" s="15" t="n">
        <v>0.2160502321552731</v>
      </c>
      <c r="FC3" s="15" t="n">
        <v>0.5372279939181692</v>
      </c>
      <c r="FD3" s="15" t="n">
        <v>2.70708766946932</v>
      </c>
      <c r="FE3" s="15" t="n">
        <v>1.781614751258453</v>
      </c>
      <c r="FF3" s="15" t="n">
        <v>1.465523233687894</v>
      </c>
      <c r="FG3" s="15" t="n">
        <v>2.003383834806304</v>
      </c>
      <c r="FH3" s="15" t="n">
        <v>0.3672825453517375</v>
      </c>
      <c r="FI3" s="15" t="n">
        <v>0.0788410066728317</v>
      </c>
      <c r="FJ3" s="15" t="n">
        <v>9511.684479693537</v>
      </c>
      <c r="FK3" s="15" t="n">
        <v>49.20254589362519</v>
      </c>
      <c r="FL3" s="15" t="n">
        <v>25.07591801365474</v>
      </c>
      <c r="FM3" s="15" t="n">
        <v>0.004411150530283734</v>
      </c>
      <c r="FN3" t="n">
        <v>1</v>
      </c>
      <c r="FO3" t="n">
        <v>0</v>
      </c>
      <c r="FP3" t="n">
        <v>0</v>
      </c>
      <c r="FQ3" t="inlineStr">
        <is>
          <t>excellent</t>
        </is>
      </c>
      <c r="FR3" s="19" t="n">
        <v>0.868421052631579</v>
      </c>
      <c r="FS3" s="15" t="n">
        <v>1.228998182443001</v>
      </c>
      <c r="FT3" s="15" t="n">
        <v>11.82875026950063</v>
      </c>
      <c r="FU3" t="inlineStr">
        <is>
          <t>passed</t>
        </is>
      </c>
      <c r="FV3" t="n">
        <v>254.2168491157894</v>
      </c>
      <c r="FW3" t="n">
        <v>29.74020671634883</v>
      </c>
      <c r="FX3" t="n">
        <v>14.10472009678407</v>
      </c>
      <c r="FY3" t="n">
        <v>1</v>
      </c>
      <c r="FZ3" t="n">
        <v>0.6204372138140055</v>
      </c>
      <c r="GA3" t="n">
        <v>1</v>
      </c>
      <c r="GB3" t="n">
        <v>0.9618255243434605</v>
      </c>
      <c r="GC3" t="n">
        <v>0.9602443192928113</v>
      </c>
      <c r="GD3" t="n">
        <v>1</v>
      </c>
      <c r="GE3" t="n">
        <v>0.8940939614821444</v>
      </c>
      <c r="GF3" t="n">
        <v>0.5827968971512254</v>
      </c>
      <c r="GG3" t="n">
        <v>0.837277882536159</v>
      </c>
      <c r="GH3" t="n">
        <v>0.9837194804126509</v>
      </c>
      <c r="GI3" t="n">
        <v>0.4210526315789473</v>
      </c>
      <c r="GJ3" t="n">
        <v>0.710526315789474</v>
      </c>
      <c r="GK3" t="n">
        <v>1</v>
      </c>
      <c r="GL3" t="n">
        <v>0.6292478802327753</v>
      </c>
      <c r="GM3" t="n">
        <v>0.6292478802327753</v>
      </c>
      <c r="GN3" t="n">
        <v>0.9675735346323738</v>
      </c>
      <c r="GO3" t="n">
        <v>1</v>
      </c>
      <c r="GP3" t="n">
        <v>467.5001640844405</v>
      </c>
      <c r="GQ3" t="inlineStr">
        <is>
          <t>compiled workbook density_weighted_sum = density_component_ratio_weighted_sum (per-note component ratios); research density_weighted_sum maps body-ceiling richness</t>
        </is>
      </c>
      <c r="GR3" s="15" t="inlineStr">
        <is>
          <t>individual_exact</t>
        </is>
      </c>
      <c r="GS3" s="15" t="inlineStr">
        <is>
          <t>density_weight</t>
        </is>
      </c>
      <c r="GT3" s="15" t="n">
        <v>0.6969195782660703</v>
      </c>
      <c r="GU3" s="15" t="n">
        <v>0.3030804217339297</v>
      </c>
      <c r="GV3" s="15" t="n">
        <v>0</v>
      </c>
      <c r="GW3" s="15" t="inlineStr">
        <is>
          <t>log</t>
        </is>
      </c>
      <c r="GX3" s="15" t="n">
        <v>0.5</v>
      </c>
      <c r="GY3" s="15" t="inlineStr">
        <is>
          <t>EWSD-R v18.1</t>
        </is>
      </c>
      <c r="GZ3" s="15" t="n">
        <v>15.19029795791642</v>
      </c>
      <c r="HA3" s="15" t="n">
        <v>37.46617406678321</v>
      </c>
      <c r="HB3" s="15" t="n">
        <v>0.2647187913428834</v>
      </c>
      <c r="HC3" s="15" t="n">
        <v>19.76166784143823</v>
      </c>
      <c r="HD3" s="15" t="n">
        <v>41.94953336501692</v>
      </c>
      <c r="HE3" s="15" t="n">
        <v>0.2278084853062031</v>
      </c>
      <c r="HF3" s="15" t="inlineStr">
        <is>
          <t>partials+ratios</t>
        </is>
      </c>
      <c r="HG3" s="15" t="inlineStr">
        <is>
          <t>merged_individual_exact</t>
        </is>
      </c>
      <c r="HH3" s="15" t="inlineStr">
        <is>
          <t>passed</t>
        </is>
      </c>
      <c r="HI3" s="15" t="inlineStr">
        <is>
          <t>passed</t>
        </is>
      </c>
    </row>
    <row r="4">
      <c r="A4" t="inlineStr">
        <is>
          <t>incomplete_inference</t>
        </is>
      </c>
      <c r="B4" t="inlineStr">
        <is>
          <t>missing_instrument_technique</t>
        </is>
      </c>
      <c r="C4" t="inlineStr">
        <is>
          <t>prior_constrained_harmonic_fit</t>
        </is>
      </c>
      <c r="D4" t="inlineStr">
        <is>
          <t>IOWA_flt_mf.C#4_SustainStable/C#4/component_amplitude_mass_pie.png</t>
        </is>
      </c>
      <c r="E4" t="inlineStr">
        <is>
          <t>IOWA_flt_mf.C#4_SustainStable/C#4/component_energy_ratio_pie.png</t>
        </is>
      </c>
      <c r="F4" s="15" t="n">
        <v>276.8911355062369</v>
      </c>
      <c r="G4" s="15" t="inlineStr">
        <is>
          <t>prior_constrained_harmonic_fit</t>
        </is>
      </c>
      <c r="H4" s="15" t="inlineStr">
        <is>
          <t>fit_accepted_acoustically_verified</t>
        </is>
      </c>
      <c r="I4" s="16" t="n">
        <v>479.1179910771286</v>
      </c>
      <c r="J4" t="inlineStr">
        <is>
          <t>richness_weighted_body_density_body_ceiling</t>
        </is>
      </c>
      <c r="K4" t="inlineStr">
        <is>
          <t>research_body_ceiling_richness_metric</t>
        </is>
      </c>
      <c r="L4" s="15" t="n">
        <v>35856.42749249731</v>
      </c>
      <c r="M4" s="15" t="n">
        <v>35856.42749249731</v>
      </c>
      <c r="N4" s="15" t="n">
        <v>179.4380204995205</v>
      </c>
      <c r="O4" s="15" t="n">
        <v>78.90459839673164</v>
      </c>
      <c r="P4" s="15" t="n">
        <v>-3.0760411225697</v>
      </c>
      <c r="Q4" s="15" t="n">
        <v>17</v>
      </c>
      <c r="R4" s="15" t="n">
        <v>62</v>
      </c>
      <c r="S4" s="15" t="n">
        <v>8964.33267157945</v>
      </c>
      <c r="T4" s="15" t="n">
        <v>73</v>
      </c>
      <c r="U4" s="15" t="n">
        <v>1.381454892199212</v>
      </c>
      <c r="V4" s="15" t="n">
        <v>41.36881373963837</v>
      </c>
      <c r="W4" s="15" t="n">
        <v>0.9070512395594728</v>
      </c>
      <c r="X4" s="15" t="n">
        <v>0.3550546923528409</v>
      </c>
      <c r="Y4" s="15" t="n">
        <v>29</v>
      </c>
      <c r="Z4" s="15" t="n">
        <v>72</v>
      </c>
      <c r="AA4" s="15" t="n">
        <v>0.4027777777777778</v>
      </c>
      <c r="AB4" s="15" t="n">
        <v>72</v>
      </c>
      <c r="AC4" s="15" t="n">
        <v>29</v>
      </c>
      <c r="AD4" s="15" t="n">
        <v>0.4027777777777778</v>
      </c>
      <c r="AE4" s="15" t="n">
        <v>663.1034010960201</v>
      </c>
      <c r="AF4" s="15" t="n">
        <v>29</v>
      </c>
      <c r="AG4" s="15" t="n">
        <v>72</v>
      </c>
      <c r="AH4" s="15" t="n">
        <v>0.4027777777777778</v>
      </c>
      <c r="AI4" s="15" t="n">
        <v>663.1034010960201</v>
      </c>
      <c r="AJ4" s="15" t="n">
        <v>16</v>
      </c>
      <c r="AK4" s="15" t="n">
        <v>13</v>
      </c>
      <c r="AL4" s="15" t="n">
        <v>1.165743218181884</v>
      </c>
      <c r="AM4" s="15" t="n">
        <v>62</v>
      </c>
      <c r="AN4" s="15" t="n">
        <v>0</v>
      </c>
      <c r="AO4" s="15" t="n">
        <v>62</v>
      </c>
      <c r="AP4" s="15" t="n">
        <v>0</v>
      </c>
      <c r="AQ4" s="15" t="n">
        <v>40.80860257799546</v>
      </c>
      <c r="AR4" s="15" t="n">
        <v>22.16938033275376</v>
      </c>
      <c r="AS4" s="15" t="n">
        <v>0.7953959596020695</v>
      </c>
      <c r="AT4" s="17" t="n">
        <v>2.675818022925605</v>
      </c>
      <c r="AU4" s="18" t="n">
        <v>18.63056944642081</v>
      </c>
      <c r="AV4" s="15" t="n">
        <v>21.84593696880262</v>
      </c>
      <c r="AW4" s="15" t="b">
        <v>1</v>
      </c>
      <c r="AX4" s="15" t="n">
        <v>17.45360566911702</v>
      </c>
      <c r="AY4" s="15" t="n">
        <v>30.63218144657617</v>
      </c>
      <c r="AZ4" s="15" t="n">
        <v>0</v>
      </c>
      <c r="BA4" s="15" t="n">
        <v>1</v>
      </c>
      <c r="BB4" s="15" t="n">
        <v>0.5</v>
      </c>
      <c r="BC4" s="15" t="n">
        <v>0.25</v>
      </c>
      <c r="BD4" s="15" t="inlineStr">
        <is>
          <t>his_note_adaptive</t>
        </is>
      </c>
      <c r="BE4" s="15" t="n">
        <v>-90</v>
      </c>
      <c r="BF4" s="15" t="n">
        <v>20000</v>
      </c>
      <c r="BG4" s="15" t="n">
        <v>29</v>
      </c>
      <c r="BH4" s="15" t="n">
        <v>0.4027777777777778</v>
      </c>
      <c r="BI4" s="15" t="n">
        <v>72</v>
      </c>
      <c r="BJ4" s="15" t="n">
        <v>29</v>
      </c>
      <c r="BK4" s="15" t="n">
        <v>72</v>
      </c>
      <c r="BL4" s="15" t="n">
        <v>64</v>
      </c>
      <c r="BM4" s="15" t="n">
        <v>0.8888888888888888</v>
      </c>
      <c r="BN4" s="15" t="n">
        <v>0.209994340529722</v>
      </c>
      <c r="BO4" s="15" t="n">
        <v>0.5166666666666667</v>
      </c>
      <c r="BP4" s="19" t="n">
        <v>0.7865922696710381</v>
      </c>
      <c r="BQ4" s="19" t="n">
        <v>0.2134077303289618</v>
      </c>
      <c r="BR4" s="19" t="n">
        <v>0</v>
      </c>
      <c r="BS4" s="15" t="n">
        <v>0.1401751134880538</v>
      </c>
      <c r="BT4" s="19" t="n">
        <v>1</v>
      </c>
      <c r="BU4" s="19" t="n">
        <v>0</v>
      </c>
      <c r="BV4" s="19" t="n">
        <v>0</v>
      </c>
      <c r="BW4" t="inlineStr">
        <is>
          <t>C#4</t>
        </is>
      </c>
      <c r="BX4" t="n">
        <v>61</v>
      </c>
      <c r="BY4" t="inlineStr">
        <is>
          <t>C#</t>
        </is>
      </c>
      <c r="BZ4" t="n">
        <v>4</v>
      </c>
      <c r="CA4" t="inlineStr">
        <is>
          <t>High</t>
        </is>
      </c>
      <c r="CB4" t="inlineStr">
        <is>
          <t>mf</t>
        </is>
      </c>
      <c r="CC4" s="15" t="n">
        <v>277.182630976872</v>
      </c>
      <c r="CD4" s="15" t="n">
        <v>276.8911355062369</v>
      </c>
      <c r="CE4" t="inlineStr">
        <is>
          <t>prior_constrained_harmonic_fit</t>
        </is>
      </c>
      <c r="CF4" t="n">
        <v>276.8911355062369</v>
      </c>
      <c r="CG4" s="15" t="n">
        <v>1</v>
      </c>
      <c r="CH4" t="inlineStr">
        <is>
          <t>free_fit_acoustically_verified</t>
        </is>
      </c>
      <c r="CI4" s="15" t="inlineStr">
        <is>
          <t>free_f0_fit</t>
        </is>
      </c>
      <c r="CJ4" s="15" t="n">
        <v>277.182630976872</v>
      </c>
      <c r="CK4" s="15" t="n">
        <v>276.8911355062369</v>
      </c>
      <c r="CL4" s="15" t="n">
        <v>-1.821587524973183</v>
      </c>
      <c r="CM4" s="15" t="n">
        <v>20000</v>
      </c>
      <c r="CN4" s="15" t="n">
        <v>-1.821587524973183</v>
      </c>
      <c r="CO4" s="15" t="n">
        <v>2.414498432122995</v>
      </c>
      <c r="CP4" s="15" t="n">
        <v>35856.42749249731</v>
      </c>
      <c r="CQ4" t="n">
        <v>3.848291396544888</v>
      </c>
      <c r="CR4" t="n">
        <v>0.053448491618679</v>
      </c>
      <c r="CS4" t="n">
        <v>124.501484348949</v>
      </c>
      <c r="CT4" t="n">
        <v>124.501484348949</v>
      </c>
      <c r="CU4" t="n">
        <v>479.1179910771286</v>
      </c>
      <c r="CV4" t="n">
        <v>78.90459839673164</v>
      </c>
      <c r="CW4" s="15" t="n">
        <v>35856.42749249731</v>
      </c>
      <c r="CX4" s="15" t="n">
        <v>179.4380204995205</v>
      </c>
      <c r="CY4" s="15" t="n">
        <v>78.90459839673164</v>
      </c>
      <c r="CZ4" s="15" t="n">
        <v>2.675818022925605</v>
      </c>
      <c r="DA4" s="15" t="n">
        <v>2.675818022925605</v>
      </c>
      <c r="DB4" s="15" t="n">
        <v>1.739229792434843</v>
      </c>
      <c r="DC4" s="15" t="n">
        <v>0</v>
      </c>
      <c r="DD4" s="15" t="n">
        <v>7.462589583096365e-05</v>
      </c>
      <c r="DE4" s="15" t="n">
        <v>0</v>
      </c>
      <c r="DF4" s="15" t="n">
        <v>17</v>
      </c>
      <c r="DG4" s="15" t="inlineStr">
        <is>
          <t>Density_Metrics</t>
        </is>
      </c>
      <c r="DH4" s="15" t="n">
        <v>2.414498432122995</v>
      </c>
      <c r="DI4" t="n">
        <v>0.9857077570387849</v>
      </c>
      <c r="DJ4" s="15" t="n">
        <v>0.5653540028241112</v>
      </c>
      <c r="DK4" s="15" t="n">
        <v>5.822387908002923</v>
      </c>
      <c r="DL4" s="15" t="n">
        <v>3.903903282793239</v>
      </c>
      <c r="DM4" s="15" t="n">
        <v>1.750179799740015</v>
      </c>
      <c r="DN4" s="15" t="n">
        <v>7.583592217365157</v>
      </c>
      <c r="DO4" s="15" t="n">
        <v>0.3858018314973387</v>
      </c>
      <c r="DP4" s="15" t="n">
        <v>7.9375</v>
      </c>
      <c r="DQ4" s="15" t="n">
        <v>43</v>
      </c>
      <c r="DR4" s="15" t="b">
        <v>1</v>
      </c>
      <c r="DS4" s="15" t="n">
        <v>3.848291396544888</v>
      </c>
      <c r="DT4" s="15" t="n">
        <v>25.56393784940454</v>
      </c>
      <c r="DU4" t="n">
        <v>72</v>
      </c>
      <c r="DV4" s="15" t="n">
        <v>0.1401751134880538</v>
      </c>
      <c r="DW4" s="15" t="n">
        <v>1.965143786659799</v>
      </c>
      <c r="DX4" s="15" t="n">
        <v>2.582795684439811</v>
      </c>
      <c r="DY4" s="15" t="n">
        <v>0.06561226914239413</v>
      </c>
      <c r="DZ4" s="15" t="b">
        <v>1</v>
      </c>
      <c r="EA4" s="15" t="n">
        <v>0.08740956715794448</v>
      </c>
      <c r="EB4" s="15" t="n">
        <v>20000</v>
      </c>
      <c r="EC4" s="15" t="n">
        <v>4707.149303606028</v>
      </c>
      <c r="ED4" s="15" t="n">
        <v>17</v>
      </c>
      <c r="EE4" s="15" t="n">
        <v>0</v>
      </c>
      <c r="EF4" s="15" t="n">
        <v>0.03884298783280674</v>
      </c>
      <c r="EG4" s="15" t="b">
        <v>0</v>
      </c>
      <c r="EH4" s="15" t="b">
        <v>1</v>
      </c>
      <c r="EI4" s="15" t="b">
        <v>0</v>
      </c>
      <c r="EJ4" s="15" t="inlineStr">
        <is>
          <t>wf=log|dst=-90.0|ceil=20000.0|fft=adaptive_tier</t>
        </is>
      </c>
      <c r="EK4" s="15" t="inlineStr">
        <is>
          <t>wf=log|dst=runtime_configured|ceil=runtime_configured|fft=fixed</t>
        </is>
      </c>
      <c r="EL4" s="15" t="n">
        <v>0.6050074289081347</v>
      </c>
      <c r="EM4" s="15" t="n">
        <v>0.9871842250793796</v>
      </c>
      <c r="EN4" s="15" t="n">
        <v>0.2328767123287671</v>
      </c>
      <c r="EO4" s="15" t="n">
        <v>0.396338391536727</v>
      </c>
      <c r="EP4" s="15" t="inlineStr">
        <is>
          <t>warn:power_outlier_detected</t>
        </is>
      </c>
      <c r="EQ4" s="15" t="n">
        <v>323.5004916915833</v>
      </c>
      <c r="ER4" s="15" t="inlineStr">
        <is>
          <t>winsorize_p95_for_robust_diagnostics</t>
        </is>
      </c>
      <c r="ES4" s="15" t="n">
        <v>0.151262489666473</v>
      </c>
      <c r="ET4" s="15" t="n">
        <v>0.0405638143509498</v>
      </c>
      <c r="EU4" s="15" t="n">
        <v>0.05768034057848903</v>
      </c>
      <c r="EV4" t="inlineStr">
        <is>
          <t>computed</t>
        </is>
      </c>
      <c r="EW4" s="15" t="inlineStr">
        <is>
          <t>computed</t>
        </is>
      </c>
      <c r="EX4" s="15" t="inlineStr">
        <is>
          <t>computed</t>
        </is>
      </c>
      <c r="EY4" s="15" t="inlineStr">
        <is>
          <t>available_from_curve</t>
        </is>
      </c>
      <c r="EZ4" s="15" t="n">
        <v>20000</v>
      </c>
      <c r="FA4" s="15" t="n">
        <v>20000</v>
      </c>
      <c r="FB4" s="15" t="n">
        <v>0.2134077303289618</v>
      </c>
      <c r="FC4" s="15" t="n">
        <v>0.55391662890705</v>
      </c>
      <c r="FD4" s="15" t="n">
        <v>2.675818022925605</v>
      </c>
      <c r="FE4" s="15" t="n">
        <v>1.739229792434843</v>
      </c>
      <c r="FF4" s="15" t="n">
        <v>1.407340092642474</v>
      </c>
      <c r="FG4" s="15" t="n">
        <v>1.98024269123999</v>
      </c>
      <c r="FH4" s="15" t="n">
        <v>0.3585448227041402</v>
      </c>
      <c r="FI4" s="15" t="n">
        <v>0.07571091817886441</v>
      </c>
      <c r="FJ4" s="15" t="n">
        <v>8964.106873124329</v>
      </c>
      <c r="FK4" s="15" t="n">
        <v>44.85950512488012</v>
      </c>
      <c r="FL4" s="15" t="n">
        <v>19.72614959918291</v>
      </c>
      <c r="FM4" s="15" t="n">
        <v>0.004158984060007233</v>
      </c>
      <c r="FN4" t="n">
        <v>1</v>
      </c>
      <c r="FO4" t="n">
        <v>0</v>
      </c>
      <c r="FP4" t="n">
        <v>0</v>
      </c>
      <c r="FQ4" t="inlineStr">
        <is>
          <t>excellent</t>
        </is>
      </c>
      <c r="FR4" s="19" t="n">
        <v>0.8888888888888888</v>
      </c>
      <c r="FS4" s="15" t="n">
        <v>3.055967003037989</v>
      </c>
      <c r="FT4" s="15" t="n">
        <v>15.2036596148959</v>
      </c>
      <c r="FU4" t="inlineStr">
        <is>
          <t>passed</t>
        </is>
      </c>
      <c r="FV4" t="n">
        <v>236.5216555509115</v>
      </c>
      <c r="FW4" t="n">
        <v>26.92835720730559</v>
      </c>
      <c r="FX4" t="n">
        <v>12.27350543085073</v>
      </c>
      <c r="FY4" t="n">
        <v>0.9111934699233571</v>
      </c>
      <c r="FZ4" t="n">
        <v>0.6374460746265861</v>
      </c>
      <c r="GA4" t="n">
        <v>0.924124121669697</v>
      </c>
      <c r="GB4" t="n">
        <v>1</v>
      </c>
      <c r="GC4" t="n">
        <v>1</v>
      </c>
      <c r="GD4" t="n">
        <v>0.9649179438534163</v>
      </c>
      <c r="GE4" t="n">
        <v>0.9777902479779141</v>
      </c>
      <c r="GF4" t="n">
        <v>0.5859588094185917</v>
      </c>
      <c r="GG4" t="n">
        <v>0.7708985378321833</v>
      </c>
      <c r="GH4" t="n">
        <v>1</v>
      </c>
      <c r="GI4" t="n">
        <v>0.2037037037037037</v>
      </c>
      <c r="GJ4" t="n">
        <v>0.8333333333333333</v>
      </c>
      <c r="GK4" t="n">
        <v>0.9375000000000002</v>
      </c>
      <c r="GL4" t="n">
        <v>0.6051915118652058</v>
      </c>
      <c r="GM4" t="n">
        <v>0.6051915118652058</v>
      </c>
      <c r="GN4" t="n">
        <v>1</v>
      </c>
      <c r="GO4" t="n">
        <v>0.7655748936204896</v>
      </c>
      <c r="GP4" t="n">
        <v>479.1179910771286</v>
      </c>
      <c r="GQ4" t="inlineStr">
        <is>
          <t>compiled workbook density_weighted_sum = density_component_ratio_weighted_sum (per-note component ratios); research density_weighted_sum maps body-ceiling richness</t>
        </is>
      </c>
      <c r="GR4" s="15" t="inlineStr">
        <is>
          <t>individual_exact</t>
        </is>
      </c>
      <c r="GS4" s="15" t="inlineStr">
        <is>
          <t>density_weight</t>
        </is>
      </c>
      <c r="GT4" s="15" t="n">
        <v>0.642163558242562</v>
      </c>
      <c r="GU4" s="15" t="n">
        <v>0.3578364417574381</v>
      </c>
      <c r="GV4" s="15" t="n">
        <v>0</v>
      </c>
      <c r="GW4" s="15" t="inlineStr">
        <is>
          <t>log</t>
        </is>
      </c>
      <c r="GX4" s="15" t="n">
        <v>0.5</v>
      </c>
      <c r="GY4" s="15" t="inlineStr">
        <is>
          <t>EWSD-R v18.1</t>
        </is>
      </c>
      <c r="GZ4" s="15" t="n">
        <v>11.45449981035899</v>
      </c>
      <c r="HA4" s="15" t="n">
        <v>33.58089824713655</v>
      </c>
      <c r="HB4" s="15" t="n">
        <v>0.2996231950231434</v>
      </c>
      <c r="HC4" s="15" t="n">
        <v>15.54480173268425</v>
      </c>
      <c r="HD4" s="15" t="n">
        <v>37.66374811554256</v>
      </c>
      <c r="HE4" s="15" t="n">
        <v>0.2578187851655278</v>
      </c>
      <c r="HF4" s="15" t="inlineStr">
        <is>
          <t>partials+ratios</t>
        </is>
      </c>
      <c r="HG4" s="15" t="inlineStr">
        <is>
          <t>merged_individual_exact</t>
        </is>
      </c>
      <c r="HH4" s="15" t="inlineStr">
        <is>
          <t>passed</t>
        </is>
      </c>
      <c r="HI4" s="15" t="inlineStr">
        <is>
          <t>passed</t>
        </is>
      </c>
    </row>
    <row r="5">
      <c r="A5" t="inlineStr">
        <is>
          <t>incomplete_inference</t>
        </is>
      </c>
      <c r="B5" t="inlineStr">
        <is>
          <t>missing_instrument_technique</t>
        </is>
      </c>
      <c r="C5" t="inlineStr">
        <is>
          <t>prior_constrained_harmonic_fit</t>
        </is>
      </c>
      <c r="D5" t="inlineStr">
        <is>
          <t>IOWA_flt_mf.D4_SustainStable/D4/component_amplitude_mass_pie.png</t>
        </is>
      </c>
      <c r="E5" t="inlineStr">
        <is>
          <t>IOWA_flt_mf.D4_SustainStable/D4/component_energy_ratio_pie.png</t>
        </is>
      </c>
      <c r="F5" s="15" t="n">
        <v>293.7448969307372</v>
      </c>
      <c r="G5" s="15" t="inlineStr">
        <is>
          <t>prior_constrained_harmonic_fit</t>
        </is>
      </c>
      <c r="H5" s="15" t="inlineStr">
        <is>
          <t>fit_accepted_acoustically_verified</t>
        </is>
      </c>
      <c r="I5" s="16" t="n">
        <v>415.5021450893923</v>
      </c>
      <c r="J5" t="inlineStr">
        <is>
          <t>richness_weighted_body_density_body_ceiling</t>
        </is>
      </c>
      <c r="K5" t="inlineStr">
        <is>
          <t>research_body_ceiling_richness_metric</t>
        </is>
      </c>
      <c r="L5" s="15" t="n">
        <v>40172.90104100682</v>
      </c>
      <c r="M5" s="15" t="n">
        <v>40172.90104100682</v>
      </c>
      <c r="N5" s="15" t="n">
        <v>249.9411819399573</v>
      </c>
      <c r="O5" s="15" t="n">
        <v>87.41095808987254</v>
      </c>
      <c r="P5" s="15" t="n">
        <v>-2.559102790330899</v>
      </c>
      <c r="Q5" s="15" t="n">
        <v>20</v>
      </c>
      <c r="R5" s="15" t="n">
        <v>58</v>
      </c>
      <c r="S5" s="15" t="n">
        <v>10043.34376705918</v>
      </c>
      <c r="T5" s="15" t="n">
        <v>69</v>
      </c>
      <c r="U5" s="15" t="n">
        <v>0.7485922242321339</v>
      </c>
      <c r="V5" s="15" t="n">
        <v>32.75518440567829</v>
      </c>
      <c r="W5" s="15" t="n">
        <v>0.8713689252054538</v>
      </c>
      <c r="X5" s="15" t="n">
        <v>0.2972931876779591</v>
      </c>
      <c r="Y5" s="15" t="n">
        <v>36</v>
      </c>
      <c r="Z5" s="15" t="n">
        <v>68</v>
      </c>
      <c r="AA5" s="15" t="n">
        <v>0.5294117647058824</v>
      </c>
      <c r="AB5" s="15" t="n">
        <v>68</v>
      </c>
      <c r="AC5" s="15" t="n">
        <v>36</v>
      </c>
      <c r="AD5" s="15" t="n">
        <v>0.5294117647058824</v>
      </c>
      <c r="AE5" s="15" t="n">
        <v>630.1445974536882</v>
      </c>
      <c r="AF5" s="15" t="n">
        <v>36</v>
      </c>
      <c r="AG5" s="15" t="n">
        <v>68</v>
      </c>
      <c r="AH5" s="15" t="n">
        <v>0.5294117647058824</v>
      </c>
      <c r="AI5" s="15" t="n">
        <v>630.1445974536882</v>
      </c>
      <c r="AJ5" s="15" t="n">
        <v>18</v>
      </c>
      <c r="AK5" s="15" t="n">
        <v>18</v>
      </c>
      <c r="AL5" s="15" t="n">
        <v>0.9915405605520982</v>
      </c>
      <c r="AM5" s="15" t="n">
        <v>50</v>
      </c>
      <c r="AN5" s="15" t="n">
        <v>0</v>
      </c>
      <c r="AO5" s="15" t="n">
        <v>50</v>
      </c>
      <c r="AP5" s="15" t="n">
        <v>0</v>
      </c>
      <c r="AQ5" s="15" t="n">
        <v>39.99354056926806</v>
      </c>
      <c r="AR5" s="15" t="n">
        <v>21.17740523425789</v>
      </c>
      <c r="AS5" s="15" t="n">
        <v>0.7466639857503449</v>
      </c>
      <c r="AT5" s="17" t="n">
        <v>2.652998228442981</v>
      </c>
      <c r="AU5" s="18" t="n">
        <v>18.00761356475375</v>
      </c>
      <c r="AV5" s="15" t="n">
        <v>22.06579888808779</v>
      </c>
      <c r="AW5" s="15" t="b">
        <v>1</v>
      </c>
      <c r="AX5" s="15" t="n">
        <v>19.75666146226336</v>
      </c>
      <c r="AY5" s="15" t="n">
        <v>24.73730769908597</v>
      </c>
      <c r="AZ5" s="15" t="n">
        <v>0</v>
      </c>
      <c r="BA5" s="15" t="n">
        <v>1</v>
      </c>
      <c r="BB5" s="15" t="n">
        <v>0.5</v>
      </c>
      <c r="BC5" s="15" t="n">
        <v>0.25</v>
      </c>
      <c r="BD5" s="15" t="inlineStr">
        <is>
          <t>his_note_adaptive</t>
        </is>
      </c>
      <c r="BE5" s="15" t="n">
        <v>-90</v>
      </c>
      <c r="BF5" s="15" t="n">
        <v>20000</v>
      </c>
      <c r="BG5" s="15" t="n">
        <v>36</v>
      </c>
      <c r="BH5" s="15" t="n">
        <v>0.5294117647058824</v>
      </c>
      <c r="BI5" s="15" t="n">
        <v>68</v>
      </c>
      <c r="BJ5" s="15" t="n">
        <v>36</v>
      </c>
      <c r="BK5" s="15" t="n">
        <v>68</v>
      </c>
      <c r="BL5" s="15" t="n">
        <v>61</v>
      </c>
      <c r="BM5" s="15" t="n">
        <v>0.8970588235294118</v>
      </c>
      <c r="BN5" s="15" t="n">
        <v>0.1580507673390175</v>
      </c>
      <c r="BO5" s="15" t="n">
        <v>0.4166666666666667</v>
      </c>
      <c r="BP5" s="19" t="n">
        <v>0.7717400211555951</v>
      </c>
      <c r="BQ5" s="19" t="n">
        <v>0.2282599788444049</v>
      </c>
      <c r="BR5" s="19" t="n">
        <v>0</v>
      </c>
      <c r="BS5" s="15" t="n">
        <v>0.1232388134751492</v>
      </c>
      <c r="BT5" s="19" t="n">
        <v>1</v>
      </c>
      <c r="BU5" s="19" t="n">
        <v>0</v>
      </c>
      <c r="BV5" s="19" t="n">
        <v>0</v>
      </c>
      <c r="BW5" t="inlineStr">
        <is>
          <t>D4</t>
        </is>
      </c>
      <c r="BX5" t="n">
        <v>62</v>
      </c>
      <c r="BY5" t="inlineStr">
        <is>
          <t>D</t>
        </is>
      </c>
      <c r="BZ5" t="n">
        <v>4</v>
      </c>
      <c r="CA5" t="inlineStr">
        <is>
          <t>High</t>
        </is>
      </c>
      <c r="CB5" t="inlineStr">
        <is>
          <t>mf</t>
        </is>
      </c>
      <c r="CC5" s="15" t="n">
        <v>293.6647679174076</v>
      </c>
      <c r="CD5" s="15" t="n">
        <v>293.7448969307372</v>
      </c>
      <c r="CE5" t="inlineStr">
        <is>
          <t>prior_constrained_harmonic_fit</t>
        </is>
      </c>
      <c r="CF5" t="n">
        <v>293.7448969307372</v>
      </c>
      <c r="CG5" s="15" t="n">
        <v>1</v>
      </c>
      <c r="CH5" t="inlineStr">
        <is>
          <t>free_fit_acoustically_verified</t>
        </is>
      </c>
      <c r="CI5" s="15" t="inlineStr">
        <is>
          <t>free_f0_fit</t>
        </is>
      </c>
      <c r="CJ5" s="15" t="n">
        <v>293.6647679174076</v>
      </c>
      <c r="CK5" s="15" t="n">
        <v>293.7448969307372</v>
      </c>
      <c r="CL5" s="15" t="n">
        <v>0.4723179932379959</v>
      </c>
      <c r="CM5" s="15" t="n">
        <v>20000</v>
      </c>
      <c r="CN5" s="15" t="n">
        <v>0.4723179932379959</v>
      </c>
      <c r="CO5" s="15" t="n">
        <v>2.418911573767052</v>
      </c>
      <c r="CP5" s="15" t="n">
        <v>40172.90104100682</v>
      </c>
      <c r="CQ5" t="n">
        <v>2.813254222017775</v>
      </c>
      <c r="CR5" t="n">
        <v>0.04137138561790845</v>
      </c>
      <c r="CS5" t="n">
        <v>147.6944891213486</v>
      </c>
      <c r="CT5" t="n">
        <v>147.6944891213486</v>
      </c>
      <c r="CU5" t="n">
        <v>415.5021450893923</v>
      </c>
      <c r="CV5" t="n">
        <v>87.41095808987254</v>
      </c>
      <c r="CW5" s="15" t="n">
        <v>40172.90104100682</v>
      </c>
      <c r="CX5" s="15" t="n">
        <v>249.9411819399573</v>
      </c>
      <c r="CY5" s="15" t="n">
        <v>87.41095808987254</v>
      </c>
      <c r="CZ5" s="15" t="n">
        <v>2.652998228442981</v>
      </c>
      <c r="DA5" s="15" t="n">
        <v>2.652998228442981</v>
      </c>
      <c r="DB5" s="15" t="n">
        <v>1.843574253717056</v>
      </c>
      <c r="DC5" s="15" t="n">
        <v>0</v>
      </c>
      <c r="DD5" s="15" t="n">
        <v>6.603949826115149e-05</v>
      </c>
      <c r="DE5" s="15" t="n">
        <v>0</v>
      </c>
      <c r="DF5" s="15" t="n">
        <v>20</v>
      </c>
      <c r="DG5" s="15" t="inlineStr">
        <is>
          <t>Density_Metrics</t>
        </is>
      </c>
      <c r="DH5" s="15" t="n">
        <v>2.418911573767052</v>
      </c>
      <c r="DI5" t="n">
        <v>0.9875094015930259</v>
      </c>
      <c r="DJ5" s="15" t="n">
        <v>0.5626494615966349</v>
      </c>
      <c r="DK5" s="15" t="n">
        <v>5.900012633819076</v>
      </c>
      <c r="DL5" s="15" t="n">
        <v>2.860672044804724</v>
      </c>
      <c r="DM5" s="15" t="n">
        <v>1.271474436803433</v>
      </c>
      <c r="DN5" s="15" t="n">
        <v>6.273506064797357</v>
      </c>
      <c r="DO5" s="15" t="n">
        <v>0.4691543768900662</v>
      </c>
      <c r="DP5" s="15" t="n">
        <v>7.6875</v>
      </c>
      <c r="DQ5" s="15" t="n">
        <v>49</v>
      </c>
      <c r="DR5" s="15" t="b">
        <v>1</v>
      </c>
      <c r="DS5" s="15" t="n">
        <v>2.813254222017775</v>
      </c>
      <c r="DT5" s="15" t="n">
        <v>20.21593676210122</v>
      </c>
      <c r="DU5" t="n">
        <v>68</v>
      </c>
      <c r="DV5" s="15" t="n">
        <v>0.1232388134751492</v>
      </c>
      <c r="DW5" s="15" t="n">
        <v>1.881306423377486</v>
      </c>
      <c r="DX5" s="15" t="n">
        <v>2.616277584785049</v>
      </c>
      <c r="DY5" s="15" t="n">
        <v>0.07911001776143094</v>
      </c>
      <c r="DZ5" s="15" t="b">
        <v>1</v>
      </c>
      <c r="EA5" s="15" t="n">
        <v>0.1884242484776968</v>
      </c>
      <c r="EB5" s="15" t="n">
        <v>20000</v>
      </c>
      <c r="EC5" s="15" t="n">
        <v>5874.897938614745</v>
      </c>
      <c r="ED5" s="15" t="n">
        <v>20</v>
      </c>
      <c r="EE5" s="15" t="n">
        <v>0</v>
      </c>
      <c r="EF5" s="15" t="n">
        <v>0.03666289844319382</v>
      </c>
      <c r="EG5" s="15" t="b">
        <v>0</v>
      </c>
      <c r="EH5" s="15" t="b">
        <v>1</v>
      </c>
      <c r="EI5" s="15" t="b">
        <v>0</v>
      </c>
      <c r="EJ5" s="15" t="inlineStr">
        <is>
          <t>wf=log|dst=-90.0|ceil=20000.0|fft=adaptive_tier</t>
        </is>
      </c>
      <c r="EK5" s="15" t="inlineStr">
        <is>
          <t>wf=log|dst=runtime_configured|ceil=runtime_configured|fft=fixed</t>
        </is>
      </c>
      <c r="EL5" s="15" t="n">
        <v>0.6238214554352217</v>
      </c>
      <c r="EM5" s="15" t="n">
        <v>0.990475745530323</v>
      </c>
      <c r="EN5" s="15" t="n">
        <v>0.2898550724637681</v>
      </c>
      <c r="EO5" s="15" t="n">
        <v>0.3832904729212879</v>
      </c>
      <c r="EP5" s="15" t="inlineStr">
        <is>
          <t>warn:power_outlier_detected</t>
        </is>
      </c>
      <c r="EQ5" s="15" t="n">
        <v>396.4315022310758</v>
      </c>
      <c r="ER5" s="15" t="inlineStr">
        <is>
          <t>winsorize_p95_for_robust_diagnostics</t>
        </is>
      </c>
      <c r="ES5" s="15" t="n">
        <v>0.1520753462872133</v>
      </c>
      <c r="ET5" s="15" t="n">
        <v>0.03882245859261896</v>
      </c>
      <c r="EU5" s="15" t="n">
        <v>0.0554848802237325</v>
      </c>
      <c r="EV5" t="inlineStr">
        <is>
          <t>computed</t>
        </is>
      </c>
      <c r="EW5" s="15" t="inlineStr">
        <is>
          <t>computed</t>
        </is>
      </c>
      <c r="EX5" s="15" t="inlineStr">
        <is>
          <t>computed</t>
        </is>
      </c>
      <c r="EY5" s="15" t="inlineStr">
        <is>
          <t>available_from_curve</t>
        </is>
      </c>
      <c r="EZ5" s="15" t="n">
        <v>20000</v>
      </c>
      <c r="FA5" s="15" t="n">
        <v>20000</v>
      </c>
      <c r="FB5" s="15" t="n">
        <v>0.2282599788444049</v>
      </c>
      <c r="FC5" s="15" t="n">
        <v>0.4217990239406408</v>
      </c>
      <c r="FD5" s="15" t="n">
        <v>2.652998228442981</v>
      </c>
      <c r="FE5" s="15" t="n">
        <v>1.843574253717056</v>
      </c>
      <c r="FF5" s="15" t="n">
        <v>1.403440151659038</v>
      </c>
      <c r="FG5" s="15" t="n">
        <v>1.963354871944114</v>
      </c>
      <c r="FH5" s="15" t="n">
        <v>0.380055589443143</v>
      </c>
      <c r="FI5" s="15" t="n">
        <v>0.07550111237979497</v>
      </c>
      <c r="FJ5" s="15" t="n">
        <v>10043.22526025171</v>
      </c>
      <c r="FK5" s="15" t="n">
        <v>62.48529548498934</v>
      </c>
      <c r="FL5" s="15" t="n">
        <v>21.85273952246813</v>
      </c>
      <c r="FM5" s="15" t="n">
        <v>0.004661950996543927</v>
      </c>
      <c r="FN5" t="n">
        <v>1</v>
      </c>
      <c r="FO5" t="n">
        <v>0</v>
      </c>
      <c r="FP5" t="n">
        <v>0</v>
      </c>
      <c r="FQ5" t="inlineStr">
        <is>
          <t>excellent</t>
        </is>
      </c>
      <c r="FR5" s="19" t="n">
        <v>0.8970588235294118</v>
      </c>
      <c r="FS5" s="15" t="n">
        <v>2.903977335329525</v>
      </c>
      <c r="FT5" s="15" t="n">
        <v>17.6470828448891</v>
      </c>
      <c r="FU5" t="inlineStr">
        <is>
          <t>passed</t>
        </is>
      </c>
      <c r="FV5" t="n">
        <v>224.3890100863424</v>
      </c>
      <c r="FW5" t="n">
        <v>34.37741251744999</v>
      </c>
      <c r="FX5" t="n">
        <v>12.15931352813</v>
      </c>
      <c r="FY5" t="n">
        <v>0.9223881999407385</v>
      </c>
      <c r="FZ5" t="n">
        <v>0.544310493371936</v>
      </c>
      <c r="GA5" t="n">
        <v>0.9687990680466638</v>
      </c>
      <c r="GB5" t="n">
        <v>0.6378533879475607</v>
      </c>
      <c r="GC5" t="n">
        <v>0.6354802209306564</v>
      </c>
      <c r="GD5" t="n">
        <v>0.7101740872383995</v>
      </c>
      <c r="GE5" t="n">
        <v>0.9376314268705691</v>
      </c>
      <c r="GF5" t="n">
        <v>0.3995401983980291</v>
      </c>
      <c r="GG5" t="n">
        <v>0.6474100744703468</v>
      </c>
      <c r="GH5" t="n">
        <v>0.7648294321726515</v>
      </c>
      <c r="GI5" t="n">
        <v>0.3725490196078431</v>
      </c>
      <c r="GJ5" t="n">
        <v>0.882352941176471</v>
      </c>
      <c r="GK5" t="n">
        <v>0.6875000000000002</v>
      </c>
      <c r="GL5" t="n">
        <v>0.7404009402245959</v>
      </c>
      <c r="GM5" t="n">
        <v>0.7404009402245959</v>
      </c>
      <c r="GN5" t="n">
        <v>0.7432919501953632</v>
      </c>
      <c r="GO5" t="n">
        <v>0.744007289739804</v>
      </c>
      <c r="GP5" t="n">
        <v>415.5021450893923</v>
      </c>
      <c r="GQ5" t="inlineStr">
        <is>
          <t>compiled workbook density_weighted_sum = density_component_ratio_weighted_sum (per-note component ratios); research density_weighted_sum maps body-ceiling richness</t>
        </is>
      </c>
      <c r="GR5" s="15" t="inlineStr">
        <is>
          <t>individual_exact</t>
        </is>
      </c>
      <c r="GS5" s="15" t="inlineStr">
        <is>
          <t>density_weight</t>
        </is>
      </c>
      <c r="GT5" s="15" t="n">
        <v>0.7147471021951386</v>
      </c>
      <c r="GU5" s="15" t="n">
        <v>0.2852528978048614</v>
      </c>
      <c r="GV5" s="15" t="n">
        <v>0</v>
      </c>
      <c r="GW5" s="15" t="inlineStr">
        <is>
          <t>log</t>
        </is>
      </c>
      <c r="GX5" s="15" t="n">
        <v>0.5</v>
      </c>
      <c r="GY5" s="15" t="inlineStr">
        <is>
          <t>EWSD-R v18.1</t>
        </is>
      </c>
      <c r="GZ5" s="15" t="n">
        <v>10.26568339799723</v>
      </c>
      <c r="HA5" s="15" t="n">
        <v>30.2821796648806</v>
      </c>
      <c r="HB5" s="15" t="n">
        <v>0.2809885156383844</v>
      </c>
      <c r="HC5" s="15" t="n">
        <v>14.14156554205922</v>
      </c>
      <c r="HD5" s="15" t="n">
        <v>36.15154060697298</v>
      </c>
      <c r="HE5" s="15" t="n">
        <v>0.2501902914776577</v>
      </c>
      <c r="HF5" s="15" t="inlineStr">
        <is>
          <t>partials+ratios</t>
        </is>
      </c>
      <c r="HG5" s="15" t="inlineStr">
        <is>
          <t>merged_individual_exact</t>
        </is>
      </c>
      <c r="HH5" s="15" t="inlineStr">
        <is>
          <t>passed</t>
        </is>
      </c>
      <c r="HI5" s="15" t="inlineStr">
        <is>
          <t>passed</t>
        </is>
      </c>
    </row>
    <row r="6">
      <c r="A6" t="inlineStr">
        <is>
          <t>incomplete_inference</t>
        </is>
      </c>
      <c r="B6" t="inlineStr">
        <is>
          <t>missing_instrument_technique</t>
        </is>
      </c>
      <c r="C6" t="inlineStr">
        <is>
          <t>prior_constrained_harmonic_fit</t>
        </is>
      </c>
      <c r="D6" t="inlineStr">
        <is>
          <t>IOWA_flt_mf.D#4_SustainStable/D#4/component_amplitude_mass_pie.png</t>
        </is>
      </c>
      <c r="E6" t="inlineStr">
        <is>
          <t>IOWA_flt_mf.D#4_SustainStable/D#4/component_energy_ratio_pie.png</t>
        </is>
      </c>
      <c r="F6" s="15" t="n">
        <v>311.6134148141428</v>
      </c>
      <c r="G6" s="15" t="inlineStr">
        <is>
          <t>prior_constrained_harmonic_fit</t>
        </is>
      </c>
      <c r="H6" s="15" t="inlineStr">
        <is>
          <t>fit_accepted_acoustically_verified</t>
        </is>
      </c>
      <c r="I6" s="16" t="n">
        <v>413.5535056313784</v>
      </c>
      <c r="J6" t="inlineStr">
        <is>
          <t>richness_weighted_body_density_body_ceiling</t>
        </is>
      </c>
      <c r="K6" t="inlineStr">
        <is>
          <t>research_body_ceiling_richness_metric</t>
        </is>
      </c>
      <c r="L6" s="15" t="n">
        <v>39244.21490843242</v>
      </c>
      <c r="M6" s="15" t="n">
        <v>39244.21490843242</v>
      </c>
      <c r="N6" s="15" t="n">
        <v>150.5378637330883</v>
      </c>
      <c r="O6" s="15" t="n">
        <v>51.41069068040227</v>
      </c>
      <c r="P6" s="15" t="n">
        <v>-3.27218861299253</v>
      </c>
      <c r="Q6" s="15" t="n">
        <v>16</v>
      </c>
      <c r="R6" s="15" t="n">
        <v>53</v>
      </c>
      <c r="S6" s="15" t="n">
        <v>9811.187252668649</v>
      </c>
      <c r="T6" s="15" t="n">
        <v>65</v>
      </c>
      <c r="U6" s="15" t="n">
        <v>0.8058077250718031</v>
      </c>
      <c r="V6" s="15" t="n">
        <v>31.42075129032246</v>
      </c>
      <c r="W6" s="15" t="n">
        <v>0.8985941728365276</v>
      </c>
      <c r="X6" s="15" t="n">
        <v>0.3053303583508803</v>
      </c>
      <c r="Y6" s="15" t="n">
        <v>16</v>
      </c>
      <c r="Z6" s="15" t="n">
        <v>64</v>
      </c>
      <c r="AA6" s="15" t="n">
        <v>0.25</v>
      </c>
      <c r="AB6" s="15" t="n">
        <v>64</v>
      </c>
      <c r="AC6" s="15" t="n">
        <v>16</v>
      </c>
      <c r="AD6" s="15" t="n">
        <v>0.25</v>
      </c>
      <c r="AE6" s="15" t="n">
        <v>603.8467382564199</v>
      </c>
      <c r="AF6" s="15" t="n">
        <v>16</v>
      </c>
      <c r="AG6" s="15" t="n">
        <v>64</v>
      </c>
      <c r="AH6" s="15" t="n">
        <v>0.25</v>
      </c>
      <c r="AI6" s="15" t="n">
        <v>603.8467382564199</v>
      </c>
      <c r="AJ6" s="15" t="n">
        <v>9</v>
      </c>
      <c r="AK6" s="15" t="n">
        <v>7</v>
      </c>
      <c r="AL6" s="15" t="n">
        <v>0.9273590248569129</v>
      </c>
      <c r="AM6" s="15" t="n">
        <v>59</v>
      </c>
      <c r="AN6" s="15" t="n">
        <v>0</v>
      </c>
      <c r="AO6" s="15" t="n">
        <v>59</v>
      </c>
      <c r="AP6" s="15" t="n">
        <v>0</v>
      </c>
      <c r="AQ6" s="15" t="n">
        <v>36.35994191355761</v>
      </c>
      <c r="AR6" s="15" t="n">
        <v>19.67146626100801</v>
      </c>
      <c r="AS6" s="15" t="n">
        <v>0.6726829162880336</v>
      </c>
      <c r="AT6" s="17" t="n">
        <v>2.641699790813905</v>
      </c>
      <c r="AU6" s="18" t="n">
        <v>16.34133095838317</v>
      </c>
      <c r="AV6" s="15" t="n">
        <v>18.79995435532786</v>
      </c>
      <c r="AW6" s="15" t="b">
        <v>1</v>
      </c>
      <c r="AX6" s="15" t="n">
        <v>10.75774550310658</v>
      </c>
      <c r="AY6" s="15" t="n">
        <v>29.58343735513147</v>
      </c>
      <c r="AZ6" s="15" t="n">
        <v>0</v>
      </c>
      <c r="BA6" s="15" t="n">
        <v>1</v>
      </c>
      <c r="BB6" s="15" t="n">
        <v>0.5</v>
      </c>
      <c r="BC6" s="15" t="n">
        <v>0.25</v>
      </c>
      <c r="BD6" s="15" t="inlineStr">
        <is>
          <t>his_note_adaptive</t>
        </is>
      </c>
      <c r="BE6" s="15" t="n">
        <v>-90</v>
      </c>
      <c r="BF6" s="15" t="n">
        <v>20000</v>
      </c>
      <c r="BG6" s="15" t="n">
        <v>16</v>
      </c>
      <c r="BH6" s="15" t="n">
        <v>0.25</v>
      </c>
      <c r="BI6" s="15" t="n">
        <v>64</v>
      </c>
      <c r="BJ6" s="15" t="n">
        <v>16</v>
      </c>
      <c r="BK6" s="15" t="n">
        <v>64</v>
      </c>
      <c r="BL6" s="15" t="n">
        <v>57</v>
      </c>
      <c r="BM6" s="15" t="n">
        <v>0.890625</v>
      </c>
      <c r="BN6" s="15" t="n">
        <v>0.1747104371766421</v>
      </c>
      <c r="BO6" s="15" t="n">
        <v>0.4916666666666666</v>
      </c>
      <c r="BP6" s="19" t="n">
        <v>0.7755429367662104</v>
      </c>
      <c r="BQ6" s="19" t="n">
        <v>0.2244570632337896</v>
      </c>
      <c r="BR6" s="19" t="n">
        <v>0</v>
      </c>
      <c r="BS6" s="15" t="n">
        <v>0.142297803072139</v>
      </c>
      <c r="BT6" s="19" t="n">
        <v>1</v>
      </c>
      <c r="BU6" s="19" t="n">
        <v>0</v>
      </c>
      <c r="BV6" s="19" t="n">
        <v>0</v>
      </c>
      <c r="BW6" t="inlineStr">
        <is>
          <t>D#4</t>
        </is>
      </c>
      <c r="BX6" t="n">
        <v>63</v>
      </c>
      <c r="BY6" t="inlineStr">
        <is>
          <t>D#</t>
        </is>
      </c>
      <c r="BZ6" t="n">
        <v>4</v>
      </c>
      <c r="CA6" t="inlineStr">
        <is>
          <t>High</t>
        </is>
      </c>
      <c r="CB6" t="inlineStr">
        <is>
          <t>mf</t>
        </is>
      </c>
      <c r="CC6" s="15" t="n">
        <v>311.1269837220809</v>
      </c>
      <c r="CD6" s="15" t="n">
        <v>311.6134148141428</v>
      </c>
      <c r="CE6" t="inlineStr">
        <is>
          <t>prior_constrained_harmonic_fit</t>
        </is>
      </c>
      <c r="CF6" t="n">
        <v>311.6134148141428</v>
      </c>
      <c r="CG6" s="15" t="n">
        <v>1</v>
      </c>
      <c r="CH6" t="inlineStr">
        <is>
          <t>free_fit_acoustically_verified</t>
        </is>
      </c>
      <c r="CI6" s="15" t="inlineStr">
        <is>
          <t>free_f0_fit</t>
        </is>
      </c>
      <c r="CJ6" s="15" t="n">
        <v>311.1269837220809</v>
      </c>
      <c r="CK6" s="15" t="n">
        <v>311.6134148141428</v>
      </c>
      <c r="CL6" s="15" t="n">
        <v>2.704582013156854</v>
      </c>
      <c r="CM6" s="15" t="n">
        <v>20000</v>
      </c>
      <c r="CN6" s="15" t="n">
        <v>2.704582013156854</v>
      </c>
      <c r="CO6" s="15" t="n">
        <v>2.375288987819593</v>
      </c>
      <c r="CP6" s="15" t="n">
        <v>39244.21490843242</v>
      </c>
      <c r="CQ6" t="n">
        <v>2.697714750789539</v>
      </c>
      <c r="CR6" t="n">
        <v>0.04215179298108655</v>
      </c>
      <c r="CS6" t="n">
        <v>153.2977144860641</v>
      </c>
      <c r="CT6" t="n">
        <v>153.2977144860641</v>
      </c>
      <c r="CU6" t="n">
        <v>413.5535056313784</v>
      </c>
      <c r="CV6" t="n">
        <v>51.41069068040227</v>
      </c>
      <c r="CW6" s="15" t="n">
        <v>39244.21490843242</v>
      </c>
      <c r="CX6" s="15" t="n">
        <v>150.5378637330883</v>
      </c>
      <c r="CY6" s="15" t="n">
        <v>51.41069068040227</v>
      </c>
      <c r="CZ6" s="15" t="n">
        <v>2.641699790813905</v>
      </c>
      <c r="DA6" s="15" t="n">
        <v>2.641699790813905</v>
      </c>
      <c r="DB6" s="15" t="n">
        <v>1.694045691307733</v>
      </c>
      <c r="DC6" s="15" t="n">
        <v>0</v>
      </c>
      <c r="DD6" s="15" t="n">
        <v>6.731437479327131e-05</v>
      </c>
      <c r="DE6" s="15" t="n">
        <v>0</v>
      </c>
      <c r="DF6" s="15" t="n">
        <v>16</v>
      </c>
      <c r="DG6" s="15" t="inlineStr">
        <is>
          <t>Density_Metrics</t>
        </is>
      </c>
      <c r="DH6" s="15" t="n">
        <v>2.375288987819593</v>
      </c>
      <c r="DI6" t="n">
        <v>0.9697006837332701</v>
      </c>
      <c r="DJ6" s="15" t="n">
        <v>0.5613041411934439</v>
      </c>
      <c r="DK6" s="15" t="n">
        <v>5.65673473268269</v>
      </c>
      <c r="DL6" s="15" t="n">
        <v>2.725541030087707</v>
      </c>
      <c r="DM6" s="15" t="n">
        <v>1.289228373674972</v>
      </c>
      <c r="DN6" s="15" t="n">
        <v>6.598576144290853</v>
      </c>
      <c r="DO6" s="15" t="n">
        <v>0.504760928598867</v>
      </c>
      <c r="DP6" s="15" t="n">
        <v>8.3125</v>
      </c>
      <c r="DQ6" s="15" t="n">
        <v>41</v>
      </c>
      <c r="DR6" s="15" t="b">
        <v>1</v>
      </c>
      <c r="DS6" s="15" t="n">
        <v>2.697714750789539</v>
      </c>
      <c r="DT6" s="15" t="n">
        <v>19.54114293445634</v>
      </c>
      <c r="DU6" t="n">
        <v>64</v>
      </c>
      <c r="DV6" s="15" t="n">
        <v>0.142297803072139</v>
      </c>
      <c r="DW6" s="15" t="n">
        <v>1.864559286967384</v>
      </c>
      <c r="DX6" s="15" t="n">
        <v>2.598478336888257</v>
      </c>
      <c r="DY6" s="15" t="n">
        <v>0.07908217807812754</v>
      </c>
      <c r="DZ6" s="15" t="b">
        <v>1</v>
      </c>
      <c r="EA6" s="15" t="n">
        <v>0.1374178839250159</v>
      </c>
      <c r="EB6" s="15" t="n">
        <v>20000</v>
      </c>
      <c r="EC6" s="15" t="n">
        <v>4985.814637026285</v>
      </c>
      <c r="ED6" s="15" t="n">
        <v>16</v>
      </c>
      <c r="EE6" s="15" t="n">
        <v>0</v>
      </c>
      <c r="EF6" s="15" t="n">
        <v>0.03460516806898831</v>
      </c>
      <c r="EG6" s="15" t="b">
        <v>0</v>
      </c>
      <c r="EH6" s="15" t="b">
        <v>1</v>
      </c>
      <c r="EI6" s="15" t="b">
        <v>0</v>
      </c>
      <c r="EJ6" s="15" t="inlineStr">
        <is>
          <t>wf=log|dst=-90.0|ceil=20000.0|fft=adaptive_tier</t>
        </is>
      </c>
      <c r="EK6" s="15" t="inlineStr">
        <is>
          <t>wf=log|dst=runtime_configured|ceil=runtime_configured|fft=fixed</t>
        </is>
      </c>
      <c r="EL6" s="15" t="n">
        <v>0.6090115928911956</v>
      </c>
      <c r="EM6" s="15" t="n">
        <v>0.9930850838650817</v>
      </c>
      <c r="EN6" s="15" t="n">
        <v>0.2461538461538462</v>
      </c>
      <c r="EO6" s="15" t="n">
        <v>0.3798472949903129</v>
      </c>
      <c r="EP6" s="15" t="inlineStr">
        <is>
          <t>warn:power_outlier_detected</t>
        </is>
      </c>
      <c r="EQ6" s="15" t="n">
        <v>419.1774414933585</v>
      </c>
      <c r="ER6" s="15" t="inlineStr">
        <is>
          <t>winsorize_p95_for_robust_diagnostics</t>
        </is>
      </c>
      <c r="ES6" s="15" t="n">
        <v>0.1651558244003525</v>
      </c>
      <c r="ET6" s="15" t="n">
        <v>0.04513291015213635</v>
      </c>
      <c r="EU6" s="15" t="n">
        <v>0.05278646833401229</v>
      </c>
      <c r="EV6" t="inlineStr">
        <is>
          <t>computed</t>
        </is>
      </c>
      <c r="EW6" s="15" t="inlineStr">
        <is>
          <t>computed</t>
        </is>
      </c>
      <c r="EX6" s="15" t="inlineStr">
        <is>
          <t>computed</t>
        </is>
      </c>
      <c r="EY6" s="15" t="inlineStr">
        <is>
          <t>available_from_curve</t>
        </is>
      </c>
      <c r="EZ6" s="15" t="n">
        <v>20000</v>
      </c>
      <c r="FA6" s="15" t="n">
        <v>20000</v>
      </c>
      <c r="FB6" s="15" t="n">
        <v>0.2244570632337896</v>
      </c>
      <c r="FC6" s="15" t="n">
        <v>0.4398185872164959</v>
      </c>
      <c r="FD6" s="15" t="n">
        <v>2.641699790813905</v>
      </c>
      <c r="FE6" s="15" t="n">
        <v>1.694045691307733</v>
      </c>
      <c r="FF6" s="15" t="n">
        <v>1.320989250561052</v>
      </c>
      <c r="FG6" s="15" t="n">
        <v>1.954993448130642</v>
      </c>
      <c r="FH6" s="15" t="n">
        <v>0.3492300526845986</v>
      </c>
      <c r="FI6" s="15" t="n">
        <v>0.07106548700435193</v>
      </c>
      <c r="FJ6" s="15" t="n">
        <v>9811.053727108105</v>
      </c>
      <c r="FK6" s="15" t="n">
        <v>37.63446593327208</v>
      </c>
      <c r="FL6" s="15" t="n">
        <v>12.85267267010057</v>
      </c>
      <c r="FM6" s="15" t="n">
        <v>0.004541266871112897</v>
      </c>
      <c r="FN6" t="n">
        <v>1</v>
      </c>
      <c r="FO6" t="n">
        <v>0</v>
      </c>
      <c r="FP6" t="n">
        <v>0</v>
      </c>
      <c r="FQ6" t="inlineStr">
        <is>
          <t>excellent</t>
        </is>
      </c>
      <c r="FR6" s="19" t="n">
        <v>0.890625</v>
      </c>
      <c r="FS6" s="15" t="n">
        <v>4.378995547034997</v>
      </c>
      <c r="FT6" s="15" t="n">
        <v>15.32658374748442</v>
      </c>
      <c r="FU6" t="inlineStr">
        <is>
          <t>passed</t>
        </is>
      </c>
      <c r="FV6" t="n">
        <v>218.6138325115175</v>
      </c>
      <c r="FW6" t="n">
        <v>24.21813476113575</v>
      </c>
      <c r="FX6" t="n">
        <v>9.970303120361697</v>
      </c>
      <c r="FY6" t="n">
        <v>0.8117316401179969</v>
      </c>
      <c r="FZ6" t="n">
        <v>0.5414576244717433</v>
      </c>
      <c r="GA6" t="n">
        <v>0.8287866290499719</v>
      </c>
      <c r="GB6" t="n">
        <v>0.5909440955673466</v>
      </c>
      <c r="GC6" t="n">
        <v>0.5947894867595407</v>
      </c>
      <c r="GD6" t="n">
        <v>0.6707088833132322</v>
      </c>
      <c r="GE6" t="n">
        <v>0.9682722042139905</v>
      </c>
      <c r="GF6" t="n">
        <v>0.4254792420883627</v>
      </c>
      <c r="GG6" t="n">
        <v>0.7863758070546891</v>
      </c>
      <c r="GH6" t="n">
        <v>0.7860906038328688</v>
      </c>
      <c r="GI6" t="n">
        <v>0</v>
      </c>
      <c r="GJ6" t="n">
        <v>0.8437500000000002</v>
      </c>
      <c r="GK6" t="n">
        <v>0.8749999999999999</v>
      </c>
      <c r="GL6" t="n">
        <v>0.705780589960752</v>
      </c>
      <c r="GM6" t="n">
        <v>0.705780589960752</v>
      </c>
      <c r="GN6" t="n">
        <v>0.778304444919682</v>
      </c>
      <c r="GO6" t="n">
        <v>0.6478575298091267</v>
      </c>
      <c r="GP6" t="n">
        <v>413.5535056313784</v>
      </c>
      <c r="GQ6" t="inlineStr">
        <is>
          <t>compiled workbook density_weighted_sum = density_component_ratio_weighted_sum (per-note component ratios); research density_weighted_sum maps body-ceiling richness</t>
        </is>
      </c>
      <c r="GR6" s="15" t="inlineStr">
        <is>
          <t>individual_exact</t>
        </is>
      </c>
      <c r="GS6" s="15" t="inlineStr">
        <is>
          <t>density_weight</t>
        </is>
      </c>
      <c r="GT6" s="15" t="n">
        <v>0.5265129787544743</v>
      </c>
      <c r="GU6" s="15" t="n">
        <v>0.4734870212455257</v>
      </c>
      <c r="GV6" s="15" t="n">
        <v>0</v>
      </c>
      <c r="GW6" s="15" t="inlineStr">
        <is>
          <t>log</t>
        </is>
      </c>
      <c r="GX6" s="15" t="n">
        <v>0.5</v>
      </c>
      <c r="GY6" s="15" t="inlineStr">
        <is>
          <t>EWSD-R v18.1</t>
        </is>
      </c>
      <c r="GZ6" s="15" t="n">
        <v>10.30126084275698</v>
      </c>
      <c r="HA6" s="15" t="n">
        <v>30.96678465724389</v>
      </c>
      <c r="HB6" s="15" t="n">
        <v>0.3234204717776117</v>
      </c>
      <c r="HC6" s="15" t="n">
        <v>13.9460702562811</v>
      </c>
      <c r="HD6" s="15" t="n">
        <v>34.9302553559971</v>
      </c>
      <c r="HE6" s="15" t="n">
        <v>0.2863734925044842</v>
      </c>
      <c r="HF6" s="15" t="inlineStr">
        <is>
          <t>partials+ratios</t>
        </is>
      </c>
      <c r="HG6" s="15" t="inlineStr">
        <is>
          <t>merged_individual_exact</t>
        </is>
      </c>
      <c r="HH6" s="15" t="inlineStr">
        <is>
          <t>passed</t>
        </is>
      </c>
      <c r="HI6" s="15" t="inlineStr">
        <is>
          <t>passed</t>
        </is>
      </c>
    </row>
    <row r="7">
      <c r="A7" t="inlineStr">
        <is>
          <t>incomplete_inference</t>
        </is>
      </c>
      <c r="B7" t="inlineStr">
        <is>
          <t>missing_instrument_technique</t>
        </is>
      </c>
      <c r="C7" t="inlineStr">
        <is>
          <t>prior_constrained_harmonic_fit</t>
        </is>
      </c>
      <c r="D7" t="inlineStr">
        <is>
          <t>IOWA_flt_mf.E4_SustainStable/E4/component_amplitude_mass_pie.png</t>
        </is>
      </c>
      <c r="E7" t="inlineStr">
        <is>
          <t>IOWA_flt_mf.E4_SustainStable/E4/component_energy_ratio_pie.png</t>
        </is>
      </c>
      <c r="F7" s="15" t="n">
        <v>330.5511746536122</v>
      </c>
      <c r="G7" s="15" t="inlineStr">
        <is>
          <t>prior_constrained_harmonic_fit</t>
        </is>
      </c>
      <c r="H7" s="15" t="inlineStr">
        <is>
          <t>fit_accepted_acoustically_verified</t>
        </is>
      </c>
      <c r="I7" s="16" t="n">
        <v>384.5031051641469</v>
      </c>
      <c r="J7" t="inlineStr">
        <is>
          <t>richness_weighted_body_density_body_ceiling</t>
        </is>
      </c>
      <c r="K7" t="inlineStr">
        <is>
          <t>research_body_ceiling_richness_metric</t>
        </is>
      </c>
      <c r="L7" s="15" t="n">
        <v>38617.69988467907</v>
      </c>
      <c r="M7" s="15" t="n">
        <v>38617.69988467907</v>
      </c>
      <c r="N7" s="15" t="n">
        <v>119.7449738326434</v>
      </c>
      <c r="O7" s="15" t="n">
        <v>39.79034445810937</v>
      </c>
      <c r="P7" s="15" t="n">
        <v>-3.731910778020183</v>
      </c>
      <c r="Q7" s="15" t="n">
        <v>14</v>
      </c>
      <c r="R7" s="15" t="n">
        <v>47</v>
      </c>
      <c r="S7" s="15" t="n">
        <v>9654.513492131879</v>
      </c>
      <c r="T7" s="15" t="n">
        <v>61</v>
      </c>
      <c r="U7" s="15" t="n">
        <v>0.526935862512194</v>
      </c>
      <c r="V7" s="15" t="n">
        <v>28.63237155725119</v>
      </c>
      <c r="W7" s="15" t="n">
        <v>0.9267852688841516</v>
      </c>
      <c r="X7" s="15" t="n">
        <v>0.2731939220701345</v>
      </c>
      <c r="Y7" s="15" t="n">
        <v>22</v>
      </c>
      <c r="Z7" s="15" t="n">
        <v>60</v>
      </c>
      <c r="AA7" s="15" t="n">
        <v>0.3666666666666666</v>
      </c>
      <c r="AB7" s="15" t="n">
        <v>60</v>
      </c>
      <c r="AC7" s="15" t="n">
        <v>22</v>
      </c>
      <c r="AD7" s="15" t="n">
        <v>0.3666666666666666</v>
      </c>
      <c r="AE7" s="15" t="n">
        <v>562.6894360992783</v>
      </c>
      <c r="AF7" s="15" t="n">
        <v>22</v>
      </c>
      <c r="AG7" s="15" t="n">
        <v>60</v>
      </c>
      <c r="AH7" s="15" t="n">
        <v>0.3666666666666666</v>
      </c>
      <c r="AI7" s="15" t="n">
        <v>562.6894360992783</v>
      </c>
      <c r="AJ7" s="15" t="n">
        <v>12</v>
      </c>
      <c r="AK7" s="15" t="n">
        <v>10</v>
      </c>
      <c r="AL7" s="15" t="n">
        <v>0.7809949060487378</v>
      </c>
      <c r="AM7" s="15" t="n">
        <v>37</v>
      </c>
      <c r="AN7" s="15" t="n">
        <v>0</v>
      </c>
      <c r="AO7" s="15" t="n">
        <v>37</v>
      </c>
      <c r="AP7" s="15" t="n">
        <v>0</v>
      </c>
      <c r="AQ7" s="15" t="n">
        <v>26.82607163732176</v>
      </c>
      <c r="AR7" s="15" t="n">
        <v>14.77764031060438</v>
      </c>
      <c r="AS7" s="15" t="n">
        <v>0.4322678104939704</v>
      </c>
      <c r="AT7" s="17" t="n">
        <v>2.60544544689841</v>
      </c>
      <c r="AU7" s="18" t="n">
        <v>14.9195309047269</v>
      </c>
      <c r="AV7" s="15" t="n">
        <v>17.91647395621288</v>
      </c>
      <c r="AW7" s="15" t="b">
        <v>1</v>
      </c>
      <c r="AX7" s="15" t="n">
        <v>12.88649517328379</v>
      </c>
      <c r="AY7" s="15" t="n">
        <v>18.7643973661222</v>
      </c>
      <c r="AZ7" s="15" t="n">
        <v>0</v>
      </c>
      <c r="BA7" s="15" t="n">
        <v>1</v>
      </c>
      <c r="BB7" s="15" t="n">
        <v>0.5</v>
      </c>
      <c r="BC7" s="15" t="n">
        <v>0.25</v>
      </c>
      <c r="BD7" s="15" t="inlineStr">
        <is>
          <t>his_note_adaptive</t>
        </is>
      </c>
      <c r="BE7" s="15" t="n">
        <v>-90</v>
      </c>
      <c r="BF7" s="15" t="n">
        <v>20000</v>
      </c>
      <c r="BG7" s="15" t="n">
        <v>22</v>
      </c>
      <c r="BH7" s="15" t="n">
        <v>0.3666666666666666</v>
      </c>
      <c r="BI7" s="15" t="n">
        <v>60</v>
      </c>
      <c r="BJ7" s="15" t="n">
        <v>22</v>
      </c>
      <c r="BK7" s="15" t="n">
        <v>60</v>
      </c>
      <c r="BL7" s="15" t="n">
        <v>54</v>
      </c>
      <c r="BM7" s="15" t="n">
        <v>0.9</v>
      </c>
      <c r="BN7" s="15" t="n">
        <v>0.1483904251735644</v>
      </c>
      <c r="BO7" s="15" t="n">
        <v>0.3083333333333333</v>
      </c>
      <c r="BP7" s="19" t="n">
        <v>0.7565029460459813</v>
      </c>
      <c r="BQ7" s="19" t="n">
        <v>0.2434970539540186</v>
      </c>
      <c r="BR7" s="19" t="n">
        <v>0</v>
      </c>
      <c r="BS7" s="15" t="n">
        <v>0.09924384127636393</v>
      </c>
      <c r="BT7" s="19" t="n">
        <v>1</v>
      </c>
      <c r="BU7" s="19" t="n">
        <v>0</v>
      </c>
      <c r="BV7" s="19" t="n">
        <v>0</v>
      </c>
      <c r="BW7" t="inlineStr">
        <is>
          <t>E4</t>
        </is>
      </c>
      <c r="BX7" t="n">
        <v>64</v>
      </c>
      <c r="BY7" t="inlineStr">
        <is>
          <t>E</t>
        </is>
      </c>
      <c r="BZ7" t="n">
        <v>4</v>
      </c>
      <c r="CA7" t="inlineStr">
        <is>
          <t>High</t>
        </is>
      </c>
      <c r="CB7" t="inlineStr">
        <is>
          <t>mf</t>
        </is>
      </c>
      <c r="CC7" s="15" t="n">
        <v>329.6275569128699</v>
      </c>
      <c r="CD7" s="15" t="n">
        <v>330.5511746536122</v>
      </c>
      <c r="CE7" t="inlineStr">
        <is>
          <t>prior_constrained_harmonic_fit</t>
        </is>
      </c>
      <c r="CF7" t="n">
        <v>330.5511746536122</v>
      </c>
      <c r="CG7" s="15" t="n">
        <v>1</v>
      </c>
      <c r="CH7" t="inlineStr">
        <is>
          <t>free_fit_acoustically_verified</t>
        </is>
      </c>
      <c r="CI7" s="15" t="inlineStr">
        <is>
          <t>free_f0_fit</t>
        </is>
      </c>
      <c r="CJ7" s="15" t="n">
        <v>329.6275569128699</v>
      </c>
      <c r="CK7" s="15" t="n">
        <v>330.5511746536122</v>
      </c>
      <c r="CL7" s="15" t="n">
        <v>4.844141284442978</v>
      </c>
      <c r="CM7" s="15" t="n">
        <v>20000</v>
      </c>
      <c r="CN7" s="15" t="n">
        <v>4.844141284442978</v>
      </c>
      <c r="CO7" s="15" t="n">
        <v>2.338790860671976</v>
      </c>
      <c r="CP7" s="15" t="n">
        <v>38617.69988467907</v>
      </c>
      <c r="CQ7" t="n">
        <v>2.389597141076911</v>
      </c>
      <c r="CR7" t="n">
        <v>0.03982661901794851</v>
      </c>
      <c r="CS7" t="n">
        <v>160.9070828528294</v>
      </c>
      <c r="CT7" t="n">
        <v>160.9070828528294</v>
      </c>
      <c r="CU7" t="n">
        <v>384.5031051641469</v>
      </c>
      <c r="CV7" t="n">
        <v>39.79034445810937</v>
      </c>
      <c r="CW7" s="15" t="n">
        <v>38617.69988467907</v>
      </c>
      <c r="CX7" s="15" t="n">
        <v>119.7449738326434</v>
      </c>
      <c r="CY7" s="15" t="n">
        <v>39.79034445810937</v>
      </c>
      <c r="CZ7" s="15" t="n">
        <v>2.60544544689841</v>
      </c>
      <c r="DA7" s="15" t="n">
        <v>2.60544544689841</v>
      </c>
      <c r="DB7" s="15" t="n">
        <v>1.661288312200621</v>
      </c>
      <c r="DC7" s="15" t="n">
        <v>0</v>
      </c>
      <c r="DD7" s="15" t="n">
        <v>6.746764967045789e-05</v>
      </c>
      <c r="DE7" s="15" t="n">
        <v>0</v>
      </c>
      <c r="DF7" s="15" t="n">
        <v>14</v>
      </c>
      <c r="DG7" s="15" t="inlineStr">
        <is>
          <t>Density_Metrics</t>
        </is>
      </c>
      <c r="DH7" s="15" t="n">
        <v>2.338790860671976</v>
      </c>
      <c r="DI7" t="n">
        <v>0.9548004930484656</v>
      </c>
      <c r="DJ7" s="15" t="n">
        <v>0.5569589287444729</v>
      </c>
      <c r="DK7" s="15" t="n">
        <v>5.533536724222699</v>
      </c>
      <c r="DL7" s="15" t="n">
        <v>2.409374111542631</v>
      </c>
      <c r="DM7" s="15" t="n">
        <v>1.203232466811588</v>
      </c>
      <c r="DN7" s="15" t="n">
        <v>6.081060805792371</v>
      </c>
      <c r="DO7" s="15" t="n">
        <v>0.5620062296381311</v>
      </c>
      <c r="DP7" s="15" t="n">
        <v>7.5625</v>
      </c>
      <c r="DQ7" s="15" t="n">
        <v>44</v>
      </c>
      <c r="DR7" s="15" t="b">
        <v>1</v>
      </c>
      <c r="DS7" s="15" t="n">
        <v>2.401443549518539</v>
      </c>
      <c r="DT7" s="15" t="n">
        <v>16.39163532420807</v>
      </c>
      <c r="DU7" t="n">
        <v>60</v>
      </c>
      <c r="DV7" s="15" t="n">
        <v>0.09924384127636393</v>
      </c>
      <c r="DW7" s="15" t="n">
        <v>1.767885160563854</v>
      </c>
      <c r="DX7" s="15" t="n">
        <v>2.571778693918693</v>
      </c>
      <c r="DY7" s="15" t="n">
        <v>0.08889774961293567</v>
      </c>
      <c r="DZ7" s="15" t="b">
        <v>1</v>
      </c>
      <c r="EA7" s="15" t="n">
        <v>0.1206825868866059</v>
      </c>
      <c r="EB7" s="15" t="n">
        <v>20000</v>
      </c>
      <c r="EC7" s="15" t="n">
        <v>4627.716445150571</v>
      </c>
      <c r="ED7" s="15" t="n">
        <v>14</v>
      </c>
      <c r="EE7" s="15" t="n">
        <v>0</v>
      </c>
      <c r="EF7" s="15" t="n">
        <v>0.03266292922635083</v>
      </c>
      <c r="EG7" s="15" t="b">
        <v>0</v>
      </c>
      <c r="EH7" s="15" t="b">
        <v>1</v>
      </c>
      <c r="EI7" s="15" t="b">
        <v>0</v>
      </c>
      <c r="EJ7" s="15" t="inlineStr">
        <is>
          <t>wf=log|dst=-90.0|ceil=20000.0|fft=adaptive_tier</t>
        </is>
      </c>
      <c r="EK7" s="15" t="inlineStr">
        <is>
          <t>wf=log|dst=runtime_configured|ceil=runtime_configured|fft=fixed</t>
        </is>
      </c>
      <c r="EL7" s="15" t="n">
        <v>0.5967338366616752</v>
      </c>
      <c r="EM7" s="15" t="n">
        <v>0.9837668445932309</v>
      </c>
      <c r="EN7" s="15" t="n">
        <v>0.2295081967213115</v>
      </c>
      <c r="EO7" s="15" t="n">
        <v>0.3685544387113115</v>
      </c>
      <c r="EP7" s="15" t="inlineStr">
        <is>
          <t>warn:power_outlier_detected</t>
        </is>
      </c>
      <c r="EQ7" s="15" t="n">
        <v>506.7772284416901</v>
      </c>
      <c r="ER7" s="15" t="inlineStr">
        <is>
          <t>winsorize_p95_for_robust_diagnostics</t>
        </is>
      </c>
      <c r="ES7" s="15" t="n">
        <v>0.1894643017455834</v>
      </c>
      <c r="ET7" s="15" t="n">
        <v>0.03845593027615021</v>
      </c>
      <c r="EU7" s="15" t="n">
        <v>0.0447514329862718</v>
      </c>
      <c r="EV7" t="inlineStr">
        <is>
          <t>computed</t>
        </is>
      </c>
      <c r="EW7" s="15" t="inlineStr">
        <is>
          <t>computed</t>
        </is>
      </c>
      <c r="EX7" s="15" t="inlineStr">
        <is>
          <t>computed</t>
        </is>
      </c>
      <c r="EY7" s="15" t="inlineStr">
        <is>
          <t>available_from_curve</t>
        </is>
      </c>
      <c r="EZ7" s="15" t="n">
        <v>20000</v>
      </c>
      <c r="FA7" s="15" t="n">
        <v>20000</v>
      </c>
      <c r="FB7" s="15" t="n">
        <v>0.2434970539540186</v>
      </c>
      <c r="FC7" s="15" t="n">
        <v>0.4128044797504785</v>
      </c>
      <c r="FD7" s="15" t="n">
        <v>2.60544544689841</v>
      </c>
      <c r="FE7" s="15" t="n">
        <v>1.661288312200621</v>
      </c>
      <c r="FF7" s="15" t="n">
        <v>1.266802965123668</v>
      </c>
      <c r="FG7" s="15" t="n">
        <v>1.928163372636246</v>
      </c>
      <c r="FH7" s="15" t="n">
        <v>0.3424770699934678</v>
      </c>
      <c r="FI7" s="15" t="n">
        <v>0.06815041804226236</v>
      </c>
      <c r="FJ7" s="15" t="n">
        <v>9654.424971169768</v>
      </c>
      <c r="FK7" s="15" t="n">
        <v>29.93624345816085</v>
      </c>
      <c r="FL7" s="15" t="n">
        <v>9.947586114527343</v>
      </c>
      <c r="FM7" s="15" t="n">
        <v>0.004138345882645334</v>
      </c>
      <c r="FN7" t="n">
        <v>1</v>
      </c>
      <c r="FO7" t="n">
        <v>0</v>
      </c>
      <c r="FP7" t="n">
        <v>0</v>
      </c>
      <c r="FQ7" t="inlineStr">
        <is>
          <t>excellent</t>
        </is>
      </c>
      <c r="FR7" s="19" t="n">
        <v>0.9</v>
      </c>
      <c r="FS7" s="15" t="n">
        <v>3.817717878040418</v>
      </c>
      <c r="FT7" s="15" t="n">
        <v>14.20868813438874</v>
      </c>
      <c r="FU7" t="inlineStr">
        <is>
          <t>passed</t>
        </is>
      </c>
      <c r="FV7" t="n">
        <v>201.0651523960158</v>
      </c>
      <c r="FW7" t="n">
        <v>22.42230656555266</v>
      </c>
      <c r="FX7" t="n">
        <v>8.742149076939498</v>
      </c>
      <c r="FY7" t="n">
        <v>0.7191475554653173</v>
      </c>
      <c r="FZ7" t="n">
        <v>0.4989269327677055</v>
      </c>
      <c r="GA7" t="n">
        <v>0.7578831332394417</v>
      </c>
      <c r="GB7" t="n">
        <v>0.4811901175184076</v>
      </c>
      <c r="GC7" t="n">
        <v>0.4904485843361516</v>
      </c>
      <c r="GD7" t="n">
        <v>0.5882439223345644</v>
      </c>
      <c r="GE7" t="n">
        <v>1</v>
      </c>
      <c r="GF7" t="n">
        <v>0.3217625912094145</v>
      </c>
      <c r="GG7" t="n">
        <v>0.4724543732262592</v>
      </c>
      <c r="GH7" t="n">
        <v>0.6824623483064656</v>
      </c>
      <c r="GI7" t="n">
        <v>0.1555555555555554</v>
      </c>
      <c r="GJ7" t="n">
        <v>0.9000000000000004</v>
      </c>
      <c r="GK7" t="n">
        <v>0.4166666666666666</v>
      </c>
      <c r="GL7" t="n">
        <v>0.8791136888900791</v>
      </c>
      <c r="GM7" t="n">
        <v>0.8791136888900791</v>
      </c>
      <c r="GN7" t="n">
        <v>0.7258153096028757</v>
      </c>
      <c r="GO7" t="n">
        <v>0.3955788867537985</v>
      </c>
      <c r="GP7" t="n">
        <v>384.5031051641469</v>
      </c>
      <c r="GQ7" t="inlineStr">
        <is>
          <t>compiled workbook density_weighted_sum = density_component_ratio_weighted_sum (per-note component ratios); research density_weighted_sum maps body-ceiling richness</t>
        </is>
      </c>
      <c r="GR7" s="15" t="inlineStr">
        <is>
          <t>individual_exact</t>
        </is>
      </c>
      <c r="GS7" s="15" t="inlineStr">
        <is>
          <t>density_weight</t>
        </is>
      </c>
      <c r="GT7" s="15" t="n">
        <v>0.6782618908452163</v>
      </c>
      <c r="GU7" s="15" t="n">
        <v>0.3217381091547838</v>
      </c>
      <c r="GV7" s="15" t="n">
        <v>0</v>
      </c>
      <c r="GW7" s="15" t="inlineStr">
        <is>
          <t>log</t>
        </is>
      </c>
      <c r="GX7" s="15" t="n">
        <v>0.5</v>
      </c>
      <c r="GY7" s="15" t="inlineStr">
        <is>
          <t>EWSD-R v18.1</t>
        </is>
      </c>
      <c r="GZ7" s="15" t="n">
        <v>8.077713933481299</v>
      </c>
      <c r="HA7" s="15" t="n">
        <v>27.64232855878524</v>
      </c>
      <c r="HB7" s="15" t="n">
        <v>0.3352067536169301</v>
      </c>
      <c r="HC7" s="15" t="n">
        <v>11.09254152431888</v>
      </c>
      <c r="HD7" s="15" t="n">
        <v>31.13219565494684</v>
      </c>
      <c r="HE7" s="15" t="n">
        <v>0.285354476813671</v>
      </c>
      <c r="HF7" s="15" t="inlineStr">
        <is>
          <t>partials+ratios</t>
        </is>
      </c>
      <c r="HG7" s="15" t="inlineStr">
        <is>
          <t>merged_individual_exact</t>
        </is>
      </c>
      <c r="HH7" s="15" t="inlineStr">
        <is>
          <t>passed</t>
        </is>
      </c>
      <c r="HI7" s="15" t="inlineStr">
        <is>
          <t>passed</t>
        </is>
      </c>
    </row>
    <row r="8">
      <c r="A8" t="inlineStr">
        <is>
          <t>incomplete_inference</t>
        </is>
      </c>
      <c r="B8" t="inlineStr">
        <is>
          <t>missing_instrument_technique</t>
        </is>
      </c>
      <c r="C8" t="inlineStr">
        <is>
          <t>prior_constrained_harmonic_fit</t>
        </is>
      </c>
      <c r="D8" t="inlineStr">
        <is>
          <t>IOWA_flt_mf.F4_SustainStable/F4/component_amplitude_mass_pie.png</t>
        </is>
      </c>
      <c r="E8" t="inlineStr">
        <is>
          <t>IOWA_flt_mf.F4_SustainStable/F4/component_energy_ratio_pie.png</t>
        </is>
      </c>
      <c r="F8" s="15" t="n">
        <v>348.8756311851721</v>
      </c>
      <c r="G8" s="15" t="inlineStr">
        <is>
          <t>prior_constrained_harmonic_fit</t>
        </is>
      </c>
      <c r="H8" s="15" t="inlineStr">
        <is>
          <t>fit_accepted_acoustically_verified</t>
        </is>
      </c>
      <c r="I8" s="16" t="n">
        <v>395.8422815043601</v>
      </c>
      <c r="J8" t="inlineStr">
        <is>
          <t>richness_weighted_body_density_body_ceiling</t>
        </is>
      </c>
      <c r="K8" t="inlineStr">
        <is>
          <t>research_body_ceiling_richness_metric</t>
        </is>
      </c>
      <c r="L8" s="15" t="n">
        <v>41819.02286656044</v>
      </c>
      <c r="M8" s="15" t="n">
        <v>41819.02286656044</v>
      </c>
      <c r="N8" s="15" t="n">
        <v>173.8855804321026</v>
      </c>
      <c r="O8" s="15" t="n">
        <v>41.67115092220661</v>
      </c>
      <c r="P8" s="15" t="n">
        <v>-2.980786442211158</v>
      </c>
      <c r="Q8" s="15" t="n">
        <v>19</v>
      </c>
      <c r="R8" s="15" t="n">
        <v>41</v>
      </c>
      <c r="S8" s="15" t="n">
        <v>10454.80873429194</v>
      </c>
      <c r="T8" s="15" t="n">
        <v>58</v>
      </c>
      <c r="U8" s="15" t="n">
        <v>0.2359909999662678</v>
      </c>
      <c r="V8" s="15" t="n">
        <v>25.22262185052533</v>
      </c>
      <c r="W8" s="15" t="n">
        <v>0.8745122994682879</v>
      </c>
      <c r="X8" s="15" t="n">
        <v>0.2615845611091387</v>
      </c>
      <c r="Y8" s="15" t="n">
        <v>21</v>
      </c>
      <c r="Z8" s="15" t="n">
        <v>57</v>
      </c>
      <c r="AA8" s="15" t="n">
        <v>0.3684210526315789</v>
      </c>
      <c r="AB8" s="15" t="n">
        <v>57</v>
      </c>
      <c r="AC8" s="15" t="n">
        <v>21</v>
      </c>
      <c r="AD8" s="15" t="n">
        <v>0.3684210526315789</v>
      </c>
      <c r="AE8" s="15" t="n">
        <v>555.1846042030369</v>
      </c>
      <c r="AF8" s="15" t="n">
        <v>21</v>
      </c>
      <c r="AG8" s="15" t="n">
        <v>57</v>
      </c>
      <c r="AH8" s="15" t="n">
        <v>0.3684210526315789</v>
      </c>
      <c r="AI8" s="15" t="n">
        <v>555.1846042030369</v>
      </c>
      <c r="AJ8" s="15" t="n">
        <v>11</v>
      </c>
      <c r="AK8" s="15" t="n">
        <v>10</v>
      </c>
      <c r="AL8" s="15" t="n">
        <v>0.6570902121996433</v>
      </c>
      <c r="AM8" s="15" t="n">
        <v>34</v>
      </c>
      <c r="AN8" s="15" t="n">
        <v>0</v>
      </c>
      <c r="AO8" s="15" t="n">
        <v>34</v>
      </c>
      <c r="AP8" s="15" t="n">
        <v>0</v>
      </c>
      <c r="AQ8" s="15" t="n">
        <v>24.86326746438355</v>
      </c>
      <c r="AR8" s="15" t="n">
        <v>13.72025124259835</v>
      </c>
      <c r="AS8" s="15" t="n">
        <v>0.3803222964469927</v>
      </c>
      <c r="AT8" s="17" t="n">
        <v>2.601063131893429</v>
      </c>
      <c r="AU8" s="18" t="n">
        <v>13.11028616047303</v>
      </c>
      <c r="AV8" s="15" t="n">
        <v>16.97405722224918</v>
      </c>
      <c r="AW8" s="15" t="b">
        <v>1</v>
      </c>
      <c r="AX8" s="15" t="n">
        <v>12.42189035525733</v>
      </c>
      <c r="AY8" s="15" t="n">
        <v>16.79091002346365</v>
      </c>
      <c r="AZ8" s="15" t="n">
        <v>0</v>
      </c>
      <c r="BA8" s="15" t="n">
        <v>1</v>
      </c>
      <c r="BB8" s="15" t="n">
        <v>0.5</v>
      </c>
      <c r="BC8" s="15" t="n">
        <v>0.25</v>
      </c>
      <c r="BD8" s="15" t="inlineStr">
        <is>
          <t>his_note_adaptive</t>
        </is>
      </c>
      <c r="BE8" s="15" t="n">
        <v>-90</v>
      </c>
      <c r="BF8" s="15" t="n">
        <v>20000</v>
      </c>
      <c r="BG8" s="15" t="n">
        <v>21</v>
      </c>
      <c r="BH8" s="15" t="n">
        <v>0.3684210526315789</v>
      </c>
      <c r="BI8" s="15" t="n">
        <v>57</v>
      </c>
      <c r="BJ8" s="15" t="n">
        <v>21</v>
      </c>
      <c r="BK8" s="15" t="n">
        <v>57</v>
      </c>
      <c r="BL8" s="15" t="n">
        <v>51</v>
      </c>
      <c r="BM8" s="15" t="n">
        <v>0.8947368421052632</v>
      </c>
      <c r="BN8" s="15" t="n">
        <v>0.1510870467855889</v>
      </c>
      <c r="BO8" s="15" t="n">
        <v>0.2833333333333333</v>
      </c>
      <c r="BP8" s="19" t="n">
        <v>0.7581377824163184</v>
      </c>
      <c r="BQ8" s="19" t="n">
        <v>0.2418622175836816</v>
      </c>
      <c r="BR8" s="19" t="n">
        <v>0</v>
      </c>
      <c r="BS8" s="15" t="n">
        <v>0.09038941193112265</v>
      </c>
      <c r="BT8" s="19" t="n">
        <v>1</v>
      </c>
      <c r="BU8" s="19" t="n">
        <v>0</v>
      </c>
      <c r="BV8" s="19" t="n">
        <v>0</v>
      </c>
      <c r="BW8" t="inlineStr">
        <is>
          <t>F4</t>
        </is>
      </c>
      <c r="BX8" t="n">
        <v>65</v>
      </c>
      <c r="BY8" t="inlineStr">
        <is>
          <t>F</t>
        </is>
      </c>
      <c r="BZ8" t="n">
        <v>4</v>
      </c>
      <c r="CA8" t="inlineStr">
        <is>
          <t>High</t>
        </is>
      </c>
      <c r="CB8" t="inlineStr">
        <is>
          <t>mf</t>
        </is>
      </c>
      <c r="CC8" s="15" t="n">
        <v>349.2282314330039</v>
      </c>
      <c r="CD8" s="15" t="n">
        <v>348.8756311851721</v>
      </c>
      <c r="CE8" t="inlineStr">
        <is>
          <t>prior_constrained_harmonic_fit</t>
        </is>
      </c>
      <c r="CF8" t="n">
        <v>348.8756311851721</v>
      </c>
      <c r="CG8" s="15" t="n">
        <v>1</v>
      </c>
      <c r="CH8" t="inlineStr">
        <is>
          <t>free_fit_acoustically_verified</t>
        </is>
      </c>
      <c r="CI8" s="15" t="inlineStr">
        <is>
          <t>free_f0_fit</t>
        </is>
      </c>
      <c r="CJ8" s="15" t="n">
        <v>349.2282314330039</v>
      </c>
      <c r="CK8" s="15" t="n">
        <v>348.8756311851721</v>
      </c>
      <c r="CL8" s="15" t="n">
        <v>-1.748833201911999</v>
      </c>
      <c r="CM8" s="15" t="n">
        <v>20000</v>
      </c>
      <c r="CN8" s="15" t="n">
        <v>-1.748833201911999</v>
      </c>
      <c r="CO8" s="15" t="n">
        <v>2.35157426245415</v>
      </c>
      <c r="CP8" s="15" t="n">
        <v>41819.02286656044</v>
      </c>
      <c r="CQ8" t="n">
        <v>2.158157555975846</v>
      </c>
      <c r="CR8" t="n">
        <v>0.03786241326273414</v>
      </c>
      <c r="CS8" t="n">
        <v>183.4167669585984</v>
      </c>
      <c r="CT8" t="n">
        <v>183.4167669585984</v>
      </c>
      <c r="CU8" t="n">
        <v>395.8422815043601</v>
      </c>
      <c r="CV8" t="n">
        <v>41.67115092220661</v>
      </c>
      <c r="CW8" s="15" t="n">
        <v>41819.02286656044</v>
      </c>
      <c r="CX8" s="15" t="n">
        <v>173.8855804321026</v>
      </c>
      <c r="CY8" s="15" t="n">
        <v>41.67115092220661</v>
      </c>
      <c r="CZ8" s="15" t="n">
        <v>2.601063131893429</v>
      </c>
      <c r="DA8" s="15" t="n">
        <v>2.601063131893429</v>
      </c>
      <c r="DB8" s="15" t="n">
        <v>1.735083530600007</v>
      </c>
      <c r="DC8" s="15" t="n">
        <v>0</v>
      </c>
      <c r="DD8" s="15" t="n">
        <v>6.219808483314195e-05</v>
      </c>
      <c r="DE8" s="15" t="n">
        <v>0</v>
      </c>
      <c r="DF8" s="15" t="n">
        <v>19</v>
      </c>
      <c r="DG8" s="15" t="inlineStr">
        <is>
          <t>Density_Metrics</t>
        </is>
      </c>
      <c r="DH8" s="15" t="n">
        <v>2.35157426245415</v>
      </c>
      <c r="DI8" t="n">
        <v>0.9600192573807966</v>
      </c>
      <c r="DJ8" s="15" t="n">
        <v>0.556430735254265</v>
      </c>
      <c r="DK8" s="15" t="n">
        <v>5.618072080380774</v>
      </c>
      <c r="DL8" s="15" t="n">
        <v>2.180455444494234</v>
      </c>
      <c r="DM8" s="15" t="n">
        <v>1.135994263081483</v>
      </c>
      <c r="DN8" s="15" t="n">
        <v>6.463382110434209</v>
      </c>
      <c r="DO8" s="15" t="n">
        <v>0.7425772720895071</v>
      </c>
      <c r="DP8" s="15" t="n">
        <v>9</v>
      </c>
      <c r="DQ8" s="15" t="n">
        <v>47</v>
      </c>
      <c r="DR8" s="15" t="b">
        <v>1</v>
      </c>
      <c r="DS8" s="15" t="n">
        <v>2.158157555975846</v>
      </c>
      <c r="DT8" s="15" t="n">
        <v>14.91031998322091</v>
      </c>
      <c r="DU8" t="n">
        <v>57</v>
      </c>
      <c r="DV8" s="15" t="n">
        <v>0.09038941193112265</v>
      </c>
      <c r="DW8" s="15" t="n">
        <v>1.694982515502659</v>
      </c>
      <c r="DX8" s="15" t="n">
        <v>2.604478222278351</v>
      </c>
      <c r="DY8" s="15" t="n">
        <v>0.0994652907450833</v>
      </c>
      <c r="DZ8" s="15" t="b">
        <v>1</v>
      </c>
      <c r="EA8" s="15" t="n">
        <v>0.2005845436076027</v>
      </c>
      <c r="EB8" s="15" t="n">
        <v>20000</v>
      </c>
      <c r="EC8" s="15" t="n">
        <v>7326.388254888614</v>
      </c>
      <c r="ED8" s="15" t="n">
        <v>21</v>
      </c>
      <c r="EE8" s="15" t="n">
        <v>0</v>
      </c>
      <c r="EF8" s="15" t="n">
        <v>0.03082969987369268</v>
      </c>
      <c r="EG8" s="15" t="b">
        <v>0</v>
      </c>
      <c r="EH8" s="15" t="b">
        <v>1</v>
      </c>
      <c r="EI8" s="15" t="b">
        <v>0</v>
      </c>
      <c r="EJ8" s="15" t="inlineStr">
        <is>
          <t>wf=log|dst=-90.0|ceil=20000.0|fft=adaptive_tier</t>
        </is>
      </c>
      <c r="EK8" s="15" t="inlineStr">
        <is>
          <t>wf=log|dst=runtime_configured|ceil=runtime_configured|fft=fixed</t>
        </is>
      </c>
      <c r="EL8" s="15" t="n">
        <v>0.6343549662243092</v>
      </c>
      <c r="EM8" s="15" t="n">
        <v>0.9937464356874809</v>
      </c>
      <c r="EN8" s="15" t="n">
        <v>0.3275862068965517</v>
      </c>
      <c r="EO8" s="15" t="n">
        <v>0.3625694887557485</v>
      </c>
      <c r="EP8" s="15" t="inlineStr">
        <is>
          <t>warn:power_outlier_detected</t>
        </is>
      </c>
      <c r="EQ8" s="15" t="n">
        <v>562.9173604882184</v>
      </c>
      <c r="ER8" s="15" t="inlineStr">
        <is>
          <t>winsorize_p95_for_robust_diagnostics</t>
        </is>
      </c>
      <c r="ES8" s="15" t="n">
        <v>0.1873531829767094</v>
      </c>
      <c r="ET8" s="15" t="n">
        <v>0.03383015734791707</v>
      </c>
      <c r="EU8" s="15" t="n">
        <v>0.04066046034093222</v>
      </c>
      <c r="EV8" t="inlineStr">
        <is>
          <t>computed</t>
        </is>
      </c>
      <c r="EW8" s="15" t="inlineStr">
        <is>
          <t>computed</t>
        </is>
      </c>
      <c r="EX8" s="15" t="inlineStr">
        <is>
          <t>computed</t>
        </is>
      </c>
      <c r="EY8" s="15" t="inlineStr">
        <is>
          <t>available_from_curve</t>
        </is>
      </c>
      <c r="EZ8" s="15" t="n">
        <v>20000</v>
      </c>
      <c r="FA8" s="15" t="n">
        <v>20000</v>
      </c>
      <c r="FB8" s="15" t="n">
        <v>0.2418622175836816</v>
      </c>
      <c r="FC8" s="15" t="n">
        <v>0.3256378141518155</v>
      </c>
      <c r="FD8" s="15" t="n">
        <v>2.601063131893429</v>
      </c>
      <c r="FE8" s="15" t="n">
        <v>1.735083530600007</v>
      </c>
      <c r="FF8" s="15" t="n">
        <v>1.281925417887336</v>
      </c>
      <c r="FG8" s="15" t="n">
        <v>1.924920234580902</v>
      </c>
      <c r="FH8" s="15" t="n">
        <v>0.3576900646262127</v>
      </c>
      <c r="FI8" s="15" t="n">
        <v>0.06896396324703516</v>
      </c>
      <c r="FJ8" s="15" t="n">
        <v>10454.75571664011</v>
      </c>
      <c r="FK8" s="15" t="n">
        <v>43.47139510802564</v>
      </c>
      <c r="FL8" s="15" t="n">
        <v>10.41778773055165</v>
      </c>
      <c r="FM8" s="15" t="n">
        <v>0.004839819573861324</v>
      </c>
      <c r="FN8" t="n">
        <v>1</v>
      </c>
      <c r="FO8" t="n">
        <v>0</v>
      </c>
      <c r="FP8" t="n">
        <v>0</v>
      </c>
      <c r="FQ8" t="inlineStr">
        <is>
          <t>excellent</t>
        </is>
      </c>
      <c r="FR8" s="19" t="n">
        <v>0.8947368421052632</v>
      </c>
      <c r="FS8" s="15" t="n">
        <v>4.114869822702071</v>
      </c>
      <c r="FT8" s="15" t="n">
        <v>13.98205763766601</v>
      </c>
      <c r="FU8" t="inlineStr">
        <is>
          <t>passed</t>
        </is>
      </c>
      <c r="FV8" t="n">
        <v>199.0414557272131</v>
      </c>
      <c r="FW8" t="n">
        <v>26.66774141539627</v>
      </c>
      <c r="FX8" t="n">
        <v>9.069636074488077</v>
      </c>
      <c r="FY8" t="n">
        <v>0.7515749605199155</v>
      </c>
      <c r="FZ8" t="n">
        <v>0.5155278403402985</v>
      </c>
      <c r="GA8" t="n">
        <v>0.8065353180119111</v>
      </c>
      <c r="GB8" t="n">
        <v>0.4017234406319071</v>
      </c>
      <c r="GC8" t="n">
        <v>0.4047680321788192</v>
      </c>
      <c r="GD8" t="n">
        <v>0.4874022495963752</v>
      </c>
      <c r="GE8" t="n">
        <v>0.9411691515663992</v>
      </c>
      <c r="GF8" t="n">
        <v>0.2842947143359385</v>
      </c>
      <c r="GG8" t="n">
        <v>0.4078936443210871</v>
      </c>
      <c r="GH8" t="n">
        <v>0.5743477888694809</v>
      </c>
      <c r="GI8" t="n">
        <v>0.1578947368421052</v>
      </c>
      <c r="GJ8" t="n">
        <v>0.8684210526315792</v>
      </c>
      <c r="GK8" t="n">
        <v>0.3541666666666667</v>
      </c>
      <c r="GL8" t="n">
        <v>0.8642307376073443</v>
      </c>
      <c r="GM8" t="n">
        <v>0.8642307376073443</v>
      </c>
      <c r="GN8" t="n">
        <v>0.5564481405606053</v>
      </c>
      <c r="GO8" t="n">
        <v>0.3436405281454945</v>
      </c>
      <c r="GP8" t="n">
        <v>395.8422815043601</v>
      </c>
      <c r="GQ8" t="inlineStr">
        <is>
          <t>compiled workbook density_weighted_sum = density_component_ratio_weighted_sum (per-note component ratios); research density_weighted_sum maps body-ceiling richness</t>
        </is>
      </c>
      <c r="GR8" s="15" t="inlineStr">
        <is>
          <t>individual_exact</t>
        </is>
      </c>
      <c r="GS8" s="15" t="inlineStr">
        <is>
          <t>density_weight</t>
        </is>
      </c>
      <c r="GT8" s="15" t="n">
        <v>0.7028255796628042</v>
      </c>
      <c r="GU8" s="15" t="n">
        <v>0.2971744203371958</v>
      </c>
      <c r="GV8" s="15" t="n">
        <v>0</v>
      </c>
      <c r="GW8" s="15" t="inlineStr">
        <is>
          <t>log</t>
        </is>
      </c>
      <c r="GX8" s="15" t="n">
        <v>0.5</v>
      </c>
      <c r="GY8" s="15" t="inlineStr">
        <is>
          <t>EWSD-R v18.1</t>
        </is>
      </c>
      <c r="GZ8" s="15" t="n">
        <v>5.951238176725775</v>
      </c>
      <c r="HA8" s="15" t="n">
        <v>23.74049386284388</v>
      </c>
      <c r="HB8" s="15" t="n">
        <v>0.3592788189267349</v>
      </c>
      <c r="HC8" s="15" t="n">
        <v>9.536288811706999</v>
      </c>
      <c r="HD8" s="15" t="n">
        <v>29.94097725930221</v>
      </c>
      <c r="HE8" s="15" t="n">
        <v>0.3169083695987303</v>
      </c>
      <c r="HF8" s="15" t="inlineStr">
        <is>
          <t>partials+ratios</t>
        </is>
      </c>
      <c r="HG8" s="15" t="inlineStr">
        <is>
          <t>merged_individual_exact</t>
        </is>
      </c>
      <c r="HH8" s="15" t="inlineStr">
        <is>
          <t>passed</t>
        </is>
      </c>
      <c r="HI8" s="15" t="inlineStr">
        <is>
          <t>passed</t>
        </is>
      </c>
    </row>
    <row r="9">
      <c r="A9" t="inlineStr">
        <is>
          <t>incomplete_inference</t>
        </is>
      </c>
      <c r="B9" t="inlineStr">
        <is>
          <t>missing_instrument_technique</t>
        </is>
      </c>
      <c r="C9" t="inlineStr">
        <is>
          <t>prior_constrained_harmonic_fit</t>
        </is>
      </c>
      <c r="D9" t="inlineStr">
        <is>
          <t>IOWA_flt_mf.F#4_SustainStable/F#4/component_amplitude_mass_pie.png</t>
        </is>
      </c>
      <c r="E9" t="inlineStr">
        <is>
          <t>IOWA_flt_mf.F#4_SustainStable/F#4/component_energy_ratio_pie.png</t>
        </is>
      </c>
      <c r="F9" s="15" t="n">
        <v>369.5706569799131</v>
      </c>
      <c r="G9" s="15" t="inlineStr">
        <is>
          <t>prior_constrained_harmonic_fit</t>
        </is>
      </c>
      <c r="H9" s="15" t="inlineStr">
        <is>
          <t>fit_accepted_acoustically_verified</t>
        </is>
      </c>
      <c r="I9" s="16" t="n">
        <v>433.492582822151</v>
      </c>
      <c r="J9" t="inlineStr">
        <is>
          <t>richness_weighted_body_density_body_ceiling</t>
        </is>
      </c>
      <c r="K9" t="inlineStr">
        <is>
          <t>research_body_ceiling_richness_metric</t>
        </is>
      </c>
      <c r="L9" s="15" t="n">
        <v>39884.9362104922</v>
      </c>
      <c r="M9" s="15" t="n">
        <v>39884.9362104922</v>
      </c>
      <c r="N9" s="15" t="n">
        <v>146.0331528756805</v>
      </c>
      <c r="O9" s="15" t="n">
        <v>21.74219997325622</v>
      </c>
      <c r="P9" s="15" t="n">
        <v>-3.202406830001326</v>
      </c>
      <c r="Q9" s="15" t="n">
        <v>18</v>
      </c>
      <c r="R9" s="15" t="n">
        <v>46</v>
      </c>
      <c r="S9" s="15" t="n">
        <v>9971.294788125067</v>
      </c>
      <c r="T9" s="15" t="n">
        <v>55</v>
      </c>
      <c r="U9" s="15" t="n">
        <v>0.4734321405134889</v>
      </c>
      <c r="V9" s="15" t="n">
        <v>28.0954237758746</v>
      </c>
      <c r="W9" s="15" t="n">
        <v>0.8788487373457707</v>
      </c>
      <c r="X9" s="15" t="n">
        <v>0.3419033427228828</v>
      </c>
      <c r="Y9" s="15" t="n">
        <v>27</v>
      </c>
      <c r="Z9" s="15" t="n">
        <v>54</v>
      </c>
      <c r="AA9" s="15" t="n">
        <v>0.5</v>
      </c>
      <c r="AB9" s="15" t="n">
        <v>54</v>
      </c>
      <c r="AC9" s="15" t="n">
        <v>27</v>
      </c>
      <c r="AD9" s="15" t="n">
        <v>0.5</v>
      </c>
      <c r="AE9" s="15" t="n">
        <v>567.2948631108768</v>
      </c>
      <c r="AF9" s="15" t="n">
        <v>27</v>
      </c>
      <c r="AG9" s="15" t="n">
        <v>54</v>
      </c>
      <c r="AH9" s="15" t="n">
        <v>0.5</v>
      </c>
      <c r="AI9" s="15" t="n">
        <v>567.2948631108768</v>
      </c>
      <c r="AJ9" s="15" t="n">
        <v>13</v>
      </c>
      <c r="AK9" s="15" t="n">
        <v>14</v>
      </c>
      <c r="AL9" s="15" t="n">
        <v>0.6741084026255121</v>
      </c>
      <c r="AM9" s="15" t="n">
        <v>30</v>
      </c>
      <c r="AN9" s="15" t="n">
        <v>0</v>
      </c>
      <c r="AO9" s="15" t="n">
        <v>30</v>
      </c>
      <c r="AP9" s="15" t="n">
        <v>0</v>
      </c>
      <c r="AQ9" s="15" t="n">
        <v>27.456008619299</v>
      </c>
      <c r="AR9" s="15" t="n">
        <v>14.80841563445551</v>
      </c>
      <c r="AS9" s="15" t="n">
        <v>0.4337796854185181</v>
      </c>
      <c r="AT9" s="17" t="n">
        <v>2.608935697268858</v>
      </c>
      <c r="AU9" s="18" t="n">
        <v>12.86564483658032</v>
      </c>
      <c r="AV9" s="15" t="n">
        <v>17.29698529328588</v>
      </c>
      <c r="AW9" s="15" t="b">
        <v>1</v>
      </c>
      <c r="AX9" s="15" t="n">
        <v>14.76439150642235</v>
      </c>
      <c r="AY9" s="15" t="n">
        <v>15.0540184531728</v>
      </c>
      <c r="AZ9" s="15" t="n">
        <v>0</v>
      </c>
      <c r="BA9" s="15" t="n">
        <v>1</v>
      </c>
      <c r="BB9" s="15" t="n">
        <v>0.5</v>
      </c>
      <c r="BC9" s="15" t="n">
        <v>0.25</v>
      </c>
      <c r="BD9" s="15" t="inlineStr">
        <is>
          <t>his_note_adaptive</t>
        </is>
      </c>
      <c r="BE9" s="15" t="n">
        <v>-90</v>
      </c>
      <c r="BF9" s="15" t="n">
        <v>20000</v>
      </c>
      <c r="BG9" s="15" t="n">
        <v>27</v>
      </c>
      <c r="BH9" s="15" t="n">
        <v>0.5</v>
      </c>
      <c r="BI9" s="15" t="n">
        <v>54</v>
      </c>
      <c r="BJ9" s="15" t="n">
        <v>27</v>
      </c>
      <c r="BK9" s="15" t="n">
        <v>54</v>
      </c>
      <c r="BL9" s="15" t="n">
        <v>47</v>
      </c>
      <c r="BM9" s="15" t="n">
        <v>0.8703703703703703</v>
      </c>
      <c r="BN9" s="15" t="n">
        <v>0.1960340222779836</v>
      </c>
      <c r="BO9" s="15" t="n">
        <v>0.25</v>
      </c>
      <c r="BP9" s="19" t="n">
        <v>0.8143274161778787</v>
      </c>
      <c r="BQ9" s="19" t="n">
        <v>0.1856725838221213</v>
      </c>
      <c r="BR9" s="19" t="n">
        <v>0</v>
      </c>
      <c r="BS9" s="15" t="n">
        <v>0.05700182142141079</v>
      </c>
      <c r="BT9" s="19" t="n">
        <v>1</v>
      </c>
      <c r="BU9" s="19" t="n">
        <v>0</v>
      </c>
      <c r="BV9" s="19" t="n">
        <v>0</v>
      </c>
      <c r="BW9" t="inlineStr">
        <is>
          <t>F#4</t>
        </is>
      </c>
      <c r="BX9" t="n">
        <v>66</v>
      </c>
      <c r="BY9" t="inlineStr">
        <is>
          <t>F#</t>
        </is>
      </c>
      <c r="BZ9" t="n">
        <v>4</v>
      </c>
      <c r="CA9" t="inlineStr">
        <is>
          <t>High</t>
        </is>
      </c>
      <c r="CB9" t="inlineStr">
        <is>
          <t>mf</t>
        </is>
      </c>
      <c r="CC9" s="15" t="n">
        <v>369.9944227116344</v>
      </c>
      <c r="CD9" s="15" t="n">
        <v>369.5706569799131</v>
      </c>
      <c r="CE9" t="inlineStr">
        <is>
          <t>prior_constrained_harmonic_fit</t>
        </is>
      </c>
      <c r="CF9" t="n">
        <v>369.5706569799131</v>
      </c>
      <c r="CG9" s="15" t="n">
        <v>1</v>
      </c>
      <c r="CH9" t="inlineStr">
        <is>
          <t>free_fit_acoustically_verified</t>
        </is>
      </c>
      <c r="CI9" s="15" t="inlineStr">
        <is>
          <t>free_f0_fit</t>
        </is>
      </c>
      <c r="CJ9" s="15" t="n">
        <v>369.9944227116344</v>
      </c>
      <c r="CK9" s="15" t="n">
        <v>369.5706569799131</v>
      </c>
      <c r="CL9" s="15" t="n">
        <v>-1.983970752592285</v>
      </c>
      <c r="CM9" s="15" t="n">
        <v>20000</v>
      </c>
      <c r="CN9" s="15" t="n">
        <v>-1.983970752592285</v>
      </c>
      <c r="CO9" s="15" t="n">
        <v>2.330482451145594</v>
      </c>
      <c r="CP9" s="15" t="n">
        <v>39884.9362104922</v>
      </c>
      <c r="CQ9" t="n">
        <v>2.347613078667856</v>
      </c>
      <c r="CR9" t="n">
        <v>0.04347431627162696</v>
      </c>
      <c r="CS9" t="n">
        <v>184.6524824559824</v>
      </c>
      <c r="CT9" t="n">
        <v>184.6524824559824</v>
      </c>
      <c r="CU9" t="n">
        <v>433.492582822151</v>
      </c>
      <c r="CV9" t="n">
        <v>21.74219997325622</v>
      </c>
      <c r="CW9" s="15" t="n">
        <v>39884.9362104922</v>
      </c>
      <c r="CX9" s="15" t="n">
        <v>146.0331528756805</v>
      </c>
      <c r="CY9" s="15" t="n">
        <v>21.74219997325622</v>
      </c>
      <c r="CZ9" s="15" t="n">
        <v>2.608935697268858</v>
      </c>
      <c r="DA9" s="15" t="n">
        <v>2.608935697268858</v>
      </c>
      <c r="DB9" s="15" t="n">
        <v>1.639543750596489</v>
      </c>
      <c r="DC9" s="15" t="n">
        <v>0</v>
      </c>
      <c r="DD9" s="15" t="n">
        <v>6.541155496652259e-05</v>
      </c>
      <c r="DE9" s="15" t="n">
        <v>0</v>
      </c>
      <c r="DF9" s="15" t="n">
        <v>18</v>
      </c>
      <c r="DG9" s="15" t="inlineStr">
        <is>
          <t>Density_Metrics</t>
        </is>
      </c>
      <c r="DH9" s="15" t="n">
        <v>2.330482451145594</v>
      </c>
      <c r="DI9" t="n">
        <v>0.9514086234949996</v>
      </c>
      <c r="DJ9" s="15" t="n">
        <v>0.5573791440240138</v>
      </c>
      <c r="DK9" s="15" t="n">
        <v>5.396155333780294</v>
      </c>
      <c r="DL9" s="15" t="n">
        <v>2.367396324875041</v>
      </c>
      <c r="DM9" s="15" t="n">
        <v>1.114839516272221</v>
      </c>
      <c r="DN9" s="15" t="n">
        <v>5.883121718262988</v>
      </c>
      <c r="DO9" s="15" t="n">
        <v>0.5244924630544319</v>
      </c>
      <c r="DP9" s="15" t="n">
        <v>7</v>
      </c>
      <c r="DQ9" s="15" t="n">
        <v>41</v>
      </c>
      <c r="DR9" s="15" t="b">
        <v>1</v>
      </c>
      <c r="DS9" s="15" t="n">
        <v>2.347613078667856</v>
      </c>
      <c r="DT9" s="15" t="n">
        <v>18.46278050703567</v>
      </c>
      <c r="DU9" t="n">
        <v>54</v>
      </c>
      <c r="DV9" s="15" t="n">
        <v>0.05700182142141079</v>
      </c>
      <c r="DW9" s="15" t="n">
        <v>1.711316967638714</v>
      </c>
      <c r="DX9" s="15" t="n">
        <v>2.584640271435666</v>
      </c>
      <c r="DY9" s="15" t="n">
        <v>0.09443191160671724</v>
      </c>
      <c r="DZ9" s="15" t="b">
        <v>1</v>
      </c>
      <c r="EA9" s="15" t="n">
        <v>0.09645070207432618</v>
      </c>
      <c r="EB9" s="15" t="n">
        <v>20000</v>
      </c>
      <c r="EC9" s="15" t="n">
        <v>6652.271825638435</v>
      </c>
      <c r="ED9" s="15" t="n">
        <v>18</v>
      </c>
      <c r="EE9" s="15" t="n">
        <v>0</v>
      </c>
      <c r="EF9" s="15" t="n">
        <v>0.02909936177846458</v>
      </c>
      <c r="EG9" s="15" t="b">
        <v>0</v>
      </c>
      <c r="EH9" s="15" t="b">
        <v>1</v>
      </c>
      <c r="EI9" s="15" t="b">
        <v>0</v>
      </c>
      <c r="EJ9" s="15" t="inlineStr">
        <is>
          <t>wf=log|dst=-90.0|ceil=20000.0|fft=adaptive_tier</t>
        </is>
      </c>
      <c r="EK9" s="15" t="inlineStr">
        <is>
          <t>wf=log|dst=runtime_configured|ceil=runtime_configured|fft=fixed</t>
        </is>
      </c>
      <c r="EL9" s="15" t="n">
        <v>0.6318159303052204</v>
      </c>
      <c r="EM9" s="15" t="n">
        <v>0.9876168479242838</v>
      </c>
      <c r="EN9" s="15" t="n">
        <v>0.3272727272727273</v>
      </c>
      <c r="EO9" s="15" t="n">
        <v>0.3642144709691906</v>
      </c>
      <c r="EP9" s="15" t="inlineStr">
        <is>
          <t>warn:power_outlier_detected</t>
        </is>
      </c>
      <c r="EQ9" s="15" t="n">
        <v>546.7176660071606</v>
      </c>
      <c r="ER9" s="15" t="inlineStr">
        <is>
          <t>winsorize_p95_for_robust_diagnostics</t>
        </is>
      </c>
      <c r="ES9" s="15" t="n">
        <v>0.1898165704735491</v>
      </c>
      <c r="ET9" s="15" t="n">
        <v>0.04178337521395551</v>
      </c>
      <c r="EU9" s="15" t="n">
        <v>0.04664720599948258</v>
      </c>
      <c r="EV9" t="inlineStr">
        <is>
          <t>computed</t>
        </is>
      </c>
      <c r="EW9" s="15" t="inlineStr">
        <is>
          <t>computed</t>
        </is>
      </c>
      <c r="EX9" s="15" t="inlineStr">
        <is>
          <t>computed</t>
        </is>
      </c>
      <c r="EY9" s="15" t="inlineStr">
        <is>
          <t>available_from_curve</t>
        </is>
      </c>
      <c r="EZ9" s="15" t="n">
        <v>20000</v>
      </c>
      <c r="FA9" s="15" t="n">
        <v>20000</v>
      </c>
      <c r="FB9" s="15" t="n">
        <v>0.1856725838221213</v>
      </c>
      <c r="FC9" s="15" t="n">
        <v>0.4100282782832637</v>
      </c>
      <c r="FD9" s="15" t="n">
        <v>2.608935697268858</v>
      </c>
      <c r="FE9" s="15" t="n">
        <v>1.639543750596489</v>
      </c>
      <c r="FF9" s="15" t="n">
        <v>1.147675885914948</v>
      </c>
      <c r="FG9" s="15" t="n">
        <v>1.930746337070845</v>
      </c>
      <c r="FH9" s="15" t="n">
        <v>0.3379943961000898</v>
      </c>
      <c r="FI9" s="15" t="n">
        <v>0.06174171797465915</v>
      </c>
      <c r="FJ9" s="15" t="n">
        <v>9971.234052623049</v>
      </c>
      <c r="FK9" s="15" t="n">
        <v>36.50828821892014</v>
      </c>
      <c r="FL9" s="15" t="n">
        <v>5.435549993314054</v>
      </c>
      <c r="FM9" s="15" t="n">
        <v>0.004625285293799204</v>
      </c>
      <c r="FN9" t="n">
        <v>1</v>
      </c>
      <c r="FO9" t="n">
        <v>0</v>
      </c>
      <c r="FP9" t="n">
        <v>0</v>
      </c>
      <c r="FQ9" t="inlineStr">
        <is>
          <t>excellent</t>
        </is>
      </c>
      <c r="FR9" s="19" t="n">
        <v>0.8703703703703703</v>
      </c>
      <c r="FS9" s="15" t="n">
        <v>2.535645845393609</v>
      </c>
      <c r="FT9" s="15" t="n">
        <v>7.630058853378373</v>
      </c>
      <c r="FU9" t="inlineStr">
        <is>
          <t>passed</t>
        </is>
      </c>
      <c r="FV9" t="n">
        <v>202.6915773002821</v>
      </c>
      <c r="FW9" t="n">
        <v>21.30287449944064</v>
      </c>
      <c r="FX9" t="n">
        <v>6.524992909788668</v>
      </c>
      <c r="FY9" t="n">
        <v>0.6980717756641098</v>
      </c>
      <c r="FZ9" t="n">
        <v>0.5706490549244946</v>
      </c>
      <c r="GA9" t="n">
        <v>0.6788167508892652</v>
      </c>
      <c r="GB9" t="n">
        <v>0.4666179760127148</v>
      </c>
      <c r="GC9" t="n">
        <v>0.4714905489876582</v>
      </c>
      <c r="GD9" t="n">
        <v>0.5723639554442473</v>
      </c>
      <c r="GE9" t="n">
        <v>0.946049615071013</v>
      </c>
      <c r="GF9" t="n">
        <v>0.5435143415180056</v>
      </c>
      <c r="GG9" t="n">
        <v>0.1644530909382912</v>
      </c>
      <c r="GH9" t="n">
        <v>0.6625804666278853</v>
      </c>
      <c r="GI9" t="n">
        <v>0.3333333333333333</v>
      </c>
      <c r="GJ9" t="n">
        <v>0.7222222222222222</v>
      </c>
      <c r="GK9" t="n">
        <v>0.2708333333333333</v>
      </c>
      <c r="GL9" t="n">
        <v>0.3527009007126519</v>
      </c>
      <c r="GM9" t="n">
        <v>0.3527009007126519</v>
      </c>
      <c r="GN9" t="n">
        <v>0.720421075695179</v>
      </c>
      <c r="GO9" t="n">
        <v>0.4122478409580223</v>
      </c>
      <c r="GP9" t="n">
        <v>433.492582822151</v>
      </c>
      <c r="GQ9" t="inlineStr">
        <is>
          <t>compiled workbook density_weighted_sum = density_component_ratio_weighted_sum (per-note component ratios); research density_weighted_sum maps body-ceiling richness</t>
        </is>
      </c>
      <c r="GR9" s="15" t="inlineStr">
        <is>
          <t>individual_exact</t>
        </is>
      </c>
      <c r="GS9" s="15" t="inlineStr">
        <is>
          <t>density_weight</t>
        </is>
      </c>
      <c r="GT9" s="15" t="n">
        <v>0.8479971269003327</v>
      </c>
      <c r="GU9" s="15" t="n">
        <v>0.1520028730996673</v>
      </c>
      <c r="GV9" s="15" t="n">
        <v>0</v>
      </c>
      <c r="GW9" s="15" t="inlineStr">
        <is>
          <t>log</t>
        </is>
      </c>
      <c r="GX9" s="15" t="n">
        <v>0.5</v>
      </c>
      <c r="GY9" s="15" t="inlineStr">
        <is>
          <t>EWSD-R v18.1</t>
        </is>
      </c>
      <c r="GZ9" s="15" t="n">
        <v>6.122050157183908</v>
      </c>
      <c r="HA9" s="15" t="n">
        <v>24.54514588946722</v>
      </c>
      <c r="HB9" s="15" t="n">
        <v>0.3763677070206195</v>
      </c>
      <c r="HC9" s="15" t="n">
        <v>9.37401045701319</v>
      </c>
      <c r="HD9" s="15" t="n">
        <v>30.32860493311518</v>
      </c>
      <c r="HE9" s="15" t="n">
        <v>0.3145445276095134</v>
      </c>
      <c r="HF9" s="15" t="inlineStr">
        <is>
          <t>partials+ratios</t>
        </is>
      </c>
      <c r="HG9" s="15" t="inlineStr">
        <is>
          <t>merged_individual_exact</t>
        </is>
      </c>
      <c r="HH9" s="15" t="inlineStr">
        <is>
          <t>passed</t>
        </is>
      </c>
      <c r="HI9" s="15" t="inlineStr">
        <is>
          <t>passed</t>
        </is>
      </c>
    </row>
    <row r="10">
      <c r="A10" t="inlineStr">
        <is>
          <t>incomplete_inference</t>
        </is>
      </c>
      <c r="B10" t="inlineStr">
        <is>
          <t>missing_instrument_technique</t>
        </is>
      </c>
      <c r="C10" t="inlineStr">
        <is>
          <t>prior_constrained_harmonic_fit</t>
        </is>
      </c>
      <c r="D10" t="inlineStr">
        <is>
          <t>IOWA_flt_mf.G4_SustainStable/G4/component_amplitude_mass_pie.png</t>
        </is>
      </c>
      <c r="E10" t="inlineStr">
        <is>
          <t>IOWA_flt_mf.G4_SustainStable/G4/component_energy_ratio_pie.png</t>
        </is>
      </c>
      <c r="F10" s="15" t="n">
        <v>392.3193885809195</v>
      </c>
      <c r="G10" s="15" t="inlineStr">
        <is>
          <t>prior_constrained_harmonic_fit</t>
        </is>
      </c>
      <c r="H10" s="15" t="inlineStr">
        <is>
          <t>fit_accepted_acoustically_verified</t>
        </is>
      </c>
      <c r="I10" s="16" t="n">
        <v>649.079630458105</v>
      </c>
      <c r="J10" t="inlineStr">
        <is>
          <t>richness_weighted_body_density_body_ceiling</t>
        </is>
      </c>
      <c r="K10" t="inlineStr">
        <is>
          <t>research_body_ceiling_richness_metric</t>
        </is>
      </c>
      <c r="L10" s="15" t="n">
        <v>41547.90133078054</v>
      </c>
      <c r="M10" s="15" t="n">
        <v>41547.90133078054</v>
      </c>
      <c r="N10" s="15" t="n">
        <v>219.5747623375852</v>
      </c>
      <c r="O10" s="15" t="n">
        <v>28.66043095813022</v>
      </c>
      <c r="P10" s="15" t="n">
        <v>-2.708789214927816</v>
      </c>
      <c r="Q10" s="15" t="n">
        <v>22</v>
      </c>
      <c r="R10" s="15" t="n">
        <v>45</v>
      </c>
      <c r="S10" s="15" t="n">
        <v>10387.02800603604</v>
      </c>
      <c r="T10" s="15" t="n">
        <v>51</v>
      </c>
      <c r="U10" s="15" t="n">
        <v>0.8491924913978777</v>
      </c>
      <c r="V10" s="15" t="n">
        <v>32.16712735078939</v>
      </c>
      <c r="W10" s="15" t="n">
        <v>0.8417595944994456</v>
      </c>
      <c r="X10" s="15" t="n">
        <v>0.4360995703886203</v>
      </c>
      <c r="Y10" s="15" t="n">
        <v>18</v>
      </c>
      <c r="Z10" s="15" t="n">
        <v>50</v>
      </c>
      <c r="AA10" s="15" t="n">
        <v>0.36</v>
      </c>
      <c r="AB10" s="15" t="n">
        <v>50</v>
      </c>
      <c r="AC10" s="15" t="n">
        <v>18</v>
      </c>
      <c r="AD10" s="15" t="n">
        <v>0.36</v>
      </c>
      <c r="AE10" s="15" t="n">
        <v>616.1001630025874</v>
      </c>
      <c r="AF10" s="15" t="n">
        <v>18</v>
      </c>
      <c r="AG10" s="15" t="n">
        <v>50</v>
      </c>
      <c r="AH10" s="15" t="n">
        <v>0.36</v>
      </c>
      <c r="AI10" s="15" t="n">
        <v>616.1001630025874</v>
      </c>
      <c r="AJ10" s="15" t="n">
        <v>9</v>
      </c>
      <c r="AK10" s="15" t="n">
        <v>9</v>
      </c>
      <c r="AL10" s="15" t="n">
        <v>0.9939252758159017</v>
      </c>
      <c r="AM10" s="15" t="n">
        <v>40</v>
      </c>
      <c r="AN10" s="15" t="n">
        <v>0</v>
      </c>
      <c r="AO10" s="15" t="n">
        <v>40</v>
      </c>
      <c r="AP10" s="15" t="n">
        <v>0</v>
      </c>
      <c r="AQ10" s="15" t="n">
        <v>22.45156899868786</v>
      </c>
      <c r="AR10" s="15" t="n">
        <v>13.36010213249841</v>
      </c>
      <c r="AS10" s="15" t="n">
        <v>0.3626295367771942</v>
      </c>
      <c r="AT10" s="17" t="n">
        <v>2.647740953814765</v>
      </c>
      <c r="AU10" s="18" t="n">
        <v>13.33292600733991</v>
      </c>
      <c r="AV10" s="15" t="n">
        <v>18.25648663074225</v>
      </c>
      <c r="AW10" s="15" t="b">
        <v>1</v>
      </c>
      <c r="AX10" s="15" t="n">
        <v>11.82666458975301</v>
      </c>
      <c r="AY10" s="15" t="n">
        <v>19.40503211597639</v>
      </c>
      <c r="AZ10" s="15" t="n">
        <v>0</v>
      </c>
      <c r="BA10" s="15" t="n">
        <v>1</v>
      </c>
      <c r="BB10" s="15" t="n">
        <v>0.5</v>
      </c>
      <c r="BC10" s="15" t="n">
        <v>0.25</v>
      </c>
      <c r="BD10" s="15" t="inlineStr">
        <is>
          <t>his_note_adaptive</t>
        </is>
      </c>
      <c r="BE10" s="15" t="n">
        <v>-90</v>
      </c>
      <c r="BF10" s="15" t="n">
        <v>20000</v>
      </c>
      <c r="BG10" s="15" t="n">
        <v>18</v>
      </c>
      <c r="BH10" s="15" t="n">
        <v>0.36</v>
      </c>
      <c r="BI10" s="15" t="n">
        <v>50</v>
      </c>
      <c r="BJ10" s="15" t="n">
        <v>18</v>
      </c>
      <c r="BK10" s="15" t="n">
        <v>50</v>
      </c>
      <c r="BL10" s="15" t="n">
        <v>44</v>
      </c>
      <c r="BM10" s="15" t="n">
        <v>0.88</v>
      </c>
      <c r="BN10" s="15" t="n">
        <v>0.2965806141630581</v>
      </c>
      <c r="BO10" s="15" t="n">
        <v>0.3333333333333333</v>
      </c>
      <c r="BP10" s="19" t="n">
        <v>0.8358014413166163</v>
      </c>
      <c r="BQ10" s="19" t="n">
        <v>0.1641985586833837</v>
      </c>
      <c r="BR10" s="19" t="n">
        <v>0</v>
      </c>
      <c r="BS10" s="15" t="n">
        <v>0.06548547321029025</v>
      </c>
      <c r="BT10" s="19" t="n">
        <v>1</v>
      </c>
      <c r="BU10" s="19" t="n">
        <v>0</v>
      </c>
      <c r="BV10" s="19" t="n">
        <v>0</v>
      </c>
      <c r="BW10" t="inlineStr">
        <is>
          <t>G4</t>
        </is>
      </c>
      <c r="BX10" t="n">
        <v>67</v>
      </c>
      <c r="BY10" t="inlineStr">
        <is>
          <t>G</t>
        </is>
      </c>
      <c r="BZ10" t="n">
        <v>4</v>
      </c>
      <c r="CA10" t="inlineStr">
        <is>
          <t>High</t>
        </is>
      </c>
      <c r="CB10" t="inlineStr">
        <is>
          <t>mf</t>
        </is>
      </c>
      <c r="CC10" s="15" t="n">
        <v>391.9954359817492</v>
      </c>
      <c r="CD10" s="15" t="n">
        <v>392.3193885809195</v>
      </c>
      <c r="CE10" t="inlineStr">
        <is>
          <t>prior_constrained_harmonic_fit</t>
        </is>
      </c>
      <c r="CF10" t="n">
        <v>392.3193885809195</v>
      </c>
      <c r="CG10" s="15" t="n">
        <v>1</v>
      </c>
      <c r="CH10" t="inlineStr">
        <is>
          <t>free_fit_acoustically_verified</t>
        </is>
      </c>
      <c r="CI10" s="15" t="inlineStr">
        <is>
          <t>free_f0_fit</t>
        </is>
      </c>
      <c r="CJ10" s="15" t="n">
        <v>391.9954359817492</v>
      </c>
      <c r="CK10" s="15" t="n">
        <v>392.3193885809195</v>
      </c>
      <c r="CL10" s="15" t="n">
        <v>1.430134390672228</v>
      </c>
      <c r="CM10" s="15" t="n">
        <v>20000</v>
      </c>
      <c r="CN10" s="15" t="n">
        <v>1.430134390672228</v>
      </c>
      <c r="CO10" s="15" t="n">
        <v>2.399412449518113</v>
      </c>
      <c r="CP10" s="15" t="n">
        <v>41547.90133078054</v>
      </c>
      <c r="CQ10" t="n">
        <v>3.124488167479294</v>
      </c>
      <c r="CR10" t="n">
        <v>0.06248976334958588</v>
      </c>
      <c r="CS10" t="n">
        <v>207.7395066539027</v>
      </c>
      <c r="CT10" t="n">
        <v>207.7395066539027</v>
      </c>
      <c r="CU10" t="n">
        <v>649.079630458105</v>
      </c>
      <c r="CV10" t="n">
        <v>28.66043095813022</v>
      </c>
      <c r="CW10" s="15" t="n">
        <v>41547.90133078054</v>
      </c>
      <c r="CX10" s="15" t="n">
        <v>219.5747623375852</v>
      </c>
      <c r="CY10" s="15" t="n">
        <v>28.66043095813022</v>
      </c>
      <c r="CZ10" s="15" t="n">
        <v>2.647740953814765</v>
      </c>
      <c r="DA10" s="15" t="n">
        <v>2.647740953814765</v>
      </c>
      <c r="DB10" s="15" t="n">
        <v>1.82142192704784</v>
      </c>
      <c r="DC10" s="15" t="n">
        <v>0</v>
      </c>
      <c r="DD10" s="15" t="n">
        <v>6.372742952128849e-05</v>
      </c>
      <c r="DE10" s="15" t="n">
        <v>0</v>
      </c>
      <c r="DF10" s="15" t="n">
        <v>22</v>
      </c>
      <c r="DG10" s="15" t="inlineStr">
        <is>
          <t>Density_Metrics</t>
        </is>
      </c>
      <c r="DH10" s="15" t="n">
        <v>2.399412449518113</v>
      </c>
      <c r="DI10" t="n">
        <v>0.9795489747930209</v>
      </c>
      <c r="DJ10" s="15" t="n">
        <v>0.5620239891071965</v>
      </c>
      <c r="DK10" s="15" t="n">
        <v>5.667355520258172</v>
      </c>
      <c r="DL10" s="15" t="n">
        <v>3.161915028156128</v>
      </c>
      <c r="DM10" s="15" t="n">
        <v>1.208378453617861</v>
      </c>
      <c r="DN10" s="15" t="n">
        <v>7.040894692205801</v>
      </c>
      <c r="DO10" s="15" t="n">
        <v>0.5933419448070646</v>
      </c>
      <c r="DP10" s="15" t="n">
        <v>5.25</v>
      </c>
      <c r="DQ10" s="15" t="n">
        <v>53</v>
      </c>
      <c r="DR10" s="15" t="b">
        <v>1</v>
      </c>
      <c r="DS10" s="15" t="n">
        <v>3.124488167479294</v>
      </c>
      <c r="DT10" s="15" t="n">
        <v>21.80497851943101</v>
      </c>
      <c r="DU10" t="n">
        <v>50</v>
      </c>
      <c r="DV10" s="15" t="n">
        <v>0.06548547321029025</v>
      </c>
      <c r="DW10" s="15" t="n">
        <v>1.815774233324289</v>
      </c>
      <c r="DX10" s="15" t="n">
        <v>2.63051437876338</v>
      </c>
      <c r="DY10" s="15" t="n">
        <v>0.08872918613253274</v>
      </c>
      <c r="DZ10" s="15" t="b">
        <v>1</v>
      </c>
      <c r="EA10" s="15" t="n">
        <v>0.2693404455965702</v>
      </c>
      <c r="EB10" s="15" t="n">
        <v>20000</v>
      </c>
      <c r="EC10" s="15" t="n">
        <v>9415.665325942067</v>
      </c>
      <c r="ED10" s="15" t="n">
        <v>24</v>
      </c>
      <c r="EE10" s="15" t="n">
        <v>0</v>
      </c>
      <c r="EF10" s="15" t="n">
        <v>0.0274661400981242</v>
      </c>
      <c r="EG10" s="15" t="b">
        <v>0</v>
      </c>
      <c r="EH10" s="15" t="b">
        <v>1</v>
      </c>
      <c r="EI10" s="15" t="b">
        <v>0</v>
      </c>
      <c r="EJ10" s="15" t="inlineStr">
        <is>
          <t>wf=log|dst=-90.0|ceil=20000.0|fft=adaptive_tier</t>
        </is>
      </c>
      <c r="EK10" s="15" t="inlineStr">
        <is>
          <t>wf=log|dst=runtime_configured|ceil=runtime_configured|fft=fixed</t>
        </is>
      </c>
      <c r="EL10" s="15" t="n">
        <v>0.6691808614383656</v>
      </c>
      <c r="EM10" s="15" t="n">
        <v>0.9894619775993723</v>
      </c>
      <c r="EN10" s="15" t="n">
        <v>0.4230769230769231</v>
      </c>
      <c r="EO10" s="15" t="n">
        <v>0.3792302422086253</v>
      </c>
      <c r="EP10" s="15" t="inlineStr">
        <is>
          <t>warn:power_outlier_detected</t>
        </is>
      </c>
      <c r="EQ10" s="15" t="n">
        <v>423.431529356818</v>
      </c>
      <c r="ER10" s="15" t="inlineStr">
        <is>
          <t>winsorize_p95_for_robust_diagnostics</t>
        </is>
      </c>
      <c r="ES10" s="15" t="n">
        <v>0.1339835221439444</v>
      </c>
      <c r="ET10" s="15" t="n">
        <v>0.0351792799925885</v>
      </c>
      <c r="EU10" s="15" t="n">
        <v>0.04154831558451657</v>
      </c>
      <c r="EV10" t="inlineStr">
        <is>
          <t>computed</t>
        </is>
      </c>
      <c r="EW10" s="15" t="inlineStr">
        <is>
          <t>computed</t>
        </is>
      </c>
      <c r="EX10" s="15" t="inlineStr">
        <is>
          <t>computed</t>
        </is>
      </c>
      <c r="EY10" s="15" t="inlineStr">
        <is>
          <t>available_from_curve</t>
        </is>
      </c>
      <c r="EZ10" s="15" t="n">
        <v>20000</v>
      </c>
      <c r="FA10" s="15" t="n">
        <v>20000</v>
      </c>
      <c r="FB10" s="15" t="n">
        <v>0.1641985586833837</v>
      </c>
      <c r="FC10" s="15" t="n">
        <v>0.4225071010426581</v>
      </c>
      <c r="FD10" s="15" t="n">
        <v>2.647740953814765</v>
      </c>
      <c r="FE10" s="15" t="n">
        <v>1.82142192704784</v>
      </c>
      <c r="FF10" s="15" t="n">
        <v>1.198192639395568</v>
      </c>
      <c r="FG10" s="15" t="n">
        <v>1.959464218854416</v>
      </c>
      <c r="FH10" s="15" t="n">
        <v>0.3754888541717911</v>
      </c>
      <c r="FI10" s="15" t="n">
        <v>0.0644593764919062</v>
      </c>
      <c r="FJ10" s="15" t="n">
        <v>10386.97533269514</v>
      </c>
      <c r="FK10" s="15" t="n">
        <v>54.89369058439629</v>
      </c>
      <c r="FL10" s="15" t="n">
        <v>7.165107739532555</v>
      </c>
      <c r="FM10" s="15" t="n">
        <v>0.00476540703984097</v>
      </c>
      <c r="FN10" t="n">
        <v>1</v>
      </c>
      <c r="FO10" t="n">
        <v>0</v>
      </c>
      <c r="FP10" t="n">
        <v>0</v>
      </c>
      <c r="FQ10" t="inlineStr">
        <is>
          <t>excellent</t>
        </is>
      </c>
      <c r="FR10" s="19" t="n">
        <v>0.88</v>
      </c>
      <c r="FS10" s="15" t="n">
        <v>2.107508578234427</v>
      </c>
      <c r="FT10" s="15" t="n">
        <v>13.05100434196014</v>
      </c>
      <c r="FU10" t="inlineStr">
        <is>
          <t>passed</t>
        </is>
      </c>
      <c r="FV10" t="n">
        <v>221.6830673605332</v>
      </c>
      <c r="FW10" t="n">
        <v>32.64300874200978</v>
      </c>
      <c r="FX10" t="n">
        <v>7.391556018726896</v>
      </c>
      <c r="FY10" t="n">
        <v>0.8729251531708231</v>
      </c>
      <c r="FZ10" t="n">
        <v>0.886275211910904</v>
      </c>
      <c r="GA10" t="n">
        <v>0.8348991545426816</v>
      </c>
      <c r="GB10" t="n">
        <v>0.7424266808597131</v>
      </c>
      <c r="GC10" t="n">
        <v>0.7450907081968229</v>
      </c>
      <c r="GD10" t="n">
        <v>0.6927825886883689</v>
      </c>
      <c r="GE10" t="n">
        <v>0.9043074725122983</v>
      </c>
      <c r="GF10" t="n">
        <v>0.8475218292671882</v>
      </c>
      <c r="GG10" t="n">
        <v>0.2263103515151218</v>
      </c>
      <c r="GH10" t="n">
        <v>0.8022123007639486</v>
      </c>
      <c r="GI10" t="n">
        <v>0.1466666666666666</v>
      </c>
      <c r="GJ10" t="n">
        <v>0.7800000000000002</v>
      </c>
      <c r="GK10" t="n">
        <v>0.4791666666666667</v>
      </c>
      <c r="GL10" t="n">
        <v>0.1572092443102647</v>
      </c>
      <c r="GM10" t="n">
        <v>0.1572092443102647</v>
      </c>
      <c r="GN10" t="n">
        <v>0.7446677629950004</v>
      </c>
      <c r="GO10" t="n">
        <v>0.279823841033559</v>
      </c>
      <c r="GP10" t="n">
        <v>649.079630458105</v>
      </c>
      <c r="GQ10" t="inlineStr">
        <is>
          <t>compiled workbook density_weighted_sum = density_component_ratio_weighted_sum (per-note component ratios); research density_weighted_sum maps body-ceiling richness</t>
        </is>
      </c>
      <c r="GR10" s="15" t="inlineStr">
        <is>
          <t>individual_exact</t>
        </is>
      </c>
      <c r="GS10" s="15" t="inlineStr">
        <is>
          <t>density_weight</t>
        </is>
      </c>
      <c r="GT10" s="15" t="n">
        <v>0.7976559546050973</v>
      </c>
      <c r="GU10" s="15" t="n">
        <v>0.2023440453949027</v>
      </c>
      <c r="GV10" s="15" t="n">
        <v>0</v>
      </c>
      <c r="GW10" s="15" t="inlineStr">
        <is>
          <t>log</t>
        </is>
      </c>
      <c r="GX10" s="15" t="n">
        <v>0.5</v>
      </c>
      <c r="GY10" s="15" t="inlineStr">
        <is>
          <t>EWSD-R v18.1</t>
        </is>
      </c>
      <c r="GZ10" s="15" t="n">
        <v>5.869850376580811</v>
      </c>
      <c r="HA10" s="15" t="n">
        <v>23.84949944888228</v>
      </c>
      <c r="HB10" s="15" t="n">
        <v>0.3585187146337285</v>
      </c>
      <c r="HC10" s="15" t="n">
        <v>9.698254046435641</v>
      </c>
      <c r="HD10" s="15" t="n">
        <v>31.12807415162354</v>
      </c>
      <c r="HE10" s="15" t="n">
        <v>0.3121568094123106</v>
      </c>
      <c r="HF10" s="15" t="inlineStr">
        <is>
          <t>partials+ratios</t>
        </is>
      </c>
      <c r="HG10" s="15" t="inlineStr">
        <is>
          <t>merged_individual_exact</t>
        </is>
      </c>
      <c r="HH10" s="15" t="inlineStr">
        <is>
          <t>passed</t>
        </is>
      </c>
      <c r="HI10" s="15" t="inlineStr">
        <is>
          <t>passed</t>
        </is>
      </c>
    </row>
    <row r="11">
      <c r="A11" t="inlineStr">
        <is>
          <t>incomplete_inference</t>
        </is>
      </c>
      <c r="B11" t="inlineStr">
        <is>
          <t>missing_instrument_technique</t>
        </is>
      </c>
      <c r="C11" t="inlineStr">
        <is>
          <t>prior_constrained_harmonic_fit</t>
        </is>
      </c>
      <c r="D11" t="inlineStr">
        <is>
          <t>IOWA_flt_mf.G#4_SustainStable/G#4/component_amplitude_mass_pie.png</t>
        </is>
      </c>
      <c r="E11" t="inlineStr">
        <is>
          <t>IOWA_flt_mf.G#4_SustainStable/G#4/component_energy_ratio_pie.png</t>
        </is>
      </c>
      <c r="F11" s="15" t="n">
        <v>415.7586891234178</v>
      </c>
      <c r="G11" s="15" t="inlineStr">
        <is>
          <t>prior_constrained_harmonic_fit</t>
        </is>
      </c>
      <c r="H11" s="15" t="inlineStr">
        <is>
          <t>fit_accepted_acoustically_verified</t>
        </is>
      </c>
      <c r="I11" s="16" t="n">
        <v>726.7588429202345</v>
      </c>
      <c r="J11" t="inlineStr">
        <is>
          <t>richness_weighted_body_density_body_ceiling</t>
        </is>
      </c>
      <c r="K11" t="inlineStr">
        <is>
          <t>research_body_ceiling_richness_metric</t>
        </is>
      </c>
      <c r="L11" s="15" t="n">
        <v>40112.93587839537</v>
      </c>
      <c r="M11" s="15" t="n">
        <v>40112.93587839537</v>
      </c>
      <c r="N11" s="15" t="n">
        <v>176.7978697450104</v>
      </c>
      <c r="O11" s="15" t="n">
        <v>33.17874815367748</v>
      </c>
      <c r="P11" s="15" t="n">
        <v>-2.654331038245767</v>
      </c>
      <c r="Q11" s="15" t="n">
        <v>21</v>
      </c>
      <c r="R11" s="15" t="n">
        <v>44</v>
      </c>
      <c r="S11" s="15" t="n">
        <v>10028.3237504777</v>
      </c>
      <c r="T11" s="15" t="n">
        <v>49</v>
      </c>
      <c r="U11" s="15" t="n">
        <v>0.7854863042193517</v>
      </c>
      <c r="V11" s="15" t="n">
        <v>32.03272441438115</v>
      </c>
      <c r="W11" s="15" t="n">
        <v>0.7670000170113817</v>
      </c>
      <c r="X11" s="15" t="n">
        <v>0.4413947500391375</v>
      </c>
      <c r="Y11" s="15" t="n">
        <v>27</v>
      </c>
      <c r="Z11" s="15" t="n">
        <v>48</v>
      </c>
      <c r="AA11" s="15" t="n">
        <v>0.5625</v>
      </c>
      <c r="AB11" s="15" t="n">
        <v>48</v>
      </c>
      <c r="AC11" s="15" t="n">
        <v>27</v>
      </c>
      <c r="AD11" s="15" t="n">
        <v>0.5625</v>
      </c>
      <c r="AE11" s="15" t="n">
        <v>603.7173769515681</v>
      </c>
      <c r="AF11" s="15" t="n">
        <v>27</v>
      </c>
      <c r="AG11" s="15" t="n">
        <v>48</v>
      </c>
      <c r="AH11" s="15" t="n">
        <v>0.5625</v>
      </c>
      <c r="AI11" s="15" t="n">
        <v>603.7173769515681</v>
      </c>
      <c r="AJ11" s="15" t="n">
        <v>13</v>
      </c>
      <c r="AK11" s="15" t="n">
        <v>14</v>
      </c>
      <c r="AL11" s="15" t="n">
        <v>2.480722156417107</v>
      </c>
      <c r="AM11" s="15" t="n">
        <v>48</v>
      </c>
      <c r="AN11" s="15" t="n">
        <v>0</v>
      </c>
      <c r="AO11" s="15" t="n">
        <v>48</v>
      </c>
      <c r="AP11" s="15" t="n">
        <v>0</v>
      </c>
      <c r="AQ11" s="15" t="n">
        <v>30.74964142211417</v>
      </c>
      <c r="AR11" s="15" t="n">
        <v>16.70657767358739</v>
      </c>
      <c r="AS11" s="15" t="n">
        <v>0.5270291863360012</v>
      </c>
      <c r="AT11" s="17" t="n">
        <v>2.636671561111994</v>
      </c>
      <c r="AU11" s="18" t="n">
        <v>12.58914728593165</v>
      </c>
      <c r="AV11" s="15" t="n">
        <v>17.37863037489453</v>
      </c>
      <c r="AW11" s="15" t="b">
        <v>1</v>
      </c>
      <c r="AX11" s="15" t="n">
        <v>15.52605081333238</v>
      </c>
      <c r="AY11" s="15" t="n">
        <v>22.1376334353787</v>
      </c>
      <c r="AZ11" s="15" t="n">
        <v>0</v>
      </c>
      <c r="BA11" s="15" t="n">
        <v>1</v>
      </c>
      <c r="BB11" s="15" t="n">
        <v>0.5</v>
      </c>
      <c r="BC11" s="15" t="n">
        <v>0.25</v>
      </c>
      <c r="BD11" s="15" t="inlineStr">
        <is>
          <t>his_note_adaptive</t>
        </is>
      </c>
      <c r="BE11" s="15" t="n">
        <v>-90</v>
      </c>
      <c r="BF11" s="15" t="n">
        <v>20000</v>
      </c>
      <c r="BG11" s="15" t="n">
        <v>27</v>
      </c>
      <c r="BH11" s="15" t="n">
        <v>0.5625</v>
      </c>
      <c r="BI11" s="15" t="n">
        <v>48</v>
      </c>
      <c r="BJ11" s="15" t="n">
        <v>27</v>
      </c>
      <c r="BK11" s="15" t="n">
        <v>48</v>
      </c>
      <c r="BL11" s="15" t="n">
        <v>43</v>
      </c>
      <c r="BM11" s="15" t="n">
        <v>0.8958333333333334</v>
      </c>
      <c r="BN11" s="15" t="n">
        <v>0.339613768575558</v>
      </c>
      <c r="BO11" s="15" t="n">
        <v>0.4</v>
      </c>
      <c r="BP11" s="19" t="n">
        <v>0.8274321058032904</v>
      </c>
      <c r="BQ11" s="19" t="n">
        <v>0.1725678941967096</v>
      </c>
      <c r="BR11" s="19" t="n">
        <v>0</v>
      </c>
      <c r="BS11" s="15" t="n">
        <v>0.08342334941387204</v>
      </c>
      <c r="BT11" s="19" t="n">
        <v>1</v>
      </c>
      <c r="BU11" s="19" t="n">
        <v>0</v>
      </c>
      <c r="BV11" s="19" t="n">
        <v>0</v>
      </c>
      <c r="BW11" t="inlineStr">
        <is>
          <t>G#4</t>
        </is>
      </c>
      <c r="BX11" t="n">
        <v>68</v>
      </c>
      <c r="BY11" t="inlineStr">
        <is>
          <t>G#</t>
        </is>
      </c>
      <c r="BZ11" t="n">
        <v>4</v>
      </c>
      <c r="CA11" t="inlineStr">
        <is>
          <t>High</t>
        </is>
      </c>
      <c r="CB11" t="inlineStr">
        <is>
          <t>mf</t>
        </is>
      </c>
      <c r="CC11" s="15" t="n">
        <v>415.3046975799452</v>
      </c>
      <c r="CD11" s="15" t="n">
        <v>415.7586891234178</v>
      </c>
      <c r="CE11" t="inlineStr">
        <is>
          <t>prior_constrained_harmonic_fit</t>
        </is>
      </c>
      <c r="CF11" t="n">
        <v>415.7586891234178</v>
      </c>
      <c r="CG11" s="15" t="n">
        <v>1</v>
      </c>
      <c r="CH11" t="inlineStr">
        <is>
          <t>free_fit_acoustically_verified</t>
        </is>
      </c>
      <c r="CI11" s="15" t="inlineStr">
        <is>
          <t>free_f0_fit</t>
        </is>
      </c>
      <c r="CJ11" s="15" t="n">
        <v>415.3046975799452</v>
      </c>
      <c r="CK11" s="15" t="n">
        <v>415.7586891234178</v>
      </c>
      <c r="CL11" s="15" t="n">
        <v>1.891469913861612</v>
      </c>
      <c r="CM11" s="15" t="n">
        <v>20000</v>
      </c>
      <c r="CN11" s="15" t="n">
        <v>1.891469913861612</v>
      </c>
      <c r="CO11" s="15" t="n">
        <v>2.37373776247034</v>
      </c>
      <c r="CP11" s="15" t="n">
        <v>40112.93587839537</v>
      </c>
      <c r="CQ11" t="n">
        <v>3.47862091829183</v>
      </c>
      <c r="CR11" t="n">
        <v>0.07247126913107979</v>
      </c>
      <c r="CS11" t="n">
        <v>208.9215410333093</v>
      </c>
      <c r="CT11" t="n">
        <v>208.9215410333093</v>
      </c>
      <c r="CU11" t="n">
        <v>726.7588429202345</v>
      </c>
      <c r="CV11" t="n">
        <v>33.17874815367748</v>
      </c>
      <c r="CW11" s="15" t="n">
        <v>40112.93587839537</v>
      </c>
      <c r="CX11" s="15" t="n">
        <v>176.7978697450104</v>
      </c>
      <c r="CY11" s="15" t="n">
        <v>33.17874815367748</v>
      </c>
      <c r="CZ11" s="15" t="n">
        <v>2.636671561111994</v>
      </c>
      <c r="DA11" s="15" t="n">
        <v>2.636671561111994</v>
      </c>
      <c r="DB11" s="15" t="n">
        <v>1.730667427273032</v>
      </c>
      <c r="DC11" s="15" t="n">
        <v>0</v>
      </c>
      <c r="DD11" s="15" t="n">
        <v>6.573120374697113e-05</v>
      </c>
      <c r="DE11" s="15" t="n">
        <v>0</v>
      </c>
      <c r="DF11" s="15" t="n">
        <v>21</v>
      </c>
      <c r="DG11" s="15" t="inlineStr">
        <is>
          <t>Density_Metrics</t>
        </is>
      </c>
      <c r="DH11" s="15" t="n">
        <v>2.37373776247034</v>
      </c>
      <c r="DI11" t="n">
        <v>0.9690674031979296</v>
      </c>
      <c r="DJ11" s="15" t="n">
        <v>0.5607040803679922</v>
      </c>
      <c r="DK11" s="15" t="n">
        <v>5.588328506303421</v>
      </c>
      <c r="DL11" s="15" t="n">
        <v>3.515114524228677</v>
      </c>
      <c r="DM11" s="15" t="n">
        <v>1.09877741983429</v>
      </c>
      <c r="DN11" s="15" t="n">
        <v>7.445986948960098</v>
      </c>
      <c r="DO11" s="15" t="n">
        <v>0.6355798114144742</v>
      </c>
      <c r="DP11" s="15" t="n">
        <v>8.9375</v>
      </c>
      <c r="DQ11" s="15" t="n">
        <v>47</v>
      </c>
      <c r="DR11" s="15" t="b">
        <v>1</v>
      </c>
      <c r="DS11" s="15" t="n">
        <v>3.47862091829183</v>
      </c>
      <c r="DT11" s="15" t="n">
        <v>21.1869480018786</v>
      </c>
      <c r="DU11" t="n">
        <v>48</v>
      </c>
      <c r="DV11" s="15" t="n">
        <v>0.08342334941387204</v>
      </c>
      <c r="DW11" s="15" t="n">
        <v>1.846168012251603</v>
      </c>
      <c r="DX11" s="15" t="n">
        <v>2.61347539707708</v>
      </c>
      <c r="DY11" s="15" t="n">
        <v>0.08641175953614486</v>
      </c>
      <c r="DZ11" s="15" t="b">
        <v>1</v>
      </c>
      <c r="EA11" s="15" t="n">
        <v>0.09358805172323854</v>
      </c>
      <c r="EB11" s="15" t="n">
        <v>20000</v>
      </c>
      <c r="EC11" s="15" t="n">
        <v>9562.449849838609</v>
      </c>
      <c r="ED11" s="15" t="n">
        <v>23</v>
      </c>
      <c r="EE11" s="15" t="n">
        <v>0</v>
      </c>
      <c r="EF11" s="15" t="n">
        <v>0.02592458410713607</v>
      </c>
      <c r="EG11" s="15" t="b">
        <v>0</v>
      </c>
      <c r="EH11" s="15" t="b">
        <v>1</v>
      </c>
      <c r="EI11" s="15" t="b">
        <v>0</v>
      </c>
      <c r="EJ11" s="15" t="inlineStr">
        <is>
          <t>wf=log|dst=-90.0|ceil=20000.0|fft=adaptive_tier</t>
        </is>
      </c>
      <c r="EK11" s="15" t="inlineStr">
        <is>
          <t>wf=log|dst=runtime_configured|ceil=runtime_configured|fft=fixed</t>
        </is>
      </c>
      <c r="EL11" s="15" t="n">
        <v>0.6755361395883979</v>
      </c>
      <c r="EM11" s="15" t="n">
        <v>0.9931378175258344</v>
      </c>
      <c r="EN11" s="15" t="n">
        <v>0.4285714285714285</v>
      </c>
      <c r="EO11" s="15" t="n">
        <v>0.3931206085088615</v>
      </c>
      <c r="EP11" s="15" t="inlineStr">
        <is>
          <t>warn:power_outlier_detected</t>
        </is>
      </c>
      <c r="EQ11" s="15" t="n">
        <v>339.7426579964043</v>
      </c>
      <c r="ER11" s="15" t="inlineStr">
        <is>
          <t>winsorize_p95_for_robust_diagnostics</t>
        </is>
      </c>
      <c r="ES11" s="15" t="n">
        <v>0.1828763474248163</v>
      </c>
      <c r="ET11" s="15" t="n">
        <v>0.04481211414684635</v>
      </c>
      <c r="EU11" s="15" t="n">
        <v>0.05465886886902881</v>
      </c>
      <c r="EV11" t="inlineStr">
        <is>
          <t>computed</t>
        </is>
      </c>
      <c r="EW11" s="15" t="inlineStr">
        <is>
          <t>computed</t>
        </is>
      </c>
      <c r="EX11" s="15" t="inlineStr">
        <is>
          <t>computed</t>
        </is>
      </c>
      <c r="EY11" s="15" t="inlineStr">
        <is>
          <t>available_from_curve</t>
        </is>
      </c>
      <c r="EZ11" s="15" t="n">
        <v>20000</v>
      </c>
      <c r="FA11" s="15" t="n">
        <v>20000</v>
      </c>
      <c r="FB11" s="15" t="n">
        <v>0.1725678941967096</v>
      </c>
      <c r="FC11" s="15" t="n">
        <v>0.4743714784231534</v>
      </c>
      <c r="FD11" s="15" t="n">
        <v>2.636671561111994</v>
      </c>
      <c r="FE11" s="15" t="n">
        <v>1.730667427273032</v>
      </c>
      <c r="FF11" s="15" t="n">
        <v>1.220989517918394</v>
      </c>
      <c r="FG11" s="15" t="n">
        <v>1.951272300043674</v>
      </c>
      <c r="FH11" s="15" t="n">
        <v>0.3567796783211363</v>
      </c>
      <c r="FI11" s="15" t="n">
        <v>0.06568578410553036</v>
      </c>
      <c r="FJ11" s="15" t="n">
        <v>10028.23396959884</v>
      </c>
      <c r="FK11" s="15" t="n">
        <v>44.19946743625259</v>
      </c>
      <c r="FL11" s="15" t="n">
        <v>8.29468703841937</v>
      </c>
      <c r="FM11" s="15" t="n">
        <v>0.004586841998157364</v>
      </c>
      <c r="FN11" t="n">
        <v>1</v>
      </c>
      <c r="FO11" t="n">
        <v>0</v>
      </c>
      <c r="FP11" t="n">
        <v>0</v>
      </c>
      <c r="FQ11" t="inlineStr">
        <is>
          <t>excellent</t>
        </is>
      </c>
      <c r="FR11" s="19" t="n">
        <v>0.8958333333333334</v>
      </c>
      <c r="FS11" s="15" t="n">
        <v>4.817761483596446</v>
      </c>
      <c r="FT11" s="15" t="n">
        <v>17.14877888993892</v>
      </c>
      <c r="FU11" t="inlineStr">
        <is>
          <t>passed</t>
        </is>
      </c>
      <c r="FV11" t="n">
        <v>216.0915780216772</v>
      </c>
      <c r="FW11" t="n">
        <v>26.39288728397432</v>
      </c>
      <c r="FX11" t="n">
        <v>7.816862514592419</v>
      </c>
      <c r="FY11" t="n">
        <v>0.807796677141136</v>
      </c>
      <c r="FZ11" t="n">
        <v>1</v>
      </c>
      <c r="GA11" t="n">
        <v>0.7894171567173749</v>
      </c>
      <c r="GB11" t="n">
        <v>0.8650361237363753</v>
      </c>
      <c r="GC11" t="n">
        <v>0.869809312769052</v>
      </c>
      <c r="GD11" t="n">
        <v>0.6888076878616024</v>
      </c>
      <c r="GE11" t="n">
        <v>0.8201689699303965</v>
      </c>
      <c r="GF11" t="n">
        <v>0.8646114123919683</v>
      </c>
      <c r="GG11" t="n">
        <v>0.3571016557945309</v>
      </c>
      <c r="GH11" t="n">
        <v>0.7785392023632878</v>
      </c>
      <c r="GI11" t="n">
        <v>0.4166666666666667</v>
      </c>
      <c r="GJ11" t="n">
        <v>0.8750000000000004</v>
      </c>
      <c r="GK11" t="n">
        <v>0.6458333333333334</v>
      </c>
      <c r="GL11" t="n">
        <v>0.2334006081517799</v>
      </c>
      <c r="GM11" t="n">
        <v>0.2334006081517799</v>
      </c>
      <c r="GN11" t="n">
        <v>0.8454416392324916</v>
      </c>
      <c r="GO11" t="n">
        <v>0.4994016609851172</v>
      </c>
      <c r="GP11" t="n">
        <v>726.7588429202345</v>
      </c>
      <c r="GQ11" t="inlineStr">
        <is>
          <t>compiled workbook density_weighted_sum = density_component_ratio_weighted_sum (per-note component ratios); research density_weighted_sum maps body-ceiling richness</t>
        </is>
      </c>
      <c r="GR11" s="15" t="inlineStr">
        <is>
          <t>individual_exact</t>
        </is>
      </c>
      <c r="GS11" s="15" t="inlineStr">
        <is>
          <t>density_weight</t>
        </is>
      </c>
      <c r="GT11" s="15" t="n">
        <v>0.8214456465659921</v>
      </c>
      <c r="GU11" s="15" t="n">
        <v>0.178554353434008</v>
      </c>
      <c r="GV11" s="15" t="n">
        <v>0</v>
      </c>
      <c r="GW11" s="15" t="inlineStr">
        <is>
          <t>log</t>
        </is>
      </c>
      <c r="GX11" s="15" t="n">
        <v>0.5</v>
      </c>
      <c r="GY11" s="15" t="inlineStr">
        <is>
          <t>EWSD-R v18.1</t>
        </is>
      </c>
      <c r="GZ11" s="15" t="n">
        <v>5.827190784281382</v>
      </c>
      <c r="HA11" s="15" t="n">
        <v>23.1277084850358</v>
      </c>
      <c r="HB11" s="15" t="n">
        <v>0.3656437221780061</v>
      </c>
      <c r="HC11" s="15" t="n">
        <v>9.584824865109463</v>
      </c>
      <c r="HD11" s="15" t="n">
        <v>29.97153659469249</v>
      </c>
      <c r="HE11" s="15" t="n">
        <v>0.3154855921720562</v>
      </c>
      <c r="HF11" s="15" t="inlineStr">
        <is>
          <t>partials+ratios</t>
        </is>
      </c>
      <c r="HG11" s="15" t="inlineStr">
        <is>
          <t>merged_individual_exact</t>
        </is>
      </c>
      <c r="HH11" s="15" t="inlineStr">
        <is>
          <t>passed</t>
        </is>
      </c>
      <c r="HI11" s="15" t="inlineStr">
        <is>
          <t>passed</t>
        </is>
      </c>
    </row>
    <row r="12">
      <c r="A12" t="inlineStr">
        <is>
          <t>incomplete_inference</t>
        </is>
      </c>
      <c r="B12" t="inlineStr">
        <is>
          <t>missing_instrument_technique</t>
        </is>
      </c>
      <c r="C12" t="inlineStr">
        <is>
          <t>prior_constrained_harmonic_fit</t>
        </is>
      </c>
      <c r="D12" t="inlineStr">
        <is>
          <t>IOWA_flt_mf.A4_SustainStable/A4/component_amplitude_mass_pie.png</t>
        </is>
      </c>
      <c r="E12" t="inlineStr">
        <is>
          <t>IOWA_flt_mf.A4_SustainStable/A4/component_energy_ratio_pie.png</t>
        </is>
      </c>
      <c r="F12" s="15" t="n">
        <v>439.9204243307022</v>
      </c>
      <c r="G12" s="15" t="inlineStr">
        <is>
          <t>prior_constrained_harmonic_fit</t>
        </is>
      </c>
      <c r="H12" s="15" t="inlineStr">
        <is>
          <t>fit_accepted_acoustically_verified</t>
        </is>
      </c>
      <c r="I12" s="16" t="n">
        <v>701.0100332694078</v>
      </c>
      <c r="J12" t="inlineStr">
        <is>
          <t>richness_weighted_body_density_body_ceiling</t>
        </is>
      </c>
      <c r="K12" t="inlineStr">
        <is>
          <t>research_body_ceiling_richness_metric</t>
        </is>
      </c>
      <c r="L12" s="15" t="n">
        <v>40804.60534711533</v>
      </c>
      <c r="M12" s="15" t="n">
        <v>40804.60534711533</v>
      </c>
      <c r="N12" s="15" t="n">
        <v>192.4260893457194</v>
      </c>
      <c r="O12" s="15" t="n">
        <v>8.077489383152347</v>
      </c>
      <c r="P12" s="15" t="n">
        <v>-3.733488711438577</v>
      </c>
      <c r="Q12" s="15" t="n">
        <v>16</v>
      </c>
      <c r="R12" s="15" t="n">
        <v>38</v>
      </c>
      <c r="S12" s="15" t="n">
        <v>10201.19327459755</v>
      </c>
      <c r="T12" s="15" t="n">
        <v>46</v>
      </c>
      <c r="U12" s="15" t="n">
        <v>0.7864441246273934</v>
      </c>
      <c r="V12" s="15" t="n">
        <v>29.72515226953593</v>
      </c>
      <c r="W12" s="15" t="n">
        <v>0.901078883742552</v>
      </c>
      <c r="X12" s="15" t="n">
        <v>0.4484469426967139</v>
      </c>
      <c r="Y12" s="15" t="n">
        <v>17</v>
      </c>
      <c r="Z12" s="15" t="n">
        <v>45</v>
      </c>
      <c r="AA12" s="15" t="n">
        <v>0.3777777777777778</v>
      </c>
      <c r="AB12" s="15" t="n">
        <v>45</v>
      </c>
      <c r="AC12" s="15" t="n">
        <v>17</v>
      </c>
      <c r="AD12" s="15" t="n">
        <v>0.3777777777777778</v>
      </c>
      <c r="AE12" s="15" t="n">
        <v>569.8562890194345</v>
      </c>
      <c r="AF12" s="15" t="n">
        <v>17</v>
      </c>
      <c r="AG12" s="15" t="n">
        <v>45</v>
      </c>
      <c r="AH12" s="15" t="n">
        <v>0.3777777777777778</v>
      </c>
      <c r="AI12" s="15" t="n">
        <v>569.8562890194345</v>
      </c>
      <c r="AJ12" s="15" t="n">
        <v>9</v>
      </c>
      <c r="AK12" s="15" t="n">
        <v>8</v>
      </c>
      <c r="AL12" s="15" t="n">
        <v>2.480533194827639</v>
      </c>
      <c r="AM12" s="15" t="n">
        <v>25</v>
      </c>
      <c r="AN12" s="15" t="n">
        <v>0</v>
      </c>
      <c r="AO12" s="15" t="n">
        <v>25</v>
      </c>
      <c r="AP12" s="15" t="n">
        <v>0</v>
      </c>
      <c r="AQ12" s="15" t="n">
        <v>17.98264696647929</v>
      </c>
      <c r="AR12" s="15" t="n">
        <v>11.04782036741415</v>
      </c>
      <c r="AS12" s="15" t="n">
        <v>0.2490359045531946</v>
      </c>
      <c r="AT12" s="17" t="n">
        <v>2.612450590451078</v>
      </c>
      <c r="AU12" s="18" t="n">
        <v>11.33783279313697</v>
      </c>
      <c r="AV12" s="15" t="n">
        <v>15.60905191983151</v>
      </c>
      <c r="AW12" s="15" t="b">
        <v>1</v>
      </c>
      <c r="AX12" s="15" t="n">
        <v>10.78275243765484</v>
      </c>
      <c r="AY12" s="15" t="n">
        <v>12.94074356815425</v>
      </c>
      <c r="AZ12" s="15" t="n">
        <v>0</v>
      </c>
      <c r="BA12" s="15" t="n">
        <v>1</v>
      </c>
      <c r="BB12" s="15" t="n">
        <v>0.5</v>
      </c>
      <c r="BC12" s="15" t="n">
        <v>0.25</v>
      </c>
      <c r="BD12" s="15" t="inlineStr">
        <is>
          <t>his_note_adaptive</t>
        </is>
      </c>
      <c r="BE12" s="15" t="n">
        <v>-90</v>
      </c>
      <c r="BF12" s="15" t="n">
        <v>20000</v>
      </c>
      <c r="BG12" s="15" t="n">
        <v>17</v>
      </c>
      <c r="BH12" s="15" t="n">
        <v>0.3777777777777778</v>
      </c>
      <c r="BI12" s="15" t="n">
        <v>45</v>
      </c>
      <c r="BJ12" s="15" t="n">
        <v>17</v>
      </c>
      <c r="BK12" s="15" t="n">
        <v>45</v>
      </c>
      <c r="BL12" s="15" t="n">
        <v>40</v>
      </c>
      <c r="BM12" s="15" t="n">
        <v>0.8888888888888888</v>
      </c>
      <c r="BN12" s="15" t="n">
        <v>0.3248767292553193</v>
      </c>
      <c r="BO12" s="15" t="n">
        <v>0.2083333333333333</v>
      </c>
      <c r="BP12" s="19" t="n">
        <v>0.8478318197753679</v>
      </c>
      <c r="BQ12" s="19" t="n">
        <v>0.1521681802246322</v>
      </c>
      <c r="BR12" s="19" t="n">
        <v>0</v>
      </c>
      <c r="BS12" s="15" t="n">
        <v>0.03739150085433734</v>
      </c>
      <c r="BT12" s="19" t="n">
        <v>1</v>
      </c>
      <c r="BU12" s="19" t="n">
        <v>0</v>
      </c>
      <c r="BV12" s="19" t="n">
        <v>0</v>
      </c>
      <c r="BW12" t="inlineStr">
        <is>
          <t>A4</t>
        </is>
      </c>
      <c r="BX12" t="n">
        <v>69</v>
      </c>
      <c r="BY12" t="inlineStr">
        <is>
          <t>A</t>
        </is>
      </c>
      <c r="BZ12" t="n">
        <v>4</v>
      </c>
      <c r="CA12" t="inlineStr">
        <is>
          <t>High</t>
        </is>
      </c>
      <c r="CB12" t="inlineStr">
        <is>
          <t>mf</t>
        </is>
      </c>
      <c r="CC12" s="15" t="n">
        <v>439.9999999999999</v>
      </c>
      <c r="CD12" s="15" t="n">
        <v>439.9204243307022</v>
      </c>
      <c r="CE12" t="inlineStr">
        <is>
          <t>prior_constrained_harmonic_fit</t>
        </is>
      </c>
      <c r="CF12" t="n">
        <v>439.9204243307022</v>
      </c>
      <c r="CG12" s="15" t="n">
        <v>1</v>
      </c>
      <c r="CH12" t="inlineStr">
        <is>
          <t>free_fit_acoustically_verified</t>
        </is>
      </c>
      <c r="CI12" s="15" t="inlineStr">
        <is>
          <t>free_f0_fit</t>
        </is>
      </c>
      <c r="CJ12" s="15" t="n">
        <v>439.9999999999999</v>
      </c>
      <c r="CK12" s="15" t="n">
        <v>439.9204243307022</v>
      </c>
      <c r="CL12" s="15" t="n">
        <v>-0.3131285619282324</v>
      </c>
      <c r="CM12" s="15" t="n">
        <v>20000</v>
      </c>
      <c r="CN12" s="15" t="n">
        <v>-0.3131285619282324</v>
      </c>
      <c r="CO12" s="15" t="n">
        <v>2.341383054918113</v>
      </c>
      <c r="CP12" s="15" t="n">
        <v>40804.60534711533</v>
      </c>
      <c r="CQ12" t="n">
        <v>3.09234227154249</v>
      </c>
      <c r="CR12" t="n">
        <v>0.06871871714538866</v>
      </c>
      <c r="CS12" t="n">
        <v>226.6922519284184</v>
      </c>
      <c r="CT12" t="n">
        <v>226.6922519284184</v>
      </c>
      <c r="CU12" t="n">
        <v>701.0100332694078</v>
      </c>
      <c r="CV12" t="n">
        <v>8.077489383152347</v>
      </c>
      <c r="CW12" s="15" t="n">
        <v>40804.60534711533</v>
      </c>
      <c r="CX12" s="15" t="n">
        <v>192.4260893457194</v>
      </c>
      <c r="CY12" s="15" t="n">
        <v>8.077489383152347</v>
      </c>
      <c r="CZ12" s="15" t="n">
        <v>2.612450590451078</v>
      </c>
      <c r="DA12" s="15" t="n">
        <v>2.612450590451078</v>
      </c>
      <c r="DB12" s="15" t="n">
        <v>1.731507410282937</v>
      </c>
      <c r="DC12" s="15" t="n">
        <v>0</v>
      </c>
      <c r="DD12" s="15" t="n">
        <v>6.402342500871081e-05</v>
      </c>
      <c r="DE12" s="15" t="n">
        <v>0</v>
      </c>
      <c r="DF12" s="15" t="n">
        <v>16</v>
      </c>
      <c r="DG12" s="15" t="inlineStr">
        <is>
          <t>Density_Metrics</t>
        </is>
      </c>
      <c r="DH12" s="15" t="n">
        <v>2.341383054918113</v>
      </c>
      <c r="DI12" t="n">
        <v>0.9558587442952563</v>
      </c>
      <c r="DJ12" s="15" t="n">
        <v>0.5578019157116775</v>
      </c>
      <c r="DK12" s="15" t="n">
        <v>5.293499988082371</v>
      </c>
      <c r="DL12" s="15" t="n">
        <v>3.122787800580719</v>
      </c>
      <c r="DM12" s="15" t="n">
        <v>1.105182304443214</v>
      </c>
      <c r="DN12" s="15" t="n">
        <v>7.195247864620993</v>
      </c>
      <c r="DO12" s="15" t="n">
        <v>0.5470003150560185</v>
      </c>
      <c r="DP12" s="15" t="n">
        <v>4.375</v>
      </c>
      <c r="DQ12" s="15" t="n">
        <v>41</v>
      </c>
      <c r="DR12" s="15" t="b">
        <v>1</v>
      </c>
      <c r="DS12" s="15" t="n">
        <v>3.09234227154249</v>
      </c>
      <c r="DT12" s="15" t="n">
        <v>20.18011242135212</v>
      </c>
      <c r="DU12" t="n">
        <v>45</v>
      </c>
      <c r="DV12" s="15" t="n">
        <v>0.03739150085433734</v>
      </c>
      <c r="DW12" s="15" t="n">
        <v>1.716055615689208</v>
      </c>
      <c r="DX12" s="15" t="n">
        <v>2.586602209249791</v>
      </c>
      <c r="DY12" s="15" t="n">
        <v>0.09356203318903844</v>
      </c>
      <c r="DZ12" s="15" t="b">
        <v>1</v>
      </c>
      <c r="EA12" s="15" t="n">
        <v>0.2956500933914721</v>
      </c>
      <c r="EB12" s="15" t="n">
        <v>20000</v>
      </c>
      <c r="EC12" s="15" t="n">
        <v>7918.56763795264</v>
      </c>
      <c r="ED12" s="15" t="n">
        <v>18</v>
      </c>
      <c r="EE12" s="15" t="n">
        <v>0</v>
      </c>
      <c r="EF12" s="15" t="n">
        <v>0.02446954900568182</v>
      </c>
      <c r="EG12" s="15" t="b">
        <v>0</v>
      </c>
      <c r="EH12" s="15" t="b">
        <v>1</v>
      </c>
      <c r="EI12" s="15" t="b">
        <v>0</v>
      </c>
      <c r="EJ12" s="15" t="inlineStr">
        <is>
          <t>wf=log|dst=-90.0|ceil=20000.0|fft=adaptive_tier</t>
        </is>
      </c>
      <c r="EK12" s="15" t="inlineStr">
        <is>
          <t>wf=log|dst=runtime_configured|ceil=runtime_configured|fft=fixed</t>
        </is>
      </c>
      <c r="EL12" s="15" t="n">
        <v>0.6448031226069753</v>
      </c>
      <c r="EM12" s="15" t="n">
        <v>0.9910702766244428</v>
      </c>
      <c r="EN12" s="15" t="n">
        <v>0.3478260869565217</v>
      </c>
      <c r="EO12" s="15" t="n">
        <v>0.3854118384559665</v>
      </c>
      <c r="EP12" s="15" t="inlineStr">
        <is>
          <t>warn:power_outlier_detected</t>
        </is>
      </c>
      <c r="EQ12" s="15" t="n">
        <v>383.2123033307377</v>
      </c>
      <c r="ER12" s="15" t="inlineStr">
        <is>
          <t>winsorize_p95_for_robust_diagnostics</t>
        </is>
      </c>
      <c r="ES12" s="15" t="n">
        <v>0.1812233867492069</v>
      </c>
      <c r="ET12" s="15" t="n">
        <v>0.03043903488905974</v>
      </c>
      <c r="EU12" s="15" t="n">
        <v>0.03545751147659715</v>
      </c>
      <c r="EV12" t="inlineStr">
        <is>
          <t>computed</t>
        </is>
      </c>
      <c r="EW12" s="15" t="inlineStr">
        <is>
          <t>computed</t>
        </is>
      </c>
      <c r="EX12" s="15" t="inlineStr">
        <is>
          <t>computed</t>
        </is>
      </c>
      <c r="EY12" s="15" t="inlineStr">
        <is>
          <t>available_from_curve</t>
        </is>
      </c>
      <c r="EZ12" s="15" t="n">
        <v>20000</v>
      </c>
      <c r="FA12" s="15" t="n">
        <v>20000</v>
      </c>
      <c r="FB12" s="15" t="n">
        <v>0.1521681802246322</v>
      </c>
      <c r="FC12" s="15" t="n">
        <v>0.4425726569856173</v>
      </c>
      <c r="FD12" s="15" t="n">
        <v>2.612450590451078</v>
      </c>
      <c r="FE12" s="15" t="n">
        <v>1.731507410282937</v>
      </c>
      <c r="FF12" s="15" t="n">
        <v>0.9495419873483569</v>
      </c>
      <c r="FG12" s="15" t="n">
        <v>1.933347538451114</v>
      </c>
      <c r="FH12" s="15" t="n">
        <v>0.3569528420748109</v>
      </c>
      <c r="FI12" s="15" t="n">
        <v>0.05108267439218839</v>
      </c>
      <c r="FJ12" s="15" t="n">
        <v>10201.15133677883</v>
      </c>
      <c r="FK12" s="15" t="n">
        <v>48.10652233642986</v>
      </c>
      <c r="FL12" s="15" t="n">
        <v>2.019372345788087</v>
      </c>
      <c r="FM12" s="15" t="n">
        <v>0.004725864722205819</v>
      </c>
      <c r="FN12" t="n">
        <v>1</v>
      </c>
      <c r="FO12" t="n">
        <v>0</v>
      </c>
      <c r="FP12" t="n">
        <v>0</v>
      </c>
      <c r="FQ12" t="inlineStr">
        <is>
          <t>excellent</t>
        </is>
      </c>
      <c r="FR12" s="19" t="n">
        <v>0.8888888888888888</v>
      </c>
      <c r="FS12" s="15" t="n">
        <v>2.362982407793022</v>
      </c>
      <c r="FT12" s="15" t="n">
        <v>15.30928180741913</v>
      </c>
      <c r="FU12" t="inlineStr">
        <is>
          <t>passed</t>
        </is>
      </c>
      <c r="FV12" t="n">
        <v>204.3427486848447</v>
      </c>
      <c r="FW12" t="n">
        <v>26.44495202125863</v>
      </c>
      <c r="FX12" t="n">
        <v>3.951557543348756</v>
      </c>
      <c r="FY12" t="n">
        <v>0.7257231238650299</v>
      </c>
      <c r="FZ12" t="n">
        <v>0.9623029401525621</v>
      </c>
      <c r="GA12" t="n">
        <v>0.6197360647271588</v>
      </c>
      <c r="GB12" t="n">
        <v>0.728844080579491</v>
      </c>
      <c r="GC12" t="n">
        <v>0.7337695545481885</v>
      </c>
      <c r="GD12" t="n">
        <v>0.6205623751363795</v>
      </c>
      <c r="GE12" t="n">
        <v>0.9710686332737345</v>
      </c>
      <c r="GF12" t="n">
        <v>0.8873715528570505</v>
      </c>
      <c r="GG12" t="n">
        <v>0.02146741218816622</v>
      </c>
      <c r="GH12" t="n">
        <v>0.7788951266113706</v>
      </c>
      <c r="GI12" t="n">
        <v>0.1703703703703704</v>
      </c>
      <c r="GJ12" t="n">
        <v>0.8333333333333333</v>
      </c>
      <c r="GK12" t="n">
        <v>0.1666666666666665</v>
      </c>
      <c r="GL12" t="n">
        <v>0.0476890869641511</v>
      </c>
      <c r="GM12" t="n">
        <v>0.0476890869641511</v>
      </c>
      <c r="GN12" t="n">
        <v>0.7836556763444176</v>
      </c>
      <c r="GO12" t="n">
        <v>0.1615703350029775</v>
      </c>
      <c r="GP12" t="n">
        <v>701.0100332694078</v>
      </c>
      <c r="GQ12" t="inlineStr">
        <is>
          <t>compiled workbook density_weighted_sum = density_component_ratio_weighted_sum (per-note component ratios); research density_weighted_sum maps body-ceiling richness</t>
        </is>
      </c>
      <c r="GR12" s="15" t="inlineStr">
        <is>
          <t>individual_exact</t>
        </is>
      </c>
      <c r="GS12" s="15" t="inlineStr">
        <is>
          <t>density_weight</t>
        </is>
      </c>
      <c r="GT12" s="15" t="n">
        <v>0.877169129190089</v>
      </c>
      <c r="GU12" s="15" t="n">
        <v>0.1228308708099109</v>
      </c>
      <c r="GV12" s="15" t="n">
        <v>0</v>
      </c>
      <c r="GW12" s="15" t="inlineStr">
        <is>
          <t>log</t>
        </is>
      </c>
      <c r="GX12" s="15" t="n">
        <v>0.5</v>
      </c>
      <c r="GY12" s="15" t="inlineStr">
        <is>
          <t>EWSD-R v18.1</t>
        </is>
      </c>
      <c r="GZ12" s="15" t="n">
        <v>4.927589479456609</v>
      </c>
      <c r="HA12" s="15" t="n">
        <v>22.71791008824147</v>
      </c>
      <c r="HB12" s="15" t="n">
        <v>0.4149420968015944</v>
      </c>
      <c r="HC12" s="15" t="n">
        <v>8.058168633039358</v>
      </c>
      <c r="HD12" s="15" t="n">
        <v>28.0670760913574</v>
      </c>
      <c r="HE12" s="15" t="n">
        <v>0.340833789235202</v>
      </c>
      <c r="HF12" s="15" t="inlineStr">
        <is>
          <t>partials+ratios</t>
        </is>
      </c>
      <c r="HG12" s="15" t="inlineStr">
        <is>
          <t>merged_individual_exact</t>
        </is>
      </c>
      <c r="HH12" s="15" t="inlineStr">
        <is>
          <t>passed</t>
        </is>
      </c>
      <c r="HI12" s="15" t="inlineStr">
        <is>
          <t>passed</t>
        </is>
      </c>
    </row>
    <row r="13">
      <c r="A13" t="inlineStr">
        <is>
          <t>incomplete_inference</t>
        </is>
      </c>
      <c r="B13" t="inlineStr">
        <is>
          <t>missing_instrument_technique</t>
        </is>
      </c>
      <c r="C13" t="inlineStr">
        <is>
          <t>prior_constrained_harmonic_fit</t>
        </is>
      </c>
      <c r="D13" t="inlineStr">
        <is>
          <t>IOWA_flt_mf.A#4_SustainStable/A#4/component_amplitude_mass_pie.png</t>
        </is>
      </c>
      <c r="E13" t="inlineStr">
        <is>
          <t>IOWA_flt_mf.A#4_SustainStable/A#4/component_energy_ratio_pie.png</t>
        </is>
      </c>
      <c r="F13" s="15" t="n">
        <v>466.2034769104477</v>
      </c>
      <c r="G13" s="15" t="inlineStr">
        <is>
          <t>prior_constrained_harmonic_fit</t>
        </is>
      </c>
      <c r="H13" s="15" t="inlineStr">
        <is>
          <t>fit_accepted_acoustically_verified</t>
        </is>
      </c>
      <c r="I13" s="16" t="n">
        <v>641.2028007281738</v>
      </c>
      <c r="J13" t="inlineStr">
        <is>
          <t>richness_weighted_body_density_body_ceiling</t>
        </is>
      </c>
      <c r="K13" t="inlineStr">
        <is>
          <t>research_body_ceiling_richness_metric</t>
        </is>
      </c>
      <c r="L13" s="15" t="n">
        <v>43226.41442897473</v>
      </c>
      <c r="M13" s="15" t="n">
        <v>43226.41442897473</v>
      </c>
      <c r="N13" s="15" t="n">
        <v>184.5661316568678</v>
      </c>
      <c r="O13" s="15" t="n">
        <v>5.408672581257319</v>
      </c>
      <c r="P13" s="15" t="n">
        <v>-2.62002766142303</v>
      </c>
      <c r="Q13" s="15" t="n">
        <v>21</v>
      </c>
      <c r="R13" s="15" t="n">
        <v>29</v>
      </c>
      <c r="S13" s="15" t="n">
        <v>10806.62039002425</v>
      </c>
      <c r="T13" s="15" t="n">
        <v>43</v>
      </c>
      <c r="U13" s="15" t="n">
        <v>0.6351814559973663</v>
      </c>
      <c r="V13" s="15" t="n">
        <v>27.53000231607261</v>
      </c>
      <c r="W13" s="15" t="n">
        <v>0.8259685198873965</v>
      </c>
      <c r="X13" s="15" t="n">
        <v>0.4802183865850435</v>
      </c>
      <c r="Y13" s="15" t="n">
        <v>29</v>
      </c>
      <c r="Z13" s="15" t="n">
        <v>42</v>
      </c>
      <c r="AA13" s="15" t="n">
        <v>0.6904761904761905</v>
      </c>
      <c r="AB13" s="15" t="n">
        <v>42</v>
      </c>
      <c r="AC13" s="15" t="n">
        <v>29</v>
      </c>
      <c r="AD13" s="15" t="n">
        <v>0.6904761904761905</v>
      </c>
      <c r="AE13" s="15" t="n">
        <v>582.7483183044791</v>
      </c>
      <c r="AF13" s="15" t="n">
        <v>29</v>
      </c>
      <c r="AG13" s="15" t="n">
        <v>42</v>
      </c>
      <c r="AH13" s="15" t="n">
        <v>0.6904761904761905</v>
      </c>
      <c r="AI13" s="15" t="n">
        <v>582.7483183044791</v>
      </c>
      <c r="AJ13" s="15" t="n">
        <v>15</v>
      </c>
      <c r="AK13" s="15" t="n">
        <v>14</v>
      </c>
      <c r="AL13" s="15" t="n">
        <v>10.48115196519913</v>
      </c>
      <c r="AM13" s="15" t="n">
        <v>24</v>
      </c>
      <c r="AN13" s="15" t="n">
        <v>0</v>
      </c>
      <c r="AO13" s="15" t="n">
        <v>24</v>
      </c>
      <c r="AP13" s="15" t="n">
        <v>0</v>
      </c>
      <c r="AQ13" s="15" t="n">
        <v>28.65811246952407</v>
      </c>
      <c r="AR13" s="15" t="n">
        <v>15.54377711713318</v>
      </c>
      <c r="AS13" s="15" t="n">
        <v>0.4699052057060244</v>
      </c>
      <c r="AT13" s="17" t="n">
        <v>2.62084318902717</v>
      </c>
      <c r="AU13" s="18" t="n">
        <v>12.11851514741774</v>
      </c>
      <c r="AV13" s="15" t="n">
        <v>17.40341149108035</v>
      </c>
      <c r="AW13" s="15" t="b">
        <v>1</v>
      </c>
      <c r="AX13" s="15" t="n">
        <v>15.79541582377343</v>
      </c>
      <c r="AY13" s="15" t="n">
        <v>12.11527712011912</v>
      </c>
      <c r="AZ13" s="15" t="n">
        <v>0</v>
      </c>
      <c r="BA13" s="15" t="n">
        <v>1</v>
      </c>
      <c r="BB13" s="15" t="n">
        <v>0.5</v>
      </c>
      <c r="BC13" s="15" t="n">
        <v>0.25</v>
      </c>
      <c r="BD13" s="15" t="inlineStr">
        <is>
          <t>his_note_adaptive</t>
        </is>
      </c>
      <c r="BE13" s="15" t="n">
        <v>-90</v>
      </c>
      <c r="BF13" s="15" t="n">
        <v>20000</v>
      </c>
      <c r="BG13" s="15" t="n">
        <v>29</v>
      </c>
      <c r="BH13" s="15" t="n">
        <v>0.6904761904761905</v>
      </c>
      <c r="BI13" s="15" t="n">
        <v>42</v>
      </c>
      <c r="BJ13" s="15" t="n">
        <v>29</v>
      </c>
      <c r="BK13" s="15" t="n">
        <v>42</v>
      </c>
      <c r="BL13" s="15" t="n">
        <v>37</v>
      </c>
      <c r="BM13" s="15" t="n">
        <v>0.8809523809523809</v>
      </c>
      <c r="BN13" s="15" t="n">
        <v>0.2990024908492617</v>
      </c>
      <c r="BO13" s="15" t="n">
        <v>0.2</v>
      </c>
      <c r="BP13" s="19" t="n">
        <v>0.8530702870898179</v>
      </c>
      <c r="BQ13" s="19" t="n">
        <v>0.1469297129101821</v>
      </c>
      <c r="BR13" s="19" t="n">
        <v>0</v>
      </c>
      <c r="BS13" s="15" t="n">
        <v>0.03444727008636561</v>
      </c>
      <c r="BT13" s="19" t="n">
        <v>1</v>
      </c>
      <c r="BU13" s="19" t="n">
        <v>0</v>
      </c>
      <c r="BV13" s="19" t="n">
        <v>0</v>
      </c>
      <c r="BW13" t="inlineStr">
        <is>
          <t>A#4</t>
        </is>
      </c>
      <c r="BX13" t="n">
        <v>70</v>
      </c>
      <c r="BY13" t="inlineStr">
        <is>
          <t>A#</t>
        </is>
      </c>
      <c r="BZ13" t="n">
        <v>4</v>
      </c>
      <c r="CA13" t="inlineStr">
        <is>
          <t>High</t>
        </is>
      </c>
      <c r="CB13" t="inlineStr">
        <is>
          <t>mf</t>
        </is>
      </c>
      <c r="CC13" s="15" t="n">
        <v>466.1637615180898</v>
      </c>
      <c r="CD13" s="15" t="n">
        <v>466.2034769104477</v>
      </c>
      <c r="CE13" t="inlineStr">
        <is>
          <t>prior_constrained_harmonic_fit</t>
        </is>
      </c>
      <c r="CF13" t="n">
        <v>466.2034769104477</v>
      </c>
      <c r="CG13" s="15" t="n">
        <v>1</v>
      </c>
      <c r="CH13" t="inlineStr">
        <is>
          <t>free_fit_acoustically_verified</t>
        </is>
      </c>
      <c r="CI13" s="15" t="inlineStr">
        <is>
          <t>free_f0_fit</t>
        </is>
      </c>
      <c r="CJ13" s="15" t="n">
        <v>466.1637615180898</v>
      </c>
      <c r="CK13" s="15" t="n">
        <v>466.2034769104477</v>
      </c>
      <c r="CL13" s="15" t="n">
        <v>0.1474883216176563</v>
      </c>
      <c r="CM13" s="15" t="n">
        <v>20000</v>
      </c>
      <c r="CN13" s="15" t="n">
        <v>0.1474883216176563</v>
      </c>
      <c r="CO13" s="15" t="n">
        <v>2.351007241386383</v>
      </c>
      <c r="CP13" s="15" t="n">
        <v>43226.41442897473</v>
      </c>
      <c r="CQ13" t="n">
        <v>2.492042699940593</v>
      </c>
      <c r="CR13" t="n">
        <v>0.05933434999858554</v>
      </c>
      <c r="CS13" t="n">
        <v>257.3000858867543</v>
      </c>
      <c r="CT13" t="n">
        <v>257.3000858867543</v>
      </c>
      <c r="CU13" t="n">
        <v>641.2028007281738</v>
      </c>
      <c r="CV13" t="n">
        <v>5.408672581257319</v>
      </c>
      <c r="CW13" s="15" t="n">
        <v>43226.41442897473</v>
      </c>
      <c r="CX13" s="15" t="n">
        <v>184.5661316568678</v>
      </c>
      <c r="CY13" s="15" t="n">
        <v>5.408672581257319</v>
      </c>
      <c r="CZ13" s="15" t="n">
        <v>2.62084318902717</v>
      </c>
      <c r="DA13" s="15" t="n">
        <v>2.62084318902717</v>
      </c>
      <c r="DB13" s="15" t="n">
        <v>1.767746886947359</v>
      </c>
      <c r="DC13" s="15" t="n">
        <v>0</v>
      </c>
      <c r="DD13" s="15" t="n">
        <v>6.063059413205492e-05</v>
      </c>
      <c r="DE13" s="15" t="n">
        <v>0</v>
      </c>
      <c r="DF13" s="15" t="n">
        <v>21</v>
      </c>
      <c r="DG13" s="15" t="inlineStr">
        <is>
          <t>Density_Metrics</t>
        </is>
      </c>
      <c r="DH13" s="15" t="n">
        <v>2.351007241386383</v>
      </c>
      <c r="DI13" t="n">
        <v>0.9597877736666359</v>
      </c>
      <c r="DJ13" s="15" t="n">
        <v>0.5588097168593039</v>
      </c>
      <c r="DK13" s="15" t="n">
        <v>5.262708218876513</v>
      </c>
      <c r="DL13" s="15" t="n">
        <v>2.513986136821564</v>
      </c>
      <c r="DM13" s="15" t="n">
        <v>1.123039652270482</v>
      </c>
      <c r="DN13" s="15" t="n">
        <v>5.813256849773895</v>
      </c>
      <c r="DO13" s="15" t="n">
        <v>0.6062140988084963</v>
      </c>
      <c r="DP13" s="15" t="n">
        <v>1.5625</v>
      </c>
      <c r="DQ13" s="15" t="n">
        <v>51</v>
      </c>
      <c r="DR13" s="15" t="b">
        <v>1</v>
      </c>
      <c r="DS13" s="15" t="n">
        <v>2.492042699940593</v>
      </c>
      <c r="DT13" s="15" t="n">
        <v>20.16917223657183</v>
      </c>
      <c r="DU13" t="n">
        <v>42</v>
      </c>
      <c r="DV13" s="15" t="n">
        <v>0.03444727008636561</v>
      </c>
      <c r="DW13" s="15" t="n">
        <v>1.704484706532229</v>
      </c>
      <c r="DX13" s="15" t="n">
        <v>2.615434659126637</v>
      </c>
      <c r="DY13" s="15" t="n">
        <v>0.09676285299406476</v>
      </c>
      <c r="DZ13" s="15" t="b">
        <v>1</v>
      </c>
      <c r="EA13" s="15" t="n">
        <v>0.4738607613682128</v>
      </c>
      <c r="EB13" s="15" t="n">
        <v>20000</v>
      </c>
      <c r="EC13" s="15" t="n">
        <v>9790.273015119401</v>
      </c>
      <c r="ED13" s="15" t="n">
        <v>21</v>
      </c>
      <c r="EE13" s="15" t="n">
        <v>4</v>
      </c>
      <c r="EF13" s="15" t="n">
        <v>0.02309617874936895</v>
      </c>
      <c r="EG13" s="15" t="b">
        <v>0</v>
      </c>
      <c r="EH13" s="15" t="b">
        <v>1</v>
      </c>
      <c r="EI13" s="15" t="b">
        <v>0</v>
      </c>
      <c r="EJ13" s="15" t="inlineStr">
        <is>
          <t>wf=log|dst=-90.0|ceil=20000.0|fft=adaptive_tier</t>
        </is>
      </c>
      <c r="EK13" s="15" t="inlineStr">
        <is>
          <t>wf=log|dst=runtime_configured|ceil=runtime_configured|fft=fixed</t>
        </is>
      </c>
      <c r="EL13" s="15" t="n">
        <v>0.6921080986318925</v>
      </c>
      <c r="EM13" s="15" t="n">
        <v>0.9931131194236503</v>
      </c>
      <c r="EN13" s="15" t="n">
        <v>0.4883720930232558</v>
      </c>
      <c r="EO13" s="15" t="n">
        <v>0.3713848116655514</v>
      </c>
      <c r="EP13" s="15" t="inlineStr">
        <is>
          <t>warn:power_outlier_detected</t>
        </is>
      </c>
      <c r="EQ13" s="15" t="n">
        <v>482.7480601566547</v>
      </c>
      <c r="ER13" s="15" t="inlineStr">
        <is>
          <t>winsorize_p95_for_robust_diagnostics</t>
        </is>
      </c>
      <c r="ES13" s="15" t="n">
        <v>0.1378430110116827</v>
      </c>
      <c r="ET13" s="15" t="n">
        <v>0.03293580383024457</v>
      </c>
      <c r="EU13" s="15" t="n">
        <v>0.0382525120257086</v>
      </c>
      <c r="EV13" t="inlineStr">
        <is>
          <t>computed</t>
        </is>
      </c>
      <c r="EW13" s="15" t="inlineStr">
        <is>
          <t>computed</t>
        </is>
      </c>
      <c r="EX13" s="15" t="inlineStr">
        <is>
          <t>computed</t>
        </is>
      </c>
      <c r="EY13" s="15" t="inlineStr">
        <is>
          <t>available_from_curve</t>
        </is>
      </c>
      <c r="EZ13" s="15" t="n">
        <v>20000</v>
      </c>
      <c r="FA13" s="15" t="n">
        <v>20000</v>
      </c>
      <c r="FB13" s="15" t="n">
        <v>0.1469297129101821</v>
      </c>
      <c r="FC13" s="15" t="n">
        <v>0.3611558623096275</v>
      </c>
      <c r="FD13" s="15" t="n">
        <v>2.62084318902717</v>
      </c>
      <c r="FE13" s="15" t="n">
        <v>1.767746886947359</v>
      </c>
      <c r="FF13" s="15" t="n">
        <v>0.8741181429019846</v>
      </c>
      <c r="FG13" s="15" t="n">
        <v>1.939558492203733</v>
      </c>
      <c r="FH13" s="15" t="n">
        <v>0.3644236643848092</v>
      </c>
      <c r="FI13" s="15" t="n">
        <v>0.0470250847978405</v>
      </c>
      <c r="FJ13" s="15" t="n">
        <v>10806.60360724368</v>
      </c>
      <c r="FK13" s="15" t="n">
        <v>46.14153291421695</v>
      </c>
      <c r="FL13" s="15" t="n">
        <v>1.35216814531433</v>
      </c>
      <c r="FM13" s="15" t="n">
        <v>0.005016536999075748</v>
      </c>
      <c r="FN13" t="n">
        <v>1</v>
      </c>
      <c r="FO13" t="n">
        <v>0</v>
      </c>
      <c r="FP13" t="n">
        <v>0</v>
      </c>
      <c r="FQ13" t="inlineStr">
        <is>
          <t>excellent</t>
        </is>
      </c>
      <c r="FR13" s="19" t="n">
        <v>0.8809523809523809</v>
      </c>
      <c r="FS13" s="15" t="n">
        <v>1.327262393315751</v>
      </c>
      <c r="FT13" s="15" t="n">
        <v>14.56269882703845</v>
      </c>
      <c r="FU13" t="inlineStr">
        <is>
          <t>passed</t>
        </is>
      </c>
      <c r="FV13" t="n">
        <v>208.3397638076571</v>
      </c>
      <c r="FW13" t="n">
        <v>28.78983271568151</v>
      </c>
      <c r="FX13" t="n">
        <v>3.241865279011745</v>
      </c>
      <c r="FY13" t="n">
        <v>0.7501366092772433</v>
      </c>
      <c r="FZ13" t="n">
        <v>0.8747432876874568</v>
      </c>
      <c r="GA13" t="n">
        <v>0.6020146412546731</v>
      </c>
      <c r="GB13" t="n">
        <v>0.5175050677951619</v>
      </c>
      <c r="GC13" t="n">
        <v>0.5223558270019099</v>
      </c>
      <c r="GD13" t="n">
        <v>0.5556418935005126</v>
      </c>
      <c r="GE13" t="n">
        <v>0.886535336597953</v>
      </c>
      <c r="GF13" t="n">
        <v>0.9899102327809434</v>
      </c>
      <c r="GG13" t="n">
        <v>0</v>
      </c>
      <c r="GH13" t="n">
        <v>0.7226862056663701</v>
      </c>
      <c r="GI13" t="n">
        <v>0.5873015873015873</v>
      </c>
      <c r="GJ13" t="n">
        <v>0.7857142857142858</v>
      </c>
      <c r="GK13" t="n">
        <v>0.1458333333333333</v>
      </c>
      <c r="GL13" t="n">
        <v>0</v>
      </c>
      <c r="GM13" t="n">
        <v>0</v>
      </c>
      <c r="GN13" t="n">
        <v>0.6254606607147307</v>
      </c>
      <c r="GO13" t="n">
        <v>0.444057076804485</v>
      </c>
      <c r="GP13" t="n">
        <v>641.2028007281738</v>
      </c>
      <c r="GQ13" t="inlineStr">
        <is>
          <t>compiled workbook density_weighted_sum = density_component_ratio_weighted_sum (per-note component ratios); research density_weighted_sum maps body-ceiling richness</t>
        </is>
      </c>
      <c r="GR13" s="15" t="inlineStr">
        <is>
          <t>individual_exact</t>
        </is>
      </c>
      <c r="GS13" s="15" t="inlineStr">
        <is>
          <t>density_weight</t>
        </is>
      </c>
      <c r="GT13" s="15" t="n">
        <v>0.9316224939048139</v>
      </c>
      <c r="GU13" s="15" t="n">
        <v>0.06837750609518618</v>
      </c>
      <c r="GV13" s="15" t="n">
        <v>0</v>
      </c>
      <c r="GW13" s="15" t="inlineStr">
        <is>
          <t>log</t>
        </is>
      </c>
      <c r="GX13" s="15" t="n">
        <v>0.5</v>
      </c>
      <c r="GY13" s="15" t="inlineStr">
        <is>
          <t>EWSD-R v18.1</t>
        </is>
      </c>
      <c r="GZ13" s="15" t="n">
        <v>6.488400027602109</v>
      </c>
      <c r="HA13" s="15" t="n">
        <v>22.42181962894102</v>
      </c>
      <c r="HB13" s="15" t="n">
        <v>0.3351977950921914</v>
      </c>
      <c r="HC13" s="15" t="n">
        <v>10.12510239976269</v>
      </c>
      <c r="HD13" s="15" t="n">
        <v>29.08321596756502</v>
      </c>
      <c r="HE13" s="15" t="n">
        <v>0.2801452880324565</v>
      </c>
      <c r="HF13" s="15" t="inlineStr">
        <is>
          <t>partials+ratios</t>
        </is>
      </c>
      <c r="HG13" s="15" t="inlineStr">
        <is>
          <t>merged_individual_exact</t>
        </is>
      </c>
      <c r="HH13" s="15" t="inlineStr">
        <is>
          <t>passed</t>
        </is>
      </c>
      <c r="HI13" s="15" t="inlineStr">
        <is>
          <t>passed</t>
        </is>
      </c>
    </row>
    <row r="14">
      <c r="A14" t="inlineStr">
        <is>
          <t>incomplete_inference</t>
        </is>
      </c>
      <c r="B14" t="inlineStr">
        <is>
          <t>missing_instrument_technique</t>
        </is>
      </c>
      <c r="C14" t="inlineStr">
        <is>
          <t>prior_constrained_harmonic_fit</t>
        </is>
      </c>
      <c r="D14" t="inlineStr">
        <is>
          <t>IOWA_flt_mf.B4_SustainStable/B4/component_amplitude_mass_pie.png</t>
        </is>
      </c>
      <c r="E14" t="inlineStr">
        <is>
          <t>IOWA_flt_mf.B4_SustainStable/B4/component_energy_ratio_pie.png</t>
        </is>
      </c>
      <c r="F14" s="15" t="n">
        <v>493.6974218551333</v>
      </c>
      <c r="G14" s="15" t="inlineStr">
        <is>
          <t>prior_constrained_harmonic_fit</t>
        </is>
      </c>
      <c r="H14" s="15" t="inlineStr">
        <is>
          <t>fit_accepted_acoustically_verified</t>
        </is>
      </c>
      <c r="I14" s="16" t="n">
        <v>524.8900546982662</v>
      </c>
      <c r="J14" t="inlineStr">
        <is>
          <t>richness_weighted_body_density_body_ceiling</t>
        </is>
      </c>
      <c r="K14" t="inlineStr">
        <is>
          <t>research_body_ceiling_richness_metric</t>
        </is>
      </c>
      <c r="L14" s="15" t="n">
        <v>40279.22959798934</v>
      </c>
      <c r="M14" s="15" t="n">
        <v>40279.22959798934</v>
      </c>
      <c r="N14" s="15" t="n">
        <v>188.4225612187823</v>
      </c>
      <c r="O14" s="15" t="n">
        <v>9.59807611336044</v>
      </c>
      <c r="P14" s="15" t="n">
        <v>-2.898646030144195</v>
      </c>
      <c r="Q14" s="15" t="n">
        <v>20</v>
      </c>
      <c r="R14" s="15" t="n">
        <v>29</v>
      </c>
      <c r="S14" s="15" t="n">
        <v>10069.81424774807</v>
      </c>
      <c r="T14" s="15" t="n">
        <v>41</v>
      </c>
      <c r="U14" s="15" t="n">
        <v>0.3629064179115546</v>
      </c>
      <c r="V14" s="15" t="n">
        <v>23.18656886297832</v>
      </c>
      <c r="W14" s="15" t="n">
        <v>0.8732515915706586</v>
      </c>
      <c r="X14" s="15" t="n">
        <v>0.4168645431293365</v>
      </c>
      <c r="Y14" s="15" t="n">
        <v>24</v>
      </c>
      <c r="Z14" s="15" t="n">
        <v>40</v>
      </c>
      <c r="AA14" s="15" t="n">
        <v>0.6</v>
      </c>
      <c r="AB14" s="15" t="n">
        <v>40</v>
      </c>
      <c r="AC14" s="15" t="n">
        <v>24</v>
      </c>
      <c r="AD14" s="15" t="n">
        <v>0.6</v>
      </c>
      <c r="AE14" s="15" t="n">
        <v>541.3557119491153</v>
      </c>
      <c r="AF14" s="15" t="n">
        <v>24</v>
      </c>
      <c r="AG14" s="15" t="n">
        <v>40</v>
      </c>
      <c r="AH14" s="15" t="n">
        <v>0.6</v>
      </c>
      <c r="AI14" s="15" t="n">
        <v>541.3557119491153</v>
      </c>
      <c r="AJ14" s="15" t="n">
        <v>12</v>
      </c>
      <c r="AK14" s="15" t="n">
        <v>12</v>
      </c>
      <c r="AL14" s="15" t="n">
        <v>6.863785631866258</v>
      </c>
      <c r="AM14" s="15" t="n">
        <v>17</v>
      </c>
      <c r="AN14" s="15" t="n">
        <v>0</v>
      </c>
      <c r="AO14" s="15" t="n">
        <v>17</v>
      </c>
      <c r="AP14" s="15" t="n">
        <v>0</v>
      </c>
      <c r="AQ14" s="15" t="n">
        <v>23.39589396536771</v>
      </c>
      <c r="AR14" s="15" t="n">
        <v>12.99995836868613</v>
      </c>
      <c r="AS14" s="15" t="n">
        <v>0.344937039750229</v>
      </c>
      <c r="AT14" s="17" t="n">
        <v>2.589614193641786</v>
      </c>
      <c r="AU14" s="18" t="n">
        <v>11.07354309451338</v>
      </c>
      <c r="AV14" s="15" t="n">
        <v>15.98063098586069</v>
      </c>
      <c r="AW14" s="15" t="b">
        <v>1</v>
      </c>
      <c r="AX14" s="15" t="n">
        <v>13.35716701268037</v>
      </c>
      <c r="AY14" s="15" t="n">
        <v>9.21805837179139</v>
      </c>
      <c r="AZ14" s="15" t="n">
        <v>0</v>
      </c>
      <c r="BA14" s="15" t="n">
        <v>1</v>
      </c>
      <c r="BB14" s="15" t="n">
        <v>0.5</v>
      </c>
      <c r="BC14" s="15" t="n">
        <v>0.25</v>
      </c>
      <c r="BD14" s="15" t="inlineStr">
        <is>
          <t>his_note_adaptive</t>
        </is>
      </c>
      <c r="BE14" s="15" t="n">
        <v>-90</v>
      </c>
      <c r="BF14" s="15" t="n">
        <v>20000</v>
      </c>
      <c r="BG14" s="15" t="n">
        <v>24</v>
      </c>
      <c r="BH14" s="15" t="n">
        <v>0.6</v>
      </c>
      <c r="BI14" s="15" t="n">
        <v>40</v>
      </c>
      <c r="BJ14" s="15" t="n">
        <v>24</v>
      </c>
      <c r="BK14" s="15" t="n">
        <v>40</v>
      </c>
      <c r="BL14" s="15" t="n">
        <v>35</v>
      </c>
      <c r="BM14" s="15" t="n">
        <v>0.875</v>
      </c>
      <c r="BN14" s="15" t="n">
        <v>0.2426588951464475</v>
      </c>
      <c r="BO14" s="15" t="n">
        <v>0.1416666666666667</v>
      </c>
      <c r="BP14" s="19" t="n">
        <v>0.803779016569153</v>
      </c>
      <c r="BQ14" s="19" t="n">
        <v>0.1962209834308471</v>
      </c>
      <c r="BR14" s="19" t="n">
        <v>0</v>
      </c>
      <c r="BS14" s="15" t="n">
        <v>0.03458409846447111</v>
      </c>
      <c r="BT14" s="19" t="n">
        <v>1</v>
      </c>
      <c r="BU14" s="19" t="n">
        <v>0</v>
      </c>
      <c r="BV14" s="19" t="n">
        <v>0</v>
      </c>
      <c r="BW14" t="inlineStr">
        <is>
          <t>B4</t>
        </is>
      </c>
      <c r="BX14" t="n">
        <v>71</v>
      </c>
      <c r="BY14" t="inlineStr">
        <is>
          <t>B</t>
        </is>
      </c>
      <c r="BZ14" t="n">
        <v>4</v>
      </c>
      <c r="CA14" t="inlineStr">
        <is>
          <t>High</t>
        </is>
      </c>
      <c r="CB14" t="inlineStr">
        <is>
          <t>mf</t>
        </is>
      </c>
      <c r="CC14" s="15" t="n">
        <v>493.8833012561242</v>
      </c>
      <c r="CD14" s="15" t="n">
        <v>493.6974218551333</v>
      </c>
      <c r="CE14" t="inlineStr">
        <is>
          <t>prior_constrained_harmonic_fit</t>
        </is>
      </c>
      <c r="CF14" t="n">
        <v>493.6974218551333</v>
      </c>
      <c r="CG14" s="15" t="n">
        <v>1</v>
      </c>
      <c r="CH14" t="inlineStr">
        <is>
          <t>free_fit_acoustically_verified</t>
        </is>
      </c>
      <c r="CI14" s="15" t="inlineStr">
        <is>
          <t>free_f0_fit</t>
        </is>
      </c>
      <c r="CJ14" s="15" t="n">
        <v>493.8833012561242</v>
      </c>
      <c r="CK14" s="15" t="n">
        <v>493.6974218551333</v>
      </c>
      <c r="CL14" s="15" t="n">
        <v>-0.6516950853431567</v>
      </c>
      <c r="CM14" s="15" t="n">
        <v>20000</v>
      </c>
      <c r="CN14" s="15" t="n">
        <v>-0.6516950853431567</v>
      </c>
      <c r="CO14" s="15" t="n">
        <v>2.332436410058628</v>
      </c>
      <c r="CP14" s="15" t="n">
        <v>40279.22959798934</v>
      </c>
      <c r="CQ14" t="n">
        <v>2.085005338729588</v>
      </c>
      <c r="CR14" t="n">
        <v>0.05212513346823969</v>
      </c>
      <c r="CS14" t="n">
        <v>251.7451849874334</v>
      </c>
      <c r="CT14" t="n">
        <v>251.7451849874334</v>
      </c>
      <c r="CU14" t="n">
        <v>524.8900546982662</v>
      </c>
      <c r="CV14" t="n">
        <v>9.59807611336044</v>
      </c>
      <c r="CW14" s="15" t="n">
        <v>40279.22959798934</v>
      </c>
      <c r="CX14" s="15" t="n">
        <v>188.4225612187823</v>
      </c>
      <c r="CY14" s="15" t="n">
        <v>9.59807611336044</v>
      </c>
      <c r="CZ14" s="15" t="n">
        <v>2.589614193641786</v>
      </c>
      <c r="DA14" s="15" t="n">
        <v>2.589614193641786</v>
      </c>
      <c r="DB14" s="15" t="n">
        <v>1.761071994049218</v>
      </c>
      <c r="DC14" s="15" t="n">
        <v>0</v>
      </c>
      <c r="DD14" s="15" t="n">
        <v>6.429155223393483e-05</v>
      </c>
      <c r="DE14" s="15" t="n">
        <v>0</v>
      </c>
      <c r="DF14" s="15" t="n">
        <v>20</v>
      </c>
      <c r="DG14" s="15" t="inlineStr">
        <is>
          <t>Density_Metrics</t>
        </is>
      </c>
      <c r="DH14" s="15" t="n">
        <v>2.332436410058628</v>
      </c>
      <c r="DI14" t="n">
        <v>0.9522063181349665</v>
      </c>
      <c r="DJ14" s="15" t="n">
        <v>0.5550477737659691</v>
      </c>
      <c r="DK14" s="15" t="n">
        <v>5.334777906114823</v>
      </c>
      <c r="DL14" s="15" t="n">
        <v>2.105547877688738</v>
      </c>
      <c r="DM14" s="15" t="n">
        <v>1.087049271693112</v>
      </c>
      <c r="DN14" s="15" t="n">
        <v>5.484000386409871</v>
      </c>
      <c r="DO14" s="15" t="n">
        <v>0.6368496503284248</v>
      </c>
      <c r="DP14" s="15" t="n">
        <v>6.75</v>
      </c>
      <c r="DQ14" s="15" t="n">
        <v>49</v>
      </c>
      <c r="DR14" s="15" t="b">
        <v>1</v>
      </c>
      <c r="DS14" s="15" t="n">
        <v>2.085005338729588</v>
      </c>
      <c r="DT14" s="15" t="n">
        <v>16.67458172517346</v>
      </c>
      <c r="DU14" t="n">
        <v>40</v>
      </c>
      <c r="DV14" s="15" t="n">
        <v>0.03458409846447111</v>
      </c>
      <c r="DW14" s="15" t="n">
        <v>1.635887877422815</v>
      </c>
      <c r="DX14" s="15" t="n">
        <v>2.600548371208697</v>
      </c>
      <c r="DY14" s="15" t="n">
        <v>0.1043112414185808</v>
      </c>
      <c r="DZ14" s="15" t="b">
        <v>1</v>
      </c>
      <c r="EA14" s="15" t="n">
        <v>0.1911813611385253</v>
      </c>
      <c r="EB14" s="15" t="n">
        <v>20000</v>
      </c>
      <c r="EC14" s="15" t="n">
        <v>9873.948437102665</v>
      </c>
      <c r="ED14" s="15" t="n">
        <v>20</v>
      </c>
      <c r="EE14" s="15" t="n">
        <v>1</v>
      </c>
      <c r="EF14" s="15" t="n">
        <v>0.02179988984263414</v>
      </c>
      <c r="EG14" s="15" t="b">
        <v>0</v>
      </c>
      <c r="EH14" s="15" t="b">
        <v>1</v>
      </c>
      <c r="EI14" s="15" t="b">
        <v>0</v>
      </c>
      <c r="EJ14" s="15" t="inlineStr">
        <is>
          <t>wf=log|dst=-90.0|ceil=20000.0|fft=adaptive_tier</t>
        </is>
      </c>
      <c r="EK14" s="15" t="inlineStr">
        <is>
          <t>wf=log|dst=runtime_configured|ceil=runtime_configured|fft=fixed</t>
        </is>
      </c>
      <c r="EL14" s="15" t="n">
        <v>0.6892118578303811</v>
      </c>
      <c r="EM14" s="15" t="n">
        <v>0.9934799850838002</v>
      </c>
      <c r="EN14" s="15" t="n">
        <v>0.4878048780487805</v>
      </c>
      <c r="EO14" s="15" t="n">
        <v>0.3570707861279892</v>
      </c>
      <c r="EP14" s="15" t="inlineStr">
        <is>
          <t>warn:power_outlier_detected</t>
        </is>
      </c>
      <c r="EQ14" s="15" t="n">
        <v>621.7789486675734</v>
      </c>
      <c r="ER14" s="15" t="inlineStr">
        <is>
          <t>winsorize_p95_for_robust_diagnostics</t>
        </is>
      </c>
      <c r="ES14" s="15" t="n">
        <v>0.1631358486772977</v>
      </c>
      <c r="ET14" s="15" t="n">
        <v>0.03597004820696544</v>
      </c>
      <c r="EU14" s="15" t="n">
        <v>0.04114021996369831</v>
      </c>
      <c r="EV14" t="inlineStr">
        <is>
          <t>computed</t>
        </is>
      </c>
      <c r="EW14" s="15" t="inlineStr">
        <is>
          <t>computed</t>
        </is>
      </c>
      <c r="EX14" s="15" t="inlineStr">
        <is>
          <t>computed</t>
        </is>
      </c>
      <c r="EY14" s="15" t="inlineStr">
        <is>
          <t>available_from_curve</t>
        </is>
      </c>
      <c r="EZ14" s="15" t="n">
        <v>20000</v>
      </c>
      <c r="FA14" s="15" t="n">
        <v>20000</v>
      </c>
      <c r="FB14" s="15" t="n">
        <v>0.1962209834308471</v>
      </c>
      <c r="FC14" s="15" t="n">
        <v>0.3319382863152758</v>
      </c>
      <c r="FD14" s="15" t="n">
        <v>2.589614193641786</v>
      </c>
      <c r="FE14" s="15" t="n">
        <v>1.761071994049218</v>
      </c>
      <c r="FF14" s="15" t="n">
        <v>0.9840917184238189</v>
      </c>
      <c r="FG14" s="15" t="n">
        <v>1.916447432581278</v>
      </c>
      <c r="FH14" s="15" t="n">
        <v>0.3630476252316491</v>
      </c>
      <c r="FI14" s="15" t="n">
        <v>0.05294135224570179</v>
      </c>
      <c r="FJ14" s="15" t="n">
        <v>10069.80739949733</v>
      </c>
      <c r="FK14" s="15" t="n">
        <v>47.10564030469557</v>
      </c>
      <c r="FL14" s="15" t="n">
        <v>2.39951902834011</v>
      </c>
      <c r="FM14" s="15" t="n">
        <v>0.004674448364986391</v>
      </c>
      <c r="FN14" t="n">
        <v>1</v>
      </c>
      <c r="FO14" t="n">
        <v>0</v>
      </c>
      <c r="FP14" t="n">
        <v>0</v>
      </c>
      <c r="FQ14" t="inlineStr">
        <is>
          <t>excellent</t>
        </is>
      </c>
      <c r="FR14" s="19" t="n">
        <v>0.875</v>
      </c>
      <c r="FS14" s="15" t="n">
        <v>2.080948422357619</v>
      </c>
      <c r="FT14" s="15" t="n">
        <v>8.617084670706467</v>
      </c>
      <c r="FU14" t="inlineStr">
        <is>
          <t>passed</t>
        </is>
      </c>
      <c r="FV14" t="n">
        <v>193.8498447196973</v>
      </c>
      <c r="FW14" t="n">
        <v>28.34310416463089</v>
      </c>
      <c r="FX14" t="n">
        <v>4.320162978326308</v>
      </c>
      <c r="FY14" t="n">
        <v>0.7030283449883521</v>
      </c>
      <c r="FZ14" t="n">
        <v>0.704457802355575</v>
      </c>
      <c r="GA14" t="n">
        <v>0.643492525767938</v>
      </c>
      <c r="GB14" t="n">
        <v>0.3757200767103977</v>
      </c>
      <c r="GC14" t="n">
        <v>0.379005256961377</v>
      </c>
      <c r="GD14" t="n">
        <v>0.4271869825804917</v>
      </c>
      <c r="GE14" t="n">
        <v>0.9397502821952255</v>
      </c>
      <c r="GF14" t="n">
        <v>0.7854429917299512</v>
      </c>
      <c r="GG14" t="n">
        <v>0.0009976633706102096</v>
      </c>
      <c r="GH14" t="n">
        <v>0.6215093176101698</v>
      </c>
      <c r="GI14" t="n">
        <v>0.4666666666666666</v>
      </c>
      <c r="GJ14" t="n">
        <v>0.7500000000000002</v>
      </c>
      <c r="GK14" t="n">
        <v>0</v>
      </c>
      <c r="GL14" t="n">
        <v>0.44872966563126</v>
      </c>
      <c r="GM14" t="n">
        <v>0.44872966563126</v>
      </c>
      <c r="GN14" t="n">
        <v>0.5686901269509997</v>
      </c>
      <c r="GO14" t="n">
        <v>0.304811911386381</v>
      </c>
      <c r="GP14" t="n">
        <v>524.8900546982662</v>
      </c>
      <c r="GQ14" t="inlineStr">
        <is>
          <t>compiled workbook density_weighted_sum = density_component_ratio_weighted_sum (per-note component ratios); research density_weighted_sum maps body-ceiling richness</t>
        </is>
      </c>
      <c r="GR14" s="15" t="inlineStr">
        <is>
          <t>individual_exact</t>
        </is>
      </c>
      <c r="GS14" s="15" t="inlineStr">
        <is>
          <t>density_weight</t>
        </is>
      </c>
      <c r="GT14" s="15" t="n">
        <v>0.9136991379096734</v>
      </c>
      <c r="GU14" s="15" t="n">
        <v>0.08630086209032654</v>
      </c>
      <c r="GV14" s="15" t="n">
        <v>0</v>
      </c>
      <c r="GW14" s="15" t="inlineStr">
        <is>
          <t>log</t>
        </is>
      </c>
      <c r="GX14" s="15" t="n">
        <v>0.5</v>
      </c>
      <c r="GY14" s="15" t="inlineStr">
        <is>
          <t>EWSD-R v18.1</t>
        </is>
      </c>
      <c r="GZ14" s="15" t="n">
        <v>4.998150737549671</v>
      </c>
      <c r="HA14" s="15" t="n">
        <v>20.36781566646286</v>
      </c>
      <c r="HB14" s="15" t="n">
        <v>0.3671802818163832</v>
      </c>
      <c r="HC14" s="15" t="n">
        <v>8.4593912192388</v>
      </c>
      <c r="HD14" s="15" t="n">
        <v>26.79566801203415</v>
      </c>
      <c r="HE14" s="15" t="n">
        <v>0.3074253347423735</v>
      </c>
      <c r="HF14" s="15" t="inlineStr">
        <is>
          <t>partials+ratios</t>
        </is>
      </c>
      <c r="HG14" s="15" t="inlineStr">
        <is>
          <t>merged_individual_exact</t>
        </is>
      </c>
      <c r="HH14" s="15" t="inlineStr">
        <is>
          <t>passed</t>
        </is>
      </c>
      <c r="HI14" s="15" t="inlineStr">
        <is>
          <t>passed</t>
        </is>
      </c>
    </row>
    <row r="15">
      <c r="A15" t="inlineStr">
        <is>
          <t>incomplete_inference</t>
        </is>
      </c>
      <c r="B15" t="inlineStr">
        <is>
          <t>missing_instrument_technique</t>
        </is>
      </c>
      <c r="C15" t="inlineStr">
        <is>
          <t>prior_constrained_harmonic_fit</t>
        </is>
      </c>
      <c r="D15" t="inlineStr">
        <is>
          <t>IOWA_flt_mf.C5_SustainStable/C5/component_amplitude_mass_pie.png</t>
        </is>
      </c>
      <c r="E15" t="inlineStr">
        <is>
          <t>IOWA_flt_mf.C5_SustainStable/C5/component_energy_ratio_pie.png</t>
        </is>
      </c>
      <c r="F15" s="15" t="n">
        <v>523.1277033567962</v>
      </c>
      <c r="G15" s="15" t="inlineStr">
        <is>
          <t>prior_constrained_harmonic_fit</t>
        </is>
      </c>
      <c r="H15" s="15" t="inlineStr">
        <is>
          <t>fit_accepted_acoustically_verified</t>
        </is>
      </c>
      <c r="I15" s="16" t="n">
        <v>129.0684716396621</v>
      </c>
      <c r="J15" t="inlineStr">
        <is>
          <t>richness_weighted_body_density_body_ceiling</t>
        </is>
      </c>
      <c r="K15" t="inlineStr">
        <is>
          <t>research_body_ceiling_richness_metric</t>
        </is>
      </c>
      <c r="L15" s="15" t="n">
        <v>39558.30329725727</v>
      </c>
      <c r="M15" s="15" t="n">
        <v>39558.30329725727</v>
      </c>
      <c r="N15" s="15" t="n">
        <v>272.848108405994</v>
      </c>
      <c r="O15" s="15" t="n">
        <v>14.17745186677248</v>
      </c>
      <c r="P15" s="15" t="n">
        <v>-3.575271253218277</v>
      </c>
      <c r="Q15" s="15" t="n">
        <v>16</v>
      </c>
      <c r="R15" s="15" t="n">
        <v>34</v>
      </c>
      <c r="S15" s="15" t="n">
        <v>2472.405111649949</v>
      </c>
      <c r="T15" s="15" t="n">
        <v>39</v>
      </c>
      <c r="U15" s="15" t="n">
        <v>-0.09929333812193548</v>
      </c>
      <c r="V15" s="15" t="n">
        <v>20.59095835545673</v>
      </c>
      <c r="W15" s="15" t="n">
        <v>0.8498790649313351</v>
      </c>
      <c r="X15" s="15" t="n">
        <v>0.267297767866146</v>
      </c>
      <c r="Y15" s="15" t="n">
        <v>19</v>
      </c>
      <c r="Z15" s="15" t="n">
        <v>38</v>
      </c>
      <c r="AA15" s="15" t="n">
        <v>0.5</v>
      </c>
      <c r="AB15" s="15" t="n">
        <v>38</v>
      </c>
      <c r="AC15" s="15" t="n">
        <v>19</v>
      </c>
      <c r="AD15" s="15" t="n">
        <v>0.5</v>
      </c>
      <c r="AE15" s="15" t="n">
        <v>259.8617013573067</v>
      </c>
      <c r="AF15" s="15" t="n">
        <v>19</v>
      </c>
      <c r="AG15" s="15" t="n">
        <v>38</v>
      </c>
      <c r="AH15" s="15" t="n">
        <v>0.5</v>
      </c>
      <c r="AI15" s="15" t="n">
        <v>259.8617013573067</v>
      </c>
      <c r="AJ15" s="15" t="n">
        <v>10</v>
      </c>
      <c r="AK15" s="15" t="n">
        <v>9</v>
      </c>
      <c r="AL15" s="15" t="n">
        <v>4.203634647757778</v>
      </c>
      <c r="AM15" s="15" t="n">
        <v>21</v>
      </c>
      <c r="AN15" s="15" t="n">
        <v>0</v>
      </c>
      <c r="AO15" s="15" t="n">
        <v>21</v>
      </c>
      <c r="AP15" s="15" t="n">
        <v>0</v>
      </c>
      <c r="AQ15" s="15" t="n">
        <v>19.3339946563757</v>
      </c>
      <c r="AR15" s="15" t="n">
        <v>11.32075798895205</v>
      </c>
      <c r="AS15" s="15" t="n">
        <v>0.2624442945985745</v>
      </c>
      <c r="AT15" s="17" t="n">
        <v>2.572070788200331</v>
      </c>
      <c r="AU15" s="18" t="n">
        <v>7.09072562819957</v>
      </c>
      <c r="AV15" s="15" t="n">
        <v>10.2936175027912</v>
      </c>
      <c r="AW15" s="15" t="b">
        <v>1</v>
      </c>
      <c r="AX15" s="15" t="n">
        <v>11.04207691586387</v>
      </c>
      <c r="AY15" s="15" t="n">
        <v>12.71085255504475</v>
      </c>
      <c r="AZ15" s="15" t="n">
        <v>0</v>
      </c>
      <c r="BA15" s="15" t="n">
        <v>1</v>
      </c>
      <c r="BB15" s="15" t="n">
        <v>0.5</v>
      </c>
      <c r="BC15" s="15" t="n">
        <v>0.25</v>
      </c>
      <c r="BD15" s="15" t="inlineStr">
        <is>
          <t>his_note_adaptive</t>
        </is>
      </c>
      <c r="BE15" s="15" t="n">
        <v>-90</v>
      </c>
      <c r="BF15" s="15" t="n">
        <v>20000</v>
      </c>
      <c r="BG15" s="15" t="n">
        <v>19</v>
      </c>
      <c r="BH15" s="15" t="n">
        <v>0.5</v>
      </c>
      <c r="BI15" s="15" t="n">
        <v>38</v>
      </c>
      <c r="BJ15" s="15" t="n">
        <v>19</v>
      </c>
      <c r="BK15" s="15" t="n">
        <v>38</v>
      </c>
      <c r="BL15" s="15" t="n">
        <v>33</v>
      </c>
      <c r="BM15" s="15" t="n">
        <v>0.868421052631579</v>
      </c>
      <c r="BN15" s="15" t="n">
        <v>0.1588450026652805</v>
      </c>
      <c r="BO15" s="15" t="n">
        <v>0.175</v>
      </c>
      <c r="BP15" s="19" t="n">
        <v>0.762795623392715</v>
      </c>
      <c r="BQ15" s="19" t="n">
        <v>0.2372043766072849</v>
      </c>
      <c r="BR15" s="19" t="n">
        <v>0</v>
      </c>
      <c r="BS15" s="15" t="n">
        <v>0.05441925023330084</v>
      </c>
      <c r="BT15" s="19" t="n">
        <v>1</v>
      </c>
      <c r="BU15" s="19" t="n">
        <v>0</v>
      </c>
      <c r="BV15" s="19" t="n">
        <v>0</v>
      </c>
      <c r="BW15" t="inlineStr">
        <is>
          <t>C5</t>
        </is>
      </c>
      <c r="BX15" t="n">
        <v>72</v>
      </c>
      <c r="BY15" t="inlineStr">
        <is>
          <t>C</t>
        </is>
      </c>
      <c r="BZ15" t="n">
        <v>5</v>
      </c>
      <c r="CA15" t="inlineStr">
        <is>
          <t>Very high</t>
        </is>
      </c>
      <c r="CB15" t="inlineStr">
        <is>
          <t>mf</t>
        </is>
      </c>
      <c r="CC15" s="15" t="n">
        <v>523.2511306011972</v>
      </c>
      <c r="CD15" s="15" t="n">
        <v>523.1277033567962</v>
      </c>
      <c r="CE15" t="inlineStr">
        <is>
          <t>prior_constrained_harmonic_fit</t>
        </is>
      </c>
      <c r="CF15" t="n">
        <v>523.1277033567962</v>
      </c>
      <c r="CG15" s="15" t="n">
        <v>1</v>
      </c>
      <c r="CH15" t="inlineStr">
        <is>
          <t>free_fit_acoustically_verified</t>
        </is>
      </c>
      <c r="CI15" s="15" t="inlineStr">
        <is>
          <t>free_f0_fit</t>
        </is>
      </c>
      <c r="CJ15" s="15" t="n">
        <v>523.2511306011972</v>
      </c>
      <c r="CK15" s="15" t="n">
        <v>523.1277033567962</v>
      </c>
      <c r="CL15" s="15" t="n">
        <v>-0.4084208169086831</v>
      </c>
      <c r="CM15" s="15" t="n">
        <v>20000</v>
      </c>
      <c r="CN15" s="15" t="n">
        <v>-0.4084208169086831</v>
      </c>
      <c r="CO15" s="15" t="n">
        <v>2.3186681628957</v>
      </c>
      <c r="CP15" s="15" t="n">
        <v>39558.30329725727</v>
      </c>
      <c r="CQ15" t="n">
        <v>1.983746121951479</v>
      </c>
      <c r="CR15" t="n">
        <v>0.05220384531451262</v>
      </c>
      <c r="CS15" t="n">
        <v>65.06299884417314</v>
      </c>
      <c r="CT15" t="n">
        <v>65.06299884417314</v>
      </c>
      <c r="CU15" t="n">
        <v>129.0684716396621</v>
      </c>
      <c r="CV15" t="n">
        <v>14.17745186677248</v>
      </c>
      <c r="CW15" s="15" t="n">
        <v>39558.30329725727</v>
      </c>
      <c r="CX15" s="15" t="n">
        <v>272.848108405994</v>
      </c>
      <c r="CY15" s="15" t="n">
        <v>14.17745186677248</v>
      </c>
      <c r="CZ15" s="15" t="n">
        <v>2.572070788200331</v>
      </c>
      <c r="DA15" s="15" t="n">
        <v>2.572070788200331</v>
      </c>
      <c r="DB15" s="15" t="n">
        <v>1.770154046563545</v>
      </c>
      <c r="DC15" s="15" t="n">
        <v>0</v>
      </c>
      <c r="DD15" s="15" t="n">
        <v>6.501974487815464e-05</v>
      </c>
      <c r="DE15" s="15" t="n">
        <v>0</v>
      </c>
      <c r="DF15" s="15" t="n">
        <v>16</v>
      </c>
      <c r="DG15" s="15" t="inlineStr">
        <is>
          <t>Density_Metrics</t>
        </is>
      </c>
      <c r="DH15" s="15" t="n">
        <v>2.3186681628957</v>
      </c>
      <c r="DI15" t="n">
        <v>0.9465854952556604</v>
      </c>
      <c r="DJ15" s="15" t="n">
        <v>0.5529200567731066</v>
      </c>
      <c r="DK15" s="15" t="n">
        <v>5.276917947793176</v>
      </c>
      <c r="DL15" s="15" t="n">
        <v>2.012611056367703</v>
      </c>
      <c r="DM15" s="15" t="n">
        <v>1.096787556743296</v>
      </c>
      <c r="DN15" s="15" t="n">
        <v>6.074402391939333</v>
      </c>
      <c r="DO15" s="15" t="n">
        <v>0.6861237997578282</v>
      </c>
      <c r="DP15" s="15" t="n">
        <v>9.5625</v>
      </c>
      <c r="DQ15" s="15" t="n">
        <v>37</v>
      </c>
      <c r="DR15" s="15" t="b">
        <v>1</v>
      </c>
      <c r="DS15" s="15" t="n">
        <v>1.983746121951479</v>
      </c>
      <c r="DT15" s="15" t="n">
        <v>10.15731517891355</v>
      </c>
      <c r="DU15" t="n">
        <v>38</v>
      </c>
      <c r="DV15" s="15" t="n">
        <v>0.05441925023330084</v>
      </c>
      <c r="DW15" s="15" t="n">
        <v>1.335893172620036</v>
      </c>
      <c r="DX15" s="15" t="n">
        <v>2.298733799638104</v>
      </c>
      <c r="DY15" s="15" t="n">
        <v>0.1222904761619052</v>
      </c>
      <c r="DZ15" s="15" t="b">
        <v>1</v>
      </c>
      <c r="EA15" s="15" t="n">
        <v>0.1180717131638482</v>
      </c>
      <c r="EB15" s="15" t="n">
        <v>20000</v>
      </c>
      <c r="EC15" s="15" t="n">
        <v>8893.170957065537</v>
      </c>
      <c r="ED15" s="15" t="n">
        <v>17</v>
      </c>
      <c r="EE15" s="15" t="n">
        <v>0</v>
      </c>
      <c r="EF15" s="15" t="n">
        <v>0.04115271208350588</v>
      </c>
      <c r="EG15" s="15" t="b">
        <v>0</v>
      </c>
      <c r="EH15" s="15" t="b">
        <v>1</v>
      </c>
      <c r="EI15" s="15" t="b">
        <v>0</v>
      </c>
      <c r="EJ15" s="15" t="inlineStr">
        <is>
          <t>wf=log|dst=-90.0|ceil=20000.0|fft=adaptive_tier</t>
        </is>
      </c>
      <c r="EK15" s="15" t="inlineStr">
        <is>
          <t>wf=log|dst=runtime_configured|ceil=runtime_configured|fft=fixed</t>
        </is>
      </c>
      <c r="EL15" s="15" t="n">
        <v>0.6686441453950188</v>
      </c>
      <c r="EM15" s="15" t="n">
        <v>0.9910571534109095</v>
      </c>
      <c r="EN15" s="15" t="n">
        <v>0.4102564102564102</v>
      </c>
      <c r="EO15" s="15" t="n">
        <v>0.3953934138518292</v>
      </c>
      <c r="EP15" s="15" t="inlineStr">
        <is>
          <t>warn:power_outlier_detected</t>
        </is>
      </c>
      <c r="EQ15" s="15" t="n">
        <v>328.1633980680704</v>
      </c>
      <c r="ER15" s="15" t="inlineStr">
        <is>
          <t>winsorize_p95_for_robust_diagnostics</t>
        </is>
      </c>
      <c r="ES15" s="15" t="n">
        <v>0.1144439241882248</v>
      </c>
      <c r="ET15" s="15" t="n">
        <v>0.02237667997121747</v>
      </c>
      <c r="EU15" s="15" t="n">
        <v>0.02487487846926694</v>
      </c>
      <c r="EV15" t="inlineStr">
        <is>
          <t>computed</t>
        </is>
      </c>
      <c r="EW15" s="15" t="inlineStr">
        <is>
          <t>computed</t>
        </is>
      </c>
      <c r="EX15" s="15" t="inlineStr">
        <is>
          <t>computed</t>
        </is>
      </c>
      <c r="EY15" s="15" t="inlineStr">
        <is>
          <t>available_from_curve</t>
        </is>
      </c>
      <c r="EZ15" s="15" t="n">
        <v>20000</v>
      </c>
      <c r="FA15" s="15" t="n">
        <v>20000</v>
      </c>
      <c r="FB15" s="15" t="n">
        <v>0.2372043766072849</v>
      </c>
      <c r="FC15" s="15" t="n">
        <v>0.3505438503864222</v>
      </c>
      <c r="FD15" s="15" t="n">
        <v>2.572070788200331</v>
      </c>
      <c r="FE15" s="15" t="n">
        <v>1.770154046563545</v>
      </c>
      <c r="FF15" s="15" t="n">
        <v>0.9346931130292999</v>
      </c>
      <c r="FG15" s="15" t="n">
        <v>1.903464412021861</v>
      </c>
      <c r="FH15" s="15" t="n">
        <v>0.3649199039395593</v>
      </c>
      <c r="FI15" s="15" t="n">
        <v>0.05028384693427984</v>
      </c>
      <c r="FJ15" s="15" t="n">
        <v>2472.393956078579</v>
      </c>
      <c r="FK15" s="15" t="n">
        <v>17.05300677537463</v>
      </c>
      <c r="FL15" s="15" t="n">
        <v>0.8860907416732799</v>
      </c>
      <c r="FM15" s="15" t="n">
        <v>0.004608600959025477</v>
      </c>
      <c r="FN15" t="n">
        <v>1</v>
      </c>
      <c r="FO15" t="n">
        <v>0</v>
      </c>
      <c r="FP15" t="n">
        <v>0</v>
      </c>
      <c r="FQ15" t="inlineStr">
        <is>
          <t>excellent</t>
        </is>
      </c>
      <c r="FR15" s="19" t="n">
        <v>0.868421052631579</v>
      </c>
      <c r="FS15" s="15" t="n">
        <v>1.018604762317528</v>
      </c>
      <c r="FT15" s="15" t="n">
        <v>3.67950851446297</v>
      </c>
      <c r="FU15" t="inlineStr">
        <is>
          <t>passed</t>
        </is>
      </c>
      <c r="FV15" t="n">
        <v>93.07775024567982</v>
      </c>
      <c r="FW15" t="n">
        <v>14.47631395951516</v>
      </c>
      <c r="FX15" t="n">
        <v>1.900963900457066</v>
      </c>
      <c r="FY15" t="n">
        <v>0.6681027019356036</v>
      </c>
      <c r="FZ15" t="n">
        <v>0.1249626681023014</v>
      </c>
      <c r="GA15" t="n">
        <v>0.6101926911055239</v>
      </c>
      <c r="GB15" t="n">
        <v>0.3434580491265321</v>
      </c>
      <c r="GC15" t="n">
        <v>0.3433437481411213</v>
      </c>
      <c r="GD15" t="n">
        <v>0.3504230767609549</v>
      </c>
      <c r="GE15" t="n">
        <v>0.9134455670127157</v>
      </c>
      <c r="GF15" t="n">
        <v>0.3027334318539353</v>
      </c>
      <c r="GG15" t="n">
        <v>0.1456226647354458</v>
      </c>
      <c r="GH15" t="n">
        <v>0.4497567643663239</v>
      </c>
      <c r="GI15" t="n">
        <v>0.3333333333333333</v>
      </c>
      <c r="GJ15" t="n">
        <v>0.710526315789474</v>
      </c>
      <c r="GK15" t="n">
        <v>0.08333333333333326</v>
      </c>
      <c r="GL15" t="n">
        <v>0.8218274600731245</v>
      </c>
      <c r="GM15" t="n">
        <v>0.8218274600731245</v>
      </c>
      <c r="GN15" t="n">
        <v>0.6048412369369367</v>
      </c>
      <c r="GO15" t="n">
        <v>0.1973287575140103</v>
      </c>
      <c r="GP15" t="n">
        <v>129.0684716396621</v>
      </c>
      <c r="GQ15" t="inlineStr">
        <is>
          <t>compiled workbook density_weighted_sum = density_component_ratio_weighted_sum (per-note component ratios); research density_weighted_sum maps body-ceiling richness</t>
        </is>
      </c>
      <c r="GR15" s="15" t="inlineStr">
        <is>
          <t>individual_exact</t>
        </is>
      </c>
      <c r="GS15" s="15" t="inlineStr">
        <is>
          <t>density_weight</t>
        </is>
      </c>
      <c r="GT15" s="15" t="n">
        <v>0.8330026718121499</v>
      </c>
      <c r="GU15" s="15" t="n">
        <v>0.1669973281878501</v>
      </c>
      <c r="GV15" s="15" t="n">
        <v>0</v>
      </c>
      <c r="GW15" s="15" t="inlineStr">
        <is>
          <t>log</t>
        </is>
      </c>
      <c r="GX15" s="15" t="n">
        <v>0.5</v>
      </c>
      <c r="GY15" s="15" t="inlineStr">
        <is>
          <t>EWSD-R v18.1</t>
        </is>
      </c>
      <c r="GZ15" s="15" t="n">
        <v>2.650142468789056</v>
      </c>
      <c r="HA15" s="15" t="n">
        <v>15.50875099128948</v>
      </c>
      <c r="HB15" s="15" t="n">
        <v>0.4796488055403076</v>
      </c>
      <c r="HC15" s="15" t="n">
        <v>4.884759122995865</v>
      </c>
      <c r="HD15" s="15" t="n">
        <v>20.31869022691608</v>
      </c>
      <c r="HE15" s="15" t="n">
        <v>0.4010623074177784</v>
      </c>
      <c r="HF15" s="15" t="inlineStr">
        <is>
          <t>partials+ratios</t>
        </is>
      </c>
      <c r="HG15" s="15" t="inlineStr">
        <is>
          <t>merged_individual_exact</t>
        </is>
      </c>
      <c r="HH15" s="15" t="inlineStr">
        <is>
          <t>passed</t>
        </is>
      </c>
      <c r="HI15" s="15" t="inlineStr">
        <is>
          <t>passed</t>
        </is>
      </c>
    </row>
    <row r="16">
      <c r="A16" t="inlineStr">
        <is>
          <t>incomplete_inference</t>
        </is>
      </c>
      <c r="B16" t="inlineStr">
        <is>
          <t>missing_instrument_technique</t>
        </is>
      </c>
      <c r="C16" t="inlineStr">
        <is>
          <t>prior_constrained_harmonic_fit</t>
        </is>
      </c>
      <c r="D16" t="inlineStr">
        <is>
          <t>IOWA_flt_mf.C#5_SustainStable/C#5/component_amplitude_mass_pie.png</t>
        </is>
      </c>
      <c r="E16" t="inlineStr">
        <is>
          <t>IOWA_flt_mf.C#5_SustainStable/C#5/component_energy_ratio_pie.png</t>
        </is>
      </c>
      <c r="F16" s="15" t="n">
        <v>554.4939286909369</v>
      </c>
      <c r="G16" s="15" t="inlineStr">
        <is>
          <t>prior_constrained_harmonic_fit</t>
        </is>
      </c>
      <c r="H16" s="15" t="inlineStr">
        <is>
          <t>fit_accepted_acoustically_verified</t>
        </is>
      </c>
      <c r="I16" s="16" t="n">
        <v>140.0242020269297</v>
      </c>
      <c r="J16" t="inlineStr">
        <is>
          <t>richness_weighted_body_density_body_ceiling</t>
        </is>
      </c>
      <c r="K16" t="inlineStr">
        <is>
          <t>research_body_ceiling_richness_metric</t>
        </is>
      </c>
      <c r="L16" s="15" t="n">
        <v>40287.08492859996</v>
      </c>
      <c r="M16" s="15" t="n">
        <v>40287.08492859996</v>
      </c>
      <c r="N16" s="15" t="n">
        <v>279.7121690984858</v>
      </c>
      <c r="O16" s="15" t="n">
        <v>15.35346035978844</v>
      </c>
      <c r="P16" s="15" t="n">
        <v>-2.465040825948362</v>
      </c>
      <c r="Q16" s="15" t="n">
        <v>21</v>
      </c>
      <c r="R16" s="15" t="n">
        <v>32</v>
      </c>
      <c r="S16" s="15" t="n">
        <v>2517.947163858952</v>
      </c>
      <c r="T16" s="15" t="n">
        <v>37</v>
      </c>
      <c r="U16" s="15" t="n">
        <v>-0.0866308593337511</v>
      </c>
      <c r="V16" s="15" t="n">
        <v>19.55319907832017</v>
      </c>
      <c r="W16" s="15" t="n">
        <v>0.865573221705867</v>
      </c>
      <c r="X16" s="15" t="n">
        <v>0.2717186029194231</v>
      </c>
      <c r="Y16" s="15" t="n">
        <v>23</v>
      </c>
      <c r="Z16" s="15" t="n">
        <v>36</v>
      </c>
      <c r="AA16" s="15" t="n">
        <v>0.6388888888888888</v>
      </c>
      <c r="AB16" s="15" t="n">
        <v>36</v>
      </c>
      <c r="AC16" s="15" t="n">
        <v>23</v>
      </c>
      <c r="AD16" s="15" t="n">
        <v>0.6388888888888888</v>
      </c>
      <c r="AE16" s="15" t="n">
        <v>254.0219179651786</v>
      </c>
      <c r="AF16" s="15" t="n">
        <v>23</v>
      </c>
      <c r="AG16" s="15" t="n">
        <v>36</v>
      </c>
      <c r="AH16" s="15" t="n">
        <v>0.6388888888888888</v>
      </c>
      <c r="AI16" s="15" t="n">
        <v>254.0219179651786</v>
      </c>
      <c r="AJ16" s="15" t="n">
        <v>12</v>
      </c>
      <c r="AK16" s="15" t="n">
        <v>11</v>
      </c>
      <c r="AL16" s="15" t="n">
        <v>2.52374650483642</v>
      </c>
      <c r="AM16" s="15" t="n">
        <v>23</v>
      </c>
      <c r="AN16" s="15" t="n">
        <v>0</v>
      </c>
      <c r="AO16" s="15" t="n">
        <v>23</v>
      </c>
      <c r="AP16" s="15" t="n">
        <v>0</v>
      </c>
      <c r="AQ16" s="15" t="n">
        <v>23</v>
      </c>
      <c r="AR16" s="15" t="n">
        <v>12.90827212674877</v>
      </c>
      <c r="AS16" s="15" t="n">
        <v>0.3404328424660137</v>
      </c>
      <c r="AT16" s="17" t="n">
        <v>2.562642949703196</v>
      </c>
      <c r="AU16" s="18" t="n">
        <v>6.407313174691947</v>
      </c>
      <c r="AV16" s="15" t="n">
        <v>9.885027142696245</v>
      </c>
      <c r="AW16" s="15" t="b">
        <v>1</v>
      </c>
      <c r="AX16" s="15" t="n">
        <v>12.83281140670261</v>
      </c>
      <c r="AY16" s="15" t="n">
        <v>13.31706070446543</v>
      </c>
      <c r="AZ16" s="15" t="n">
        <v>0</v>
      </c>
      <c r="BA16" s="15" t="n">
        <v>1</v>
      </c>
      <c r="BB16" s="15" t="n">
        <v>0.5</v>
      </c>
      <c r="BC16" s="15" t="n">
        <v>0.25</v>
      </c>
      <c r="BD16" s="15" t="inlineStr">
        <is>
          <t>his_note_adaptive</t>
        </is>
      </c>
      <c r="BE16" s="15" t="n">
        <v>-90</v>
      </c>
      <c r="BF16" s="15" t="n">
        <v>20000</v>
      </c>
      <c r="BG16" s="15" t="n">
        <v>23</v>
      </c>
      <c r="BH16" s="15" t="n">
        <v>0.6388888888888888</v>
      </c>
      <c r="BI16" s="15" t="n">
        <v>36</v>
      </c>
      <c r="BJ16" s="15" t="n">
        <v>23</v>
      </c>
      <c r="BK16" s="15" t="n">
        <v>36</v>
      </c>
      <c r="BL16" s="15" t="n">
        <v>31</v>
      </c>
      <c r="BM16" s="15" t="n">
        <v>0.8611111111111112</v>
      </c>
      <c r="BN16" s="15" t="n">
        <v>0.1760292224784509</v>
      </c>
      <c r="BO16" s="15" t="n">
        <v>0.1916666666666667</v>
      </c>
      <c r="BP16" s="19" t="n">
        <v>0.7536391519023253</v>
      </c>
      <c r="BQ16" s="19" t="n">
        <v>0.2463608480976747</v>
      </c>
      <c r="BR16" s="19" t="n">
        <v>0</v>
      </c>
      <c r="BS16" s="15" t="n">
        <v>0.06265486928706449</v>
      </c>
      <c r="BT16" s="19" t="n">
        <v>1</v>
      </c>
      <c r="BU16" s="19" t="n">
        <v>0</v>
      </c>
      <c r="BV16" s="19" t="n">
        <v>0</v>
      </c>
      <c r="BW16" t="inlineStr">
        <is>
          <t>C#5</t>
        </is>
      </c>
      <c r="BX16" t="n">
        <v>73</v>
      </c>
      <c r="BY16" t="inlineStr">
        <is>
          <t>C#</t>
        </is>
      </c>
      <c r="BZ16" t="n">
        <v>5</v>
      </c>
      <c r="CA16" t="inlineStr">
        <is>
          <t>Very high</t>
        </is>
      </c>
      <c r="CB16" t="inlineStr">
        <is>
          <t>mf</t>
        </is>
      </c>
      <c r="CC16" s="15" t="n">
        <v>554.365261953744</v>
      </c>
      <c r="CD16" s="15" t="n">
        <v>554.4939286909369</v>
      </c>
      <c r="CE16" t="inlineStr">
        <is>
          <t>prior_constrained_harmonic_fit</t>
        </is>
      </c>
      <c r="CF16" t="n">
        <v>554.4939286909369</v>
      </c>
      <c r="CG16" s="15" t="n">
        <v>1</v>
      </c>
      <c r="CH16" t="inlineStr">
        <is>
          <t>free_fit_acoustically_verified</t>
        </is>
      </c>
      <c r="CI16" s="15" t="inlineStr">
        <is>
          <t>free_f0_fit</t>
        </is>
      </c>
      <c r="CJ16" s="15" t="n">
        <v>554.365261953744</v>
      </c>
      <c r="CK16" s="15" t="n">
        <v>554.4939286909369</v>
      </c>
      <c r="CL16" s="15" t="n">
        <v>0.4017683025754843</v>
      </c>
      <c r="CM16" s="15" t="n">
        <v>20000</v>
      </c>
      <c r="CN16" s="15" t="n">
        <v>0.4017683025754843</v>
      </c>
      <c r="CO16" s="15" t="n">
        <v>2.327223543508296</v>
      </c>
      <c r="CP16" s="15" t="n">
        <v>40287.08492859996</v>
      </c>
      <c r="CQ16" t="n">
        <v>2.00198005168289</v>
      </c>
      <c r="CR16" t="n">
        <v>0.05561055699119139</v>
      </c>
      <c r="CS16" t="n">
        <v>69.94285577881938</v>
      </c>
      <c r="CT16" t="n">
        <v>69.94285577881938</v>
      </c>
      <c r="CU16" t="n">
        <v>140.0242020269297</v>
      </c>
      <c r="CV16" t="n">
        <v>15.35346035978844</v>
      </c>
      <c r="CW16" s="15" t="n">
        <v>40287.08492859996</v>
      </c>
      <c r="CX16" s="15" t="n">
        <v>279.7121690984858</v>
      </c>
      <c r="CY16" s="15" t="n">
        <v>15.35346035978844</v>
      </c>
      <c r="CZ16" s="15" t="n">
        <v>2.562642949703196</v>
      </c>
      <c r="DA16" s="15" t="n">
        <v>2.562642949703196</v>
      </c>
      <c r="DB16" s="15" t="n">
        <v>1.840066853783331</v>
      </c>
      <c r="DC16" s="15" t="n">
        <v>0</v>
      </c>
      <c r="DD16" s="15" t="n">
        <v>6.360954023466625e-05</v>
      </c>
      <c r="DE16" s="15" t="n">
        <v>0</v>
      </c>
      <c r="DF16" s="15" t="n">
        <v>21</v>
      </c>
      <c r="DG16" s="15" t="inlineStr">
        <is>
          <t>Density_Metrics</t>
        </is>
      </c>
      <c r="DH16" s="15" t="n">
        <v>2.327223543508296</v>
      </c>
      <c r="DI16" t="n">
        <v>0.9500781896066111</v>
      </c>
      <c r="DJ16" s="15" t="n">
        <v>0.5517722992682879</v>
      </c>
      <c r="DK16" s="15" t="n">
        <v>5.358218792643714</v>
      </c>
      <c r="DL16" s="15" t="n">
        <v>2.031392871001278</v>
      </c>
      <c r="DM16" s="15" t="n">
        <v>1.056664090343736</v>
      </c>
      <c r="DN16" s="15" t="n">
        <v>8.050938152495377</v>
      </c>
      <c r="DO16" s="15" t="n">
        <v>0.9535187073412089</v>
      </c>
      <c r="DP16" s="15" t="n">
        <v>8.8125</v>
      </c>
      <c r="DQ16" s="15" t="n">
        <v>47</v>
      </c>
      <c r="DR16" s="15" t="b">
        <v>1</v>
      </c>
      <c r="DS16" s="15" t="n">
        <v>2.00198005168289</v>
      </c>
      <c r="DT16" s="15" t="n">
        <v>9.781869705099233</v>
      </c>
      <c r="DU16" t="n">
        <v>36</v>
      </c>
      <c r="DV16" s="15" t="n">
        <v>0.06265486928706449</v>
      </c>
      <c r="DW16" s="15" t="n">
        <v>1.249630439434009</v>
      </c>
      <c r="DX16" s="15" t="n">
        <v>2.295661531979021</v>
      </c>
      <c r="DY16" s="15" t="n">
        <v>0.1294387425887749</v>
      </c>
      <c r="DZ16" s="15" t="b">
        <v>1</v>
      </c>
      <c r="EA16" s="15" t="n">
        <v>0.2878098302904561</v>
      </c>
      <c r="EB16" s="15" t="n">
        <v>20000</v>
      </c>
      <c r="EC16" s="15" t="n">
        <v>11644.37250250967</v>
      </c>
      <c r="ED16" s="15" t="n">
        <v>21</v>
      </c>
      <c r="EE16" s="15" t="n">
        <v>0</v>
      </c>
      <c r="EF16" s="15" t="n">
        <v>0.03884298783280674</v>
      </c>
      <c r="EG16" s="15" t="b">
        <v>0</v>
      </c>
      <c r="EH16" s="15" t="b">
        <v>1</v>
      </c>
      <c r="EI16" s="15" t="b">
        <v>0</v>
      </c>
      <c r="EJ16" s="15" t="inlineStr">
        <is>
          <t>wf=log|dst=-90.0|ceil=20000.0|fft=adaptive_tier</t>
        </is>
      </c>
      <c r="EK16" s="15" t="inlineStr">
        <is>
          <t>wf=log|dst=runtime_configured|ceil=runtime_configured|fft=fixed</t>
        </is>
      </c>
      <c r="EL16" s="15" t="n">
        <v>0.720550963649744</v>
      </c>
      <c r="EM16" s="15" t="n">
        <v>0.9824177191665419</v>
      </c>
      <c r="EN16" s="15" t="n">
        <v>0.5675675675675675</v>
      </c>
      <c r="EO16" s="15" t="n">
        <v>0.3990717068807581</v>
      </c>
      <c r="EP16" s="15" t="inlineStr">
        <is>
          <t>warn:power_outlier_detected</t>
        </is>
      </c>
      <c r="EQ16" s="15" t="n">
        <v>310.4906233543301</v>
      </c>
      <c r="ER16" s="15" t="inlineStr">
        <is>
          <t>winsorize_p95_for_robust_diagnostics</t>
        </is>
      </c>
      <c r="ES16" s="15" t="n">
        <v>0.1167982327559827</v>
      </c>
      <c r="ET16" s="15" t="n">
        <v>0.02220694603494682</v>
      </c>
      <c r="EU16" s="15" t="n">
        <v>0.02752159486766202</v>
      </c>
      <c r="EV16" t="inlineStr">
        <is>
          <t>computed</t>
        </is>
      </c>
      <c r="EW16" s="15" t="inlineStr">
        <is>
          <t>computed</t>
        </is>
      </c>
      <c r="EX16" s="15" t="inlineStr">
        <is>
          <t>computed</t>
        </is>
      </c>
      <c r="EY16" s="15" t="inlineStr">
        <is>
          <t>available_from_curve</t>
        </is>
      </c>
      <c r="EZ16" s="15" t="n">
        <v>20000</v>
      </c>
      <c r="FA16" s="15" t="n">
        <v>20000</v>
      </c>
      <c r="FB16" s="15" t="n">
        <v>0.2463608480976747</v>
      </c>
      <c r="FC16" s="15" t="n">
        <v>0.2998658852641272</v>
      </c>
      <c r="FD16" s="15" t="n">
        <v>2.562642949703196</v>
      </c>
      <c r="FE16" s="15" t="n">
        <v>1.840066853783331</v>
      </c>
      <c r="FF16" s="15" t="n">
        <v>0.9555089891571875</v>
      </c>
      <c r="FG16" s="15" t="n">
        <v>1.896487327587049</v>
      </c>
      <c r="FH16" s="15" t="n">
        <v>0.3793325337015384</v>
      </c>
      <c r="FI16" s="15" t="n">
        <v>0.05140368221970878</v>
      </c>
      <c r="FJ16" s="15" t="n">
        <v>2517.942808037497</v>
      </c>
      <c r="FK16" s="15" t="n">
        <v>17.48201056865537</v>
      </c>
      <c r="FL16" s="15" t="n">
        <v>0.9595912724867778</v>
      </c>
      <c r="FM16" s="15" t="n">
        <v>0.004665387311746707</v>
      </c>
      <c r="FN16" t="n">
        <v>1</v>
      </c>
      <c r="FO16" t="n">
        <v>0</v>
      </c>
      <c r="FP16" t="n">
        <v>0</v>
      </c>
      <c r="FQ16" t="inlineStr">
        <is>
          <t>excellent</t>
        </is>
      </c>
      <c r="FR16" s="19" t="n">
        <v>0.8611111111111112</v>
      </c>
      <c r="FS16" s="15" t="n">
        <v>1.551244663173004</v>
      </c>
      <c r="FT16" s="15" t="n">
        <v>11.12574115786328</v>
      </c>
      <c r="FU16" t="inlineStr">
        <is>
          <t>passed</t>
        </is>
      </c>
      <c r="FV16" t="n">
        <v>91.07358637771607</v>
      </c>
      <c r="FW16" t="n">
        <v>17.04843692929538</v>
      </c>
      <c r="FX16" t="n">
        <v>2.006570975375589</v>
      </c>
      <c r="FY16" t="n">
        <v>0.6898049684565363</v>
      </c>
      <c r="FZ16" t="n">
        <v>0.1410021988488406</v>
      </c>
      <c r="GA16" t="n">
        <v>0.6569833347556183</v>
      </c>
      <c r="GB16" t="n">
        <v>0.3499779560177989</v>
      </c>
      <c r="GC16" t="n">
        <v>0.3497653803306093</v>
      </c>
      <c r="GD16" t="n">
        <v>0.3197318558776155</v>
      </c>
      <c r="GE16" t="n">
        <v>0.931108626311112</v>
      </c>
      <c r="GF16" t="n">
        <v>0.3170011683822969</v>
      </c>
      <c r="GG16" t="n">
        <v>0.2056714322353028</v>
      </c>
      <c r="GH16" t="n">
        <v>0.4544621174823241</v>
      </c>
      <c r="GI16" t="n">
        <v>0.5185185185185185</v>
      </c>
      <c r="GJ16" t="n">
        <v>0.6666666666666671</v>
      </c>
      <c r="GK16" t="n">
        <v>0.1250000000000001</v>
      </c>
      <c r="GL16" t="n">
        <v>0.9051846214293571</v>
      </c>
      <c r="GM16" t="n">
        <v>0.9051846214293571</v>
      </c>
      <c r="GN16" t="n">
        <v>0.5063725915363529</v>
      </c>
      <c r="GO16" t="n">
        <v>0.2943360406766957</v>
      </c>
      <c r="GP16" t="n">
        <v>140.0242020269297</v>
      </c>
      <c r="GQ16" t="inlineStr">
        <is>
          <t>compiled workbook density_weighted_sum = density_component_ratio_weighted_sum (per-note component ratios); research density_weighted_sum maps body-ceiling richness</t>
        </is>
      </c>
      <c r="GR16" s="15" t="inlineStr">
        <is>
          <t>individual_exact</t>
        </is>
      </c>
      <c r="GS16" s="15" t="inlineStr">
        <is>
          <t>density_weight</t>
        </is>
      </c>
      <c r="GT16" s="15" t="n">
        <v>0.8441696861620985</v>
      </c>
      <c r="GU16" s="15" t="n">
        <v>0.1558303138379014</v>
      </c>
      <c r="GV16" s="15" t="n">
        <v>0</v>
      </c>
      <c r="GW16" s="15" t="inlineStr">
        <is>
          <t>log</t>
        </is>
      </c>
      <c r="GX16" s="15" t="n">
        <v>0.5</v>
      </c>
      <c r="GY16" s="15" t="inlineStr">
        <is>
          <t>EWSD-R v18.1</t>
        </is>
      </c>
      <c r="GZ16" s="15" t="n">
        <v>2.428033118858296</v>
      </c>
      <c r="HA16" s="15" t="n">
        <v>12.63280991089781</v>
      </c>
      <c r="HB16" s="15" t="n">
        <v>0.4285310422288592</v>
      </c>
      <c r="HC16" s="15" t="n">
        <v>4.726768440012974</v>
      </c>
      <c r="HD16" s="15" t="n">
        <v>18.51251045979219</v>
      </c>
      <c r="HE16" s="15" t="n">
        <v>0.3709865264328778</v>
      </c>
      <c r="HF16" s="15" t="inlineStr">
        <is>
          <t>partials+ratios</t>
        </is>
      </c>
      <c r="HG16" s="15" t="inlineStr">
        <is>
          <t>merged_individual_exact</t>
        </is>
      </c>
      <c r="HH16" s="15" t="inlineStr">
        <is>
          <t>passed</t>
        </is>
      </c>
      <c r="HI16" s="15" t="inlineStr">
        <is>
          <t>passed</t>
        </is>
      </c>
    </row>
    <row r="17">
      <c r="A17" t="inlineStr">
        <is>
          <t>incomplete_inference</t>
        </is>
      </c>
      <c r="B17" t="inlineStr">
        <is>
          <t>missing_instrument_technique</t>
        </is>
      </c>
      <c r="C17" t="inlineStr">
        <is>
          <t>prior_constrained_harmonic_fit</t>
        </is>
      </c>
      <c r="D17" t="inlineStr">
        <is>
          <t>IOWA_flt_mf.D5_SustainStable/D5/component_amplitude_mass_pie.png</t>
        </is>
      </c>
      <c r="E17" t="inlineStr">
        <is>
          <t>IOWA_flt_mf.D5_SustainStable/D5/component_energy_ratio_pie.png</t>
        </is>
      </c>
      <c r="F17" s="15" t="n">
        <v>588.6217133751981</v>
      </c>
      <c r="G17" s="15" t="inlineStr">
        <is>
          <t>prior_constrained_harmonic_fit</t>
        </is>
      </c>
      <c r="H17" s="15" t="inlineStr">
        <is>
          <t>fit_accepted_acoustically_verified</t>
        </is>
      </c>
      <c r="I17" s="16" t="n">
        <v>161.0002023840959</v>
      </c>
      <c r="J17" t="inlineStr">
        <is>
          <t>richness_weighted_body_density_body_ceiling</t>
        </is>
      </c>
      <c r="K17" t="inlineStr">
        <is>
          <t>research_body_ceiling_richness_metric</t>
        </is>
      </c>
      <c r="L17" s="15" t="n">
        <v>38659.79407265244</v>
      </c>
      <c r="M17" s="15" t="n">
        <v>38659.79407265244</v>
      </c>
      <c r="N17" s="15" t="n">
        <v>267.5625015765135</v>
      </c>
      <c r="O17" s="15" t="n">
        <v>21.21945357320217</v>
      </c>
      <c r="P17" s="15" t="n">
        <v>-4.743319676807946</v>
      </c>
      <c r="Q17" s="15" t="n">
        <v>12</v>
      </c>
      <c r="R17" s="15" t="n">
        <v>29</v>
      </c>
      <c r="S17" s="15" t="n">
        <v>2416.262593651383</v>
      </c>
      <c r="T17" s="15" t="n">
        <v>34</v>
      </c>
      <c r="U17" s="15" t="n">
        <v>0.09704361736657252</v>
      </c>
      <c r="V17" s="15" t="n">
        <v>20.34328343438273</v>
      </c>
      <c r="W17" s="15" t="n">
        <v>0.8544312437494008</v>
      </c>
      <c r="X17" s="15" t="n">
        <v>0.2780164748086394</v>
      </c>
      <c r="Y17" s="15" t="n">
        <v>14</v>
      </c>
      <c r="Z17" s="15" t="n">
        <v>33</v>
      </c>
      <c r="AA17" s="15" t="n">
        <v>0.4242424242424243</v>
      </c>
      <c r="AB17" s="15" t="n">
        <v>33</v>
      </c>
      <c r="AC17" s="15" t="n">
        <v>14</v>
      </c>
      <c r="AD17" s="15" t="n">
        <v>0.4242424242424243</v>
      </c>
      <c r="AE17" s="15" t="n">
        <v>244.8177702060323</v>
      </c>
      <c r="AF17" s="15" t="n">
        <v>14</v>
      </c>
      <c r="AG17" s="15" t="n">
        <v>33</v>
      </c>
      <c r="AH17" s="15" t="n">
        <v>0.4242424242424243</v>
      </c>
      <c r="AI17" s="15" t="n">
        <v>244.8177702060323</v>
      </c>
      <c r="AJ17" s="15" t="n">
        <v>7</v>
      </c>
      <c r="AK17" s="15" t="n">
        <v>7</v>
      </c>
      <c r="AL17" s="15" t="n">
        <v>1.202150878603804</v>
      </c>
      <c r="AM17" s="15" t="n">
        <v>44</v>
      </c>
      <c r="AN17" s="15" t="n">
        <v>0</v>
      </c>
      <c r="AO17" s="15" t="n">
        <v>44</v>
      </c>
      <c r="AP17" s="15" t="n">
        <v>0</v>
      </c>
      <c r="AQ17" s="15" t="n">
        <v>23.41406548598362</v>
      </c>
      <c r="AR17" s="15" t="n">
        <v>12.91185259266201</v>
      </c>
      <c r="AS17" s="15" t="n">
        <v>0.3406087371749893</v>
      </c>
      <c r="AT17" s="17" t="n">
        <v>2.546515989672216</v>
      </c>
      <c r="AU17" s="18" t="n">
        <v>7.217742802076968</v>
      </c>
      <c r="AV17" s="15" t="n">
        <v>9.4767518136021</v>
      </c>
      <c r="AW17" s="15" t="b">
        <v>1</v>
      </c>
      <c r="AX17" s="15" t="n">
        <v>8.923272646203493</v>
      </c>
      <c r="AY17" s="15" t="n">
        <v>21.63376404568552</v>
      </c>
      <c r="AZ17" s="15" t="n">
        <v>0</v>
      </c>
      <c r="BA17" s="15" t="n">
        <v>1</v>
      </c>
      <c r="BB17" s="15" t="n">
        <v>0.5</v>
      </c>
      <c r="BC17" s="15" t="n">
        <v>0.25</v>
      </c>
      <c r="BD17" s="15" t="inlineStr">
        <is>
          <t>his_note_adaptive</t>
        </is>
      </c>
      <c r="BE17" s="15" t="n">
        <v>-90</v>
      </c>
      <c r="BF17" s="15" t="n">
        <v>20000</v>
      </c>
      <c r="BG17" s="15" t="n">
        <v>14</v>
      </c>
      <c r="BH17" s="15" t="n">
        <v>0.4242424242424243</v>
      </c>
      <c r="BI17" s="15" t="n">
        <v>33</v>
      </c>
      <c r="BJ17" s="15" t="n">
        <v>14</v>
      </c>
      <c r="BK17" s="15" t="n">
        <v>33</v>
      </c>
      <c r="BL17" s="15" t="n">
        <v>28</v>
      </c>
      <c r="BM17" s="15" t="n">
        <v>0.8484848484848485</v>
      </c>
      <c r="BN17" s="15" t="n">
        <v>0.2037943371481043</v>
      </c>
      <c r="BO17" s="15" t="n">
        <v>0.3666666666666666</v>
      </c>
      <c r="BP17" s="19" t="n">
        <v>0.7591779013313984</v>
      </c>
      <c r="BQ17" s="19" t="n">
        <v>0.2408220986686016</v>
      </c>
      <c r="BR17" s="19" t="n">
        <v>0</v>
      </c>
      <c r="BS17" s="15" t="n">
        <v>0.1163119158548079</v>
      </c>
      <c r="BT17" s="19" t="n">
        <v>1</v>
      </c>
      <c r="BU17" s="19" t="n">
        <v>0</v>
      </c>
      <c r="BV17" s="19" t="n">
        <v>0</v>
      </c>
      <c r="BW17" t="inlineStr">
        <is>
          <t>D5</t>
        </is>
      </c>
      <c r="BX17" t="n">
        <v>74</v>
      </c>
      <c r="BY17" t="inlineStr">
        <is>
          <t>D</t>
        </is>
      </c>
      <c r="BZ17" t="n">
        <v>5</v>
      </c>
      <c r="CA17" t="inlineStr">
        <is>
          <t>Very high</t>
        </is>
      </c>
      <c r="CB17" t="inlineStr">
        <is>
          <t>mf</t>
        </is>
      </c>
      <c r="CC17" s="15" t="n">
        <v>587.3295358348153</v>
      </c>
      <c r="CD17" s="15" t="n">
        <v>588.6217133751981</v>
      </c>
      <c r="CE17" t="inlineStr">
        <is>
          <t>prior_constrained_harmonic_fit</t>
        </is>
      </c>
      <c r="CF17" t="n">
        <v>588.6217133751981</v>
      </c>
      <c r="CG17" s="15" t="n">
        <v>1</v>
      </c>
      <c r="CH17" t="inlineStr">
        <is>
          <t>free_fit_acoustically_verified</t>
        </is>
      </c>
      <c r="CI17" s="15" t="inlineStr">
        <is>
          <t>free_f0_fit</t>
        </is>
      </c>
      <c r="CJ17" s="15" t="n">
        <v>587.3295358348153</v>
      </c>
      <c r="CK17" s="15" t="n">
        <v>588.6217133751981</v>
      </c>
      <c r="CL17" s="15" t="n">
        <v>3.804686048382717</v>
      </c>
      <c r="CM17" s="15" t="n">
        <v>20000</v>
      </c>
      <c r="CN17" s="15" t="n">
        <v>3.804686048382717</v>
      </c>
      <c r="CO17" s="15" t="n">
        <v>2.293193494534051</v>
      </c>
      <c r="CP17" s="15" t="n">
        <v>38659.79407265244</v>
      </c>
      <c r="CQ17" t="n">
        <v>2.198876349394125</v>
      </c>
      <c r="CR17" t="n">
        <v>0.06663261664830683</v>
      </c>
      <c r="CS17" t="n">
        <v>73.21930695578112</v>
      </c>
      <c r="CT17" t="n">
        <v>73.21930695578112</v>
      </c>
      <c r="CU17" t="n">
        <v>161.0002023840959</v>
      </c>
      <c r="CV17" t="n">
        <v>21.21945357320217</v>
      </c>
      <c r="CW17" s="15" t="n">
        <v>38659.79407265244</v>
      </c>
      <c r="CX17" s="15" t="n">
        <v>267.5625015765135</v>
      </c>
      <c r="CY17" s="15" t="n">
        <v>21.21945357320217</v>
      </c>
      <c r="CZ17" s="15" t="n">
        <v>2.546515989672216</v>
      </c>
      <c r="DA17" s="15" t="n">
        <v>2.546515989672216</v>
      </c>
      <c r="DB17" s="15" t="n">
        <v>1.713193599339077</v>
      </c>
      <c r="DC17" s="15" t="n">
        <v>0</v>
      </c>
      <c r="DD17" s="15" t="n">
        <v>6.586987982622486e-05</v>
      </c>
      <c r="DE17" s="15" t="n">
        <v>0</v>
      </c>
      <c r="DF17" s="15" t="n">
        <v>12</v>
      </c>
      <c r="DG17" s="15" t="inlineStr">
        <is>
          <t>Density_Metrics</t>
        </is>
      </c>
      <c r="DH17" s="15" t="n">
        <v>2.293193494534051</v>
      </c>
      <c r="DI17" t="n">
        <v>0.9361855803590541</v>
      </c>
      <c r="DJ17" s="15" t="n">
        <v>0.5498019222307239</v>
      </c>
      <c r="DK17" s="15" t="n">
        <v>5.290684261604898</v>
      </c>
      <c r="DL17" s="15" t="n">
        <v>2.231811483879336</v>
      </c>
      <c r="DM17" s="15" t="n">
        <v>1.069459728675517</v>
      </c>
      <c r="DN17" s="15" t="n">
        <v>6.005519041231135</v>
      </c>
      <c r="DO17" s="15" t="n">
        <v>0.6078703211479518</v>
      </c>
      <c r="DP17" s="15" t="n">
        <v>14.875</v>
      </c>
      <c r="DQ17" s="15" t="n">
        <v>29</v>
      </c>
      <c r="DR17" s="15" t="b">
        <v>0</v>
      </c>
      <c r="DS17" s="15" t="n">
        <v>2.198876349394125</v>
      </c>
      <c r="DT17" s="15" t="n">
        <v>9.1745436686851</v>
      </c>
      <c r="DU17" t="n">
        <v>33</v>
      </c>
      <c r="DV17" s="15" t="n">
        <v>0.1163119158548079</v>
      </c>
      <c r="DW17" s="15" t="n">
        <v>1.186182511150573</v>
      </c>
      <c r="DX17" s="15" t="n">
        <v>2.261240534958709</v>
      </c>
      <c r="DY17" s="15" t="n">
        <v>0.134168644820835</v>
      </c>
      <c r="DZ17" s="15" t="b">
        <v>1</v>
      </c>
      <c r="EA17" s="15" t="n">
        <v>0.1579970526542964</v>
      </c>
      <c r="EB17" s="15" t="n">
        <v>20000</v>
      </c>
      <c r="EC17" s="15" t="n">
        <v>7063.460560502377</v>
      </c>
      <c r="ED17" s="15" t="n">
        <v>12</v>
      </c>
      <c r="EE17" s="15" t="n">
        <v>0</v>
      </c>
      <c r="EF17" s="15" t="n">
        <v>0.03666289844319382</v>
      </c>
      <c r="EG17" s="15" t="b">
        <v>0</v>
      </c>
      <c r="EH17" s="15" t="b">
        <v>1</v>
      </c>
      <c r="EI17" s="15" t="b">
        <v>0</v>
      </c>
      <c r="EJ17" s="15" t="inlineStr">
        <is>
          <t>wf=log|dst=-90.0|ceil=20000.0|fft=adaptive_tier</t>
        </is>
      </c>
      <c r="EK17" s="15" t="inlineStr">
        <is>
          <t>wf=log|dst=runtime_configured|ceil=runtime_configured|fft=fixed</t>
        </is>
      </c>
      <c r="EL17" s="15" t="n">
        <v>0.6481043035517124</v>
      </c>
      <c r="EM17" s="15" t="n">
        <v>0.9892415236775512</v>
      </c>
      <c r="EN17" s="15" t="n">
        <v>0.3428571428571429</v>
      </c>
      <c r="EO17" s="15" t="n">
        <v>0.4147280894840724</v>
      </c>
      <c r="EP17" s="15" t="inlineStr">
        <is>
          <t>warn:power_outlier_detected</t>
        </is>
      </c>
      <c r="EQ17" s="15" t="n">
        <v>247.7617069853932</v>
      </c>
      <c r="ER17" s="15" t="inlineStr">
        <is>
          <t>winsorize_p95_for_robust_diagnostics</t>
        </is>
      </c>
      <c r="ES17" s="15" t="n">
        <v>0.1641349199846283</v>
      </c>
      <c r="ET17" s="15" t="n">
        <v>0.02855318511954393</v>
      </c>
      <c r="EU17" s="15" t="n">
        <v>0.03220157203960831</v>
      </c>
      <c r="EV17" t="inlineStr">
        <is>
          <t>computed</t>
        </is>
      </c>
      <c r="EW17" s="15" t="inlineStr">
        <is>
          <t>computed</t>
        </is>
      </c>
      <c r="EX17" s="15" t="inlineStr">
        <is>
          <t>computed</t>
        </is>
      </c>
      <c r="EY17" s="15" t="inlineStr">
        <is>
          <t>available_from_curve</t>
        </is>
      </c>
      <c r="EZ17" s="15" t="n">
        <v>20000</v>
      </c>
      <c r="FA17" s="15" t="n">
        <v>20000</v>
      </c>
      <c r="FB17" s="15" t="n">
        <v>0.2408220986686016</v>
      </c>
      <c r="FC17" s="15" t="n">
        <v>0.3676409914246052</v>
      </c>
      <c r="FD17" s="15" t="n">
        <v>2.546515989672216</v>
      </c>
      <c r="FE17" s="15" t="n">
        <v>1.713193599339077</v>
      </c>
      <c r="FF17" s="15" t="n">
        <v>1.030974672593606</v>
      </c>
      <c r="FG17" s="15" t="n">
        <v>1.884552549339928</v>
      </c>
      <c r="FH17" s="15" t="n">
        <v>0.3531774225606875</v>
      </c>
      <c r="FI17" s="15" t="n">
        <v>0.05546352263343473</v>
      </c>
      <c r="FJ17" s="15" t="n">
        <v>2416.237129540777</v>
      </c>
      <c r="FK17" s="15" t="n">
        <v>16.72265634853209</v>
      </c>
      <c r="FL17" s="15" t="n">
        <v>1.326215848325135</v>
      </c>
      <c r="FM17" s="15" t="n">
        <v>0.004481193847209138</v>
      </c>
      <c r="FN17" t="n">
        <v>1</v>
      </c>
      <c r="FO17" t="n">
        <v>0</v>
      </c>
      <c r="FP17" t="n">
        <v>0</v>
      </c>
      <c r="FQ17" t="inlineStr">
        <is>
          <t>good</t>
        </is>
      </c>
      <c r="FR17" s="19" t="n">
        <v>0.8484848484848485</v>
      </c>
      <c r="FS17" s="15" t="n">
        <v>3.756739333149696</v>
      </c>
      <c r="FT17" s="15" t="n">
        <v>17.7751078048421</v>
      </c>
      <c r="FU17" t="inlineStr">
        <is>
          <t>passed</t>
        </is>
      </c>
      <c r="FV17" t="n">
        <v>87.74459531968313</v>
      </c>
      <c r="FW17" t="n">
        <v>12.66616570346287</v>
      </c>
      <c r="FX17" t="n">
        <v>2.434816951767452</v>
      </c>
      <c r="FY17" t="n">
        <v>0.6034816093914663</v>
      </c>
      <c r="FZ17" t="n">
        <v>0.171711717135197</v>
      </c>
      <c r="GA17" t="n">
        <v>0.6181155446149045</v>
      </c>
      <c r="GB17" t="n">
        <v>0.4195511426738882</v>
      </c>
      <c r="GC17" t="n">
        <v>0.419108392067422</v>
      </c>
      <c r="GD17" t="n">
        <v>0.3430982126258733</v>
      </c>
      <c r="GE17" t="n">
        <v>0.918568837128819</v>
      </c>
      <c r="GF17" t="n">
        <v>0.337326825350227</v>
      </c>
      <c r="GG17" t="n">
        <v>0.5969036508507285</v>
      </c>
      <c r="GH17" t="n">
        <v>0.5227152048697654</v>
      </c>
      <c r="GI17" t="n">
        <v>0.2323232323232324</v>
      </c>
      <c r="GJ17" t="n">
        <v>0.5909090909090912</v>
      </c>
      <c r="GK17" t="n">
        <v>0.5624999999999999</v>
      </c>
      <c r="GL17" t="n">
        <v>0.8547618761223292</v>
      </c>
      <c r="GM17" t="n">
        <v>0.8547618761223292</v>
      </c>
      <c r="GN17" t="n">
        <v>0.6380614405143682</v>
      </c>
      <c r="GO17" t="n">
        <v>0.3052927535239818</v>
      </c>
      <c r="GP17" t="n">
        <v>161.0002023840959</v>
      </c>
      <c r="GQ17" t="inlineStr">
        <is>
          <t>compiled workbook density_weighted_sum = density_component_ratio_weighted_sum (per-note component ratios); research density_weighted_sum maps body-ceiling richness</t>
        </is>
      </c>
      <c r="GR17" s="15" t="inlineStr">
        <is>
          <t>individual_exact</t>
        </is>
      </c>
      <c r="GS17" s="15" t="inlineStr">
        <is>
          <t>density_weight</t>
        </is>
      </c>
      <c r="GT17" s="15" t="n">
        <v>0.6861978171338792</v>
      </c>
      <c r="GU17" s="15" t="n">
        <v>0.3138021828661208</v>
      </c>
      <c r="GV17" s="15" t="n">
        <v>0</v>
      </c>
      <c r="GW17" s="15" t="inlineStr">
        <is>
          <t>log</t>
        </is>
      </c>
      <c r="GX17" s="15" t="n">
        <v>0.5</v>
      </c>
      <c r="GY17" s="15" t="inlineStr">
        <is>
          <t>EWSD-R v18.1</t>
        </is>
      </c>
      <c r="GZ17" s="15" t="n">
        <v>2.955945165262131</v>
      </c>
      <c r="HA17" s="15" t="n">
        <v>16.02794880148552</v>
      </c>
      <c r="HB17" s="15" t="n">
        <v>0.4727082072485188</v>
      </c>
      <c r="HC17" s="15" t="n">
        <v>4.671089452608639</v>
      </c>
      <c r="HD17" s="15" t="n">
        <v>19.35916868021793</v>
      </c>
      <c r="HE17" s="15" t="n">
        <v>0.4064604901900574</v>
      </c>
      <c r="HF17" s="15" t="inlineStr">
        <is>
          <t>partials+ratios</t>
        </is>
      </c>
      <c r="HG17" s="15" t="inlineStr">
        <is>
          <t>merged_individual_exact</t>
        </is>
      </c>
      <c r="HH17" s="15" t="inlineStr">
        <is>
          <t>passed</t>
        </is>
      </c>
      <c r="HI17" s="15" t="inlineStr">
        <is>
          <t>passed</t>
        </is>
      </c>
    </row>
    <row r="18">
      <c r="A18" t="inlineStr">
        <is>
          <t>incomplete_inference</t>
        </is>
      </c>
      <c r="B18" t="inlineStr">
        <is>
          <t>missing_instrument_technique</t>
        </is>
      </c>
      <c r="C18" t="inlineStr">
        <is>
          <t>prior_constrained_harmonic_fit</t>
        </is>
      </c>
      <c r="D18" t="inlineStr">
        <is>
          <t>IOWA_flt_mf.D#5_SustainStable/D#5/component_amplitude_mass_pie.png</t>
        </is>
      </c>
      <c r="E18" t="inlineStr">
        <is>
          <t>IOWA_flt_mf.D#5_SustainStable/D#5/component_energy_ratio_pie.png</t>
        </is>
      </c>
      <c r="F18" s="15" t="n">
        <v>623.5925135268327</v>
      </c>
      <c r="G18" s="15" t="inlineStr">
        <is>
          <t>prior_constrained_harmonic_fit</t>
        </is>
      </c>
      <c r="H18" s="15" t="inlineStr">
        <is>
          <t>fit_accepted_acoustically_verified</t>
        </is>
      </c>
      <c r="I18" s="16" t="n">
        <v>134.4848507021289</v>
      </c>
      <c r="J18" t="inlineStr">
        <is>
          <t>richness_weighted_body_density_body_ceiling</t>
        </is>
      </c>
      <c r="K18" t="inlineStr">
        <is>
          <t>research_body_ceiling_richness_metric</t>
        </is>
      </c>
      <c r="L18" s="15" t="n">
        <v>39313.90742725623</v>
      </c>
      <c r="M18" s="15" t="n">
        <v>39313.90742725623</v>
      </c>
      <c r="N18" s="15" t="n">
        <v>331.5573340171707</v>
      </c>
      <c r="O18" s="15" t="n">
        <v>28.95219059346121</v>
      </c>
      <c r="P18" s="15" t="n">
        <v>-5.173699930159744</v>
      </c>
      <c r="Q18" s="15" t="n">
        <v>11</v>
      </c>
      <c r="R18" s="15" t="n">
        <v>25</v>
      </c>
      <c r="S18" s="15" t="n">
        <v>2457.149031211211</v>
      </c>
      <c r="T18" s="15" t="n">
        <v>33</v>
      </c>
      <c r="U18" s="15" t="n">
        <v>0.02477097372682526</v>
      </c>
      <c r="V18" s="15" t="n">
        <v>17.9819541061814</v>
      </c>
      <c r="W18" s="15" t="n">
        <v>0.8834786931052473</v>
      </c>
      <c r="X18" s="15" t="n">
        <v>0.2911027632837576</v>
      </c>
      <c r="Y18" s="15" t="n">
        <v>19</v>
      </c>
      <c r="Z18" s="15" t="n">
        <v>32</v>
      </c>
      <c r="AA18" s="15" t="n">
        <v>0.59375</v>
      </c>
      <c r="AB18" s="15" t="n">
        <v>32</v>
      </c>
      <c r="AC18" s="15" t="n">
        <v>19</v>
      </c>
      <c r="AD18" s="15" t="n">
        <v>0.59375</v>
      </c>
      <c r="AE18" s="15" t="n">
        <v>236.2383924518343</v>
      </c>
      <c r="AF18" s="15" t="n">
        <v>19</v>
      </c>
      <c r="AG18" s="15" t="n">
        <v>32</v>
      </c>
      <c r="AH18" s="15" t="n">
        <v>0.59375</v>
      </c>
      <c r="AI18" s="15" t="n">
        <v>236.2383924518343</v>
      </c>
      <c r="AJ18" s="15" t="n">
        <v>10</v>
      </c>
      <c r="AK18" s="15" t="n">
        <v>9</v>
      </c>
      <c r="AL18" s="15" t="n">
        <v>3.428509341410256</v>
      </c>
      <c r="AM18" s="15" t="n">
        <v>40</v>
      </c>
      <c r="AN18" s="15" t="n">
        <v>0</v>
      </c>
      <c r="AO18" s="15" t="n">
        <v>40</v>
      </c>
      <c r="AP18" s="15" t="n">
        <v>0</v>
      </c>
      <c r="AQ18" s="15" t="n">
        <v>23.74497605969702</v>
      </c>
      <c r="AR18" s="15" t="n">
        <v>12.68166096494178</v>
      </c>
      <c r="AS18" s="15" t="n">
        <v>0.3293002956627402</v>
      </c>
      <c r="AT18" s="17" t="n">
        <v>2.528278205312068</v>
      </c>
      <c r="AU18" s="18" t="n">
        <v>6.695978257578162</v>
      </c>
      <c r="AV18" s="15" t="n">
        <v>8.966740052549257</v>
      </c>
      <c r="AW18" s="15" t="b">
        <v>1</v>
      </c>
      <c r="AX18" s="15" t="n">
        <v>10.53011238223716</v>
      </c>
      <c r="AY18" s="15" t="n">
        <v>20.05229324645044</v>
      </c>
      <c r="AZ18" s="15" t="n">
        <v>0</v>
      </c>
      <c r="BA18" s="15" t="n">
        <v>1</v>
      </c>
      <c r="BB18" s="15" t="n">
        <v>0.5</v>
      </c>
      <c r="BC18" s="15" t="n">
        <v>0.25</v>
      </c>
      <c r="BD18" s="15" t="inlineStr">
        <is>
          <t>his_note_adaptive</t>
        </is>
      </c>
      <c r="BE18" s="15" t="n">
        <v>-90</v>
      </c>
      <c r="BF18" s="15" t="n">
        <v>20000</v>
      </c>
      <c r="BG18" s="15" t="n">
        <v>19</v>
      </c>
      <c r="BH18" s="15" t="n">
        <v>0.59375</v>
      </c>
      <c r="BI18" s="15" t="n">
        <v>32</v>
      </c>
      <c r="BJ18" s="15" t="n">
        <v>19</v>
      </c>
      <c r="BK18" s="15" t="n">
        <v>32</v>
      </c>
      <c r="BL18" s="15" t="n">
        <v>28</v>
      </c>
      <c r="BM18" s="15" t="n">
        <v>0.875</v>
      </c>
      <c r="BN18" s="15" t="n">
        <v>0.1968450291003769</v>
      </c>
      <c r="BO18" s="15" t="n">
        <v>0.3333333333333333</v>
      </c>
      <c r="BP18" s="19" t="n">
        <v>0.7686568240662739</v>
      </c>
      <c r="BQ18" s="19" t="n">
        <v>0.2313431759337262</v>
      </c>
      <c r="BR18" s="19" t="n">
        <v>0</v>
      </c>
      <c r="BS18" s="15" t="n">
        <v>0.1003235638629547</v>
      </c>
      <c r="BT18" s="19" t="n">
        <v>1</v>
      </c>
      <c r="BU18" s="19" t="n">
        <v>0</v>
      </c>
      <c r="BV18" s="19" t="n">
        <v>0</v>
      </c>
      <c r="BW18" t="inlineStr">
        <is>
          <t>D#5</t>
        </is>
      </c>
      <c r="BX18" t="n">
        <v>75</v>
      </c>
      <c r="BY18" t="inlineStr">
        <is>
          <t>D#</t>
        </is>
      </c>
      <c r="BZ18" t="n">
        <v>5</v>
      </c>
      <c r="CA18" t="inlineStr">
        <is>
          <t>Very high</t>
        </is>
      </c>
      <c r="CB18" t="inlineStr">
        <is>
          <t>mf</t>
        </is>
      </c>
      <c r="CC18" s="15" t="n">
        <v>622.2539674441617</v>
      </c>
      <c r="CD18" s="15" t="n">
        <v>623.5925135268327</v>
      </c>
      <c r="CE18" t="inlineStr">
        <is>
          <t>prior_constrained_harmonic_fit</t>
        </is>
      </c>
      <c r="CF18" t="n">
        <v>623.5925135268327</v>
      </c>
      <c r="CG18" s="15" t="n">
        <v>1</v>
      </c>
      <c r="CH18" t="inlineStr">
        <is>
          <t>free_fit_acoustically_verified</t>
        </is>
      </c>
      <c r="CI18" s="15" t="inlineStr">
        <is>
          <t>free_f0_fit</t>
        </is>
      </c>
      <c r="CJ18" s="15" t="n">
        <v>622.2539674441617</v>
      </c>
      <c r="CK18" s="15" t="n">
        <v>623.5925135268327</v>
      </c>
      <c r="CL18" s="15" t="n">
        <v>3.720101122623163</v>
      </c>
      <c r="CM18" s="15" t="n">
        <v>20000</v>
      </c>
      <c r="CN18" s="15" t="n">
        <v>3.720101122623163</v>
      </c>
      <c r="CO18" s="15" t="n">
        <v>2.276873881383473</v>
      </c>
      <c r="CP18" s="15" t="n">
        <v>39313.90742725623</v>
      </c>
      <c r="CQ18" t="n">
        <v>1.751447466444207</v>
      </c>
      <c r="CR18" t="n">
        <v>0.05473273332638148</v>
      </c>
      <c r="CS18" t="n">
        <v>76.78497544385982</v>
      </c>
      <c r="CT18" t="n">
        <v>76.78497544385982</v>
      </c>
      <c r="CU18" t="n">
        <v>134.4848507021289</v>
      </c>
      <c r="CV18" t="n">
        <v>28.95219059346121</v>
      </c>
      <c r="CW18" s="15" t="n">
        <v>39313.90742725623</v>
      </c>
      <c r="CX18" s="15" t="n">
        <v>331.5573340171707</v>
      </c>
      <c r="CY18" s="15" t="n">
        <v>28.95219059346121</v>
      </c>
      <c r="CZ18" s="15" t="n">
        <v>2.528278205312068</v>
      </c>
      <c r="DA18" s="15" t="n">
        <v>2.528278205312068</v>
      </c>
      <c r="DB18" s="15" t="n">
        <v>1.688388512100822</v>
      </c>
      <c r="DC18" s="15" t="n">
        <v>0</v>
      </c>
      <c r="DD18" s="15" t="n">
        <v>6.431002082380698e-05</v>
      </c>
      <c r="DE18" s="15" t="n">
        <v>0</v>
      </c>
      <c r="DF18" s="15" t="n">
        <v>11</v>
      </c>
      <c r="DG18" s="15" t="inlineStr">
        <is>
          <t>Density_Metrics</t>
        </is>
      </c>
      <c r="DH18" s="15" t="n">
        <v>2.276873881383473</v>
      </c>
      <c r="DI18" t="n">
        <v>0.9295231741796255</v>
      </c>
      <c r="DJ18" s="15" t="n">
        <v>0.547562822000679</v>
      </c>
      <c r="DK18" s="15" t="n">
        <v>5.290225212949307</v>
      </c>
      <c r="DL18" s="15" t="n">
        <v>1.783672103705316</v>
      </c>
      <c r="DM18" s="15" t="n">
        <v>1.056941509191056</v>
      </c>
      <c r="DN18" s="15" t="n">
        <v>5.38670843782547</v>
      </c>
      <c r="DO18" s="15" t="n">
        <v>0.6995294211282539</v>
      </c>
      <c r="DP18" s="15" t="n">
        <v>10.8125</v>
      </c>
      <c r="DQ18" s="15" t="n">
        <v>24</v>
      </c>
      <c r="DR18" s="15" t="b">
        <v>0</v>
      </c>
      <c r="DS18" s="15" t="n">
        <v>1.751447466444207</v>
      </c>
      <c r="DT18" s="15" t="n">
        <v>9.315288425080242</v>
      </c>
      <c r="DU18" t="n">
        <v>32</v>
      </c>
      <c r="DV18" s="15" t="n">
        <v>0.1003235638629547</v>
      </c>
      <c r="DW18" s="15" t="n">
        <v>1.189064126519253</v>
      </c>
      <c r="DX18" s="15" t="n">
        <v>2.252799860475034</v>
      </c>
      <c r="DY18" s="15" t="n">
        <v>0.1359400721615139</v>
      </c>
      <c r="DZ18" s="15" t="b">
        <v>1</v>
      </c>
      <c r="EA18" s="15" t="n">
        <v>0.2022423847243319</v>
      </c>
      <c r="EB18" s="15" t="n">
        <v>20000</v>
      </c>
      <c r="EC18" s="15" t="n">
        <v>6859.517648795159</v>
      </c>
      <c r="ED18" s="15" t="n">
        <v>11</v>
      </c>
      <c r="EE18" s="15" t="n">
        <v>0</v>
      </c>
      <c r="EF18" s="15" t="n">
        <v>0.03460516806898831</v>
      </c>
      <c r="EG18" s="15" t="b">
        <v>0</v>
      </c>
      <c r="EH18" s="15" t="b">
        <v>1</v>
      </c>
      <c r="EI18" s="15" t="b">
        <v>0</v>
      </c>
      <c r="EJ18" s="15" t="inlineStr">
        <is>
          <t>wf=log|dst=-90.0|ceil=20000.0|fft=adaptive_tier</t>
        </is>
      </c>
      <c r="EK18" s="15" t="inlineStr">
        <is>
          <t>wf=log|dst=runtime_configured|ceil=runtime_configured|fft=fixed</t>
        </is>
      </c>
      <c r="EL18" s="15" t="n">
        <v>0.6413591796269077</v>
      </c>
      <c r="EM18" s="15" t="n">
        <v>0.9923970226572117</v>
      </c>
      <c r="EN18" s="15" t="n">
        <v>0.3333333333333333</v>
      </c>
      <c r="EO18" s="15" t="n">
        <v>0.390569263822479</v>
      </c>
      <c r="EP18" s="15" t="inlineStr">
        <is>
          <t>warn:power_outlier_detected</t>
        </is>
      </c>
      <c r="EQ18" s="15" t="n">
        <v>353.3836013640491</v>
      </c>
      <c r="ER18" s="15" t="inlineStr">
        <is>
          <t>winsorize_p95_for_robust_diagnostics</t>
        </is>
      </c>
      <c r="ES18" s="15" t="n">
        <v>0.2538420379736497</v>
      </c>
      <c r="ET18" s="15" t="n">
        <v>0.03777234870601101</v>
      </c>
      <c r="EU18" s="15" t="n">
        <v>0.04218573755950758</v>
      </c>
      <c r="EV18" t="inlineStr">
        <is>
          <t>computed</t>
        </is>
      </c>
      <c r="EW18" s="15" t="inlineStr">
        <is>
          <t>computed</t>
        </is>
      </c>
      <c r="EX18" s="15" t="inlineStr">
        <is>
          <t>computed</t>
        </is>
      </c>
      <c r="EY18" s="15" t="inlineStr">
        <is>
          <t>available_from_curve</t>
        </is>
      </c>
      <c r="EZ18" s="15" t="n">
        <v>20000</v>
      </c>
      <c r="FA18" s="15" t="n">
        <v>20000</v>
      </c>
      <c r="FB18" s="15" t="n">
        <v>0.2313431759337262</v>
      </c>
      <c r="FC18" s="15" t="n">
        <v>0.3846432075528133</v>
      </c>
      <c r="FD18" s="15" t="n">
        <v>2.528278205312068</v>
      </c>
      <c r="FE18" s="15" t="n">
        <v>1.688388512100822</v>
      </c>
      <c r="FF18" s="15" t="n">
        <v>1.073558495536417</v>
      </c>
      <c r="FG18" s="15" t="n">
        <v>1.871055652737032</v>
      </c>
      <c r="FH18" s="15" t="n">
        <v>0.348063816730862</v>
      </c>
      <c r="FI18" s="15" t="n">
        <v>0.05775441191557892</v>
      </c>
      <c r="FJ18" s="15" t="n">
        <v>2457.119214203514</v>
      </c>
      <c r="FK18" s="15" t="n">
        <v>20.72233337607317</v>
      </c>
      <c r="FL18" s="15" t="n">
        <v>1.809511912091325</v>
      </c>
      <c r="FM18" s="15" t="n">
        <v>0.004577681271621357</v>
      </c>
      <c r="FN18" t="n">
        <v>1</v>
      </c>
      <c r="FO18" t="n">
        <v>0</v>
      </c>
      <c r="FP18" t="n">
        <v>0</v>
      </c>
      <c r="FQ18" t="inlineStr">
        <is>
          <t>excellent</t>
        </is>
      </c>
      <c r="FR18" s="19" t="n">
        <v>0.875</v>
      </c>
      <c r="FS18" s="15" t="n">
        <v>1.170103090104616</v>
      </c>
      <c r="FT18" s="15" t="n">
        <v>5.063665254251026</v>
      </c>
      <c r="FU18" t="inlineStr">
        <is>
          <t>passed</t>
        </is>
      </c>
      <c r="FV18" t="n">
        <v>84.12586030713436</v>
      </c>
      <c r="FW18" t="n">
        <v>11.9491204884011</v>
      </c>
      <c r="FX18" t="n">
        <v>2.711409765726851</v>
      </c>
      <c r="FY18" t="n">
        <v>0.5620839661830601</v>
      </c>
      <c r="FZ18" t="n">
        <v>0.1328924158631912</v>
      </c>
      <c r="GA18" t="n">
        <v>0.6178513507790183</v>
      </c>
      <c r="GB18" t="n">
        <v>0.2639843303052117</v>
      </c>
      <c r="GC18" t="n">
        <v>0.2615327208006747</v>
      </c>
      <c r="GD18" t="n">
        <v>0.2732630576079361</v>
      </c>
      <c r="GE18" t="n">
        <v>0.9512604195954903</v>
      </c>
      <c r="GF18" t="n">
        <v>0.3795613158586917</v>
      </c>
      <c r="GG18" t="n">
        <v>0.4803270067396929</v>
      </c>
      <c r="GH18" t="n">
        <v>0.4958588274858065</v>
      </c>
      <c r="GI18" t="n">
        <v>0.4583333333333333</v>
      </c>
      <c r="GJ18" t="n">
        <v>0.7500000000000002</v>
      </c>
      <c r="GK18" t="n">
        <v>0.4791666666666667</v>
      </c>
      <c r="GL18" t="n">
        <v>0.7684692367881097</v>
      </c>
      <c r="GM18" t="n">
        <v>0.7684692367881097</v>
      </c>
      <c r="GN18" t="n">
        <v>0.6710972024458605</v>
      </c>
      <c r="GO18" t="n">
        <v>0.314049078929118</v>
      </c>
      <c r="GP18" t="n">
        <v>134.4848507021289</v>
      </c>
      <c r="GQ18" t="inlineStr">
        <is>
          <t>compiled workbook density_weighted_sum = density_component_ratio_weighted_sum (per-note component ratios); research density_weighted_sum maps body-ceiling richness</t>
        </is>
      </c>
      <c r="GR18" s="15" t="inlineStr">
        <is>
          <t>individual_exact</t>
        </is>
      </c>
      <c r="GS18" s="15" t="inlineStr">
        <is>
          <t>density_weight</t>
        </is>
      </c>
      <c r="GT18" s="15" t="n">
        <v>0.7740487590620465</v>
      </c>
      <c r="GU18" s="15" t="n">
        <v>0.2259512409379534</v>
      </c>
      <c r="GV18" s="15" t="n">
        <v>0</v>
      </c>
      <c r="GW18" s="15" t="inlineStr">
        <is>
          <t>log</t>
        </is>
      </c>
      <c r="GX18" s="15" t="n">
        <v>0.5</v>
      </c>
      <c r="GY18" s="15" t="inlineStr">
        <is>
          <t>EWSD-R v18.1</t>
        </is>
      </c>
      <c r="GZ18" s="15" t="n">
        <v>2.665387071297157</v>
      </c>
      <c r="HA18" s="15" t="n">
        <v>15.66196079855941</v>
      </c>
      <c r="HB18" s="15" t="n">
        <v>0.4977923797034811</v>
      </c>
      <c r="HC18" s="15" t="n">
        <v>4.130755350122675</v>
      </c>
      <c r="HD18" s="15" t="n">
        <v>18.86495958680633</v>
      </c>
      <c r="HE18" s="15" t="n">
        <v>0.4186095959555754</v>
      </c>
      <c r="HF18" s="15" t="inlineStr">
        <is>
          <t>partials+ratios</t>
        </is>
      </c>
      <c r="HG18" s="15" t="inlineStr">
        <is>
          <t>merged_individual_exact</t>
        </is>
      </c>
      <c r="HH18" s="15" t="inlineStr">
        <is>
          <t>passed</t>
        </is>
      </c>
      <c r="HI18" s="15" t="inlineStr">
        <is>
          <t>passed</t>
        </is>
      </c>
    </row>
    <row r="19">
      <c r="A19" t="inlineStr">
        <is>
          <t>incomplete_inference</t>
        </is>
      </c>
      <c r="B19" t="inlineStr">
        <is>
          <t>missing_instrument_technique</t>
        </is>
      </c>
      <c r="C19" t="inlineStr">
        <is>
          <t>prior_constrained_harmonic_fit</t>
        </is>
      </c>
      <c r="D19" t="inlineStr">
        <is>
          <t>IOWA_flt_mf.E5_SustainStable/E5/component_amplitude_mass_pie.png</t>
        </is>
      </c>
      <c r="E19" t="inlineStr">
        <is>
          <t>IOWA_flt_mf.E5_SustainStable/E5/component_energy_ratio_pie.png</t>
        </is>
      </c>
      <c r="F19" s="15" t="n">
        <v>658.3477864435087</v>
      </c>
      <c r="G19" s="15" t="inlineStr">
        <is>
          <t>prior_constrained_harmonic_fit</t>
        </is>
      </c>
      <c r="H19" s="15" t="inlineStr">
        <is>
          <t>fit_accepted_acoustically_verified</t>
        </is>
      </c>
      <c r="I19" s="16" t="n">
        <v>117.7146751821372</v>
      </c>
      <c r="J19" t="inlineStr">
        <is>
          <t>richness_weighted_body_density_body_ceiling</t>
        </is>
      </c>
      <c r="K19" t="inlineStr">
        <is>
          <t>research_body_ceiling_richness_metric</t>
        </is>
      </c>
      <c r="L19" s="15" t="n">
        <v>41116.08021139907</v>
      </c>
      <c r="M19" s="15" t="n">
        <v>41116.08021139907</v>
      </c>
      <c r="N19" s="15" t="n">
        <v>192.3980035456822</v>
      </c>
      <c r="O19" s="15" t="n">
        <v>14.64110432042897</v>
      </c>
      <c r="P19" s="15" t="n">
        <v>-3.943870901415959</v>
      </c>
      <c r="Q19" s="15" t="n">
        <v>14</v>
      </c>
      <c r="R19" s="15" t="n">
        <v>22</v>
      </c>
      <c r="S19" s="15" t="n">
        <v>2569.75670435926</v>
      </c>
      <c r="T19" s="15" t="n">
        <v>31</v>
      </c>
      <c r="U19" s="15" t="n">
        <v>-0.2667637604488123</v>
      </c>
      <c r="V19" s="15" t="n">
        <v>14.77090865220667</v>
      </c>
      <c r="W19" s="15" t="n">
        <v>0.9191096534132798</v>
      </c>
      <c r="X19" s="15" t="n">
        <v>0.2471764296264122</v>
      </c>
      <c r="Y19" s="15" t="n">
        <v>18</v>
      </c>
      <c r="Z19" s="15" t="n">
        <v>30</v>
      </c>
      <c r="AA19" s="15" t="n">
        <v>0.6</v>
      </c>
      <c r="AB19" s="15" t="n">
        <v>30</v>
      </c>
      <c r="AC19" s="15" t="n">
        <v>18</v>
      </c>
      <c r="AD19" s="15" t="n">
        <v>0.6</v>
      </c>
      <c r="AE19" s="15" t="n">
        <v>217.9790510614293</v>
      </c>
      <c r="AF19" s="15" t="n">
        <v>18</v>
      </c>
      <c r="AG19" s="15" t="n">
        <v>30</v>
      </c>
      <c r="AH19" s="15" t="n">
        <v>0.6</v>
      </c>
      <c r="AI19" s="15" t="n">
        <v>217.9790510614293</v>
      </c>
      <c r="AJ19" s="15" t="n">
        <v>9</v>
      </c>
      <c r="AK19" s="15" t="n">
        <v>9</v>
      </c>
      <c r="AL19" s="15" t="n">
        <v>8.4084808273926</v>
      </c>
      <c r="AM19" s="15" t="n">
        <v>26</v>
      </c>
      <c r="AN19" s="15" t="n">
        <v>0</v>
      </c>
      <c r="AO19" s="15" t="n">
        <v>26</v>
      </c>
      <c r="AP19" s="15" t="n">
        <v>0</v>
      </c>
      <c r="AQ19" s="15" t="n">
        <v>19.30899240330435</v>
      </c>
      <c r="AR19" s="15" t="n">
        <v>10.16537083217308</v>
      </c>
      <c r="AS19" s="15" t="n">
        <v>0.2056845061743033</v>
      </c>
      <c r="AT19" s="17" t="n">
        <v>2.495582253361777</v>
      </c>
      <c r="AU19" s="18" t="n">
        <v>4.475685948757738</v>
      </c>
      <c r="AV19" s="15" t="n">
        <v>6.954350237200202</v>
      </c>
      <c r="AW19" s="15" t="b">
        <v>1</v>
      </c>
      <c r="AX19" s="15" t="n">
        <v>9.465865892383649</v>
      </c>
      <c r="AY19" s="15" t="n">
        <v>13.74093999074291</v>
      </c>
      <c r="AZ19" s="15" t="n">
        <v>0</v>
      </c>
      <c r="BA19" s="15" t="n">
        <v>1</v>
      </c>
      <c r="BB19" s="15" t="n">
        <v>0.5</v>
      </c>
      <c r="BC19" s="15" t="n">
        <v>0.25</v>
      </c>
      <c r="BD19" s="15" t="inlineStr">
        <is>
          <t>his_note_adaptive</t>
        </is>
      </c>
      <c r="BE19" s="15" t="n">
        <v>-90</v>
      </c>
      <c r="BF19" s="15" t="n">
        <v>20000</v>
      </c>
      <c r="BG19" s="15" t="n">
        <v>18</v>
      </c>
      <c r="BH19" s="15" t="n">
        <v>0.6</v>
      </c>
      <c r="BI19" s="15" t="n">
        <v>30</v>
      </c>
      <c r="BJ19" s="15" t="n">
        <v>18</v>
      </c>
      <c r="BK19" s="15" t="n">
        <v>30</v>
      </c>
      <c r="BL19" s="15" t="n">
        <v>27</v>
      </c>
      <c r="BM19" s="15" t="n">
        <v>0.9</v>
      </c>
      <c r="BN19" s="15" t="n">
        <v>0.1546563315903118</v>
      </c>
      <c r="BO19" s="15" t="n">
        <v>0.2166666666666667</v>
      </c>
      <c r="BP19" s="19" t="n">
        <v>0.7680594044767624</v>
      </c>
      <c r="BQ19" s="19" t="n">
        <v>0.2319405955232376</v>
      </c>
      <c r="BR19" s="19" t="n">
        <v>0</v>
      </c>
      <c r="BS19" s="15" t="n">
        <v>0.06542956886379991</v>
      </c>
      <c r="BT19" s="19" t="n">
        <v>1</v>
      </c>
      <c r="BU19" s="19" t="n">
        <v>0</v>
      </c>
      <c r="BV19" s="19" t="n">
        <v>0</v>
      </c>
      <c r="BW19" t="inlineStr">
        <is>
          <t>E5</t>
        </is>
      </c>
      <c r="BX19" t="n">
        <v>76</v>
      </c>
      <c r="BY19" t="inlineStr">
        <is>
          <t>E</t>
        </is>
      </c>
      <c r="BZ19" t="n">
        <v>5</v>
      </c>
      <c r="CA19" t="inlineStr">
        <is>
          <t>Very high</t>
        </is>
      </c>
      <c r="CB19" t="inlineStr">
        <is>
          <t>mf</t>
        </is>
      </c>
      <c r="CC19" s="15" t="n">
        <v>659.2551138257397</v>
      </c>
      <c r="CD19" s="15" t="n">
        <v>658.3477864435087</v>
      </c>
      <c r="CE19" t="inlineStr">
        <is>
          <t>prior_constrained_harmonic_fit</t>
        </is>
      </c>
      <c r="CF19" t="n">
        <v>658.3477864435087</v>
      </c>
      <c r="CG19" s="15" t="n">
        <v>1</v>
      </c>
      <c r="CH19" t="inlineStr">
        <is>
          <t>free_fit_acoustically_verified</t>
        </is>
      </c>
      <c r="CI19" s="15" t="inlineStr">
        <is>
          <t>free_f0_fit</t>
        </is>
      </c>
      <c r="CJ19" s="15" t="n">
        <v>659.2551138257397</v>
      </c>
      <c r="CK19" s="15" t="n">
        <v>658.3477864435087</v>
      </c>
      <c r="CL19" s="15" t="n">
        <v>-2.384324299433717</v>
      </c>
      <c r="CM19" s="15" t="n">
        <v>20000</v>
      </c>
      <c r="CN19" s="15" t="n">
        <v>-2.384324299433717</v>
      </c>
      <c r="CO19" s="15" t="n">
        <v>2.220947315067901</v>
      </c>
      <c r="CP19" s="15" t="n">
        <v>41116.08021139907</v>
      </c>
      <c r="CQ19" t="n">
        <v>1.374232266230498</v>
      </c>
      <c r="CR19" t="n">
        <v>0.04580774220768326</v>
      </c>
      <c r="CS19" t="n">
        <v>85.65850044041473</v>
      </c>
      <c r="CT19" t="n">
        <v>85.65850044041473</v>
      </c>
      <c r="CU19" t="n">
        <v>117.7146751821372</v>
      </c>
      <c r="CV19" t="n">
        <v>14.64110432042897</v>
      </c>
      <c r="CW19" s="15" t="n">
        <v>41116.08021139907</v>
      </c>
      <c r="CX19" s="15" t="n">
        <v>192.3980035456822</v>
      </c>
      <c r="CY19" s="15" t="n">
        <v>14.64110432042897</v>
      </c>
      <c r="CZ19" s="15" t="n">
        <v>2.495582253361777</v>
      </c>
      <c r="DA19" s="15" t="n">
        <v>2.495582253361777</v>
      </c>
      <c r="DB19" s="15" t="n">
        <v>1.568727654381155</v>
      </c>
      <c r="DC19" s="15" t="n">
        <v>0</v>
      </c>
      <c r="DD19" s="15" t="n">
        <v>6.069601578094739e-05</v>
      </c>
      <c r="DE19" s="15" t="n">
        <v>0</v>
      </c>
      <c r="DF19" s="15" t="n">
        <v>14</v>
      </c>
      <c r="DG19" s="15" t="inlineStr">
        <is>
          <t>Density_Metrics</t>
        </is>
      </c>
      <c r="DH19" s="15" t="n">
        <v>2.220947315067901</v>
      </c>
      <c r="DI19" t="n">
        <v>0.9066914135504287</v>
      </c>
      <c r="DJ19" s="15" t="n">
        <v>0.5435195258215855</v>
      </c>
      <c r="DK19" s="15" t="n">
        <v>5.006604651047432</v>
      </c>
      <c r="DL19" s="15" t="n">
        <v>1.388099935804525</v>
      </c>
      <c r="DM19" s="15" t="n">
        <v>1.016259705917149</v>
      </c>
      <c r="DN19" s="15" t="n">
        <v>9.744228426964044</v>
      </c>
      <c r="DO19" s="15" t="n">
        <v>1.344247821388536</v>
      </c>
      <c r="DP19" s="15" t="n">
        <v>11.375</v>
      </c>
      <c r="DQ19" s="15" t="n">
        <v>26</v>
      </c>
      <c r="DR19" s="15" t="b">
        <v>0</v>
      </c>
      <c r="DS19" s="15" t="n">
        <v>1.374232266230498</v>
      </c>
      <c r="DT19" s="15" t="n">
        <v>7.415292888792365</v>
      </c>
      <c r="DU19" t="n">
        <v>30</v>
      </c>
      <c r="DV19" s="15" t="n">
        <v>0.06542956886379991</v>
      </c>
      <c r="DW19" s="15" t="n">
        <v>0.9521702975339361</v>
      </c>
      <c r="DX19" s="15" t="n">
        <v>2.244773513812058</v>
      </c>
      <c r="DY19" s="15" t="n">
        <v>0.1655544740342887</v>
      </c>
      <c r="DZ19" s="15" t="b">
        <v>1</v>
      </c>
      <c r="EA19" s="15" t="n">
        <v>0.268688363174906</v>
      </c>
      <c r="EB19" s="15" t="n">
        <v>20000</v>
      </c>
      <c r="EC19" s="15" t="n">
        <v>9875.21679665263</v>
      </c>
      <c r="ED19" s="15" t="n">
        <v>15</v>
      </c>
      <c r="EE19" s="15" t="n">
        <v>0</v>
      </c>
      <c r="EF19" s="15" t="n">
        <v>0.03266292922635083</v>
      </c>
      <c r="EG19" s="15" t="b">
        <v>0</v>
      </c>
      <c r="EH19" s="15" t="b">
        <v>1</v>
      </c>
      <c r="EI19" s="15" t="b">
        <v>0</v>
      </c>
      <c r="EJ19" s="15" t="inlineStr">
        <is>
          <t>wf=log|dst=-90.0|ceil=20000.0|fft=adaptive_tier</t>
        </is>
      </c>
      <c r="EK19" s="15" t="inlineStr">
        <is>
          <t>wf=log|dst=runtime_configured|ceil=runtime_configured|fft=fixed</t>
        </is>
      </c>
      <c r="EL19" s="15" t="n">
        <v>0.6768502850852086</v>
      </c>
      <c r="EM19" s="15" t="n">
        <v>0.9837115070765141</v>
      </c>
      <c r="EN19" s="15" t="n">
        <v>0.4516129032258064</v>
      </c>
      <c r="EO19" s="15" t="n">
        <v>0.3805779538587252</v>
      </c>
      <c r="EP19" s="15" t="inlineStr">
        <is>
          <t>warn:power_outlier_detected</t>
        </is>
      </c>
      <c r="EQ19" s="15" t="n">
        <v>414.2116341609353</v>
      </c>
      <c r="ER19" s="15" t="inlineStr">
        <is>
          <t>winsorize_p95_for_robust_diagnostics</t>
        </is>
      </c>
      <c r="ES19" s="15" t="n">
        <v>0.1573979355740691</v>
      </c>
      <c r="ET19" s="15" t="n">
        <v>0.02167524120695736</v>
      </c>
      <c r="EU19" s="15" t="n">
        <v>0.02529943363993901</v>
      </c>
      <c r="EV19" t="inlineStr">
        <is>
          <t>computed</t>
        </is>
      </c>
      <c r="EW19" s="15" t="inlineStr">
        <is>
          <t>computed</t>
        </is>
      </c>
      <c r="EX19" s="15" t="inlineStr">
        <is>
          <t>computed</t>
        </is>
      </c>
      <c r="EY19" s="15" t="inlineStr">
        <is>
          <t>available_from_curve</t>
        </is>
      </c>
      <c r="EZ19" s="15" t="n">
        <v>20000</v>
      </c>
      <c r="FA19" s="15" t="n">
        <v>20000</v>
      </c>
      <c r="FB19" s="15" t="n">
        <v>0.2319405955232376</v>
      </c>
      <c r="FC19" s="15" t="n">
        <v>0.2857001247312771</v>
      </c>
      <c r="FD19" s="15" t="n">
        <v>2.495582253361777</v>
      </c>
      <c r="FE19" s="15" t="n">
        <v>1.568727654381155</v>
      </c>
      <c r="FF19" s="15" t="n">
        <v>0.9422947433045006</v>
      </c>
      <c r="FG19" s="15" t="n">
        <v>1.846858969955178</v>
      </c>
      <c r="FH19" s="15" t="n">
        <v>0.3233955519608226</v>
      </c>
      <c r="FI19" s="15" t="n">
        <v>0.05069279315190025</v>
      </c>
      <c r="FJ19" s="15" t="n">
        <v>2569.755013212442</v>
      </c>
      <c r="FK19" s="15" t="n">
        <v>12.02487522160514</v>
      </c>
      <c r="FL19" s="15" t="n">
        <v>0.9150690200268108</v>
      </c>
      <c r="FM19" s="15" t="n">
        <v>0.004774911816896817</v>
      </c>
      <c r="FN19" t="n">
        <v>1</v>
      </c>
      <c r="FO19" t="n">
        <v>0</v>
      </c>
      <c r="FP19" t="n">
        <v>0</v>
      </c>
      <c r="FQ19" t="inlineStr">
        <is>
          <t>excellent</t>
        </is>
      </c>
      <c r="FR19" s="19" t="n">
        <v>0.9</v>
      </c>
      <c r="FS19" s="15" t="n">
        <v>1.828981374408007</v>
      </c>
      <c r="FT19" s="15" t="n">
        <v>11.28308520452613</v>
      </c>
      <c r="FU19" t="inlineStr">
        <is>
          <t>passed</t>
        </is>
      </c>
      <c r="FV19" t="n">
        <v>78.0068318668302</v>
      </c>
      <c r="FW19" t="n">
        <v>9.011208528927932</v>
      </c>
      <c r="FX19" t="n">
        <v>1.938944508412855</v>
      </c>
      <c r="FY19" t="n">
        <v>0.4202161402216761</v>
      </c>
      <c r="FZ19" t="n">
        <v>0.1083403562222956</v>
      </c>
      <c r="GA19" t="n">
        <v>0.4546207143915756</v>
      </c>
      <c r="GB19" t="n">
        <v>0.1266656657455455</v>
      </c>
      <c r="GC19" t="n">
        <v>0.1286849305690616</v>
      </c>
      <c r="GD19" t="n">
        <v>0.1782979655431291</v>
      </c>
      <c r="GE19" t="n">
        <v>0.9913614440609065</v>
      </c>
      <c r="GF19" t="n">
        <v>0.2377941275951723</v>
      </c>
      <c r="GG19" t="n">
        <v>0.2259027334498963</v>
      </c>
      <c r="GH19" t="n">
        <v>0.3875250728693208</v>
      </c>
      <c r="GI19" t="n">
        <v>0.4666666666666666</v>
      </c>
      <c r="GJ19" t="n">
        <v>0.9000000000000004</v>
      </c>
      <c r="GK19" t="n">
        <v>0.1875000000000001</v>
      </c>
      <c r="GL19" t="n">
        <v>0.7739079258259713</v>
      </c>
      <c r="GM19" t="n">
        <v>0.7739079258259713</v>
      </c>
      <c r="GN19" t="n">
        <v>0.4788481388995373</v>
      </c>
      <c r="GO19" t="n">
        <v>0.1966671652859424</v>
      </c>
      <c r="GP19" t="n">
        <v>117.7146751821372</v>
      </c>
      <c r="GQ19" t="inlineStr">
        <is>
          <t>compiled workbook density_weighted_sum = density_component_ratio_weighted_sum (per-note component ratios); research density_weighted_sum maps body-ceiling richness</t>
        </is>
      </c>
      <c r="GR19" s="15" t="inlineStr">
        <is>
          <t>individual_exact</t>
        </is>
      </c>
      <c r="GS19" s="15" t="inlineStr">
        <is>
          <t>density_weight</t>
        </is>
      </c>
      <c r="GT19" s="15" t="n">
        <v>0.8363759495869565</v>
      </c>
      <c r="GU19" s="15" t="n">
        <v>0.1636240504130435</v>
      </c>
      <c r="GV19" s="15" t="n">
        <v>0</v>
      </c>
      <c r="GW19" s="15" t="inlineStr">
        <is>
          <t>log</t>
        </is>
      </c>
      <c r="GX19" s="15" t="n">
        <v>0.5</v>
      </c>
      <c r="GY19" s="15" t="inlineStr">
        <is>
          <t>EWSD-R v18.1</t>
        </is>
      </c>
      <c r="GZ19" s="15" t="n">
        <v>1.587465584628887</v>
      </c>
      <c r="HA19" s="15" t="n">
        <v>10.95618497256486</v>
      </c>
      <c r="HB19" s="15" t="n">
        <v>0.5569840008991763</v>
      </c>
      <c r="HC19" s="15" t="n">
        <v>3.087170728098409</v>
      </c>
      <c r="HD19" s="15" t="n">
        <v>14.92687062990544</v>
      </c>
      <c r="HE19" s="15" t="n">
        <v>0.4704777617106921</v>
      </c>
      <c r="HF19" s="15" t="inlineStr">
        <is>
          <t>partials+ratios</t>
        </is>
      </c>
      <c r="HG19" s="15" t="inlineStr">
        <is>
          <t>merged_individual_exact</t>
        </is>
      </c>
      <c r="HH19" s="15" t="inlineStr">
        <is>
          <t>passed</t>
        </is>
      </c>
      <c r="HI19" s="15" t="inlineStr">
        <is>
          <t>passed</t>
        </is>
      </c>
    </row>
    <row r="20">
      <c r="A20" t="inlineStr">
        <is>
          <t>incomplete_inference</t>
        </is>
      </c>
      <c r="B20" t="inlineStr">
        <is>
          <t>missing_instrument_technique</t>
        </is>
      </c>
      <c r="C20" t="inlineStr">
        <is>
          <t>prior_constrained_harmonic_fit</t>
        </is>
      </c>
      <c r="D20" t="inlineStr">
        <is>
          <t>IOWA_flt_mf.F5_SustainStable/F5/component_amplitude_mass_pie.png</t>
        </is>
      </c>
      <c r="E20" t="inlineStr">
        <is>
          <t>IOWA_flt_mf.F5_SustainStable/F5/component_energy_ratio_pie.png</t>
        </is>
      </c>
      <c r="F20" s="15" t="n">
        <v>699.1446682452327</v>
      </c>
      <c r="G20" s="15" t="inlineStr">
        <is>
          <t>prior_constrained_harmonic_fit</t>
        </is>
      </c>
      <c r="H20" s="15" t="inlineStr">
        <is>
          <t>fit_accepted_acoustically_verified</t>
        </is>
      </c>
      <c r="I20" s="16" t="n">
        <v>112.7441958978754</v>
      </c>
      <c r="J20" t="inlineStr">
        <is>
          <t>richness_weighted_body_density_body_ceiling</t>
        </is>
      </c>
      <c r="K20" t="inlineStr">
        <is>
          <t>research_body_ceiling_richness_metric</t>
        </is>
      </c>
      <c r="L20" s="15" t="n">
        <v>41929.5291306919</v>
      </c>
      <c r="M20" s="15" t="n">
        <v>41948.72505951836</v>
      </c>
      <c r="N20" s="15" t="n">
        <v>486.7405621283023</v>
      </c>
      <c r="O20" s="15" t="n">
        <v>10.05645548662884</v>
      </c>
      <c r="P20" s="15" t="n">
        <v>-3.890721993539083</v>
      </c>
      <c r="Q20" s="15" t="n">
        <v>14</v>
      </c>
      <c r="R20" s="15" t="n">
        <v>24</v>
      </c>
      <c r="S20" s="15" t="n">
        <v>2621.799291694336</v>
      </c>
      <c r="T20" s="15" t="n">
        <v>29</v>
      </c>
      <c r="U20" s="15" t="n">
        <v>-0.5893888790132257</v>
      </c>
      <c r="V20" s="15" t="n">
        <v>13.13863241866366</v>
      </c>
      <c r="W20" s="15" t="n">
        <v>0.7956439689361463</v>
      </c>
      <c r="X20" s="15" t="n">
        <v>0.2250959155177525</v>
      </c>
      <c r="Y20" s="15" t="n">
        <v>16</v>
      </c>
      <c r="Z20" s="15" t="n">
        <v>28</v>
      </c>
      <c r="AA20" s="15" t="n">
        <v>0.5714285714285714</v>
      </c>
      <c r="AB20" s="15" t="n">
        <v>28</v>
      </c>
      <c r="AC20" s="15" t="n">
        <v>16</v>
      </c>
      <c r="AD20" s="15" t="n">
        <v>0.5714285714285714</v>
      </c>
      <c r="AE20" s="15" t="n">
        <v>211.2445059680574</v>
      </c>
      <c r="AF20" s="15" t="n">
        <v>16</v>
      </c>
      <c r="AG20" s="15" t="n">
        <v>28</v>
      </c>
      <c r="AH20" s="15" t="n">
        <v>0.5714285714285714</v>
      </c>
      <c r="AI20" s="15" t="n">
        <v>211.2445059680574</v>
      </c>
      <c r="AJ20" s="15" t="n">
        <v>9</v>
      </c>
      <c r="AK20" s="15" t="n">
        <v>7</v>
      </c>
      <c r="AL20" s="15" t="n">
        <v>17.08283014050532</v>
      </c>
      <c r="AM20" s="15" t="n">
        <v>27</v>
      </c>
      <c r="AN20" s="15" t="n">
        <v>0</v>
      </c>
      <c r="AO20" s="15" t="n">
        <v>27</v>
      </c>
      <c r="AP20" s="15" t="n">
        <v>0</v>
      </c>
      <c r="AQ20" s="15" t="n">
        <v>17.85284718265569</v>
      </c>
      <c r="AR20" s="15" t="n">
        <v>9.689451397676809</v>
      </c>
      <c r="AS20" s="15" t="n">
        <v>0.1823043896042739</v>
      </c>
      <c r="AT20" s="17" t="n">
        <v>2.48209571963996</v>
      </c>
      <c r="AU20" s="18" t="n">
        <v>5.475918588847619</v>
      </c>
      <c r="AV20" s="15" t="n">
        <v>8.05884185934603</v>
      </c>
      <c r="AW20" s="15" t="b">
        <v>1</v>
      </c>
      <c r="AX20" s="15" t="n">
        <v>8.860456058809964</v>
      </c>
      <c r="AY20" s="15" t="n">
        <v>13.78204312378589</v>
      </c>
      <c r="AZ20" s="15" t="n">
        <v>0</v>
      </c>
      <c r="BA20" s="15" t="n">
        <v>1</v>
      </c>
      <c r="BB20" s="15" t="n">
        <v>0.5</v>
      </c>
      <c r="BC20" s="15" t="n">
        <v>0.25</v>
      </c>
      <c r="BD20" s="15" t="inlineStr">
        <is>
          <t>his_note_adaptive</t>
        </is>
      </c>
      <c r="BE20" s="15" t="n">
        <v>-90</v>
      </c>
      <c r="BF20" s="15" t="n">
        <v>20000</v>
      </c>
      <c r="BG20" s="15" t="n">
        <v>16</v>
      </c>
      <c r="BH20" s="15" t="n">
        <v>0.5714285714285714</v>
      </c>
      <c r="BI20" s="15" t="n">
        <v>28</v>
      </c>
      <c r="BJ20" s="15" t="n">
        <v>16</v>
      </c>
      <c r="BK20" s="15" t="n">
        <v>28</v>
      </c>
      <c r="BL20" s="15" t="n">
        <v>24</v>
      </c>
      <c r="BM20" s="15" t="n">
        <v>0.8571428571428571</v>
      </c>
      <c r="BN20" s="15" t="n">
        <v>0.137940807940992</v>
      </c>
      <c r="BO20" s="15" t="n">
        <v>0.225</v>
      </c>
      <c r="BP20" s="19" t="n">
        <v>0.7706752440735937</v>
      </c>
      <c r="BQ20" s="19" t="n">
        <v>0.2293247559264064</v>
      </c>
      <c r="BR20" s="19" t="n">
        <v>0</v>
      </c>
      <c r="BS20" s="15" t="n">
        <v>0.06692077081847414</v>
      </c>
      <c r="BT20" s="19" t="n">
        <v>0.9995370233948241</v>
      </c>
      <c r="BU20" s="19" t="n">
        <v>0.0004629766051759524</v>
      </c>
      <c r="BV20" s="19" t="n">
        <v>0</v>
      </c>
      <c r="BW20" t="inlineStr">
        <is>
          <t>F5</t>
        </is>
      </c>
      <c r="BX20" t="n">
        <v>77</v>
      </c>
      <c r="BY20" t="inlineStr">
        <is>
          <t>F</t>
        </is>
      </c>
      <c r="BZ20" t="n">
        <v>5</v>
      </c>
      <c r="CA20" t="inlineStr">
        <is>
          <t>Very high</t>
        </is>
      </c>
      <c r="CB20" t="inlineStr">
        <is>
          <t>mf</t>
        </is>
      </c>
      <c r="CC20" s="15" t="n">
        <v>698.4564628660079</v>
      </c>
      <c r="CD20" s="15" t="n">
        <v>699.1446682452327</v>
      </c>
      <c r="CE20" t="inlineStr">
        <is>
          <t>prior_constrained_harmonic_fit</t>
        </is>
      </c>
      <c r="CF20" t="n">
        <v>699.1446682452327</v>
      </c>
      <c r="CG20" s="15" t="n">
        <v>1</v>
      </c>
      <c r="CH20" t="inlineStr">
        <is>
          <t>free_fit_acoustically_verified</t>
        </is>
      </c>
      <c r="CI20" s="15" t="inlineStr">
        <is>
          <t>free_f0_fit</t>
        </is>
      </c>
      <c r="CJ20" s="15" t="n">
        <v>698.4564628660079</v>
      </c>
      <c r="CK20" s="15" t="n">
        <v>699.1446682452327</v>
      </c>
      <c r="CL20" s="15" t="n">
        <v>1.704985285203022</v>
      </c>
      <c r="CM20" s="15" t="n">
        <v>20000</v>
      </c>
      <c r="CN20" s="15" t="n">
        <v>1.704985285203022</v>
      </c>
      <c r="CO20" s="15" t="n">
        <v>2.268141530888951</v>
      </c>
      <c r="CP20" s="15" t="n">
        <v>41929.5291306919</v>
      </c>
      <c r="CQ20" t="n">
        <v>1.204632186284099</v>
      </c>
      <c r="CR20" t="n">
        <v>0.04302257808157497</v>
      </c>
      <c r="CS20" t="n">
        <v>93.59221609847134</v>
      </c>
      <c r="CT20" t="n">
        <v>93.63554700785348</v>
      </c>
      <c r="CU20" t="n">
        <v>112.7441958978754</v>
      </c>
      <c r="CV20" t="n">
        <v>10.05645548662884</v>
      </c>
      <c r="CW20" s="15" t="n">
        <v>41948.72505951836</v>
      </c>
      <c r="CX20" s="15" t="n">
        <v>486.7405621283023</v>
      </c>
      <c r="CY20" s="15" t="n">
        <v>10.05645548662884</v>
      </c>
      <c r="CZ20" s="15" t="n">
        <v>2.482095719639961</v>
      </c>
      <c r="DA20" s="15" t="n">
        <v>2.482383197612368</v>
      </c>
      <c r="DB20" s="15" t="n">
        <v>1.861449074389556</v>
      </c>
      <c r="DC20" s="15" t="n">
        <v>0</v>
      </c>
      <c r="DD20" s="15" t="n">
        <v>5.919684220405654e-05</v>
      </c>
      <c r="DE20" s="15" t="n">
        <v>0</v>
      </c>
      <c r="DF20" s="15" t="n">
        <v>14</v>
      </c>
      <c r="DG20" s="15" t="inlineStr">
        <is>
          <t>Density_Metrics</t>
        </is>
      </c>
      <c r="DH20" s="15" t="n">
        <v>2.268141530888951</v>
      </c>
      <c r="DI20" t="n">
        <v>0.9259582326973224</v>
      </c>
      <c r="DJ20" s="15" t="n">
        <v>0.5418407053051698</v>
      </c>
      <c r="DK20" s="15" t="n">
        <v>5.223247058745012</v>
      </c>
      <c r="DL20" s="15" t="n">
        <v>1.233304061650036</v>
      </c>
      <c r="DM20" s="15" t="n">
        <v>1.037119507994552</v>
      </c>
      <c r="DN20" s="15" t="n">
        <v>7.972969343024185</v>
      </c>
      <c r="DO20" s="15" t="n">
        <v>1.388481965597557</v>
      </c>
      <c r="DP20" s="15" t="n">
        <v>15.9375</v>
      </c>
      <c r="DQ20" s="15" t="n">
        <v>33</v>
      </c>
      <c r="DR20" s="15" t="b">
        <v>0</v>
      </c>
      <c r="DS20" s="15" t="n">
        <v>1.204632186284099</v>
      </c>
      <c r="DT20" s="15" t="n">
        <v>6.302685634497069</v>
      </c>
      <c r="DU20" t="n">
        <v>28</v>
      </c>
      <c r="DV20" s="15" t="n">
        <v>0.06692077081847414</v>
      </c>
      <c r="DW20" s="15" t="n">
        <v>1.19203146684028</v>
      </c>
      <c r="DX20" s="15" t="n">
        <v>2.259467912529799</v>
      </c>
      <c r="DY20" s="15" t="n">
        <v>0.1632450988960474</v>
      </c>
      <c r="DZ20" s="15" t="b">
        <v>1</v>
      </c>
      <c r="EA20" s="15" t="n">
        <v>0.1948488844271007</v>
      </c>
      <c r="EB20" s="15" t="n">
        <v>20000</v>
      </c>
      <c r="EC20" s="15" t="n">
        <v>10487.17002367849</v>
      </c>
      <c r="ED20" s="15" t="n">
        <v>15</v>
      </c>
      <c r="EE20" s="15" t="n">
        <v>0</v>
      </c>
      <c r="EF20" s="15" t="n">
        <v>0.03082969987369268</v>
      </c>
      <c r="EG20" s="15" t="b">
        <v>0</v>
      </c>
      <c r="EH20" s="15" t="b">
        <v>1</v>
      </c>
      <c r="EI20" s="15" t="b">
        <v>0</v>
      </c>
      <c r="EJ20" s="15" t="inlineStr">
        <is>
          <t>wf=log|dst=-90.0|ceil=20000.0|fft=adaptive_tier</t>
        </is>
      </c>
      <c r="EK20" s="15" t="inlineStr">
        <is>
          <t>wf=log|dst=runtime_configured|ceil=runtime_configured|fft=fixed</t>
        </is>
      </c>
      <c r="EL20" s="15" t="n">
        <v>0.6908975595844147</v>
      </c>
      <c r="EM20" s="15" t="n">
        <v>0.9928713503921164</v>
      </c>
      <c r="EN20" s="15" t="n">
        <v>0.4827586206896552</v>
      </c>
      <c r="EO20" s="15" t="n">
        <v>0.3756996733329152</v>
      </c>
      <c r="EP20" s="15" t="inlineStr">
        <is>
          <t>warn:power_outlier_detected</t>
        </is>
      </c>
      <c r="EQ20" s="15" t="n">
        <v>448.8814244146234</v>
      </c>
      <c r="ER20" s="15" t="inlineStr">
        <is>
          <t>winsorize_p95_for_robust_diagnostics</t>
        </is>
      </c>
      <c r="ES20" s="15" t="n">
        <v>0.1412032587913042</v>
      </c>
      <c r="ET20" s="15" t="n">
        <v>0.0215703126986924</v>
      </c>
      <c r="EU20" s="15" t="n">
        <v>0.02499241292136059</v>
      </c>
      <c r="EV20" t="inlineStr">
        <is>
          <t>computed</t>
        </is>
      </c>
      <c r="EW20" s="15" t="inlineStr">
        <is>
          <t>computed</t>
        </is>
      </c>
      <c r="EX20" s="15" t="inlineStr">
        <is>
          <t>computed</t>
        </is>
      </c>
      <c r="EY20" s="15" t="inlineStr">
        <is>
          <t>available_from_curve</t>
        </is>
      </c>
      <c r="EZ20" s="15" t="n">
        <v>20000</v>
      </c>
      <c r="FA20" s="15" t="n">
        <v>20000</v>
      </c>
      <c r="FB20" s="15" t="n">
        <v>0.2293247559264064</v>
      </c>
      <c r="FC20" s="15" t="n">
        <v>0.1542256640190726</v>
      </c>
      <c r="FD20" s="15" t="n">
        <v>2.482383197612368</v>
      </c>
      <c r="FE20" s="15" t="n">
        <v>1.861449074389556</v>
      </c>
      <c r="FF20" s="15" t="n">
        <v>0.8794147867430884</v>
      </c>
      <c r="FG20" s="15" t="n">
        <v>1.837090991170709</v>
      </c>
      <c r="FH20" s="15" t="n">
        <v>0.3837405104563218</v>
      </c>
      <c r="FI20" s="15" t="n">
        <v>0.04731002926192057</v>
      </c>
      <c r="FJ20" s="15" t="n">
        <v>2621.795316219897</v>
      </c>
      <c r="FK20" s="15" t="n">
        <v>30.42128513301889</v>
      </c>
      <c r="FL20" s="15" t="n">
        <v>0.6285284679143025</v>
      </c>
      <c r="FM20" s="15" t="n">
        <v>0.004878092359557682</v>
      </c>
      <c r="FN20" t="n">
        <v>0.9995370233948241</v>
      </c>
      <c r="FO20" t="n">
        <v>0.0004629766051759524</v>
      </c>
      <c r="FP20" t="n">
        <v>0</v>
      </c>
      <c r="FQ20" t="inlineStr">
        <is>
          <t>excellent</t>
        </is>
      </c>
      <c r="FR20" s="19" t="n">
        <v>0.8571428571428571</v>
      </c>
      <c r="FS20" s="15" t="n">
        <v>0.65695262902246</v>
      </c>
      <c r="FT20" s="15" t="n">
        <v>1.693976518044769</v>
      </c>
      <c r="FU20" t="inlineStr">
        <is>
          <t>passed</t>
        </is>
      </c>
      <c r="FV20" t="n">
        <v>75.66423261460267</v>
      </c>
      <c r="FW20" t="n">
        <v>17.92142906362638</v>
      </c>
      <c r="FX20" t="n">
        <v>1.643890194043237</v>
      </c>
      <c r="FY20" t="n">
        <v>0.5399327836269854</v>
      </c>
      <c r="FZ20" t="n">
        <v>0.1010634196341512</v>
      </c>
      <c r="GA20" t="n">
        <v>0.5793037692443418</v>
      </c>
      <c r="GB20" t="n">
        <v>0.07292992687634468</v>
      </c>
      <c r="GC20" t="n">
        <v>0.06895511100924745</v>
      </c>
      <c r="GD20" t="n">
        <v>0.1300241976954229</v>
      </c>
      <c r="GE20" t="n">
        <v>0.8524064343992462</v>
      </c>
      <c r="GF20" t="n">
        <v>0.1665318086177676</v>
      </c>
      <c r="GG20" t="n">
        <v>0.2367756063799091</v>
      </c>
      <c r="GH20" t="n">
        <v>0.267638190345693</v>
      </c>
      <c r="GI20" t="n">
        <v>0.4285714285714285</v>
      </c>
      <c r="GJ20" t="n">
        <v>0.6428571428571427</v>
      </c>
      <c r="GK20" t="n">
        <v>0.2083333333333333</v>
      </c>
      <c r="GL20" t="n">
        <v>0.7500942806260781</v>
      </c>
      <c r="GM20" t="n">
        <v>0.7500942806260781</v>
      </c>
      <c r="GN20" t="n">
        <v>0.2233897356297578</v>
      </c>
      <c r="GO20" t="n">
        <v>0.1581356634180793</v>
      </c>
      <c r="GP20" t="n">
        <v>112.7441958978754</v>
      </c>
      <c r="GQ20" t="inlineStr">
        <is>
          <t>compiled workbook density_weighted_sum = density_component_ratio_weighted_sum (per-note component ratios); research density_weighted_sum maps body-ceiling richness</t>
        </is>
      </c>
      <c r="GR20" s="15" t="inlineStr">
        <is>
          <t>individual_exact</t>
        </is>
      </c>
      <c r="GS20" s="15" t="inlineStr">
        <is>
          <t>density_weight</t>
        </is>
      </c>
      <c r="GT20" s="15" t="n">
        <v>0.8315593470313011</v>
      </c>
      <c r="GU20" s="15" t="n">
        <v>0.1684406529686988</v>
      </c>
      <c r="GV20" s="15" t="n">
        <v>0</v>
      </c>
      <c r="GW20" s="15" t="inlineStr">
        <is>
          <t>log</t>
        </is>
      </c>
      <c r="GX20" s="15" t="n">
        <v>0.5</v>
      </c>
      <c r="GY20" s="15" t="inlineStr">
        <is>
          <t>EWSD-R v18.1</t>
        </is>
      </c>
      <c r="GZ20" s="15" t="n">
        <v>2.066470346130891</v>
      </c>
      <c r="HA20" s="15" t="n">
        <v>11.5903628921087</v>
      </c>
      <c r="HB20" s="15" t="n">
        <v>0.4669459400957968</v>
      </c>
      <c r="HC20" s="15" t="n">
        <v>3.862909863270367</v>
      </c>
      <c r="HD20" s="15" t="n">
        <v>15.65224770862113</v>
      </c>
      <c r="HE20" s="15" t="n">
        <v>0.3887928617477168</v>
      </c>
      <c r="HF20" s="15" t="inlineStr">
        <is>
          <t>partials+ratios</t>
        </is>
      </c>
      <c r="HG20" s="15" t="inlineStr">
        <is>
          <t>merged_individual_exact</t>
        </is>
      </c>
      <c r="HH20" s="15" t="inlineStr">
        <is>
          <t>passed</t>
        </is>
      </c>
      <c r="HI20" s="15" t="inlineStr">
        <is>
          <t>passed</t>
        </is>
      </c>
    </row>
    <row r="21">
      <c r="A21" t="inlineStr">
        <is>
          <t>incomplete_inference</t>
        </is>
      </c>
      <c r="B21" t="inlineStr">
        <is>
          <t>missing_instrument_technique</t>
        </is>
      </c>
      <c r="C21" t="inlineStr">
        <is>
          <t>prior_constrained_harmonic_fit</t>
        </is>
      </c>
      <c r="D21" t="inlineStr">
        <is>
          <t>IOWA_flt_mf.F#5_SustainStable/F#5/component_amplitude_mass_pie.png</t>
        </is>
      </c>
      <c r="E21" t="inlineStr">
        <is>
          <t>IOWA_flt_mf.F#5_SustainStable/F#5/component_energy_ratio_pie.png</t>
        </is>
      </c>
      <c r="F21" s="15" t="n">
        <v>741.0656240635196</v>
      </c>
      <c r="G21" s="15" t="inlineStr">
        <is>
          <t>prior_constrained_harmonic_fit</t>
        </is>
      </c>
      <c r="H21" s="15" t="inlineStr">
        <is>
          <t>fit_accepted_acoustically_verified</t>
        </is>
      </c>
      <c r="I21" s="16" t="n">
        <v>123.7033463735193</v>
      </c>
      <c r="J21" t="inlineStr">
        <is>
          <t>richness_weighted_body_density_body_ceiling</t>
        </is>
      </c>
      <c r="K21" t="inlineStr">
        <is>
          <t>research_body_ceiling_richness_metric</t>
        </is>
      </c>
      <c r="L21" s="15" t="n">
        <v>39611.51171298375</v>
      </c>
      <c r="M21" s="15" t="n">
        <v>39627.38855938287</v>
      </c>
      <c r="N21" s="15" t="n">
        <v>435.761211227716</v>
      </c>
      <c r="O21" s="15" t="n">
        <v>10.8809581790274</v>
      </c>
      <c r="P21" s="15" t="n">
        <v>-5.390032522015494</v>
      </c>
      <c r="Q21" s="15" t="n">
        <v>11</v>
      </c>
      <c r="R21" s="15" t="n">
        <v>24</v>
      </c>
      <c r="S21" s="15" t="n">
        <v>2476.726090381918</v>
      </c>
      <c r="T21" s="15" t="n">
        <v>27</v>
      </c>
      <c r="U21" s="15" t="n">
        <v>-0.3750840850696713</v>
      </c>
      <c r="V21" s="15" t="n">
        <v>14.00810851943164</v>
      </c>
      <c r="W21" s="15" t="n">
        <v>0.8358672232924295</v>
      </c>
      <c r="X21" s="15" t="n">
        <v>0.2660263949581995</v>
      </c>
      <c r="Y21" s="15" t="n">
        <v>15</v>
      </c>
      <c r="Z21" s="15" t="n">
        <v>26</v>
      </c>
      <c r="AA21" s="15" t="n">
        <v>0.5769230769230769</v>
      </c>
      <c r="AB21" s="15" t="n">
        <v>26</v>
      </c>
      <c r="AC21" s="15" t="n">
        <v>15</v>
      </c>
      <c r="AD21" s="15" t="n">
        <v>0.5769230769230769</v>
      </c>
      <c r="AE21" s="15" t="n">
        <v>207.8322678846006</v>
      </c>
      <c r="AF21" s="15" t="n">
        <v>15</v>
      </c>
      <c r="AG21" s="15" t="n">
        <v>26</v>
      </c>
      <c r="AH21" s="15" t="n">
        <v>0.5769230769230769</v>
      </c>
      <c r="AI21" s="15" t="n">
        <v>207.8322678846006</v>
      </c>
      <c r="AJ21" s="15" t="n">
        <v>8</v>
      </c>
      <c r="AK21" s="15" t="n">
        <v>7</v>
      </c>
      <c r="AL21" s="15" t="n">
        <v>8.292974742865105</v>
      </c>
      <c r="AM21" s="15" t="n">
        <v>28</v>
      </c>
      <c r="AN21" s="15" t="n">
        <v>0</v>
      </c>
      <c r="AO21" s="15" t="n">
        <v>28</v>
      </c>
      <c r="AP21" s="15" t="n">
        <v>0</v>
      </c>
      <c r="AQ21" s="15" t="n">
        <v>17.28041914811443</v>
      </c>
      <c r="AR21" s="15" t="n">
        <v>9.304790031181151</v>
      </c>
      <c r="AS21" s="15" t="n">
        <v>0.1634074357570871</v>
      </c>
      <c r="AT21" s="17" t="n">
        <v>2.474542370862698</v>
      </c>
      <c r="AU21" s="18" t="n">
        <v>5.804398519674388</v>
      </c>
      <c r="AV21" s="15" t="n">
        <v>8.069084678983797</v>
      </c>
      <c r="AW21" s="15" t="b">
        <v>1</v>
      </c>
      <c r="AX21" s="15" t="n">
        <v>8.290900525528873</v>
      </c>
      <c r="AY21" s="15" t="n">
        <v>14.07078690491576</v>
      </c>
      <c r="AZ21" s="15" t="n">
        <v>0</v>
      </c>
      <c r="BA21" s="15" t="n">
        <v>1</v>
      </c>
      <c r="BB21" s="15" t="n">
        <v>0.5</v>
      </c>
      <c r="BC21" s="15" t="n">
        <v>0.25</v>
      </c>
      <c r="BD21" s="15" t="inlineStr">
        <is>
          <t>his_note_adaptive</t>
        </is>
      </c>
      <c r="BE21" s="15" t="n">
        <v>-90</v>
      </c>
      <c r="BF21" s="15" t="n">
        <v>20000</v>
      </c>
      <c r="BG21" s="15" t="n">
        <v>15</v>
      </c>
      <c r="BH21" s="15" t="n">
        <v>0.5769230769230769</v>
      </c>
      <c r="BI21" s="15" t="n">
        <v>26</v>
      </c>
      <c r="BJ21" s="15" t="n">
        <v>15</v>
      </c>
      <c r="BK21" s="15" t="n">
        <v>26</v>
      </c>
      <c r="BL21" s="15" t="n">
        <v>23</v>
      </c>
      <c r="BM21" s="15" t="n">
        <v>0.8846153846153846</v>
      </c>
      <c r="BN21" s="15" t="n">
        <v>0.1672414774892993</v>
      </c>
      <c r="BO21" s="15" t="n">
        <v>0.2333333333333333</v>
      </c>
      <c r="BP21" s="19" t="n">
        <v>0.7673573409356341</v>
      </c>
      <c r="BQ21" s="19" t="n">
        <v>0.2326426590643657</v>
      </c>
      <c r="BR21" s="19" t="n">
        <v>0</v>
      </c>
      <c r="BS21" s="15" t="n">
        <v>0.07071190124873553</v>
      </c>
      <c r="BT21" s="19" t="n">
        <v>0.9995948918819298</v>
      </c>
      <c r="BU21" s="19" t="n">
        <v>0.0004051081180701112</v>
      </c>
      <c r="BV21" s="19" t="n">
        <v>0</v>
      </c>
      <c r="BW21" t="inlineStr">
        <is>
          <t>F#5</t>
        </is>
      </c>
      <c r="BX21" t="n">
        <v>78</v>
      </c>
      <c r="BY21" t="inlineStr">
        <is>
          <t>F#</t>
        </is>
      </c>
      <c r="BZ21" t="n">
        <v>5</v>
      </c>
      <c r="CA21" t="inlineStr">
        <is>
          <t>Very high</t>
        </is>
      </c>
      <c r="CB21" t="inlineStr">
        <is>
          <t>mf</t>
        </is>
      </c>
      <c r="CC21" s="15" t="n">
        <v>739.9888454232688</v>
      </c>
      <c r="CD21" s="15" t="n">
        <v>741.0656240635196</v>
      </c>
      <c r="CE21" t="inlineStr">
        <is>
          <t>prior_constrained_harmonic_fit</t>
        </is>
      </c>
      <c r="CF21" t="n">
        <v>741.0656240635196</v>
      </c>
      <c r="CG21" s="15" t="n">
        <v>1</v>
      </c>
      <c r="CH21" t="inlineStr">
        <is>
          <t>free_fit_acoustically_verified</t>
        </is>
      </c>
      <c r="CI21" s="15" t="inlineStr">
        <is>
          <t>free_f0_fit</t>
        </is>
      </c>
      <c r="CJ21" s="15" t="n">
        <v>739.9888454232688</v>
      </c>
      <c r="CK21" s="15" t="n">
        <v>741.0656240635196</v>
      </c>
      <c r="CL21" s="15" t="n">
        <v>2.517336414248105</v>
      </c>
      <c r="CM21" s="15" t="n">
        <v>20000</v>
      </c>
      <c r="CN21" s="15" t="n">
        <v>2.517336414248105</v>
      </c>
      <c r="CO21" s="15" t="n">
        <v>2.251181532453796</v>
      </c>
      <c r="CP21" s="15" t="n">
        <v>39611.51171298375</v>
      </c>
      <c r="CQ21" t="n">
        <v>1.2991378204488</v>
      </c>
      <c r="CR21" t="n">
        <v>0.04996683924803079</v>
      </c>
      <c r="CS21" t="n">
        <v>95.21957133907833</v>
      </c>
      <c r="CT21" t="n">
        <v>95.2581455754396</v>
      </c>
      <c r="CU21" t="n">
        <v>123.7033463735193</v>
      </c>
      <c r="CV21" t="n">
        <v>10.8809581790274</v>
      </c>
      <c r="CW21" s="15" t="n">
        <v>39627.38855938287</v>
      </c>
      <c r="CX21" s="15" t="n">
        <v>435.761211227716</v>
      </c>
      <c r="CY21" s="15" t="n">
        <v>10.8809581790274</v>
      </c>
      <c r="CZ21" s="15" t="n">
        <v>2.474542370862698</v>
      </c>
      <c r="DA21" s="15" t="n">
        <v>2.47481368104153</v>
      </c>
      <c r="DB21" s="15" t="n">
        <v>1.805090792928048</v>
      </c>
      <c r="DC21" s="15" t="n">
        <v>0</v>
      </c>
      <c r="DD21" s="15" t="n">
        <v>6.247028360827744e-05</v>
      </c>
      <c r="DE21" s="15" t="n">
        <v>0</v>
      </c>
      <c r="DF21" s="15" t="n">
        <v>11</v>
      </c>
      <c r="DG21" s="15" t="inlineStr">
        <is>
          <t>Density_Metrics</t>
        </is>
      </c>
      <c r="DH21" s="15" t="n">
        <v>2.251181532453796</v>
      </c>
      <c r="DI21" t="n">
        <v>0.9190343922033779</v>
      </c>
      <c r="DJ21" s="15" t="n">
        <v>0.5408976121212873</v>
      </c>
      <c r="DK21" s="15" t="n">
        <v>5.164155507230006</v>
      </c>
      <c r="DL21" s="15" t="n">
        <v>1.328553768817619</v>
      </c>
      <c r="DM21" s="15" t="n">
        <v>1.033304543518416</v>
      </c>
      <c r="DN21" s="15" t="n">
        <v>8.653567203687311</v>
      </c>
      <c r="DO21" s="15" t="n">
        <v>1.298800309363141</v>
      </c>
      <c r="DP21" s="15" t="n">
        <v>14.25</v>
      </c>
      <c r="DQ21" s="15" t="n">
        <v>27</v>
      </c>
      <c r="DR21" s="15" t="b">
        <v>0</v>
      </c>
      <c r="DS21" s="15" t="n">
        <v>1.2991378204488</v>
      </c>
      <c r="DT21" s="15" t="n">
        <v>6.916686268913186</v>
      </c>
      <c r="DU21" t="n">
        <v>26</v>
      </c>
      <c r="DV21" s="15" t="n">
        <v>0.07071190124873553</v>
      </c>
      <c r="DW21" s="15" t="n">
        <v>1.144733993709405</v>
      </c>
      <c r="DX21" s="15" t="n">
        <v>2.243565171009356</v>
      </c>
      <c r="DY21" s="15" t="n">
        <v>0.158476377430478</v>
      </c>
      <c r="DZ21" s="15" t="b">
        <v>1</v>
      </c>
      <c r="EA21" s="15" t="n">
        <v>0.1611030529587887</v>
      </c>
      <c r="EB21" s="15" t="n">
        <v>20000</v>
      </c>
      <c r="EC21" s="15" t="n">
        <v>8151.721864698716</v>
      </c>
      <c r="ED21" s="15" t="n">
        <v>11</v>
      </c>
      <c r="EE21" s="15" t="n">
        <v>0</v>
      </c>
      <c r="EF21" s="15" t="n">
        <v>0.02909936177846458</v>
      </c>
      <c r="EG21" s="15" t="b">
        <v>0</v>
      </c>
      <c r="EH21" s="15" t="b">
        <v>1</v>
      </c>
      <c r="EI21" s="15" t="b">
        <v>0</v>
      </c>
      <c r="EJ21" s="15" t="inlineStr">
        <is>
          <t>wf=log|dst=-90.0|ceil=20000.0|fft=adaptive_tier</t>
        </is>
      </c>
      <c r="EK21" s="15" t="inlineStr">
        <is>
          <t>wf=log|dst=runtime_configured|ceil=runtime_configured|fft=fixed</t>
        </is>
      </c>
      <c r="EL21" s="15" t="n">
        <v>0.6617602914202413</v>
      </c>
      <c r="EM21" s="15" t="n">
        <v>0.9962752687282358</v>
      </c>
      <c r="EN21" s="15" t="n">
        <v>0.3928571428571428</v>
      </c>
      <c r="EO21" s="15" t="n">
        <v>0.379682102462676</v>
      </c>
      <c r="EP21" s="15" t="inlineStr">
        <is>
          <t>warn:power_outlier_detected</t>
        </is>
      </c>
      <c r="EQ21" s="15" t="n">
        <v>420.310850451915</v>
      </c>
      <c r="ER21" s="15" t="inlineStr">
        <is>
          <t>winsorize_p95_for_robust_diagnostics</t>
        </is>
      </c>
      <c r="ES21" s="15" t="n">
        <v>0.1556820643913466</v>
      </c>
      <c r="ET21" s="15" t="n">
        <v>0.0254322104232967</v>
      </c>
      <c r="EU21" s="15" t="n">
        <v>0.02842094722578153</v>
      </c>
      <c r="EV21" t="inlineStr">
        <is>
          <t>computed</t>
        </is>
      </c>
      <c r="EW21" s="15" t="inlineStr">
        <is>
          <t>computed</t>
        </is>
      </c>
      <c r="EX21" s="15" t="inlineStr">
        <is>
          <t>computed</t>
        </is>
      </c>
      <c r="EY21" s="15" t="inlineStr">
        <is>
          <t>available_from_curve</t>
        </is>
      </c>
      <c r="EZ21" s="15" t="n">
        <v>20000</v>
      </c>
      <c r="FA21" s="15" t="n">
        <v>20000</v>
      </c>
      <c r="FB21" s="15" t="n">
        <v>0.2326426590643657</v>
      </c>
      <c r="FC21" s="15" t="n">
        <v>0.1965288739210378</v>
      </c>
      <c r="FD21" s="15" t="n">
        <v>2.47481368104153</v>
      </c>
      <c r="FE21" s="15" t="n">
        <v>1.805090792928048</v>
      </c>
      <c r="FF21" s="15" t="n">
        <v>0.8842510332604274</v>
      </c>
      <c r="FG21" s="15" t="n">
        <v>1.831489160352172</v>
      </c>
      <c r="FH21" s="15" t="n">
        <v>0.3721221664500146</v>
      </c>
      <c r="FI21" s="15" t="n">
        <v>0.04757020565160869</v>
      </c>
      <c r="FJ21" s="15" t="n">
        <v>2476.71178496143</v>
      </c>
      <c r="FK21" s="15" t="n">
        <v>27.23507570173225</v>
      </c>
      <c r="FL21" s="15" t="n">
        <v>0.6800598861892124</v>
      </c>
      <c r="FM21" s="15" t="n">
        <v>0.00458182593665018</v>
      </c>
      <c r="FN21" t="n">
        <v>0.9995948918819298</v>
      </c>
      <c r="FO21" t="n">
        <v>0.0004051081180701112</v>
      </c>
      <c r="FP21" t="n">
        <v>0</v>
      </c>
      <c r="FQ21" t="inlineStr">
        <is>
          <t>excellent</t>
        </is>
      </c>
      <c r="FR21" s="19" t="n">
        <v>0.8846153846153846</v>
      </c>
      <c r="FS21" s="15" t="n">
        <v>2.663250503140914</v>
      </c>
      <c r="FT21" s="15" t="n">
        <v>16.76953702306369</v>
      </c>
      <c r="FU21" t="inlineStr">
        <is>
          <t>passed</t>
        </is>
      </c>
      <c r="FV21" t="n">
        <v>74.35255297312915</v>
      </c>
      <c r="FW21" t="n">
        <v>15.70992336274372</v>
      </c>
      <c r="FX21" t="n">
        <v>1.665098172880134</v>
      </c>
      <c r="FY21" t="n">
        <v>0.4969106876032937</v>
      </c>
      <c r="FZ21" t="n">
        <v>0.1171079574966679</v>
      </c>
      <c r="GA21" t="n">
        <v>0.5452951222892843</v>
      </c>
      <c r="GB21" t="n">
        <v>0.1059948481456088</v>
      </c>
      <c r="GC21" t="n">
        <v>0.102238140579914</v>
      </c>
      <c r="GD21" t="n">
        <v>0.1557385262968363</v>
      </c>
      <c r="GE21" t="n">
        <v>0.8976758768469241</v>
      </c>
      <c r="GF21" t="n">
        <v>0.2986302220618327</v>
      </c>
      <c r="GG21" t="n">
        <v>0.2644180590337096</v>
      </c>
      <c r="GH21" t="n">
        <v>0.3472734455610478</v>
      </c>
      <c r="GI21" t="n">
        <v>0.4358974358974358</v>
      </c>
      <c r="GJ21" t="n">
        <v>0.8076923076923077</v>
      </c>
      <c r="GK21" t="n">
        <v>0.2291666666666666</v>
      </c>
      <c r="GL21" t="n">
        <v>0.7802992550559664</v>
      </c>
      <c r="GM21" t="n">
        <v>0.7802992550559664</v>
      </c>
      <c r="GN21" t="n">
        <v>0.3055860070287946</v>
      </c>
      <c r="GO21" t="n">
        <v>0.142988470975063</v>
      </c>
      <c r="GP21" t="n">
        <v>123.7033463735193</v>
      </c>
      <c r="GQ21" t="inlineStr">
        <is>
          <t>compiled workbook density_weighted_sum = density_component_ratio_weighted_sum (per-note component ratios); research density_weighted_sum maps body-ceiling richness</t>
        </is>
      </c>
      <c r="GR21" s="15" t="inlineStr">
        <is>
          <t>individual_exact</t>
        </is>
      </c>
      <c r="GS21" s="15" t="inlineStr">
        <is>
          <t>density_weight</t>
        </is>
      </c>
      <c r="GT21" s="15" t="n">
        <v>0.8245831424527362</v>
      </c>
      <c r="GU21" s="15" t="n">
        <v>0.1754168575472636</v>
      </c>
      <c r="GV21" s="15" t="n">
        <v>0</v>
      </c>
      <c r="GW21" s="15" t="inlineStr">
        <is>
          <t>log</t>
        </is>
      </c>
      <c r="GX21" s="15" t="n">
        <v>0.5</v>
      </c>
      <c r="GY21" s="15" t="inlineStr">
        <is>
          <t>EWSD-R v18.1</t>
        </is>
      </c>
      <c r="GZ21" s="15" t="n">
        <v>2.308993405503371</v>
      </c>
      <c r="HA21" s="15" t="n">
        <v>12.80062019009638</v>
      </c>
      <c r="HB21" s="15" t="n">
        <v>0.4724597989204481</v>
      </c>
      <c r="HC21" s="15" t="n">
        <v>3.947733162940316</v>
      </c>
      <c r="HD21" s="15" t="n">
        <v>16.261125730564</v>
      </c>
      <c r="HE21" s="15" t="n">
        <v>0.394519456101559</v>
      </c>
      <c r="HF21" s="15" t="inlineStr">
        <is>
          <t>partials+ratios</t>
        </is>
      </c>
      <c r="HG21" s="15" t="inlineStr">
        <is>
          <t>merged_individual_exact</t>
        </is>
      </c>
      <c r="HH21" s="15" t="inlineStr">
        <is>
          <t>passed</t>
        </is>
      </c>
      <c r="HI21" s="15" t="inlineStr">
        <is>
          <t>passed</t>
        </is>
      </c>
    </row>
    <row r="22">
      <c r="A22" t="inlineStr">
        <is>
          <t>incomplete_inference</t>
        </is>
      </c>
      <c r="B22" t="inlineStr">
        <is>
          <t>missing_instrument_technique</t>
        </is>
      </c>
      <c r="C22" t="inlineStr">
        <is>
          <t>prior_constrained_harmonic_fit</t>
        </is>
      </c>
      <c r="D22" t="inlineStr">
        <is>
          <t>IOWA_flt_mf.G5_SustainStable/G5/component_amplitude_mass_pie.png</t>
        </is>
      </c>
      <c r="E22" t="inlineStr">
        <is>
          <t>IOWA_flt_mf.G5_SustainStable/G5/component_energy_ratio_pie.png</t>
        </is>
      </c>
      <c r="F22" s="15" t="n">
        <v>783.2380881716907</v>
      </c>
      <c r="G22" s="15" t="inlineStr">
        <is>
          <t>prior_constrained_harmonic_fit</t>
        </is>
      </c>
      <c r="H22" s="15" t="inlineStr">
        <is>
          <t>fit_accepted_acoustically_verified</t>
        </is>
      </c>
      <c r="I22" s="16" t="n">
        <v>116.4822924659911</v>
      </c>
      <c r="J22" t="inlineStr">
        <is>
          <t>richness_weighted_body_density_body_ceiling</t>
        </is>
      </c>
      <c r="K22" t="inlineStr">
        <is>
          <t>research_body_ceiling_richness_metric</t>
        </is>
      </c>
      <c r="L22" s="15" t="n">
        <v>40543.34869925803</v>
      </c>
      <c r="M22" s="15" t="n">
        <v>40674.27312032608</v>
      </c>
      <c r="N22" s="15" t="n">
        <v>650.2806885759184</v>
      </c>
      <c r="O22" s="15" t="n">
        <v>27.19940989090228</v>
      </c>
      <c r="P22" s="15" t="n">
        <v>-3.724243676583053</v>
      </c>
      <c r="Q22" s="15" t="n">
        <v>14</v>
      </c>
      <c r="R22" s="15" t="n">
        <v>23</v>
      </c>
      <c r="S22" s="15" t="n">
        <v>2542.148251590876</v>
      </c>
      <c r="T22" s="15" t="n">
        <v>26</v>
      </c>
      <c r="U22" s="15" t="n">
        <v>-0.5117557766713768</v>
      </c>
      <c r="V22" s="15" t="n">
        <v>13.11353099697203</v>
      </c>
      <c r="W22" s="15" t="n">
        <v>0.7737534935156463</v>
      </c>
      <c r="X22" s="15" t="n">
        <v>0.238389482685701</v>
      </c>
      <c r="Y22" s="15" t="n">
        <v>16</v>
      </c>
      <c r="Z22" s="15" t="n">
        <v>25</v>
      </c>
      <c r="AA22" s="15" t="n">
        <v>0.64</v>
      </c>
      <c r="AB22" s="15" t="n">
        <v>25</v>
      </c>
      <c r="AC22" s="15" t="n">
        <v>16</v>
      </c>
      <c r="AD22" s="15" t="n">
        <v>0.64</v>
      </c>
      <c r="AE22" s="15" t="n">
        <v>207.6253178617984</v>
      </c>
      <c r="AF22" s="15" t="n">
        <v>16</v>
      </c>
      <c r="AG22" s="15" t="n">
        <v>25</v>
      </c>
      <c r="AH22" s="15" t="n">
        <v>0.64</v>
      </c>
      <c r="AI22" s="15" t="n">
        <v>207.6253178617984</v>
      </c>
      <c r="AJ22" s="15" t="n">
        <v>8</v>
      </c>
      <c r="AK22" s="15" t="n">
        <v>8</v>
      </c>
      <c r="AL22" s="15" t="n">
        <v>20.01399609036638</v>
      </c>
      <c r="AM22" s="15" t="n">
        <v>37</v>
      </c>
      <c r="AN22" s="15" t="n">
        <v>0</v>
      </c>
      <c r="AO22" s="15" t="n">
        <v>37</v>
      </c>
      <c r="AP22" s="15" t="n">
        <v>0</v>
      </c>
      <c r="AQ22" s="15" t="n">
        <v>20.26968214189338</v>
      </c>
      <c r="AR22" s="15" t="n">
        <v>11.00386487797049</v>
      </c>
      <c r="AS22" s="15" t="n">
        <v>0.2468765380877901</v>
      </c>
      <c r="AT22" s="17" t="n">
        <v>2.472989325057316</v>
      </c>
      <c r="AU22" s="18" t="n">
        <v>7.278237085448186</v>
      </c>
      <c r="AV22" s="15" t="n">
        <v>9.699263212397154</v>
      </c>
      <c r="AW22" s="15" t="b">
        <v>1</v>
      </c>
      <c r="AX22" s="15" t="n">
        <v>9.280223744884452</v>
      </c>
      <c r="AY22" s="15" t="n">
        <v>17.75777841801886</v>
      </c>
      <c r="AZ22" s="15" t="n">
        <v>0</v>
      </c>
      <c r="BA22" s="15" t="n">
        <v>1</v>
      </c>
      <c r="BB22" s="15" t="n">
        <v>0.5</v>
      </c>
      <c r="BC22" s="15" t="n">
        <v>0.25</v>
      </c>
      <c r="BD22" s="15" t="inlineStr">
        <is>
          <t>his_note_adaptive</t>
        </is>
      </c>
      <c r="BE22" s="15" t="n">
        <v>-90</v>
      </c>
      <c r="BF22" s="15" t="n">
        <v>20000</v>
      </c>
      <c r="BG22" s="15" t="n">
        <v>16</v>
      </c>
      <c r="BH22" s="15" t="n">
        <v>0.64</v>
      </c>
      <c r="BI22" s="15" t="n">
        <v>25</v>
      </c>
      <c r="BJ22" s="15" t="n">
        <v>16</v>
      </c>
      <c r="BK22" s="15" t="n">
        <v>25</v>
      </c>
      <c r="BL22" s="15" t="n">
        <v>21</v>
      </c>
      <c r="BM22" s="15" t="n">
        <v>0.84</v>
      </c>
      <c r="BN22" s="15" t="n">
        <v>0.1455304080995537</v>
      </c>
      <c r="BO22" s="15" t="n">
        <v>0.3083333333333333</v>
      </c>
      <c r="BP22" s="19" t="n">
        <v>0.7619099299627379</v>
      </c>
      <c r="BQ22" s="19" t="n">
        <v>0.2380900700372621</v>
      </c>
      <c r="BR22" s="19" t="n">
        <v>0</v>
      </c>
      <c r="BS22" s="15" t="n">
        <v>0.09603624185493298</v>
      </c>
      <c r="BT22" s="19" t="n">
        <v>0.996728851543451</v>
      </c>
      <c r="BU22" s="19" t="n">
        <v>0.003271148456548966</v>
      </c>
      <c r="BV22" s="19" t="n">
        <v>0</v>
      </c>
      <c r="BW22" t="inlineStr">
        <is>
          <t>G5</t>
        </is>
      </c>
      <c r="BX22" t="n">
        <v>79</v>
      </c>
      <c r="BY22" t="inlineStr">
        <is>
          <t>G</t>
        </is>
      </c>
      <c r="BZ22" t="n">
        <v>5</v>
      </c>
      <c r="CA22" t="inlineStr">
        <is>
          <t>Very high</t>
        </is>
      </c>
      <c r="CB22" t="inlineStr">
        <is>
          <t>mf</t>
        </is>
      </c>
      <c r="CC22" s="15" t="n">
        <v>783.9908719634984</v>
      </c>
      <c r="CD22" s="15" t="n">
        <v>783.2380881716907</v>
      </c>
      <c r="CE22" t="inlineStr">
        <is>
          <t>prior_constrained_harmonic_fit</t>
        </is>
      </c>
      <c r="CF22" t="n">
        <v>783.2380881716907</v>
      </c>
      <c r="CG22" s="15" t="n">
        <v>1</v>
      </c>
      <c r="CH22" t="inlineStr">
        <is>
          <t>free_fit_acoustically_verified</t>
        </is>
      </c>
      <c r="CI22" s="15" t="inlineStr">
        <is>
          <t>free_f0_fit</t>
        </is>
      </c>
      <c r="CJ22" s="15" t="n">
        <v>783.9908719634984</v>
      </c>
      <c r="CK22" s="15" t="n">
        <v>783.2380881716907</v>
      </c>
      <c r="CL22" s="15" t="n">
        <v>-1.66312015071062</v>
      </c>
      <c r="CM22" s="15" t="n">
        <v>20000</v>
      </c>
      <c r="CN22" s="15" t="n">
        <v>-1.66312015071062</v>
      </c>
      <c r="CO22" s="15" t="n">
        <v>2.295824238821656</v>
      </c>
      <c r="CP22" s="15" t="n">
        <v>40543.34869925803</v>
      </c>
      <c r="CQ22" t="n">
        <v>1.149260206756391</v>
      </c>
      <c r="CR22" t="n">
        <v>0.04597040827025563</v>
      </c>
      <c r="CS22" t="n">
        <v>101.3541509409295</v>
      </c>
      <c r="CT22" t="n">
        <v>101.6856828008152</v>
      </c>
      <c r="CU22" t="n">
        <v>116.4822924659911</v>
      </c>
      <c r="CV22" t="n">
        <v>27.19940989090228</v>
      </c>
      <c r="CW22" s="15" t="n">
        <v>40674.27312032608</v>
      </c>
      <c r="CX22" s="15" t="n">
        <v>650.2806885759184</v>
      </c>
      <c r="CY22" s="15" t="n">
        <v>27.19940989090228</v>
      </c>
      <c r="CZ22" s="15" t="n">
        <v>2.472989325057316</v>
      </c>
      <c r="DA22" s="15" t="n">
        <v>2.474613314895403</v>
      </c>
      <c r="DB22" s="15" t="n">
        <v>1.97815469809502</v>
      </c>
      <c r="DC22" s="15" t="n">
        <v>0</v>
      </c>
      <c r="DD22" s="15" t="n">
        <v>6.099617827331992e-05</v>
      </c>
      <c r="DE22" s="15" t="n">
        <v>0</v>
      </c>
      <c r="DF22" s="15" t="n">
        <v>14</v>
      </c>
      <c r="DG22" s="15" t="inlineStr">
        <is>
          <t>Density_Metrics</t>
        </is>
      </c>
      <c r="DH22" s="15" t="n">
        <v>2.295824238821656</v>
      </c>
      <c r="DI22" t="n">
        <v>0.9372595694810094</v>
      </c>
      <c r="DJ22" s="15" t="n">
        <v>0.5407034484199396</v>
      </c>
      <c r="DK22" s="15" t="n">
        <v>5.506425806100471</v>
      </c>
      <c r="DL22" s="15" t="n">
        <v>1.187835920566318</v>
      </c>
      <c r="DM22" s="15" t="n">
        <v>1.059158305464431</v>
      </c>
      <c r="DN22" s="15" t="n">
        <v>9.095804857027616</v>
      </c>
      <c r="DO22" s="15" t="n">
        <v>2.061825206586168</v>
      </c>
      <c r="DP22" s="15" t="n">
        <v>10.5</v>
      </c>
      <c r="DQ22" s="15" t="n">
        <v>33</v>
      </c>
      <c r="DR22" s="15" t="b">
        <v>0</v>
      </c>
      <c r="DS22" s="15" t="n">
        <v>1.149260206756391</v>
      </c>
      <c r="DT22" s="15" t="n">
        <v>5.959737067142525</v>
      </c>
      <c r="DU22" t="n">
        <v>25</v>
      </c>
      <c r="DV22" s="15" t="n">
        <v>0.09603624185493298</v>
      </c>
      <c r="DW22" s="15" t="n">
        <v>1.248421638565006</v>
      </c>
      <c r="DX22" s="15" t="n">
        <v>2.243427041100741</v>
      </c>
      <c r="DY22" s="15" t="n">
        <v>0.1589044349299368</v>
      </c>
      <c r="DZ22" s="15" t="b">
        <v>1</v>
      </c>
      <c r="EA22" s="15" t="n">
        <v>0.1884928790022065</v>
      </c>
      <c r="EB22" s="15" t="n">
        <v>20000</v>
      </c>
      <c r="EC22" s="15" t="n">
        <v>10965.33323440367</v>
      </c>
      <c r="ED22" s="15" t="n">
        <v>14</v>
      </c>
      <c r="EE22" s="15" t="n">
        <v>0</v>
      </c>
      <c r="EF22" s="15" t="n">
        <v>0.0274661400981242</v>
      </c>
      <c r="EG22" s="15" t="b">
        <v>0</v>
      </c>
      <c r="EH22" s="15" t="b">
        <v>1</v>
      </c>
      <c r="EI22" s="15" t="b">
        <v>0</v>
      </c>
      <c r="EJ22" s="15" t="inlineStr">
        <is>
          <t>wf=log|dst=-90.0|ceil=20000.0|fft=adaptive_tier</t>
        </is>
      </c>
      <c r="EK22" s="15" t="inlineStr">
        <is>
          <t>wf=log|dst=runtime_configured|ceil=runtime_configured|fft=fixed</t>
        </is>
      </c>
      <c r="EL22" s="15" t="n">
        <v>0.7080503498636103</v>
      </c>
      <c r="EM22" s="15" t="n">
        <v>0.9876371281128898</v>
      </c>
      <c r="EN22" s="15" t="n">
        <v>0.5384615384615384</v>
      </c>
      <c r="EO22" s="15" t="n">
        <v>0.3757605187563567</v>
      </c>
      <c r="EP22" s="15" t="inlineStr">
        <is>
          <t>warn:power_outlier_detected</t>
        </is>
      </c>
      <c r="EQ22" s="15" t="n">
        <v>448.4262512616638</v>
      </c>
      <c r="ER22" s="15" t="inlineStr">
        <is>
          <t>winsorize_p95_for_robust_diagnostics</t>
        </is>
      </c>
      <c r="ES22" s="15" t="n">
        <v>0.1309859600521177</v>
      </c>
      <c r="ET22" s="15" t="n">
        <v>0.02888368485587813</v>
      </c>
      <c r="EU22" s="15" t="n">
        <v>0.0370690791974939</v>
      </c>
      <c r="EV22" t="inlineStr">
        <is>
          <t>computed</t>
        </is>
      </c>
      <c r="EW22" s="15" t="inlineStr">
        <is>
          <t>computed</t>
        </is>
      </c>
      <c r="EX22" s="15" t="inlineStr">
        <is>
          <t>computed</t>
        </is>
      </c>
      <c r="EY22" s="15" t="inlineStr">
        <is>
          <t>available_from_curve</t>
        </is>
      </c>
      <c r="EZ22" s="15" t="n">
        <v>20000</v>
      </c>
      <c r="FA22" s="15" t="n">
        <v>20000</v>
      </c>
      <c r="FB22" s="15" t="n">
        <v>0.2380900700372621</v>
      </c>
      <c r="FC22" s="15" t="n">
        <v>0.1350823810187109</v>
      </c>
      <c r="FD22" s="15" t="n">
        <v>2.474613314895403</v>
      </c>
      <c r="FE22" s="15" t="n">
        <v>1.97815469809502</v>
      </c>
      <c r="FF22" s="15" t="n">
        <v>1.053657793110047</v>
      </c>
      <c r="FG22" s="15" t="n">
        <v>1.831340879118904</v>
      </c>
      <c r="FH22" s="15" t="n">
        <v>0.4077995493148224</v>
      </c>
      <c r="FI22" s="15" t="n">
        <v>0.05668381038792983</v>
      </c>
      <c r="FJ22" s="15" t="n">
        <v>2542.14207002038</v>
      </c>
      <c r="FK22" s="15" t="n">
        <v>40.6425430359949</v>
      </c>
      <c r="FL22" s="15" t="n">
        <v>1.699963118181393</v>
      </c>
      <c r="FM22" s="15" t="n">
        <v>0.004748361300959267</v>
      </c>
      <c r="FN22" t="n">
        <v>0.996728851543451</v>
      </c>
      <c r="FO22" t="n">
        <v>0.003271148456548966</v>
      </c>
      <c r="FP22" t="n">
        <v>0</v>
      </c>
      <c r="FQ22" t="inlineStr">
        <is>
          <t>good</t>
        </is>
      </c>
      <c r="FR22" s="19" t="n">
        <v>0.84</v>
      </c>
      <c r="FS22" s="15" t="n">
        <v>1.372085196312066</v>
      </c>
      <c r="FT22" s="15" t="n">
        <v>10.87035758682566</v>
      </c>
      <c r="FU22" t="inlineStr">
        <is>
          <t>passed</t>
        </is>
      </c>
      <c r="FV22" t="n">
        <v>74.31814227021178</v>
      </c>
      <c r="FW22" t="n">
        <v>23.52358661632293</v>
      </c>
      <c r="FX22" t="n">
        <v>2.578771069872065</v>
      </c>
      <c r="FY22" t="n">
        <v>0.6101549669267188</v>
      </c>
      <c r="FZ22" t="n">
        <v>0.1065361095159235</v>
      </c>
      <c r="GA22" t="n">
        <v>0.742280130451265</v>
      </c>
      <c r="GB22" t="n">
        <v>0.05714614601339851</v>
      </c>
      <c r="GC22" t="n">
        <v>0.04945418655859279</v>
      </c>
      <c r="GD22" t="n">
        <v>0.1292818354784844</v>
      </c>
      <c r="GE22" t="n">
        <v>0.8277697004238453</v>
      </c>
      <c r="GF22" t="n">
        <v>0.2094352672604434</v>
      </c>
      <c r="GG22" t="n">
        <v>0.4490666484380224</v>
      </c>
      <c r="GH22" t="n">
        <v>0.2964865040226202</v>
      </c>
      <c r="GI22" t="n">
        <v>0.52</v>
      </c>
      <c r="GJ22" t="n">
        <v>0.5399999999999999</v>
      </c>
      <c r="GK22" t="n">
        <v>0.4166666666666666</v>
      </c>
      <c r="GL22" t="n">
        <v>0.8298904885259791</v>
      </c>
      <c r="GM22" t="n">
        <v>0.8298904885259791</v>
      </c>
      <c r="GN22" t="n">
        <v>0.1861938233428938</v>
      </c>
      <c r="GO22" t="n">
        <v>0.2220882688489444</v>
      </c>
      <c r="GP22" t="n">
        <v>116.4822924659911</v>
      </c>
      <c r="GQ22" t="inlineStr">
        <is>
          <t>compiled workbook density_weighted_sum = density_component_ratio_weighted_sum (per-note component ratios); research density_weighted_sum maps body-ceiling richness</t>
        </is>
      </c>
      <c r="GR22" s="15" t="inlineStr">
        <is>
          <t>individual_exact</t>
        </is>
      </c>
      <c r="GS22" s="15" t="inlineStr">
        <is>
          <t>density_weight</t>
        </is>
      </c>
      <c r="GT22" s="15" t="n">
        <v>0.796681802766982</v>
      </c>
      <c r="GU22" s="15" t="n">
        <v>0.2033181972330181</v>
      </c>
      <c r="GV22" s="15" t="n">
        <v>0</v>
      </c>
      <c r="GW22" s="15" t="inlineStr">
        <is>
          <t>log</t>
        </is>
      </c>
      <c r="GX22" s="15" t="n">
        <v>0.5</v>
      </c>
      <c r="GY22" s="15" t="inlineStr">
        <is>
          <t>EWSD-R v18.1</t>
        </is>
      </c>
      <c r="GZ22" s="15" t="n">
        <v>3.00036017041058</v>
      </c>
      <c r="HA22" s="15" t="n">
        <v>13.13340940900275</v>
      </c>
      <c r="HB22" s="15" t="n">
        <v>0.3469155717939978</v>
      </c>
      <c r="HC22" s="15" t="n">
        <v>5.373984847655485</v>
      </c>
      <c r="HD22" s="15" t="n">
        <v>16.28624585076319</v>
      </c>
      <c r="HE22" s="15" t="n">
        <v>0.3014956490357473</v>
      </c>
      <c r="HF22" s="15" t="inlineStr">
        <is>
          <t>partials+ratios</t>
        </is>
      </c>
      <c r="HG22" s="15" t="inlineStr">
        <is>
          <t>merged_individual_exact</t>
        </is>
      </c>
      <c r="HH22" s="15" t="inlineStr">
        <is>
          <t>passed</t>
        </is>
      </c>
      <c r="HI22" s="15" t="inlineStr">
        <is>
          <t>passed</t>
        </is>
      </c>
    </row>
    <row r="23">
      <c r="A23" t="inlineStr">
        <is>
          <t>incomplete_inference</t>
        </is>
      </c>
      <c r="B23" t="inlineStr">
        <is>
          <t>missing_instrument_technique</t>
        </is>
      </c>
      <c r="C23" t="inlineStr">
        <is>
          <t>prior_constrained_harmonic_fit</t>
        </is>
      </c>
      <c r="D23" t="inlineStr">
        <is>
          <t>IOWA_flt_mf.G#5_SustainStable/G#5/component_amplitude_mass_pie.png</t>
        </is>
      </c>
      <c r="E23" t="inlineStr">
        <is>
          <t>IOWA_flt_mf.G#5_SustainStable/G#5/component_energy_ratio_pie.png</t>
        </is>
      </c>
      <c r="F23" s="15" t="n">
        <v>829.725465876038</v>
      </c>
      <c r="G23" s="15" t="inlineStr">
        <is>
          <t>prior_constrained_harmonic_fit</t>
        </is>
      </c>
      <c r="H23" s="15" t="inlineStr">
        <is>
          <t>fit_accepted_acoustically_verified</t>
        </is>
      </c>
      <c r="I23" s="16" t="n">
        <v>158.2411799735956</v>
      </c>
      <c r="J23" t="inlineStr">
        <is>
          <t>richness_weighted_body_density_body_ceiling</t>
        </is>
      </c>
      <c r="K23" t="inlineStr">
        <is>
          <t>research_body_ceiling_richness_metric</t>
        </is>
      </c>
      <c r="L23" s="15" t="n">
        <v>41702.66099513027</v>
      </c>
      <c r="M23" s="15" t="n">
        <v>41702.66099513027</v>
      </c>
      <c r="N23" s="15" t="n">
        <v>819.4541985953235</v>
      </c>
      <c r="O23" s="15" t="n">
        <v>21.35348288301417</v>
      </c>
      <c r="P23" s="15" t="n">
        <v>-3.538136070537886</v>
      </c>
      <c r="Q23" s="15" t="n">
        <v>14</v>
      </c>
      <c r="R23" s="15" t="n">
        <v>20</v>
      </c>
      <c r="S23" s="15" t="n">
        <v>2606.425877511242</v>
      </c>
      <c r="T23" s="15" t="n">
        <v>25</v>
      </c>
      <c r="U23" s="15" t="n">
        <v>-0.2130689983181651</v>
      </c>
      <c r="V23" s="15" t="n">
        <v>15.28350461248532</v>
      </c>
      <c r="W23" s="15" t="n">
        <v>0.8022251351594181</v>
      </c>
      <c r="X23" s="15" t="n">
        <v>0.3011453977511343</v>
      </c>
      <c r="Y23" s="15" t="n">
        <v>15</v>
      </c>
      <c r="Z23" s="15" t="n">
        <v>24</v>
      </c>
      <c r="AA23" s="15" t="n">
        <v>0.625</v>
      </c>
      <c r="AB23" s="15" t="n">
        <v>24</v>
      </c>
      <c r="AC23" s="15" t="n">
        <v>15</v>
      </c>
      <c r="AD23" s="15" t="n">
        <v>0.625</v>
      </c>
      <c r="AE23" s="15" t="n">
        <v>223.3553400962956</v>
      </c>
      <c r="AF23" s="15" t="n">
        <v>15</v>
      </c>
      <c r="AG23" s="15" t="n">
        <v>24</v>
      </c>
      <c r="AH23" s="15" t="n">
        <v>0.625</v>
      </c>
      <c r="AI23" s="15" t="n">
        <v>223.3553400962956</v>
      </c>
      <c r="AJ23" s="15" t="n">
        <v>8</v>
      </c>
      <c r="AK23" s="15" t="n">
        <v>7</v>
      </c>
      <c r="AL23" s="15" t="n">
        <v>4.749570221489912</v>
      </c>
      <c r="AM23" s="15" t="n">
        <v>40</v>
      </c>
      <c r="AN23" s="15" t="n">
        <v>0</v>
      </c>
      <c r="AO23" s="15" t="n">
        <v>40</v>
      </c>
      <c r="AP23" s="15" t="n">
        <v>0</v>
      </c>
      <c r="AQ23" s="15" t="n">
        <v>20.03008450704841</v>
      </c>
      <c r="AR23" s="15" t="n">
        <v>11.03177660088135</v>
      </c>
      <c r="AS23" s="15" t="n">
        <v>0.2482477351602884</v>
      </c>
      <c r="AT23" s="17" t="n">
        <v>2.507035811371005</v>
      </c>
      <c r="AU23" s="18" t="n">
        <v>7.438267715282581</v>
      </c>
      <c r="AV23" s="15" t="n">
        <v>9.938202796278205</v>
      </c>
      <c r="AW23" s="15" t="b">
        <v>1</v>
      </c>
      <c r="AX23" s="15" t="n">
        <v>9.022866466820163</v>
      </c>
      <c r="AY23" s="15" t="n">
        <v>19.00734153501336</v>
      </c>
      <c r="AZ23" s="15" t="n">
        <v>0</v>
      </c>
      <c r="BA23" s="15" t="n">
        <v>1</v>
      </c>
      <c r="BB23" s="15" t="n">
        <v>0.5</v>
      </c>
      <c r="BC23" s="15" t="n">
        <v>0.25</v>
      </c>
      <c r="BD23" s="15" t="inlineStr">
        <is>
          <t>his_note_adaptive</t>
        </is>
      </c>
      <c r="BE23" s="15" t="n">
        <v>-90</v>
      </c>
      <c r="BF23" s="15" t="n">
        <v>20000</v>
      </c>
      <c r="BG23" s="15" t="n">
        <v>15</v>
      </c>
      <c r="BH23" s="15" t="n">
        <v>0.625</v>
      </c>
      <c r="BI23" s="15" t="n">
        <v>24</v>
      </c>
      <c r="BJ23" s="15" t="n">
        <v>15</v>
      </c>
      <c r="BK23" s="15" t="n">
        <v>24</v>
      </c>
      <c r="BL23" s="15" t="n">
        <v>21</v>
      </c>
      <c r="BM23" s="15" t="n">
        <v>0.875</v>
      </c>
      <c r="BN23" s="15" t="n">
        <v>0.2102680432289544</v>
      </c>
      <c r="BO23" s="15" t="n">
        <v>0.3333333333333333</v>
      </c>
      <c r="BP23" s="19" t="n">
        <v>0.7746834894028398</v>
      </c>
      <c r="BQ23" s="19" t="n">
        <v>0.2253165105971601</v>
      </c>
      <c r="BR23" s="19" t="n">
        <v>0</v>
      </c>
      <c r="BS23" s="15" t="n">
        <v>0.09694992156123183</v>
      </c>
      <c r="BT23" s="19" t="n">
        <v>1</v>
      </c>
      <c r="BU23" s="19" t="n">
        <v>0</v>
      </c>
      <c r="BV23" s="19" t="n">
        <v>0</v>
      </c>
      <c r="BW23" t="inlineStr">
        <is>
          <t>G#5</t>
        </is>
      </c>
      <c r="BX23" t="n">
        <v>80</v>
      </c>
      <c r="BY23" t="inlineStr">
        <is>
          <t>G#</t>
        </is>
      </c>
      <c r="BZ23" t="n">
        <v>5</v>
      </c>
      <c r="CA23" t="inlineStr">
        <is>
          <t>Very high</t>
        </is>
      </c>
      <c r="CB23" t="inlineStr">
        <is>
          <t>mf</t>
        </is>
      </c>
      <c r="CC23" s="15" t="n">
        <v>830.6093951598904</v>
      </c>
      <c r="CD23" s="15" t="n">
        <v>829.725465876038</v>
      </c>
      <c r="CE23" t="inlineStr">
        <is>
          <t>prior_constrained_harmonic_fit</t>
        </is>
      </c>
      <c r="CF23" t="n">
        <v>829.725465876038</v>
      </c>
      <c r="CG23" s="15" t="n">
        <v>1</v>
      </c>
      <c r="CH23" t="inlineStr">
        <is>
          <t>free_fit_acoustically_verified</t>
        </is>
      </c>
      <c r="CI23" s="15" t="inlineStr">
        <is>
          <t>free_f0_fit</t>
        </is>
      </c>
      <c r="CJ23" s="15" t="n">
        <v>830.6093951598904</v>
      </c>
      <c r="CK23" s="15" t="n">
        <v>829.725465876038</v>
      </c>
      <c r="CL23" s="15" t="n">
        <v>-1.843349379285476</v>
      </c>
      <c r="CM23" s="15" t="n">
        <v>20000</v>
      </c>
      <c r="CN23" s="15" t="n">
        <v>-1.843349379285476</v>
      </c>
      <c r="CO23" s="15" t="n">
        <v>2.32762766263649</v>
      </c>
      <c r="CP23" s="15" t="n">
        <v>41702.66099513027</v>
      </c>
      <c r="CQ23" t="n">
        <v>1.457091985495994</v>
      </c>
      <c r="CR23" t="n">
        <v>0.06071216606233309</v>
      </c>
      <c r="CS23" t="n">
        <v>108.6006796748184</v>
      </c>
      <c r="CT23" t="n">
        <v>108.6006796748184</v>
      </c>
      <c r="CU23" t="n">
        <v>158.2411799735956</v>
      </c>
      <c r="CV23" t="n">
        <v>21.35348288301417</v>
      </c>
      <c r="CW23" s="15" t="n">
        <v>41702.66099513027</v>
      </c>
      <c r="CX23" s="15" t="n">
        <v>819.4541985953235</v>
      </c>
      <c r="CY23" s="15" t="n">
        <v>21.35348288301417</v>
      </c>
      <c r="CZ23" s="15" t="n">
        <v>2.507035811371005</v>
      </c>
      <c r="DA23" s="15" t="n">
        <v>2.507035811371005</v>
      </c>
      <c r="DB23" s="15" t="n">
        <v>2.025103201921561</v>
      </c>
      <c r="DC23" s="15" t="n">
        <v>0</v>
      </c>
      <c r="DD23" s="15" t="n">
        <v>6.011692663122284e-05</v>
      </c>
      <c r="DE23" s="15" t="n">
        <v>0</v>
      </c>
      <c r="DF23" s="15" t="n">
        <v>14</v>
      </c>
      <c r="DG23" s="15" t="inlineStr">
        <is>
          <t>Density_Metrics</t>
        </is>
      </c>
      <c r="DH23" s="15" t="n">
        <v>2.32762766263649</v>
      </c>
      <c r="DI23" t="n">
        <v>0.9502431693614655</v>
      </c>
      <c r="DJ23" s="15" t="n">
        <v>0.5449402006124435</v>
      </c>
      <c r="DK23" s="15" t="n">
        <v>5.551047914304172</v>
      </c>
      <c r="DL23" s="15" t="n">
        <v>1.51636878816489</v>
      </c>
      <c r="DM23" s="15" t="n">
        <v>1.066225115892679</v>
      </c>
      <c r="DN23" s="15" t="n">
        <v>14.3800107958262</v>
      </c>
      <c r="DO23" s="15" t="n">
        <v>1.974579066679711</v>
      </c>
      <c r="DP23" s="15" t="n">
        <v>16.8125</v>
      </c>
      <c r="DQ23" s="15" t="n">
        <v>33</v>
      </c>
      <c r="DR23" s="15" t="b">
        <v>0</v>
      </c>
      <c r="DS23" s="15" t="n">
        <v>1.457091985495994</v>
      </c>
      <c r="DT23" s="15" t="n">
        <v>7.227489546027224</v>
      </c>
      <c r="DU23" t="n">
        <v>24</v>
      </c>
      <c r="DV23" s="15" t="n">
        <v>0.09694992156123183</v>
      </c>
      <c r="DW23" s="15" t="n">
        <v>1.304024916587724</v>
      </c>
      <c r="DX23" s="15" t="n">
        <v>2.269463439352891</v>
      </c>
      <c r="DY23" s="15" t="n">
        <v>0.1416893081882458</v>
      </c>
      <c r="DZ23" s="15" t="b">
        <v>1</v>
      </c>
      <c r="EA23" s="15" t="n">
        <v>0.2175238548575647</v>
      </c>
      <c r="EB23" s="15" t="n">
        <v>20000</v>
      </c>
      <c r="EC23" s="15" t="n">
        <v>11616.15652226453</v>
      </c>
      <c r="ED23" s="15" t="n">
        <v>14</v>
      </c>
      <c r="EE23" s="15" t="n">
        <v>0</v>
      </c>
      <c r="EF23" s="15" t="n">
        <v>0.02592458410713607</v>
      </c>
      <c r="EG23" s="15" t="b">
        <v>0</v>
      </c>
      <c r="EH23" s="15" t="b">
        <v>1</v>
      </c>
      <c r="EI23" s="15" t="b">
        <v>0</v>
      </c>
      <c r="EJ23" s="15" t="inlineStr">
        <is>
          <t>wf=log|dst=-90.0|ceil=20000.0|fft=adaptive_tier</t>
        </is>
      </c>
      <c r="EK23" s="15" t="inlineStr">
        <is>
          <t>wf=log|dst=runtime_configured|ceil=runtime_configured|fft=fixed</t>
        </is>
      </c>
      <c r="EL23" s="15" t="n">
        <v>0.7201705825862368</v>
      </c>
      <c r="EM23" s="15" t="n">
        <v>0.9933630274817243</v>
      </c>
      <c r="EN23" s="15" t="n">
        <v>0.5600000000000001</v>
      </c>
      <c r="EO23" s="15" t="n">
        <v>0.3857861010973043</v>
      </c>
      <c r="EP23" s="15" t="inlineStr">
        <is>
          <t>warn:power_outlier_detected</t>
        </is>
      </c>
      <c r="EQ23" s="15" t="n">
        <v>380.9398776805961</v>
      </c>
      <c r="ER23" s="15" t="inlineStr">
        <is>
          <t>winsorize_p95_for_robust_diagnostics</t>
        </is>
      </c>
      <c r="ES23" s="15" t="n">
        <v>0.1571782121641296</v>
      </c>
      <c r="ET23" s="15" t="n">
        <v>0.03930177815840444</v>
      </c>
      <c r="EU23" s="15" t="n">
        <v>0.04905735707079151</v>
      </c>
      <c r="EV23" t="inlineStr">
        <is>
          <t>computed</t>
        </is>
      </c>
      <c r="EW23" s="15" t="inlineStr">
        <is>
          <t>computed</t>
        </is>
      </c>
      <c r="EX23" s="15" t="inlineStr">
        <is>
          <t>computed</t>
        </is>
      </c>
      <c r="EY23" s="15" t="inlineStr">
        <is>
          <t>available_from_curve</t>
        </is>
      </c>
      <c r="EZ23" s="15" t="n">
        <v>20000</v>
      </c>
      <c r="FA23" s="15" t="n">
        <v>20000</v>
      </c>
      <c r="FB23" s="15" t="n">
        <v>0.2253165105971601</v>
      </c>
      <c r="FC23" s="15" t="n">
        <v>0.2221284073724185</v>
      </c>
      <c r="FD23" s="15" t="n">
        <v>2.507035811371005</v>
      </c>
      <c r="FE23" s="15" t="n">
        <v>2.025103201921561</v>
      </c>
      <c r="FF23" s="15" t="n">
        <v>1.018908901011605</v>
      </c>
      <c r="FG23" s="15" t="n">
        <v>1.855335190812555</v>
      </c>
      <c r="FH23" s="15" t="n">
        <v>0.4174780535894911</v>
      </c>
      <c r="FI23" s="15" t="n">
        <v>0.05481441823444438</v>
      </c>
      <c r="FJ23" s="15" t="n">
        <v>2606.416312195642</v>
      </c>
      <c r="FK23" s="15" t="n">
        <v>51.21588741220772</v>
      </c>
      <c r="FL23" s="15" t="n">
        <v>1.334592680188385</v>
      </c>
      <c r="FM23" s="15" t="n">
        <v>0.004849425415130175</v>
      </c>
      <c r="FN23" t="n">
        <v>1</v>
      </c>
      <c r="FO23" t="n">
        <v>0</v>
      </c>
      <c r="FP23" t="n">
        <v>0</v>
      </c>
      <c r="FQ23" t="inlineStr">
        <is>
          <t>excellent</t>
        </is>
      </c>
      <c r="FR23" s="19" t="n">
        <v>0.875</v>
      </c>
      <c r="FS23" s="15" t="n">
        <v>2.825836197014469</v>
      </c>
      <c r="FT23" s="15" t="n">
        <v>15.32585970511093</v>
      </c>
      <c r="FU23" t="inlineStr">
        <is>
          <t>passed</t>
        </is>
      </c>
      <c r="FV23" t="n">
        <v>80.09813859824331</v>
      </c>
      <c r="FW23" t="n">
        <v>26.23763667068194</v>
      </c>
      <c r="FX23" t="n">
        <v>2.361252745939037</v>
      </c>
      <c r="FY23" t="n">
        <v>0.6908300895380405</v>
      </c>
      <c r="FZ23" t="n">
        <v>0.1676724223351862</v>
      </c>
      <c r="GA23" t="n">
        <v>0.7679612555086207</v>
      </c>
      <c r="GB23" t="n">
        <v>0.1711928315575341</v>
      </c>
      <c r="GC23" t="n">
        <v>0.1578664974767488</v>
      </c>
      <c r="GD23" t="n">
        <v>0.1934577392858689</v>
      </c>
      <c r="GE23" t="n">
        <v>0.8598132375122933</v>
      </c>
      <c r="GF23" t="n">
        <v>0.411972763222003</v>
      </c>
      <c r="GG23" t="n">
        <v>0.4557286054681747</v>
      </c>
      <c r="GH23" t="n">
        <v>0.4074779446988148</v>
      </c>
      <c r="GI23" t="n">
        <v>0.5</v>
      </c>
      <c r="GJ23" t="n">
        <v>0.7500000000000002</v>
      </c>
      <c r="GK23" t="n">
        <v>0.4791666666666667</v>
      </c>
      <c r="GL23" t="n">
        <v>0.7136046838402392</v>
      </c>
      <c r="GM23" t="n">
        <v>0.7136046838402392</v>
      </c>
      <c r="GN23" t="n">
        <v>0.3553265870967071</v>
      </c>
      <c r="GO23" t="n">
        <v>0.2157482029107051</v>
      </c>
      <c r="GP23" t="n">
        <v>158.2411799735956</v>
      </c>
      <c r="GQ23" t="inlineStr">
        <is>
          <t>compiled workbook density_weighted_sum = density_component_ratio_weighted_sum (per-note component ratios); research density_weighted_sum maps body-ceiling richness</t>
        </is>
      </c>
      <c r="GR23" s="15" t="inlineStr">
        <is>
          <t>individual_exact</t>
        </is>
      </c>
      <c r="GS23" s="15" t="inlineStr">
        <is>
          <t>density_weight</t>
        </is>
      </c>
      <c r="GT23" s="15" t="n">
        <v>0.7987966197180635</v>
      </c>
      <c r="GU23" s="15" t="n">
        <v>0.2012033802819365</v>
      </c>
      <c r="GV23" s="15" t="n">
        <v>0</v>
      </c>
      <c r="GW23" s="15" t="inlineStr">
        <is>
          <t>log</t>
        </is>
      </c>
      <c r="GX23" s="15" t="n">
        <v>0.5</v>
      </c>
      <c r="GY23" s="15" t="inlineStr">
        <is>
          <t>EWSD-R v18.1</t>
        </is>
      </c>
      <c r="GZ23" s="15" t="n">
        <v>3.044141639105258</v>
      </c>
      <c r="HA23" s="15" t="n">
        <v>13.28632088563606</v>
      </c>
      <c r="HB23" s="15" t="n">
        <v>0.3762602904470893</v>
      </c>
      <c r="HC23" s="15" t="n">
        <v>4.977145430246641</v>
      </c>
      <c r="HD23" s="15" t="n">
        <v>16.90061951244743</v>
      </c>
      <c r="HE23" s="15" t="n">
        <v>0.3164527013695014</v>
      </c>
      <c r="HF23" s="15" t="inlineStr">
        <is>
          <t>partials+ratios</t>
        </is>
      </c>
      <c r="HG23" s="15" t="inlineStr">
        <is>
          <t>merged_individual_exact</t>
        </is>
      </c>
      <c r="HH23" s="15" t="inlineStr">
        <is>
          <t>passed</t>
        </is>
      </c>
      <c r="HI23" s="15" t="inlineStr">
        <is>
          <t>passed</t>
        </is>
      </c>
    </row>
    <row r="24">
      <c r="A24" t="inlineStr">
        <is>
          <t>incomplete_inference</t>
        </is>
      </c>
      <c r="B24" t="inlineStr">
        <is>
          <t>missing_instrument_technique</t>
        </is>
      </c>
      <c r="C24" t="inlineStr">
        <is>
          <t>prior_constrained_harmonic_fit</t>
        </is>
      </c>
      <c r="D24" t="inlineStr">
        <is>
          <t>IOWA_flt_mf.A5_SustainStable/A5/component_amplitude_mass_pie.png</t>
        </is>
      </c>
      <c r="E24" t="inlineStr">
        <is>
          <t>IOWA_flt_mf.A5_SustainStable/A5/component_energy_ratio_pie.png</t>
        </is>
      </c>
      <c r="F24" s="15" t="n">
        <v>880.450466025311</v>
      </c>
      <c r="G24" s="15" t="inlineStr">
        <is>
          <t>prior_constrained_harmonic_fit</t>
        </is>
      </c>
      <c r="H24" s="15" t="inlineStr">
        <is>
          <t>fit_accepted_acoustically_verified</t>
        </is>
      </c>
      <c r="I24" s="16" t="n">
        <v>120.5919155460156</v>
      </c>
      <c r="J24" t="inlineStr">
        <is>
          <t>richness_weighted_body_density_body_ceiling</t>
        </is>
      </c>
      <c r="K24" t="inlineStr">
        <is>
          <t>research_body_ceiling_richness_metric</t>
        </is>
      </c>
      <c r="L24" s="15" t="n">
        <v>41728.47885965302</v>
      </c>
      <c r="M24" s="15" t="n">
        <v>41728.47885965302</v>
      </c>
      <c r="N24" s="15" t="n">
        <v>673.5019124933343</v>
      </c>
      <c r="O24" s="15" t="n">
        <v>7.142678269106633</v>
      </c>
      <c r="P24" s="15" t="n">
        <v>-3.283316586875356</v>
      </c>
      <c r="Q24" s="15" t="n">
        <v>12</v>
      </c>
      <c r="R24" s="15" t="n">
        <v>21</v>
      </c>
      <c r="S24" s="15" t="n">
        <v>2608.03789606083</v>
      </c>
      <c r="T24" s="15" t="n">
        <v>23</v>
      </c>
      <c r="U24" s="15" t="n">
        <v>-0.6776886975156792</v>
      </c>
      <c r="V24" s="15" t="n">
        <v>10.05484664995718</v>
      </c>
      <c r="W24" s="15" t="n">
        <v>0.888864640222389</v>
      </c>
      <c r="X24" s="15" t="n">
        <v>0.1734963043559105</v>
      </c>
      <c r="Y24" s="15" t="n">
        <v>13</v>
      </c>
      <c r="Z24" s="15" t="n">
        <v>22</v>
      </c>
      <c r="AA24" s="15" t="n">
        <v>0.5909090909090909</v>
      </c>
      <c r="AB24" s="15" t="n">
        <v>22</v>
      </c>
      <c r="AC24" s="15" t="n">
        <v>13</v>
      </c>
      <c r="AD24" s="15" t="n">
        <v>0.5909090909090909</v>
      </c>
      <c r="AE24" s="15" t="n">
        <v>167.8245261760459</v>
      </c>
      <c r="AF24" s="15" t="n">
        <v>13</v>
      </c>
      <c r="AG24" s="15" t="n">
        <v>22</v>
      </c>
      <c r="AH24" s="15" t="n">
        <v>0.5909090909090909</v>
      </c>
      <c r="AI24" s="15" t="n">
        <v>167.8245261760459</v>
      </c>
      <c r="AJ24" s="15" t="n">
        <v>6</v>
      </c>
      <c r="AK24" s="15" t="n">
        <v>7</v>
      </c>
      <c r="AL24" s="15" t="n">
        <v>138.7591110470794</v>
      </c>
      <c r="AM24" s="15" t="n">
        <v>29</v>
      </c>
      <c r="AN24" s="15" t="n">
        <v>0</v>
      </c>
      <c r="AO24" s="15" t="n">
        <v>29</v>
      </c>
      <c r="AP24" s="15" t="n">
        <v>0</v>
      </c>
      <c r="AQ24" s="15" t="n">
        <v>15.87896602683437</v>
      </c>
      <c r="AR24" s="15" t="n">
        <v>8.407016204633395</v>
      </c>
      <c r="AS24" s="15" t="n">
        <v>0.1193032130740516</v>
      </c>
      <c r="AT24" s="17" t="n">
        <v>2.383234523251144</v>
      </c>
      <c r="AU24" s="18" t="n">
        <v>4.833069499433067</v>
      </c>
      <c r="AV24" s="15" t="n">
        <v>6.681761687802062</v>
      </c>
      <c r="AW24" s="15" t="b">
        <v>1</v>
      </c>
      <c r="AX24" s="15" t="n">
        <v>7.282952197710664</v>
      </c>
      <c r="AY24" s="15" t="n">
        <v>13.52999503987283</v>
      </c>
      <c r="AZ24" s="15" t="n">
        <v>0</v>
      </c>
      <c r="BA24" s="15" t="n">
        <v>1</v>
      </c>
      <c r="BB24" s="15" t="n">
        <v>0.5</v>
      </c>
      <c r="BC24" s="15" t="n">
        <v>0.25</v>
      </c>
      <c r="BD24" s="15" t="inlineStr">
        <is>
          <t>his_note_adaptive</t>
        </is>
      </c>
      <c r="BE24" s="15" t="n">
        <v>-90</v>
      </c>
      <c r="BF24" s="15" t="n">
        <v>20000</v>
      </c>
      <c r="BG24" s="15" t="n">
        <v>13</v>
      </c>
      <c r="BH24" s="15" t="n">
        <v>0.5909090909090909</v>
      </c>
      <c r="BI24" s="15" t="n">
        <v>22</v>
      </c>
      <c r="BJ24" s="15" t="n">
        <v>13</v>
      </c>
      <c r="BK24" s="15" t="n">
        <v>22</v>
      </c>
      <c r="BL24" s="15" t="n">
        <v>20</v>
      </c>
      <c r="BM24" s="15" t="n">
        <v>0.9090909090909091</v>
      </c>
      <c r="BN24" s="15" t="n">
        <v>0.1383196441649848</v>
      </c>
      <c r="BO24" s="15" t="n">
        <v>0.2416666666666667</v>
      </c>
      <c r="BP24" s="19" t="n">
        <v>0.7613419144186953</v>
      </c>
      <c r="BQ24" s="19" t="n">
        <v>0.2386580855813046</v>
      </c>
      <c r="BR24" s="19" t="n">
        <v>0</v>
      </c>
      <c r="BS24" s="15" t="n">
        <v>0.07575532480635705</v>
      </c>
      <c r="BT24" s="19" t="n">
        <v>1</v>
      </c>
      <c r="BU24" s="19" t="n">
        <v>0</v>
      </c>
      <c r="BV24" s="19" t="n">
        <v>0</v>
      </c>
      <c r="BW24" t="inlineStr">
        <is>
          <t>A5</t>
        </is>
      </c>
      <c r="BX24" t="n">
        <v>81</v>
      </c>
      <c r="BY24" t="inlineStr">
        <is>
          <t>A</t>
        </is>
      </c>
      <c r="BZ24" t="n">
        <v>5</v>
      </c>
      <c r="CA24" t="inlineStr">
        <is>
          <t>Very high</t>
        </is>
      </c>
      <c r="CB24" t="inlineStr">
        <is>
          <t>mf</t>
        </is>
      </c>
      <c r="CC24" s="15" t="n">
        <v>879.9999999999999</v>
      </c>
      <c r="CD24" s="15" t="n">
        <v>880.450466025311</v>
      </c>
      <c r="CE24" t="inlineStr">
        <is>
          <t>prior_constrained_harmonic_fit</t>
        </is>
      </c>
      <c r="CF24" t="n">
        <v>880.450466025311</v>
      </c>
      <c r="CG24" s="15" t="n">
        <v>1</v>
      </c>
      <c r="CH24" t="inlineStr">
        <is>
          <t>free_fit_acoustically_verified</t>
        </is>
      </c>
      <c r="CI24" s="15" t="inlineStr">
        <is>
          <t>free_f0_fit</t>
        </is>
      </c>
      <c r="CJ24" s="15" t="n">
        <v>879.9999999999999</v>
      </c>
      <c r="CK24" s="15" t="n">
        <v>880.450466025311</v>
      </c>
      <c r="CL24" s="15" t="n">
        <v>0.8859802113575704</v>
      </c>
      <c r="CM24" s="15" t="n">
        <v>20000</v>
      </c>
      <c r="CN24" s="15" t="n">
        <v>0.8859802113575704</v>
      </c>
      <c r="CO24" s="15" t="n">
        <v>2.206561532382286</v>
      </c>
      <c r="CP24" s="15" t="n">
        <v>41728.47885965302</v>
      </c>
      <c r="CQ24" t="n">
        <v>1.017251417550246</v>
      </c>
      <c r="CR24" t="n">
        <v>0.04623870079773844</v>
      </c>
      <c r="CS24" t="n">
        <v>118.5468149421961</v>
      </c>
      <c r="CT24" t="n">
        <v>118.5468149421961</v>
      </c>
      <c r="CU24" t="n">
        <v>120.5919155460156</v>
      </c>
      <c r="CV24" t="n">
        <v>7.142678269106633</v>
      </c>
      <c r="CW24" s="15" t="n">
        <v>41728.47885965302</v>
      </c>
      <c r="CX24" s="15" t="n">
        <v>673.5019124933343</v>
      </c>
      <c r="CY24" s="15" t="n">
        <v>7.142678269106633</v>
      </c>
      <c r="CZ24" s="15" t="n">
        <v>2.383234523251144</v>
      </c>
      <c r="DA24" s="15" t="n">
        <v>2.383234523251144</v>
      </c>
      <c r="DB24" s="15" t="n">
        <v>1.936917748619407</v>
      </c>
      <c r="DC24" s="15" t="n">
        <v>0</v>
      </c>
      <c r="DD24" s="15" t="n">
        <v>5.71129019887537e-05</v>
      </c>
      <c r="DE24" s="15" t="n">
        <v>0</v>
      </c>
      <c r="DF24" s="15" t="n">
        <v>12</v>
      </c>
      <c r="DG24" s="15" t="inlineStr">
        <is>
          <t>Density_Metrics</t>
        </is>
      </c>
      <c r="DH24" s="15" t="n">
        <v>2.206561532382286</v>
      </c>
      <c r="DI24" t="n">
        <v>0.9008184846656431</v>
      </c>
      <c r="DJ24" s="15" t="n">
        <v>0.5293321037955511</v>
      </c>
      <c r="DK24" s="15" t="n">
        <v>5.129621560226136</v>
      </c>
      <c r="DL24" s="15" t="n">
        <v>1.050680693530364</v>
      </c>
      <c r="DM24" s="15" t="n">
        <v>1.032213030763558</v>
      </c>
      <c r="DN24" s="15" t="n">
        <v>15.5019454910867</v>
      </c>
      <c r="DO24" s="15" t="n">
        <v>4.360520676077301</v>
      </c>
      <c r="DP24" s="15" t="n">
        <v>12.0625</v>
      </c>
      <c r="DQ24" s="15" t="n">
        <v>28</v>
      </c>
      <c r="DR24" s="15" t="b">
        <v>0</v>
      </c>
      <c r="DS24" s="15" t="n">
        <v>1.017251417550246</v>
      </c>
      <c r="DT24" s="15" t="n">
        <v>3.81691869583003</v>
      </c>
      <c r="DU24" t="n">
        <v>22</v>
      </c>
      <c r="DV24" s="15" t="n">
        <v>0.07575532480635705</v>
      </c>
      <c r="DW24" s="15" t="n">
        <v>1.207715993728923</v>
      </c>
      <c r="DX24" s="15" t="n">
        <v>2.212434250336852</v>
      </c>
      <c r="DY24" s="15" t="n">
        <v>0.1895384895259619</v>
      </c>
      <c r="DZ24" s="15" t="b">
        <v>1</v>
      </c>
      <c r="EA24" s="15" t="n">
        <v>0.3088890708074776</v>
      </c>
      <c r="EB24" s="15" t="n">
        <v>20000</v>
      </c>
      <c r="EC24" s="15" t="n">
        <v>11445.85605832904</v>
      </c>
      <c r="ED24" s="15" t="n">
        <v>13</v>
      </c>
      <c r="EE24" s="15" t="n">
        <v>0</v>
      </c>
      <c r="EF24" s="15" t="n">
        <v>0.02446954900568182</v>
      </c>
      <c r="EG24" s="15" t="b">
        <v>0</v>
      </c>
      <c r="EH24" s="15" t="b">
        <v>1</v>
      </c>
      <c r="EI24" s="15" t="b">
        <v>0</v>
      </c>
      <c r="EJ24" s="15" t="inlineStr">
        <is>
          <t>wf=log|dst=-90.0|ceil=20000.0|fft=adaptive_tier</t>
        </is>
      </c>
      <c r="EK24" s="15" t="inlineStr">
        <is>
          <t>wf=log|dst=runtime_configured|ceil=runtime_configured|fft=fixed</t>
        </is>
      </c>
      <c r="EL24" s="15" t="n">
        <v>0.6993778577976613</v>
      </c>
      <c r="EM24" s="15" t="n">
        <v>0.9831734342280201</v>
      </c>
      <c r="EN24" s="15" t="n">
        <v>0.5217391304347826</v>
      </c>
      <c r="EO24" s="15" t="n">
        <v>0.3717055837143917</v>
      </c>
      <c r="EP24" s="15" t="inlineStr">
        <is>
          <t>warn:power_outlier_detected</t>
        </is>
      </c>
      <c r="EQ24" s="15" t="n">
        <v>480.1186847748681</v>
      </c>
      <c r="ER24" s="15" t="inlineStr">
        <is>
          <t>winsorize_p95_for_robust_diagnostics</t>
        </is>
      </c>
      <c r="ES24" s="15" t="n">
        <v>0.1318900863692479</v>
      </c>
      <c r="ET24" s="15" t="n">
        <v>0.02483081540943717</v>
      </c>
      <c r="EU24" s="15" t="n">
        <v>0.03166373702505158</v>
      </c>
      <c r="EV24" t="inlineStr">
        <is>
          <t>computed</t>
        </is>
      </c>
      <c r="EW24" s="15" t="inlineStr">
        <is>
          <t>computed</t>
        </is>
      </c>
      <c r="EX24" s="15" t="inlineStr">
        <is>
          <t>computed</t>
        </is>
      </c>
      <c r="EY24" s="15" t="inlineStr">
        <is>
          <t>available_from_curve</t>
        </is>
      </c>
      <c r="EZ24" s="15" t="n">
        <v>20000</v>
      </c>
      <c r="FA24" s="15" t="n">
        <v>20000</v>
      </c>
      <c r="FB24" s="15" t="n">
        <v>0.2386580855813046</v>
      </c>
      <c r="FC24" s="15" t="n">
        <v>0.03925569378267441</v>
      </c>
      <c r="FD24" s="15" t="n">
        <v>2.383234523251144</v>
      </c>
      <c r="FE24" s="15" t="n">
        <v>1.936917748619407</v>
      </c>
      <c r="FF24" s="15" t="n">
        <v>0.8094692883555852</v>
      </c>
      <c r="FG24" s="15" t="n">
        <v>1.763715882673876</v>
      </c>
      <c r="FH24" s="15" t="n">
        <v>0.3992984905111466</v>
      </c>
      <c r="FI24" s="15" t="n">
        <v>0.04354715919726344</v>
      </c>
      <c r="FJ24" s="15" t="n">
        <v>2608.029928728314</v>
      </c>
      <c r="FK24" s="15" t="n">
        <v>42.09386953083339</v>
      </c>
      <c r="FL24" s="15" t="n">
        <v>0.4464173918191646</v>
      </c>
      <c r="FM24" s="15" t="n">
        <v>0.004857101677504898</v>
      </c>
      <c r="FN24" t="n">
        <v>1</v>
      </c>
      <c r="FO24" t="n">
        <v>0</v>
      </c>
      <c r="FP24" t="n">
        <v>0</v>
      </c>
      <c r="FQ24" t="inlineStr">
        <is>
          <t>excellent</t>
        </is>
      </c>
      <c r="FR24" s="19" t="n">
        <v>0.9090909090909091</v>
      </c>
      <c r="FS24" s="15" t="n">
        <v>1.91621612201247</v>
      </c>
      <c r="FT24" s="15" t="n">
        <v>16.50839058070493</v>
      </c>
      <c r="FU24" t="inlineStr">
        <is>
          <t>passed</t>
        </is>
      </c>
      <c r="FV24" t="n">
        <v>60.16913897693416</v>
      </c>
      <c r="FW24" t="n">
        <v>21.37010293297166</v>
      </c>
      <c r="FX24" t="n">
        <v>1.362164289547731</v>
      </c>
      <c r="FY24" t="n">
        <v>0.3837240068973236</v>
      </c>
      <c r="FZ24" t="n">
        <v>0.1125527257905761</v>
      </c>
      <c r="GA24" t="n">
        <v>0.5254199830941151</v>
      </c>
      <c r="GB24" t="n">
        <v>0.009534169888024222</v>
      </c>
      <c r="GC24" t="n">
        <v>0.002963281825030476</v>
      </c>
      <c r="GD24" t="n">
        <v>0.03882274831361763</v>
      </c>
      <c r="GE24" t="n">
        <v>0.9573220579921755</v>
      </c>
      <c r="GF24" t="n">
        <v>0</v>
      </c>
      <c r="GG24" t="n">
        <v>0.3011914171307569</v>
      </c>
      <c r="GH24" t="n">
        <v>0.2348261451622124</v>
      </c>
      <c r="GI24" t="n">
        <v>0.4545454545454546</v>
      </c>
      <c r="GJ24" t="n">
        <v>0.9545454545454546</v>
      </c>
      <c r="GK24" t="n">
        <v>0.2500000000000001</v>
      </c>
      <c r="GL24" t="n">
        <v>0.8350614939080514</v>
      </c>
      <c r="GM24" t="n">
        <v>0.8350614939080514</v>
      </c>
      <c r="GN24" t="n">
        <v>0</v>
      </c>
      <c r="GO24" t="n">
        <v>0.1059041933943763</v>
      </c>
      <c r="GP24" t="n">
        <v>120.5919155460156</v>
      </c>
      <c r="GQ24" t="inlineStr">
        <is>
          <t>compiled workbook density_weighted_sum = density_component_ratio_weighted_sum (per-note component ratios); research density_weighted_sum maps body-ceiling richness</t>
        </is>
      </c>
      <c r="GR24" s="15" t="inlineStr">
        <is>
          <t>individual_exact</t>
        </is>
      </c>
      <c r="GS24" s="15" t="inlineStr">
        <is>
          <t>density_weight</t>
        </is>
      </c>
      <c r="GT24" s="15" t="n">
        <v>0.8200646233228518</v>
      </c>
      <c r="GU24" s="15" t="n">
        <v>0.1799353766771483</v>
      </c>
      <c r="GV24" s="15" t="n">
        <v>0</v>
      </c>
      <c r="GW24" s="15" t="inlineStr">
        <is>
          <t>log</t>
        </is>
      </c>
      <c r="GX24" s="15" t="n">
        <v>0.5</v>
      </c>
      <c r="GY24" s="15" t="inlineStr">
        <is>
          <t>EWSD-R v18.1</t>
        </is>
      </c>
      <c r="GZ24" s="15" t="n">
        <v>1.952289522107877</v>
      </c>
      <c r="HA24" s="15" t="n">
        <v>11.11341403815254</v>
      </c>
      <c r="HB24" s="15" t="n">
        <v>0.5854994160649338</v>
      </c>
      <c r="HC24" s="15" t="n">
        <v>3.720078493141956</v>
      </c>
      <c r="HD24" s="15" t="n">
        <v>12.01048850329668</v>
      </c>
      <c r="HE24" s="15" t="n">
        <v>0.3548734300445502</v>
      </c>
      <c r="HF24" s="15" t="inlineStr">
        <is>
          <t>partials+ratios</t>
        </is>
      </c>
      <c r="HG24" s="15" t="inlineStr">
        <is>
          <t>merged_individual_exact</t>
        </is>
      </c>
      <c r="HH24" s="15" t="inlineStr">
        <is>
          <t>passed</t>
        </is>
      </c>
      <c r="HI24" s="15" t="inlineStr">
        <is>
          <t>passed</t>
        </is>
      </c>
    </row>
    <row r="25">
      <c r="A25" t="inlineStr">
        <is>
          <t>incomplete_inference</t>
        </is>
      </c>
      <c r="B25" t="inlineStr">
        <is>
          <t>missing_instrument_technique</t>
        </is>
      </c>
      <c r="C25" t="inlineStr">
        <is>
          <t>prior_constrained_harmonic_fit</t>
        </is>
      </c>
      <c r="D25" t="inlineStr">
        <is>
          <t>IOWA_flt_mf.A#5_SustainStable/A#5/component_amplitude_mass_pie.png</t>
        </is>
      </c>
      <c r="E25" t="inlineStr">
        <is>
          <t>IOWA_flt_mf.A#5_SustainStable/A#5/component_energy_ratio_pie.png</t>
        </is>
      </c>
      <c r="F25" s="15" t="n">
        <v>932.0535057917408</v>
      </c>
      <c r="G25" s="15" t="inlineStr">
        <is>
          <t>prior_constrained_harmonic_fit</t>
        </is>
      </c>
      <c r="H25" s="15" t="inlineStr">
        <is>
          <t>fit_accepted_acoustically_verified</t>
        </is>
      </c>
      <c r="I25" s="16" t="n">
        <v>121.2064386190238</v>
      </c>
      <c r="J25" t="inlineStr">
        <is>
          <t>richness_weighted_body_density_body_ceiling</t>
        </is>
      </c>
      <c r="K25" t="inlineStr">
        <is>
          <t>research_body_ceiling_richness_metric</t>
        </is>
      </c>
      <c r="L25" s="15" t="n">
        <v>39823.42709069691</v>
      </c>
      <c r="M25" s="15" t="n">
        <v>39823.42709069691</v>
      </c>
      <c r="N25" s="15" t="n">
        <v>540.1018155270899</v>
      </c>
      <c r="O25" s="15" t="n">
        <v>2.66616779915101</v>
      </c>
      <c r="P25" s="15" t="n">
        <v>-2.787549361999575</v>
      </c>
      <c r="Q25" s="15" t="n">
        <v>17</v>
      </c>
      <c r="R25" s="15" t="n">
        <v>20</v>
      </c>
      <c r="S25" s="15" t="n">
        <v>2488.965067183413</v>
      </c>
      <c r="T25" s="15" t="n">
        <v>22</v>
      </c>
      <c r="U25" s="15" t="n">
        <v>-0.5678356260615532</v>
      </c>
      <c r="V25" s="15" t="n">
        <v>9.829488176409868</v>
      </c>
      <c r="W25" s="15" t="n">
        <v>0.8913893631397065</v>
      </c>
      <c r="X25" s="15" t="n">
        <v>0.2355479745456515</v>
      </c>
      <c r="Y25" s="15" t="n">
        <v>15</v>
      </c>
      <c r="Z25" s="15" t="n">
        <v>21</v>
      </c>
      <c r="AA25" s="15" t="n">
        <v>0.7142857142857143</v>
      </c>
      <c r="AB25" s="15" t="n">
        <v>21</v>
      </c>
      <c r="AC25" s="15" t="n">
        <v>15</v>
      </c>
      <c r="AD25" s="15" t="n">
        <v>0.7142857142857143</v>
      </c>
      <c r="AE25" s="15" t="n">
        <v>167.7109449189258</v>
      </c>
      <c r="AF25" s="15" t="n">
        <v>15</v>
      </c>
      <c r="AG25" s="15" t="n">
        <v>21</v>
      </c>
      <c r="AH25" s="15" t="n">
        <v>0.7142857142857143</v>
      </c>
      <c r="AI25" s="15" t="n">
        <v>167.7109449189258</v>
      </c>
      <c r="AJ25" s="15" t="n">
        <v>8</v>
      </c>
      <c r="AK25" s="15" t="n">
        <v>7</v>
      </c>
      <c r="AL25" s="15" t="n">
        <v>105.3709913318275</v>
      </c>
      <c r="AM25" s="15" t="n">
        <v>22</v>
      </c>
      <c r="AN25" s="15" t="n">
        <v>0</v>
      </c>
      <c r="AO25" s="15" t="n">
        <v>22</v>
      </c>
      <c r="AP25" s="15" t="n">
        <v>0</v>
      </c>
      <c r="AQ25" s="15" t="n">
        <v>15.97322216702793</v>
      </c>
      <c r="AR25" s="15" t="n">
        <v>8.566250145032765</v>
      </c>
      <c r="AS25" s="15" t="n">
        <v>0.1271257725633123</v>
      </c>
      <c r="AT25" s="17" t="n">
        <v>2.383878421012653</v>
      </c>
      <c r="AU25" s="18" t="n">
        <v>3.81168238167261</v>
      </c>
      <c r="AV25" s="15" t="n">
        <v>5.964472048620103</v>
      </c>
      <c r="AW25" s="15" t="b">
        <v>1</v>
      </c>
      <c r="AX25" s="15" t="n">
        <v>8.25133206529024</v>
      </c>
      <c r="AY25" s="15" t="n">
        <v>10.5164125709364</v>
      </c>
      <c r="AZ25" s="15" t="n">
        <v>0</v>
      </c>
      <c r="BA25" s="15" t="n">
        <v>1</v>
      </c>
      <c r="BB25" s="15" t="n">
        <v>0.5</v>
      </c>
      <c r="BC25" s="15" t="n">
        <v>0.25</v>
      </c>
      <c r="BD25" s="15" t="inlineStr">
        <is>
          <t>his_note_adaptive</t>
        </is>
      </c>
      <c r="BE25" s="15" t="n">
        <v>-90</v>
      </c>
      <c r="BF25" s="15" t="n">
        <v>20000</v>
      </c>
      <c r="BG25" s="15" t="n">
        <v>15</v>
      </c>
      <c r="BH25" s="15" t="n">
        <v>0.7142857142857143</v>
      </c>
      <c r="BI25" s="15" t="n">
        <v>21</v>
      </c>
      <c r="BJ25" s="15" t="n">
        <v>15</v>
      </c>
      <c r="BK25" s="15" t="n">
        <v>21</v>
      </c>
      <c r="BL25" s="15" t="n">
        <v>18</v>
      </c>
      <c r="BM25" s="15" t="n">
        <v>0.8571428571428571</v>
      </c>
      <c r="BN25" s="15" t="n">
        <v>0.1891394472100873</v>
      </c>
      <c r="BO25" s="15" t="n">
        <v>0.1833333333333333</v>
      </c>
      <c r="BP25" s="19" t="n">
        <v>0.7432240382323383</v>
      </c>
      <c r="BQ25" s="19" t="n">
        <v>0.2567759617676617</v>
      </c>
      <c r="BR25" s="19" t="n">
        <v>0</v>
      </c>
      <c r="BS25" s="15" t="n">
        <v>0.06333970723377186</v>
      </c>
      <c r="BT25" s="19" t="n">
        <v>1</v>
      </c>
      <c r="BU25" s="19" t="n">
        <v>0</v>
      </c>
      <c r="BV25" s="19" t="n">
        <v>0</v>
      </c>
      <c r="BW25" t="inlineStr">
        <is>
          <t>A#5</t>
        </is>
      </c>
      <c r="BX25" t="n">
        <v>82</v>
      </c>
      <c r="BY25" t="inlineStr">
        <is>
          <t>A#</t>
        </is>
      </c>
      <c r="BZ25" t="n">
        <v>5</v>
      </c>
      <c r="CA25" t="inlineStr">
        <is>
          <t>Very high</t>
        </is>
      </c>
      <c r="CB25" t="inlineStr">
        <is>
          <t>mf</t>
        </is>
      </c>
      <c r="CC25" s="15" t="n">
        <v>932.3275230361796</v>
      </c>
      <c r="CD25" s="15" t="n">
        <v>932.0535057917408</v>
      </c>
      <c r="CE25" t="inlineStr">
        <is>
          <t>prior_constrained_harmonic_fit</t>
        </is>
      </c>
      <c r="CF25" t="n">
        <v>932.0535057917408</v>
      </c>
      <c r="CG25" s="15" t="n">
        <v>1</v>
      </c>
      <c r="CH25" t="inlineStr">
        <is>
          <t>free_fit_acoustically_verified</t>
        </is>
      </c>
      <c r="CI25" s="15" t="inlineStr">
        <is>
          <t>free_f0_fit</t>
        </is>
      </c>
      <c r="CJ25" s="15" t="n">
        <v>932.3275230361796</v>
      </c>
      <c r="CK25" s="15" t="n">
        <v>932.0535057917408</v>
      </c>
      <c r="CL25" s="15" t="n">
        <v>-0.5088959603048794</v>
      </c>
      <c r="CM25" s="15" t="n">
        <v>20000</v>
      </c>
      <c r="CN25" s="15" t="n">
        <v>-0.5088959603048794</v>
      </c>
      <c r="CO25" s="15" t="n">
        <v>2.18199151201518</v>
      </c>
      <c r="CP25" s="15" t="n">
        <v>39823.42709069691</v>
      </c>
      <c r="CQ25" t="n">
        <v>1.022648384410537</v>
      </c>
      <c r="CR25" t="n">
        <v>0.04869754211478746</v>
      </c>
      <c r="CS25" t="n">
        <v>118.522104436598</v>
      </c>
      <c r="CT25" t="n">
        <v>118.522104436598</v>
      </c>
      <c r="CU25" t="n">
        <v>121.2064386190238</v>
      </c>
      <c r="CV25" t="n">
        <v>2.66616779915101</v>
      </c>
      <c r="CW25" s="15" t="n">
        <v>39823.42709069691</v>
      </c>
      <c r="CX25" s="15" t="n">
        <v>540.1018155270899</v>
      </c>
      <c r="CY25" s="15" t="n">
        <v>2.66616779915101</v>
      </c>
      <c r="CZ25" s="15" t="n">
        <v>2.383878421012653</v>
      </c>
      <c r="DA25" s="15" t="n">
        <v>2.383878421012653</v>
      </c>
      <c r="DB25" s="15" t="n">
        <v>1.863514348627661</v>
      </c>
      <c r="DC25" s="15" t="n">
        <v>0</v>
      </c>
      <c r="DD25" s="15" t="n">
        <v>5.986120721311671e-05</v>
      </c>
      <c r="DE25" s="15" t="n">
        <v>0</v>
      </c>
      <c r="DF25" s="15" t="n">
        <v>17</v>
      </c>
      <c r="DG25" s="15" t="inlineStr">
        <is>
          <t>Density_Metrics</t>
        </is>
      </c>
      <c r="DH25" s="15" t="n">
        <v>2.18199151201518</v>
      </c>
      <c r="DI25" t="n">
        <v>0.8907878881060244</v>
      </c>
      <c r="DJ25" s="15" t="n">
        <v>0.5294147509296778</v>
      </c>
      <c r="DK25" s="15" t="n">
        <v>4.872571386917148</v>
      </c>
      <c r="DL25" s="15" t="n">
        <v>1.050691492532239</v>
      </c>
      <c r="DM25" s="15" t="n">
        <v>1.027506029628611</v>
      </c>
      <c r="DN25" s="15" t="n">
        <v>13.66436524646627</v>
      </c>
      <c r="DO25" s="15" t="n">
        <v>3.571115670229435</v>
      </c>
      <c r="DP25" s="15" t="n">
        <v>14.625</v>
      </c>
      <c r="DQ25" s="15" t="n">
        <v>32</v>
      </c>
      <c r="DR25" s="15" t="b">
        <v>0</v>
      </c>
      <c r="DS25" s="15" t="n">
        <v>1.022648384410537</v>
      </c>
      <c r="DT25" s="15" t="n">
        <v>4.946507465458681</v>
      </c>
      <c r="DU25" t="n">
        <v>21</v>
      </c>
      <c r="DV25" s="15" t="n">
        <v>0.06333970723377186</v>
      </c>
      <c r="DW25" s="15" t="n">
        <v>1.154911985029388</v>
      </c>
      <c r="DX25" s="15" t="n">
        <v>2.217025482193181</v>
      </c>
      <c r="DY25" s="15" t="n">
        <v>0.2031809927565684</v>
      </c>
      <c r="DZ25" s="15" t="b">
        <v>1</v>
      </c>
      <c r="EA25" s="15" t="n">
        <v>0.2306888628082659</v>
      </c>
      <c r="EB25" s="15" t="n">
        <v>20000</v>
      </c>
      <c r="EC25" s="15" t="n">
        <v>15844.90959845959</v>
      </c>
      <c r="ED25" s="15" t="n">
        <v>17</v>
      </c>
      <c r="EE25" s="15" t="n">
        <v>0</v>
      </c>
      <c r="EF25" s="15" t="n">
        <v>0.02309617874936895</v>
      </c>
      <c r="EG25" s="15" t="b">
        <v>0</v>
      </c>
      <c r="EH25" s="15" t="b">
        <v>1</v>
      </c>
      <c r="EI25" s="15" t="b">
        <v>0</v>
      </c>
      <c r="EJ25" s="15" t="inlineStr">
        <is>
          <t>wf=log|dst=-90.0|ceil=20000.0|fft=adaptive_tier</t>
        </is>
      </c>
      <c r="EK25" s="15" t="inlineStr">
        <is>
          <t>wf=log|dst=runtime_configured|ceil=runtime_configured|fft=fixed</t>
        </is>
      </c>
      <c r="EL25" s="15" t="n">
        <v>0.7903670953139778</v>
      </c>
      <c r="EM25" s="15" t="n">
        <v>0.9890312044415295</v>
      </c>
      <c r="EN25" s="15" t="n">
        <v>0.7727272727272727</v>
      </c>
      <c r="EO25" s="15" t="n">
        <v>0.3742425393037201</v>
      </c>
      <c r="EP25" s="15" t="inlineStr">
        <is>
          <t>warn:power_outlier_detected</t>
        </is>
      </c>
      <c r="EQ25" s="15" t="n">
        <v>459.9633120308563</v>
      </c>
      <c r="ER25" s="15" t="inlineStr">
        <is>
          <t>winsorize_p95_for_robust_diagnostics</t>
        </is>
      </c>
      <c r="ES25" s="15" t="n">
        <v>0.1188910406013637</v>
      </c>
      <c r="ET25" s="15" t="n">
        <v>0.01920938810144774</v>
      </c>
      <c r="EU25" s="15" t="n">
        <v>0.02476325867793119</v>
      </c>
      <c r="EV25" t="inlineStr">
        <is>
          <t>computed</t>
        </is>
      </c>
      <c r="EW25" s="15" t="inlineStr">
        <is>
          <t>computed</t>
        </is>
      </c>
      <c r="EX25" s="15" t="inlineStr">
        <is>
          <t>computed</t>
        </is>
      </c>
      <c r="EY25" s="15" t="inlineStr">
        <is>
          <t>available_from_curve</t>
        </is>
      </c>
      <c r="EZ25" s="15" t="n">
        <v>20000</v>
      </c>
      <c r="FA25" s="15" t="n">
        <v>20000</v>
      </c>
      <c r="FB25" s="15" t="n">
        <v>0.2567759617676617</v>
      </c>
      <c r="FC25" s="15" t="n">
        <v>0.04416879150290052</v>
      </c>
      <c r="FD25" s="15" t="n">
        <v>2.383878421012653</v>
      </c>
      <c r="FE25" s="15" t="n">
        <v>1.863514348627661</v>
      </c>
      <c r="FF25" s="15" t="n">
        <v>0.6251786172768334</v>
      </c>
      <c r="FG25" s="15" t="n">
        <v>1.764192400069757</v>
      </c>
      <c r="FH25" s="15" t="n">
        <v>0.3841662698290959</v>
      </c>
      <c r="FI25" s="15" t="n">
        <v>0.0336328421163274</v>
      </c>
      <c r="FJ25" s="15" t="n">
        <v>2488.964193168557</v>
      </c>
      <c r="FK25" s="15" t="n">
        <v>33.75636347044312</v>
      </c>
      <c r="FL25" s="15" t="n">
        <v>0.1666354874469382</v>
      </c>
      <c r="FM25" s="15" t="n">
        <v>0.004632088634494626</v>
      </c>
      <c r="FN25" t="n">
        <v>1</v>
      </c>
      <c r="FO25" t="n">
        <v>0</v>
      </c>
      <c r="FP25" t="n">
        <v>0</v>
      </c>
      <c r="FQ25" t="inlineStr">
        <is>
          <t>excellent</t>
        </is>
      </c>
      <c r="FR25" s="19" t="n">
        <v>0.8571428571428571</v>
      </c>
      <c r="FS25" s="15" t="n">
        <v>0.9931547696775724</v>
      </c>
      <c r="FT25" s="15" t="n">
        <v>8.598677147881901</v>
      </c>
      <c r="FU25" t="inlineStr">
        <is>
          <t>passed</t>
        </is>
      </c>
      <c r="FV25" t="n">
        <v>60.25878460712388</v>
      </c>
      <c r="FW25" t="n">
        <v>18.00804853836928</v>
      </c>
      <c r="FX25" t="n">
        <v>0.8046749376514643</v>
      </c>
      <c r="FY25" t="n">
        <v>0.3213977172116702</v>
      </c>
      <c r="FZ25" t="n">
        <v>0.1134524067224314</v>
      </c>
      <c r="GA25" t="n">
        <v>0.3774812614042359</v>
      </c>
      <c r="GB25" t="n">
        <v>0.009537918646497083</v>
      </c>
      <c r="GC25" t="n">
        <v>0.004863987631521557</v>
      </c>
      <c r="GD25" t="n">
        <v>0.03215788215250062</v>
      </c>
      <c r="GE25" t="n">
        <v>0.9601635187499122</v>
      </c>
      <c r="GF25" t="n">
        <v>0.2002646266468861</v>
      </c>
      <c r="GG25" t="n">
        <v>0.2106648242764411</v>
      </c>
      <c r="GH25" t="n">
        <v>0.2756473382884106</v>
      </c>
      <c r="GI25" t="n">
        <v>0.6190476190476191</v>
      </c>
      <c r="GJ25" t="n">
        <v>0.6428571428571427</v>
      </c>
      <c r="GK25" t="n">
        <v>0.1041666666666665</v>
      </c>
      <c r="GL25" t="n">
        <v>1</v>
      </c>
      <c r="GM25" t="n">
        <v>1</v>
      </c>
      <c r="GN25" t="n">
        <v>0.009546280638220156</v>
      </c>
      <c r="GO25" t="n">
        <v>0.1083983338073139</v>
      </c>
      <c r="GP25" t="n">
        <v>121.2064386190238</v>
      </c>
      <c r="GQ25" t="inlineStr">
        <is>
          <t>compiled workbook density_weighted_sum = density_component_ratio_weighted_sum (per-note component ratios); research density_weighted_sum maps body-ceiling richness</t>
        </is>
      </c>
      <c r="GR25" s="15" t="inlineStr">
        <is>
          <t>individual_exact</t>
        </is>
      </c>
      <c r="GS25" s="15" t="inlineStr">
        <is>
          <t>density_weight</t>
        </is>
      </c>
      <c r="GT25" s="15" t="n">
        <v>0.8609682618531531</v>
      </c>
      <c r="GU25" s="15" t="n">
        <v>0.1390317381468468</v>
      </c>
      <c r="GV25" s="15" t="n">
        <v>0</v>
      </c>
      <c r="GW25" s="15" t="inlineStr">
        <is>
          <t>log</t>
        </is>
      </c>
      <c r="GX25" s="15" t="n">
        <v>0.5</v>
      </c>
      <c r="GY25" s="15" t="inlineStr">
        <is>
          <t>EWSD-R v18.1</t>
        </is>
      </c>
      <c r="GZ25" s="15" t="n">
        <v>1.6138080952548</v>
      </c>
      <c r="HA25" s="15" t="n">
        <v>9.551709523802614</v>
      </c>
      <c r="HB25" s="15" t="n">
        <v>0.610464682531368</v>
      </c>
      <c r="HC25" s="15" t="n">
        <v>3.463407034006759</v>
      </c>
      <c r="HD25" s="15" t="n">
        <v>11.66634361562108</v>
      </c>
      <c r="HE25" s="15" t="n">
        <v>0.3620079919992796</v>
      </c>
      <c r="HF25" s="15" t="inlineStr">
        <is>
          <t>partials+ratios</t>
        </is>
      </c>
      <c r="HG25" s="15" t="inlineStr">
        <is>
          <t>merged_individual_exact</t>
        </is>
      </c>
      <c r="HH25" s="15" t="inlineStr">
        <is>
          <t>passed</t>
        </is>
      </c>
      <c r="HI25" s="15" t="inlineStr">
        <is>
          <t>passed</t>
        </is>
      </c>
    </row>
    <row r="26">
      <c r="A26" t="inlineStr">
        <is>
          <t>incomplete_inference</t>
        </is>
      </c>
      <c r="B26" t="inlineStr">
        <is>
          <t>missing_instrument_technique</t>
        </is>
      </c>
      <c r="C26" t="inlineStr">
        <is>
          <t>prior_constrained_harmonic_fit</t>
        </is>
      </c>
      <c r="D26" t="inlineStr">
        <is>
          <t>IOWA_flt_mf.B5_SustainStable/B5/component_amplitude_mass_pie.png</t>
        </is>
      </c>
      <c r="E26" t="inlineStr">
        <is>
          <t>IOWA_flt_mf.B5_SustainStable/B5/component_energy_ratio_pie.png</t>
        </is>
      </c>
      <c r="F26" s="15" t="n">
        <v>986.0696881437477</v>
      </c>
      <c r="G26" s="15" t="inlineStr">
        <is>
          <t>prior_constrained_harmonic_fit</t>
        </is>
      </c>
      <c r="H26" s="15" t="inlineStr">
        <is>
          <t>fit_accepted_acoustically_verified</t>
        </is>
      </c>
      <c r="I26" s="16" t="n">
        <v>132.4034543907609</v>
      </c>
      <c r="J26" t="inlineStr">
        <is>
          <t>richness_weighted_body_density_body_ceiling</t>
        </is>
      </c>
      <c r="K26" t="inlineStr">
        <is>
          <t>research_body_ceiling_richness_metric</t>
        </is>
      </c>
      <c r="L26" s="15" t="n">
        <v>40413.73173102857</v>
      </c>
      <c r="M26" s="15" t="n">
        <v>40413.73173102857</v>
      </c>
      <c r="N26" s="15" t="n">
        <v>452.1201942109786</v>
      </c>
      <c r="O26" s="15" t="n">
        <v>2.213238702836819</v>
      </c>
      <c r="P26" s="15" t="n">
        <v>-3.729474209333992</v>
      </c>
      <c r="Q26" s="15" t="n">
        <v>14</v>
      </c>
      <c r="R26" s="15" t="n">
        <v>19</v>
      </c>
      <c r="S26" s="15" t="n">
        <v>2525.860057961476</v>
      </c>
      <c r="T26" s="15" t="n">
        <v>21</v>
      </c>
      <c r="U26" s="15" t="n">
        <v>-0.5236370558909272</v>
      </c>
      <c r="V26" s="15" t="n">
        <v>10.5505877558388</v>
      </c>
      <c r="W26" s="15" t="n">
        <v>0.8407577055566321</v>
      </c>
      <c r="X26" s="15" t="n">
        <v>0.2686703801509485</v>
      </c>
      <c r="Y26" s="15" t="n">
        <v>13</v>
      </c>
      <c r="Z26" s="15" t="n">
        <v>20</v>
      </c>
      <c r="AA26" s="15" t="n">
        <v>0.65</v>
      </c>
      <c r="AB26" s="15" t="n">
        <v>20</v>
      </c>
      <c r="AC26" s="15" t="n">
        <v>13</v>
      </c>
      <c r="AD26" s="15" t="n">
        <v>0.65</v>
      </c>
      <c r="AE26" s="15" t="n">
        <v>179.6951799206868</v>
      </c>
      <c r="AF26" s="15" t="n">
        <v>13</v>
      </c>
      <c r="AG26" s="15" t="n">
        <v>20</v>
      </c>
      <c r="AH26" s="15" t="n">
        <v>0.65</v>
      </c>
      <c r="AI26" s="15" t="n">
        <v>179.6951799206868</v>
      </c>
      <c r="AJ26" s="15" t="n">
        <v>7</v>
      </c>
      <c r="AK26" s="15" t="n">
        <v>6</v>
      </c>
      <c r="AL26" s="15" t="n">
        <v>66.67124165650743</v>
      </c>
      <c r="AM26" s="15" t="n">
        <v>24</v>
      </c>
      <c r="AN26" s="15" t="n">
        <v>0</v>
      </c>
      <c r="AO26" s="15" t="n">
        <v>24</v>
      </c>
      <c r="AP26" s="15" t="n">
        <v>0</v>
      </c>
      <c r="AQ26" s="15" t="n">
        <v>14.73114038728296</v>
      </c>
      <c r="AR26" s="15" t="n">
        <v>8.179431481344992</v>
      </c>
      <c r="AS26" s="15" t="n">
        <v>0.1081228388880875</v>
      </c>
      <c r="AT26" s="17" t="n">
        <v>2.413495926661391</v>
      </c>
      <c r="AU26" s="18" t="n">
        <v>4.571838067132049</v>
      </c>
      <c r="AV26" s="15" t="n">
        <v>6.777376733307422</v>
      </c>
      <c r="AW26" s="15" t="b">
        <v>1</v>
      </c>
      <c r="AX26" s="15" t="n">
        <v>7.524855242884674</v>
      </c>
      <c r="AY26" s="15" t="n">
        <v>11.68415894578337</v>
      </c>
      <c r="AZ26" s="15" t="n">
        <v>0</v>
      </c>
      <c r="BA26" s="15" t="n">
        <v>1</v>
      </c>
      <c r="BB26" s="15" t="n">
        <v>0.5</v>
      </c>
      <c r="BC26" s="15" t="n">
        <v>0.25</v>
      </c>
      <c r="BD26" s="15" t="inlineStr">
        <is>
          <t>his_note_adaptive</t>
        </is>
      </c>
      <c r="BE26" s="15" t="n">
        <v>-90</v>
      </c>
      <c r="BF26" s="15" t="n">
        <v>20000</v>
      </c>
      <c r="BG26" s="15" t="n">
        <v>13</v>
      </c>
      <c r="BH26" s="15" t="n">
        <v>0.65</v>
      </c>
      <c r="BI26" s="15" t="n">
        <v>20</v>
      </c>
      <c r="BJ26" s="15" t="n">
        <v>13</v>
      </c>
      <c r="BK26" s="15" t="n">
        <v>20</v>
      </c>
      <c r="BL26" s="15" t="n">
        <v>17</v>
      </c>
      <c r="BM26" s="15" t="n">
        <v>0.85</v>
      </c>
      <c r="BN26" s="15" t="n">
        <v>0.2046803495726647</v>
      </c>
      <c r="BO26" s="15" t="n">
        <v>0.2</v>
      </c>
      <c r="BP26" s="19" t="n">
        <v>0.7461501543253053</v>
      </c>
      <c r="BQ26" s="19" t="n">
        <v>0.2538498456746947</v>
      </c>
      <c r="BR26" s="19" t="n">
        <v>0</v>
      </c>
      <c r="BS26" s="15" t="n">
        <v>0.06804256333746508</v>
      </c>
      <c r="BT26" s="19" t="n">
        <v>1</v>
      </c>
      <c r="BU26" s="19" t="n">
        <v>0</v>
      </c>
      <c r="BV26" s="19" t="n">
        <v>0</v>
      </c>
      <c r="BW26" t="inlineStr">
        <is>
          <t>B5</t>
        </is>
      </c>
      <c r="BX26" t="n">
        <v>83</v>
      </c>
      <c r="BY26" t="inlineStr">
        <is>
          <t>B</t>
        </is>
      </c>
      <c r="BZ26" t="n">
        <v>5</v>
      </c>
      <c r="CA26" t="inlineStr">
        <is>
          <t>Very high</t>
        </is>
      </c>
      <c r="CB26" t="inlineStr">
        <is>
          <t>mf</t>
        </is>
      </c>
      <c r="CC26" s="15" t="n">
        <v>987.7666025122484</v>
      </c>
      <c r="CD26" s="15" t="n">
        <v>986.0696881437477</v>
      </c>
      <c r="CE26" t="inlineStr">
        <is>
          <t>prior_constrained_harmonic_fit</t>
        </is>
      </c>
      <c r="CF26" t="n">
        <v>986.0696881437477</v>
      </c>
      <c r="CG26" s="15" t="n">
        <v>1</v>
      </c>
      <c r="CH26" t="inlineStr">
        <is>
          <t>free_fit_acoustically_verified</t>
        </is>
      </c>
      <c r="CI26" s="15" t="inlineStr">
        <is>
          <t>free_f0_fit</t>
        </is>
      </c>
      <c r="CJ26" s="15" t="n">
        <v>987.7666025122484</v>
      </c>
      <c r="CK26" s="15" t="n">
        <v>986.0696881437477</v>
      </c>
      <c r="CL26" s="15" t="n">
        <v>-2.976697379374595</v>
      </c>
      <c r="CM26" s="15" t="n">
        <v>20000</v>
      </c>
      <c r="CN26" s="15" t="n">
        <v>-2.976697379374595</v>
      </c>
      <c r="CO26" s="15" t="n">
        <v>2.190476151839002</v>
      </c>
      <c r="CP26" s="15" t="n">
        <v>40413.73173102857</v>
      </c>
      <c r="CQ26" t="n">
        <v>1.048383893054687</v>
      </c>
      <c r="CR26" t="n">
        <v>0.05241919465273435</v>
      </c>
      <c r="CS26" t="n">
        <v>126.2929116594643</v>
      </c>
      <c r="CT26" t="n">
        <v>126.2929116594643</v>
      </c>
      <c r="CU26" t="n">
        <v>132.4034543907609</v>
      </c>
      <c r="CV26" t="n">
        <v>2.213238702836819</v>
      </c>
      <c r="CW26" s="15" t="n">
        <v>40413.73173102857</v>
      </c>
      <c r="CX26" s="15" t="n">
        <v>452.1201942109786</v>
      </c>
      <c r="CY26" s="15" t="n">
        <v>2.213238702836819</v>
      </c>
      <c r="CZ26" s="15" t="n">
        <v>2.413495926661391</v>
      </c>
      <c r="DA26" s="15" t="n">
        <v>2.413495926661391</v>
      </c>
      <c r="DB26" s="15" t="n">
        <v>1.806558972087707</v>
      </c>
      <c r="DC26" s="15" t="n">
        <v>0</v>
      </c>
      <c r="DD26" s="15" t="n">
        <v>5.971969979719477e-05</v>
      </c>
      <c r="DE26" s="15" t="n">
        <v>0</v>
      </c>
      <c r="DF26" s="15" t="n">
        <v>14</v>
      </c>
      <c r="DG26" s="15" t="inlineStr">
        <is>
          <t>Density_Metrics</t>
        </is>
      </c>
      <c r="DH26" s="15" t="n">
        <v>2.190476151839002</v>
      </c>
      <c r="DI26" t="n">
        <v>0.8942517028589163</v>
      </c>
      <c r="DJ26" s="15" t="n">
        <v>0.5331993889426292</v>
      </c>
      <c r="DK26" s="15" t="n">
        <v>4.813774639385043</v>
      </c>
      <c r="DL26" s="15" t="n">
        <v>1.072071299300946</v>
      </c>
      <c r="DM26" s="15" t="n">
        <v>1.02971950980875</v>
      </c>
      <c r="DN26" s="15" t="n">
        <v>10.29303515838782</v>
      </c>
      <c r="DO26" s="15" t="n">
        <v>2.390369222238655</v>
      </c>
      <c r="DP26" s="15" t="n">
        <v>9.25</v>
      </c>
      <c r="DQ26" s="15" t="n">
        <v>28</v>
      </c>
      <c r="DR26" s="15" t="b">
        <v>1</v>
      </c>
      <c r="DS26" s="15" t="n">
        <v>1.048383893054687</v>
      </c>
      <c r="DT26" s="15" t="n">
        <v>5.373407603018969</v>
      </c>
      <c r="DU26" t="n">
        <v>20</v>
      </c>
      <c r="DV26" s="15" t="n">
        <v>0.06804256333746508</v>
      </c>
      <c r="DW26" s="15" t="n">
        <v>1.112833853701441</v>
      </c>
      <c r="DX26" s="15" t="n">
        <v>2.221037925101966</v>
      </c>
      <c r="DY26" s="15" t="n">
        <v>0.1969243611659819</v>
      </c>
      <c r="DZ26" s="15" t="b">
        <v>1</v>
      </c>
      <c r="EA26" s="15" t="n">
        <v>0.3583939983772095</v>
      </c>
      <c r="EB26" s="15" t="n">
        <v>20000</v>
      </c>
      <c r="EC26" s="15" t="n">
        <v>13804.97563401247</v>
      </c>
      <c r="ED26" s="15" t="n">
        <v>14</v>
      </c>
      <c r="EE26" s="15" t="n">
        <v>0</v>
      </c>
      <c r="EF26" s="15" t="n">
        <v>0.02179988984263414</v>
      </c>
      <c r="EG26" s="15" t="b">
        <v>0</v>
      </c>
      <c r="EH26" s="15" t="b">
        <v>1</v>
      </c>
      <c r="EI26" s="15" t="b">
        <v>0</v>
      </c>
      <c r="EJ26" s="15" t="inlineStr">
        <is>
          <t>wf=log|dst=-90.0|ceil=20000.0|fft=adaptive_tier</t>
        </is>
      </c>
      <c r="EK26" s="15" t="inlineStr">
        <is>
          <t>wf=log|dst=runtime_configured|ceil=runtime_configured|fft=fixed</t>
        </is>
      </c>
      <c r="EL26" s="15" t="n">
        <v>0.7549803502872638</v>
      </c>
      <c r="EM26" s="15" t="n">
        <v>0.992670019103471</v>
      </c>
      <c r="EN26" s="15" t="n">
        <v>0.6666666666666666</v>
      </c>
      <c r="EO26" s="15" t="n">
        <v>0.3747275417868431</v>
      </c>
      <c r="EP26" s="15" t="inlineStr">
        <is>
          <t>warn:power_outlier_detected</t>
        </is>
      </c>
      <c r="EQ26" s="15" t="n">
        <v>456.2357336104401</v>
      </c>
      <c r="ER26" s="15" t="inlineStr">
        <is>
          <t>winsorize_p95_for_robust_diagnostics</t>
        </is>
      </c>
      <c r="ES26" s="15" t="n">
        <v>0.1416304013942263</v>
      </c>
      <c r="ET26" s="15" t="n">
        <v>0.02193352419685984</v>
      </c>
      <c r="EU26" s="15" t="n">
        <v>0.02778293328454749</v>
      </c>
      <c r="EV26" t="inlineStr">
        <is>
          <t>computed</t>
        </is>
      </c>
      <c r="EW26" s="15" t="inlineStr">
        <is>
          <t>computed</t>
        </is>
      </c>
      <c r="EX26" s="15" t="inlineStr">
        <is>
          <t>computed</t>
        </is>
      </c>
      <c r="EY26" s="15" t="inlineStr">
        <is>
          <t>available_from_curve</t>
        </is>
      </c>
      <c r="EZ26" s="15" t="n">
        <v>20000</v>
      </c>
      <c r="FA26" s="15" t="n">
        <v>20000</v>
      </c>
      <c r="FB26" s="15" t="n">
        <v>0.2538498456746947</v>
      </c>
      <c r="FC26" s="15" t="n">
        <v>0.06744404519089819</v>
      </c>
      <c r="FD26" s="15" t="n">
        <v>2.413495926661391</v>
      </c>
      <c r="FE26" s="15" t="n">
        <v>1.806558972087707</v>
      </c>
      <c r="FF26" s="15" t="n">
        <v>0.5937197406359446</v>
      </c>
      <c r="FG26" s="15" t="n">
        <v>1.786110874566594</v>
      </c>
      <c r="FH26" s="15" t="n">
        <v>0.3724248337794197</v>
      </c>
      <c r="FI26" s="15" t="n">
        <v>0.03194044349298882</v>
      </c>
      <c r="FJ26" s="15" t="n">
        <v>2525.858233189286</v>
      </c>
      <c r="FK26" s="15" t="n">
        <v>28.25751213818616</v>
      </c>
      <c r="FL26" s="15" t="n">
        <v>0.1383274189273012</v>
      </c>
      <c r="FM26" s="15" t="n">
        <v>0.004688349357356862</v>
      </c>
      <c r="FN26" t="n">
        <v>1</v>
      </c>
      <c r="FO26" t="n">
        <v>0</v>
      </c>
      <c r="FP26" t="n">
        <v>0</v>
      </c>
      <c r="FQ26" t="inlineStr">
        <is>
          <t>excellent</t>
        </is>
      </c>
      <c r="FR26" s="19" t="n">
        <v>0.85</v>
      </c>
      <c r="FS26" s="15" t="n">
        <v>1.288010739920006</v>
      </c>
      <c r="FT26" s="15" t="n">
        <v>12.50669082095245</v>
      </c>
      <c r="FU26" t="inlineStr">
        <is>
          <t>passed</t>
        </is>
      </c>
      <c r="FV26" t="n">
        <v>64.52925295288048</v>
      </c>
      <c r="FW26" t="n">
        <v>15.76396890041732</v>
      </c>
      <c r="FX26" t="n">
        <v>0.7309790877568711</v>
      </c>
      <c r="FY26" t="n">
        <v>0.3429205369585329</v>
      </c>
      <c r="FZ26" t="n">
        <v>0.1298451867920269</v>
      </c>
      <c r="GA26" t="n">
        <v>0.3436422814204866</v>
      </c>
      <c r="GB26" t="n">
        <v>0.01695969083436967</v>
      </c>
      <c r="GC26" t="n">
        <v>0.01392752868693221</v>
      </c>
      <c r="GD26" t="n">
        <v>0.05348404801651738</v>
      </c>
      <c r="GE26" t="n">
        <v>0.9031798920973989</v>
      </c>
      <c r="GF26" t="n">
        <v>0.307163380087502</v>
      </c>
      <c r="GG26" t="n">
        <v>0.2449549864260493</v>
      </c>
      <c r="GH26" t="n">
        <v>0.292071443185563</v>
      </c>
      <c r="GI26" t="n">
        <v>0.5333333333333333</v>
      </c>
      <c r="GJ26" t="n">
        <v>0.6</v>
      </c>
      <c r="GK26" t="n">
        <v>0.1458333333333333</v>
      </c>
      <c r="GL26" t="n">
        <v>0.9733617112700539</v>
      </c>
      <c r="GM26" t="n">
        <v>0.9733617112700539</v>
      </c>
      <c r="GN26" t="n">
        <v>0.05477072278938686</v>
      </c>
      <c r="GO26" t="n">
        <v>0.07553122980036438</v>
      </c>
      <c r="GP26" t="n">
        <v>132.4034543907609</v>
      </c>
      <c r="GQ26" t="inlineStr">
        <is>
          <t>compiled workbook density_weighted_sum = density_component_ratio_weighted_sum (per-note component ratios); research density_weighted_sum maps body-ceiling richness</t>
        </is>
      </c>
      <c r="GR26" s="15" t="inlineStr">
        <is>
          <t>individual_exact</t>
        </is>
      </c>
      <c r="GS26" s="15" t="inlineStr">
        <is>
          <t>density_weight</t>
        </is>
      </c>
      <c r="GT26" s="15" t="n">
        <v>0.8426236011560949</v>
      </c>
      <c r="GU26" s="15" t="n">
        <v>0.1573763988439052</v>
      </c>
      <c r="GV26" s="15" t="n">
        <v>0</v>
      </c>
      <c r="GW26" s="15" t="inlineStr">
        <is>
          <t>log</t>
        </is>
      </c>
      <c r="GX26" s="15" t="n">
        <v>0.5</v>
      </c>
      <c r="GY26" s="15" t="inlineStr">
        <is>
          <t>EWSD-R v18.1</t>
        </is>
      </c>
      <c r="GZ26" s="15" t="n">
        <v>1.681844129858638</v>
      </c>
      <c r="HA26" s="15" t="n">
        <v>8.975760044042429</v>
      </c>
      <c r="HB26" s="15" t="n">
        <v>0.41946752695841</v>
      </c>
      <c r="HC26" s="15" t="n">
        <v>3.440994081649516</v>
      </c>
      <c r="HD26" s="15" t="n">
        <v>12.66027079478526</v>
      </c>
      <c r="HE26" s="15" t="n">
        <v>0.3384961034410598</v>
      </c>
      <c r="HF26" s="15" t="inlineStr">
        <is>
          <t>partials+ratios</t>
        </is>
      </c>
      <c r="HG26" s="15" t="inlineStr">
        <is>
          <t>merged_individual_exact</t>
        </is>
      </c>
      <c r="HH26" s="15" t="inlineStr">
        <is>
          <t>passed</t>
        </is>
      </c>
      <c r="HI26" s="15" t="inlineStr">
        <is>
          <t>passed</t>
        </is>
      </c>
    </row>
    <row r="27">
      <c r="A27" t="inlineStr">
        <is>
          <t>incomplete_inference</t>
        </is>
      </c>
      <c r="B27" t="inlineStr">
        <is>
          <t>missing_instrument_technique</t>
        </is>
      </c>
      <c r="C27" t="inlineStr">
        <is>
          <t>prior_constrained_harmonic_fit</t>
        </is>
      </c>
      <c r="D27" t="inlineStr">
        <is>
          <t>IOWA_flt_mf.C6_SustainStable/C6/component_amplitude_mass_pie.png</t>
        </is>
      </c>
      <c r="E27" t="inlineStr">
        <is>
          <t>IOWA_flt_mf.C6_SustainStable/C6/component_energy_ratio_pie.png</t>
        </is>
      </c>
      <c r="F27" s="15" t="n">
        <v>1047.589166064006</v>
      </c>
      <c r="G27" s="15" t="inlineStr">
        <is>
          <t>prior_constrained_harmonic_fit</t>
        </is>
      </c>
      <c r="H27" s="15" t="inlineStr">
        <is>
          <t>fit_accepted_acoustically_verified</t>
        </is>
      </c>
      <c r="I27" s="16" t="n">
        <v>148.7923741000559</v>
      </c>
      <c r="J27" t="inlineStr">
        <is>
          <t>richness_weighted_body_density_body_ceiling</t>
        </is>
      </c>
      <c r="K27" t="inlineStr">
        <is>
          <t>research_body_ceiling_richness_metric</t>
        </is>
      </c>
      <c r="L27" s="15" t="n">
        <v>40241.10311800642</v>
      </c>
      <c r="M27" s="15" t="n">
        <v>40241.10311800642</v>
      </c>
      <c r="N27" s="15" t="n">
        <v>385.7772942562166</v>
      </c>
      <c r="O27" s="15" t="n">
        <v>4.536568367041315</v>
      </c>
      <c r="P27" s="15" t="n">
        <v>-3.684803991056071</v>
      </c>
      <c r="Q27" s="15" t="n">
        <v>14</v>
      </c>
      <c r="R27" s="15" t="n">
        <v>18</v>
      </c>
      <c r="S27" s="15" t="n">
        <v>2515.070711803374</v>
      </c>
      <c r="T27" s="15" t="n">
        <v>20</v>
      </c>
      <c r="U27" s="15" t="n">
        <v>-0.5725731749746953</v>
      </c>
      <c r="V27" s="15" t="n">
        <v>11.4039611322078</v>
      </c>
      <c r="W27" s="15" t="n">
        <v>0.7189241090336416</v>
      </c>
      <c r="X27" s="15" t="n">
        <v>0.3193310720581939</v>
      </c>
      <c r="Y27" s="15" t="n">
        <v>14</v>
      </c>
      <c r="Z27" s="15" t="n">
        <v>19</v>
      </c>
      <c r="AA27" s="15" t="n">
        <v>0.7368421052631579</v>
      </c>
      <c r="AB27" s="15" t="n">
        <v>19</v>
      </c>
      <c r="AC27" s="15" t="n">
        <v>14</v>
      </c>
      <c r="AD27" s="15" t="n">
        <v>0.7368421052631579</v>
      </c>
      <c r="AE27" s="15" t="n">
        <v>186.6199478059126</v>
      </c>
      <c r="AF27" s="15" t="n">
        <v>14</v>
      </c>
      <c r="AG27" s="15" t="n">
        <v>19</v>
      </c>
      <c r="AH27" s="15" t="n">
        <v>0.7368421052631579</v>
      </c>
      <c r="AI27" s="15" t="n">
        <v>186.6199478059126</v>
      </c>
      <c r="AJ27" s="15" t="n">
        <v>7</v>
      </c>
      <c r="AK27" s="15" t="n">
        <v>7</v>
      </c>
      <c r="AL27" s="15" t="n">
        <v>16.8665526309013</v>
      </c>
      <c r="AM27" s="15" t="n">
        <v>24</v>
      </c>
      <c r="AN27" s="15" t="n">
        <v>0</v>
      </c>
      <c r="AO27" s="15" t="n">
        <v>24</v>
      </c>
      <c r="AP27" s="15" t="n">
        <v>0</v>
      </c>
      <c r="AQ27" s="15" t="n">
        <v>15.30407296033944</v>
      </c>
      <c r="AR27" s="15" t="n">
        <v>8.271522642184729</v>
      </c>
      <c r="AS27" s="15" t="n">
        <v>0.1126469283020475</v>
      </c>
      <c r="AT27" s="17" t="n">
        <v>2.42955309502202</v>
      </c>
      <c r="AU27" s="18" t="n">
        <v>4.233170055102439</v>
      </c>
      <c r="AV27" s="15" t="n">
        <v>6.514822910693791</v>
      </c>
      <c r="AW27" s="15" t="b">
        <v>1</v>
      </c>
      <c r="AX27" s="15" t="n">
        <v>7.77209215849812</v>
      </c>
      <c r="AY27" s="15" t="n">
        <v>11.60186624994626</v>
      </c>
      <c r="AZ27" s="15" t="n">
        <v>0</v>
      </c>
      <c r="BA27" s="15" t="n">
        <v>1</v>
      </c>
      <c r="BB27" s="15" t="n">
        <v>0.5</v>
      </c>
      <c r="BC27" s="15" t="n">
        <v>0.25</v>
      </c>
      <c r="BD27" s="15" t="inlineStr">
        <is>
          <t>his_note_adaptive</t>
        </is>
      </c>
      <c r="BE27" s="15" t="n">
        <v>-90</v>
      </c>
      <c r="BF27" s="15" t="n">
        <v>20000</v>
      </c>
      <c r="BG27" s="15" t="n">
        <v>14</v>
      </c>
      <c r="BH27" s="15" t="n">
        <v>0.7368421052631579</v>
      </c>
      <c r="BI27" s="15" t="n">
        <v>19</v>
      </c>
      <c r="BJ27" s="15" t="n">
        <v>14</v>
      </c>
      <c r="BK27" s="15" t="n">
        <v>19</v>
      </c>
      <c r="BL27" s="15" t="n">
        <v>16</v>
      </c>
      <c r="BM27" s="15" t="n">
        <v>0.8421052631578947</v>
      </c>
      <c r="BN27" s="15" t="n">
        <v>0.235578382272282</v>
      </c>
      <c r="BO27" s="15" t="n">
        <v>0.2</v>
      </c>
      <c r="BP27" s="19" t="n">
        <v>0.7595082096075247</v>
      </c>
      <c r="BQ27" s="19" t="n">
        <v>0.2404917903924752</v>
      </c>
      <c r="BR27" s="19" t="n">
        <v>0</v>
      </c>
      <c r="BS27" s="15" t="n">
        <v>0.06332829253201862</v>
      </c>
      <c r="BT27" s="19" t="n">
        <v>1</v>
      </c>
      <c r="BU27" s="19" t="n">
        <v>0</v>
      </c>
      <c r="BV27" s="19" t="n">
        <v>0</v>
      </c>
      <c r="BW27" t="inlineStr">
        <is>
          <t>C6</t>
        </is>
      </c>
      <c r="BX27" t="n">
        <v>84</v>
      </c>
      <c r="BY27" t="inlineStr">
        <is>
          <t>C</t>
        </is>
      </c>
      <c r="BZ27" t="n">
        <v>6</v>
      </c>
      <c r="CA27" t="inlineStr">
        <is>
          <t>Very high</t>
        </is>
      </c>
      <c r="CB27" t="inlineStr">
        <is>
          <t>mf</t>
        </is>
      </c>
      <c r="CC27" s="15" t="n">
        <v>1046.502261202394</v>
      </c>
      <c r="CD27" s="15" t="n">
        <v>1047.589166064006</v>
      </c>
      <c r="CE27" t="inlineStr">
        <is>
          <t>prior_constrained_harmonic_fit</t>
        </is>
      </c>
      <c r="CF27" t="n">
        <v>1047.589166064006</v>
      </c>
      <c r="CG27" s="15" t="n">
        <v>1</v>
      </c>
      <c r="CH27" t="inlineStr">
        <is>
          <t>free_fit_acoustically_verified</t>
        </is>
      </c>
      <c r="CI27" s="15" t="inlineStr">
        <is>
          <t>free_f0_fit</t>
        </is>
      </c>
      <c r="CJ27" s="15" t="n">
        <v>1046.502261202394</v>
      </c>
      <c r="CK27" s="15" t="n">
        <v>1047.589166064006</v>
      </c>
      <c r="CL27" s="15" t="n">
        <v>1.797139178347141</v>
      </c>
      <c r="CM27" s="15" t="n">
        <v>20000</v>
      </c>
      <c r="CN27" s="15" t="n">
        <v>1.797139178347141</v>
      </c>
      <c r="CO27" s="15" t="n">
        <v>2.20614002935839</v>
      </c>
      <c r="CP27" s="15" t="n">
        <v>40241.10311800642</v>
      </c>
      <c r="CQ27" t="n">
        <v>1.124046763672762</v>
      </c>
      <c r="CR27" t="n">
        <v>0.05916035598277693</v>
      </c>
      <c r="CS27" t="n">
        <v>132.3720497302843</v>
      </c>
      <c r="CT27" t="n">
        <v>132.3720497302843</v>
      </c>
      <c r="CU27" t="n">
        <v>148.7923741000559</v>
      </c>
      <c r="CV27" t="n">
        <v>4.536568367041315</v>
      </c>
      <c r="CW27" s="15" t="n">
        <v>40241.10311800642</v>
      </c>
      <c r="CX27" s="15" t="n">
        <v>385.7772942562166</v>
      </c>
      <c r="CY27" s="15" t="n">
        <v>4.536568367041315</v>
      </c>
      <c r="CZ27" s="15" t="n">
        <v>2.42955309502202</v>
      </c>
      <c r="DA27" s="15" t="n">
        <v>2.42955309502202</v>
      </c>
      <c r="DB27" s="15" t="n">
        <v>1.795387511817023</v>
      </c>
      <c r="DC27" s="15" t="n">
        <v>0</v>
      </c>
      <c r="DD27" s="15" t="n">
        <v>6.037491288192056e-05</v>
      </c>
      <c r="DE27" s="15" t="n">
        <v>0</v>
      </c>
      <c r="DF27" s="15" t="n">
        <v>14</v>
      </c>
      <c r="DG27" s="15" t="inlineStr">
        <is>
          <t>Density_Metrics</t>
        </is>
      </c>
      <c r="DH27" s="15" t="n">
        <v>2.20614002935839</v>
      </c>
      <c r="DI27" t="n">
        <v>0.9006464080162064</v>
      </c>
      <c r="DJ27" s="15" t="n">
        <v>0.5352375308266925</v>
      </c>
      <c r="DK27" s="15" t="n">
        <v>4.931747366989814</v>
      </c>
      <c r="DL27" s="15" t="n">
        <v>1.145944823677208</v>
      </c>
      <c r="DM27" s="15" t="n">
        <v>1.025783242260797</v>
      </c>
      <c r="DN27" s="15" t="n">
        <v>13.84349157530208</v>
      </c>
      <c r="DO27" s="15" t="n">
        <v>3.000042323933404</v>
      </c>
      <c r="DP27" s="15" t="n">
        <v>11.3125</v>
      </c>
      <c r="DQ27" s="15" t="n">
        <v>29</v>
      </c>
      <c r="DR27" s="15" t="b">
        <v>0</v>
      </c>
      <c r="DS27" s="15" t="n">
        <v>1.124046763672762</v>
      </c>
      <c r="DT27" s="15" t="n">
        <v>6.067290369105685</v>
      </c>
      <c r="DU27" t="n">
        <v>19</v>
      </c>
      <c r="DV27" s="15" t="n">
        <v>0.06332829253201862</v>
      </c>
      <c r="DW27" s="15" t="n">
        <v>1.110756941978582</v>
      </c>
      <c r="DX27" s="15" t="n">
        <v>2.241881878174654</v>
      </c>
      <c r="DY27" s="15" t="n">
        <v>0.18632604280766</v>
      </c>
      <c r="DZ27" s="15" t="b">
        <v>1</v>
      </c>
      <c r="EA27" s="15" t="n">
        <v>0.2872068542778232</v>
      </c>
      <c r="EB27" s="15" t="n">
        <v>20000</v>
      </c>
      <c r="EC27" s="15" t="n">
        <v>14666.24832489608</v>
      </c>
      <c r="ED27" s="15" t="n">
        <v>14</v>
      </c>
      <c r="EE27" s="15" t="n">
        <v>0</v>
      </c>
      <c r="EF27" s="15" t="n">
        <v>0.02057635604175294</v>
      </c>
      <c r="EG27" s="15" t="b">
        <v>0</v>
      </c>
      <c r="EH27" s="15" t="b">
        <v>1</v>
      </c>
      <c r="EI27" s="15" t="b">
        <v>0</v>
      </c>
      <c r="EJ27" s="15" t="inlineStr">
        <is>
          <t>wf=log|dst=-90.0|ceil=20000.0|fft=adaptive_tier</t>
        </is>
      </c>
      <c r="EK27" s="15" t="inlineStr">
        <is>
          <t>wf=log|dst=runtime_configured|ceil=runtime_configured|fft=fixed</t>
        </is>
      </c>
      <c r="EL27" s="15" t="n">
        <v>0.7694332603046788</v>
      </c>
      <c r="EM27" s="15" t="n">
        <v>0.998244074990242</v>
      </c>
      <c r="EN27" s="15" t="n">
        <v>0.7</v>
      </c>
      <c r="EO27" s="15" t="n">
        <v>0.3761171327953498</v>
      </c>
      <c r="EP27" s="15" t="inlineStr">
        <is>
          <t>warn:power_outlier_detected</t>
        </is>
      </c>
      <c r="EQ27" s="15" t="n">
        <v>445.7704943827255</v>
      </c>
      <c r="ER27" s="15" t="inlineStr">
        <is>
          <t>winsorize_p95_for_robust_diagnostics</t>
        </is>
      </c>
      <c r="ES27" s="15" t="n">
        <v>0.1557013004363286</v>
      </c>
      <c r="ET27" s="15" t="n">
        <v>0.02457056106911273</v>
      </c>
      <c r="EU27" s="15" t="n">
        <v>0.03130832009576907</v>
      </c>
      <c r="EV27" t="inlineStr">
        <is>
          <t>computed</t>
        </is>
      </c>
      <c r="EW27" s="15" t="inlineStr">
        <is>
          <t>computed</t>
        </is>
      </c>
      <c r="EX27" s="15" t="inlineStr">
        <is>
          <t>computed</t>
        </is>
      </c>
      <c r="EY27" s="15" t="inlineStr">
        <is>
          <t>available_from_curve</t>
        </is>
      </c>
      <c r="EZ27" s="15" t="n">
        <v>20000</v>
      </c>
      <c r="FA27" s="15" t="n">
        <v>20000</v>
      </c>
      <c r="FB27" s="15" t="n">
        <v>0.2404917903924752</v>
      </c>
      <c r="FC27" s="15" t="n">
        <v>0.1096782647848834</v>
      </c>
      <c r="FD27" s="15" t="n">
        <v>2.42955309502202</v>
      </c>
      <c r="FE27" s="15" t="n">
        <v>1.795387511817023</v>
      </c>
      <c r="FF27" s="15" t="n">
        <v>0.7068067601507706</v>
      </c>
      <c r="FG27" s="15" t="n">
        <v>1.79799400339513</v>
      </c>
      <c r="FH27" s="15" t="n">
        <v>0.3701218205378564</v>
      </c>
      <c r="FI27" s="15" t="n">
        <v>0.03802420542540307</v>
      </c>
      <c r="FJ27" s="15" t="n">
        <v>2515.068944875401</v>
      </c>
      <c r="FK27" s="15" t="n">
        <v>24.11108089101354</v>
      </c>
      <c r="FL27" s="15" t="n">
        <v>0.2835355229400822</v>
      </c>
      <c r="FM27" s="15" t="n">
        <v>0.004659395335357944</v>
      </c>
      <c r="FN27" t="n">
        <v>1</v>
      </c>
      <c r="FO27" t="n">
        <v>0</v>
      </c>
      <c r="FP27" t="n">
        <v>0</v>
      </c>
      <c r="FQ27" t="inlineStr">
        <is>
          <t>good</t>
        </is>
      </c>
      <c r="FR27" s="19" t="n">
        <v>0.8421052631578947</v>
      </c>
      <c r="FS27" s="15" t="n">
        <v>1.974293317527355</v>
      </c>
      <c r="FT27" s="15" t="n">
        <v>14.29110828754787</v>
      </c>
      <c r="FU27" t="inlineStr">
        <is>
          <t>passed</t>
        </is>
      </c>
      <c r="FV27" t="n">
        <v>66.96916350731753</v>
      </c>
      <c r="FW27" t="n">
        <v>15.35729073267012</v>
      </c>
      <c r="FX27" t="n">
        <v>1.022760735221094</v>
      </c>
      <c r="FY27" t="n">
        <v>0.3826547884278957</v>
      </c>
      <c r="FZ27" t="n">
        <v>0.1538390760433815</v>
      </c>
      <c r="GA27" t="n">
        <v>0.4115384990788931</v>
      </c>
      <c r="GB27" t="n">
        <v>0.04260409794090908</v>
      </c>
      <c r="GC27" t="n">
        <v>0.04057450674745845</v>
      </c>
      <c r="GD27" t="n">
        <v>0.07872214645334348</v>
      </c>
      <c r="GE27" t="n">
        <v>0.7660617231611355</v>
      </c>
      <c r="GF27" t="n">
        <v>0.4706649348313868</v>
      </c>
      <c r="GG27" t="n">
        <v>0.210581595709507</v>
      </c>
      <c r="GH27" t="n">
        <v>0.2738868740922962</v>
      </c>
      <c r="GI27" t="n">
        <v>0.6491228070175438</v>
      </c>
      <c r="GJ27" t="n">
        <v>0.5526315789473683</v>
      </c>
      <c r="GK27" t="n">
        <v>0.1458333333333333</v>
      </c>
      <c r="GL27" t="n">
        <v>0.8517548706072389</v>
      </c>
      <c r="GM27" t="n">
        <v>0.8517548706072389</v>
      </c>
      <c r="GN27" t="n">
        <v>0.1368329441697189</v>
      </c>
      <c r="GO27" t="n">
        <v>0.09069177299059049</v>
      </c>
      <c r="GP27" t="n">
        <v>148.7923741000559</v>
      </c>
      <c r="GQ27" t="inlineStr">
        <is>
          <t>compiled workbook density_weighted_sum = density_component_ratio_weighted_sum (per-note component ratios); research density_weighted_sum maps body-ceiling richness</t>
        </is>
      </c>
      <c r="GR27" s="15" t="inlineStr">
        <is>
          <t>individual_exact</t>
        </is>
      </c>
      <c r="GS27" s="15" t="inlineStr">
        <is>
          <t>density_weight</t>
        </is>
      </c>
      <c r="GT27" s="15" t="n">
        <v>0.8695927039660557</v>
      </c>
      <c r="GU27" s="15" t="n">
        <v>0.1304072960339444</v>
      </c>
      <c r="GV27" s="15" t="n">
        <v>0</v>
      </c>
      <c r="GW27" s="15" t="inlineStr">
        <is>
          <t>log</t>
        </is>
      </c>
      <c r="GX27" s="15" t="n">
        <v>0.5</v>
      </c>
      <c r="GY27" s="15" t="inlineStr">
        <is>
          <t>EWSD-R v18.1</t>
        </is>
      </c>
      <c r="GZ27" s="15" t="n">
        <v>1.555049824475186</v>
      </c>
      <c r="HA27" s="15" t="n">
        <v>10.02225794607991</v>
      </c>
      <c r="HB27" s="15" t="n">
        <v>0.536990491464108</v>
      </c>
      <c r="HC27" s="15" t="n">
        <v>3.236126483805966</v>
      </c>
      <c r="HD27" s="15" t="n">
        <v>14.18324285870776</v>
      </c>
      <c r="HE27" s="15" t="n">
        <v>0.4245553206801752</v>
      </c>
      <c r="HF27" s="15" t="inlineStr">
        <is>
          <t>partials+ratios</t>
        </is>
      </c>
      <c r="HG27" s="15" t="inlineStr">
        <is>
          <t>merged_individual_exact</t>
        </is>
      </c>
      <c r="HH27" s="15" t="inlineStr">
        <is>
          <t>passed</t>
        </is>
      </c>
      <c r="HI27" s="15" t="inlineStr">
        <is>
          <t>passed</t>
        </is>
      </c>
    </row>
    <row r="28">
      <c r="A28" t="inlineStr">
        <is>
          <t>incomplete_inference</t>
        </is>
      </c>
      <c r="B28" t="inlineStr">
        <is>
          <t>missing_instrument_technique</t>
        </is>
      </c>
      <c r="C28" t="inlineStr">
        <is>
          <t>prior_constrained_harmonic_fit</t>
        </is>
      </c>
      <c r="D28" t="inlineStr">
        <is>
          <t>IOWA_flt_mf.C#6_SustainStable/C#6/component_amplitude_mass_pie.png</t>
        </is>
      </c>
      <c r="E28" t="inlineStr">
        <is>
          <t>IOWA_flt_mf.C#6_SustainStable/C#6/component_energy_ratio_pie.png</t>
        </is>
      </c>
      <c r="F28" s="15" t="n">
        <v>1109.289337247893</v>
      </c>
      <c r="G28" s="15" t="inlineStr">
        <is>
          <t>prior_constrained_harmonic_fit</t>
        </is>
      </c>
      <c r="H28" s="15" t="inlineStr">
        <is>
          <t>fit_accepted_acoustically_verified</t>
        </is>
      </c>
      <c r="I28" s="16" t="n">
        <v>145.4549070549183</v>
      </c>
      <c r="J28" t="inlineStr">
        <is>
          <t>richness_weighted_body_density_body_ceiling</t>
        </is>
      </c>
      <c r="K28" t="inlineStr">
        <is>
          <t>research_body_ceiling_richness_metric</t>
        </is>
      </c>
      <c r="L28" s="15" t="n">
        <v>39636.58789479743</v>
      </c>
      <c r="M28" s="15" t="n">
        <v>39636.58789479743</v>
      </c>
      <c r="N28" s="15" t="n">
        <v>357.3270909414622</v>
      </c>
      <c r="O28" s="15" t="n">
        <v>4.669517879914136</v>
      </c>
      <c r="P28" s="15" t="n">
        <v>-3.307666564209838</v>
      </c>
      <c r="Q28" s="15" t="n">
        <v>13</v>
      </c>
      <c r="R28" s="15" t="n">
        <v>17</v>
      </c>
      <c r="S28" s="15" t="n">
        <v>2477.288353040343</v>
      </c>
      <c r="T28" s="15" t="n">
        <v>19</v>
      </c>
      <c r="U28" s="15" t="n">
        <v>-0.4784989416481742</v>
      </c>
      <c r="V28" s="15" t="n">
        <v>10.06366148625331</v>
      </c>
      <c r="W28" s="15" t="n">
        <v>0.7918834581833128</v>
      </c>
      <c r="X28" s="15" t="n">
        <v>0.3476435501960314</v>
      </c>
      <c r="Y28" s="15" t="n">
        <v>14</v>
      </c>
      <c r="Z28" s="15" t="n">
        <v>18</v>
      </c>
      <c r="AA28" s="15" t="n">
        <v>0.7777777777777778</v>
      </c>
      <c r="AB28" s="15" t="n">
        <v>18</v>
      </c>
      <c r="AC28" s="15" t="n">
        <v>14</v>
      </c>
      <c r="AD28" s="15" t="n">
        <v>0.7777777777777778</v>
      </c>
      <c r="AE28" s="15" t="n">
        <v>170.6258699801276</v>
      </c>
      <c r="AF28" s="15" t="n">
        <v>14</v>
      </c>
      <c r="AG28" s="15" t="n">
        <v>18</v>
      </c>
      <c r="AH28" s="15" t="n">
        <v>0.7777777777777778</v>
      </c>
      <c r="AI28" s="15" t="n">
        <v>170.6258699801276</v>
      </c>
      <c r="AJ28" s="15" t="n">
        <v>7</v>
      </c>
      <c r="AK28" s="15" t="n">
        <v>7</v>
      </c>
      <c r="AL28" s="15" t="n">
        <v>35.51592501874195</v>
      </c>
      <c r="AM28" s="15" t="n">
        <v>20</v>
      </c>
      <c r="AN28" s="15" t="n">
        <v>0</v>
      </c>
      <c r="AO28" s="15" t="n">
        <v>20</v>
      </c>
      <c r="AP28" s="15" t="n">
        <v>0</v>
      </c>
      <c r="AQ28" s="15" t="n">
        <v>14.62456104192448</v>
      </c>
      <c r="AR28" s="15" t="n">
        <v>7.82289270998082</v>
      </c>
      <c r="AS28" s="15" t="n">
        <v>0.09060744146572253</v>
      </c>
      <c r="AT28" s="17" t="n">
        <v>2.390344391258986</v>
      </c>
      <c r="AU28" s="18" t="n">
        <v>3.402399296271922</v>
      </c>
      <c r="AV28" s="15" t="n">
        <v>5.506585140014545</v>
      </c>
      <c r="AW28" s="15" t="b">
        <v>1</v>
      </c>
      <c r="AX28" s="15" t="n">
        <v>7.601744155215377</v>
      </c>
      <c r="AY28" s="15" t="n">
        <v>9.726262400067913</v>
      </c>
      <c r="AZ28" s="15" t="n">
        <v>0</v>
      </c>
      <c r="BA28" s="15" t="n">
        <v>1</v>
      </c>
      <c r="BB28" s="15" t="n">
        <v>0.5</v>
      </c>
      <c r="BC28" s="15" t="n">
        <v>0.25</v>
      </c>
      <c r="BD28" s="15" t="inlineStr">
        <is>
          <t>his_note_adaptive</t>
        </is>
      </c>
      <c r="BE28" s="15" t="n">
        <v>-90</v>
      </c>
      <c r="BF28" s="15" t="n">
        <v>20000</v>
      </c>
      <c r="BG28" s="15" t="n">
        <v>14</v>
      </c>
      <c r="BH28" s="15" t="n">
        <v>0.7777777777777778</v>
      </c>
      <c r="BI28" s="15" t="n">
        <v>18</v>
      </c>
      <c r="BJ28" s="15" t="n">
        <v>14</v>
      </c>
      <c r="BK28" s="15" t="n">
        <v>18</v>
      </c>
      <c r="BL28" s="15" t="n">
        <v>16</v>
      </c>
      <c r="BM28" s="15" t="n">
        <v>0.8888888888888888</v>
      </c>
      <c r="BN28" s="15" t="n">
        <v>0.2724703650285417</v>
      </c>
      <c r="BO28" s="15" t="n">
        <v>0.1666666666666667</v>
      </c>
      <c r="BP28" s="19" t="n">
        <v>0.7630763755639201</v>
      </c>
      <c r="BQ28" s="19" t="n">
        <v>0.23692362443608</v>
      </c>
      <c r="BR28" s="19" t="n">
        <v>0</v>
      </c>
      <c r="BS28" s="15" t="n">
        <v>0.05174746854161908</v>
      </c>
      <c r="BT28" s="19" t="n">
        <v>1</v>
      </c>
      <c r="BU28" s="19" t="n">
        <v>0</v>
      </c>
      <c r="BV28" s="19" t="n">
        <v>0</v>
      </c>
      <c r="BW28" t="inlineStr">
        <is>
          <t>C#6</t>
        </is>
      </c>
      <c r="BX28" t="n">
        <v>85</v>
      </c>
      <c r="BY28" t="inlineStr">
        <is>
          <t>C#</t>
        </is>
      </c>
      <c r="BZ28" t="n">
        <v>6</v>
      </c>
      <c r="CA28" t="inlineStr">
        <is>
          <t>Very high</t>
        </is>
      </c>
      <c r="CB28" t="inlineStr">
        <is>
          <t>mf</t>
        </is>
      </c>
      <c r="CC28" s="15" t="n">
        <v>1108.730523907488</v>
      </c>
      <c r="CD28" s="15" t="n">
        <v>1109.289337247893</v>
      </c>
      <c r="CE28" t="inlineStr">
        <is>
          <t>prior_constrained_harmonic_fit</t>
        </is>
      </c>
      <c r="CF28" t="n">
        <v>1109.289337247893</v>
      </c>
      <c r="CG28" s="15" t="n">
        <v>1</v>
      </c>
      <c r="CH28" t="inlineStr">
        <is>
          <t>free_fit_acoustically_verified</t>
        </is>
      </c>
      <c r="CI28" s="15" t="inlineStr">
        <is>
          <t>free_f0_fit</t>
        </is>
      </c>
      <c r="CJ28" s="15" t="n">
        <v>1108.730523907488</v>
      </c>
      <c r="CK28" s="15" t="n">
        <v>1109.289337247893</v>
      </c>
      <c r="CL28" s="15" t="n">
        <v>0.8723426867304757</v>
      </c>
      <c r="CM28" s="15" t="n">
        <v>20000</v>
      </c>
      <c r="CN28" s="15" t="n">
        <v>0.8723426867304757</v>
      </c>
      <c r="CO28" s="15" t="n">
        <v>2.174788728485112</v>
      </c>
      <c r="CP28" s="15" t="n">
        <v>39636.58789479743</v>
      </c>
      <c r="CQ28" t="n">
        <v>1.056877381650577</v>
      </c>
      <c r="CR28" t="n">
        <v>0.05871541009169875</v>
      </c>
      <c r="CS28" t="n">
        <v>137.6270413013799</v>
      </c>
      <c r="CT28" t="n">
        <v>137.6270413013799</v>
      </c>
      <c r="CU28" t="n">
        <v>145.4549070549183</v>
      </c>
      <c r="CV28" t="n">
        <v>4.669517879914136</v>
      </c>
      <c r="CW28" s="15" t="n">
        <v>39636.58789479743</v>
      </c>
      <c r="CX28" s="15" t="n">
        <v>357.3270909414622</v>
      </c>
      <c r="CY28" s="15" t="n">
        <v>4.669517879914136</v>
      </c>
      <c r="CZ28" s="15" t="n">
        <v>2.390344391258986</v>
      </c>
      <c r="DA28" s="15" t="n">
        <v>2.390344391258986</v>
      </c>
      <c r="DB28" s="15" t="n">
        <v>1.780269485318344</v>
      </c>
      <c r="DC28" s="15" t="n">
        <v>0</v>
      </c>
      <c r="DD28" s="15" t="n">
        <v>6.030651269991722e-05</v>
      </c>
      <c r="DE28" s="15" t="n">
        <v>0</v>
      </c>
      <c r="DF28" s="15" t="n">
        <v>13</v>
      </c>
      <c r="DG28" s="15" t="inlineStr">
        <is>
          <t>Density_Metrics</t>
        </is>
      </c>
      <c r="DH28" s="15" t="n">
        <v>2.174788728485112</v>
      </c>
      <c r="DI28" t="n">
        <v>0.887847385224183</v>
      </c>
      <c r="DJ28" s="15" t="n">
        <v>0.5302438160870395</v>
      </c>
      <c r="DK28" s="15" t="n">
        <v>4.891952187200577</v>
      </c>
      <c r="DL28" s="15" t="n">
        <v>1.076252706419055</v>
      </c>
      <c r="DM28" s="15" t="n">
        <v>1.015843409403366</v>
      </c>
      <c r="DN28" s="15" t="n">
        <v>9.122520296789117</v>
      </c>
      <c r="DO28" s="15" t="n">
        <v>2.023578813652012</v>
      </c>
      <c r="DP28" s="15" t="n">
        <v>13</v>
      </c>
      <c r="DQ28" s="15" t="n">
        <v>31</v>
      </c>
      <c r="DR28" s="15" t="b">
        <v>0</v>
      </c>
      <c r="DS28" s="15" t="n">
        <v>1.056877381650577</v>
      </c>
      <c r="DT28" s="15" t="n">
        <v>6.257583903528565</v>
      </c>
      <c r="DU28" t="n">
        <v>18</v>
      </c>
      <c r="DV28" s="15" t="n">
        <v>0.05174746854161908</v>
      </c>
      <c r="DW28" s="15" t="n">
        <v>1.083293485538199</v>
      </c>
      <c r="DX28" s="15" t="n">
        <v>2.203120865146547</v>
      </c>
      <c r="DY28" s="15" t="n">
        <v>0.2024209406269991</v>
      </c>
      <c r="DZ28" s="15" t="b">
        <v>1</v>
      </c>
      <c r="EA28" s="15" t="n">
        <v>0.1863638659587678</v>
      </c>
      <c r="EB28" s="15" t="n">
        <v>20000</v>
      </c>
      <c r="EC28" s="15" t="n">
        <v>15530.0507214705</v>
      </c>
      <c r="ED28" s="15" t="n">
        <v>14</v>
      </c>
      <c r="EE28" s="15" t="n">
        <v>0</v>
      </c>
      <c r="EF28" s="15" t="n">
        <v>0.01942149391640337</v>
      </c>
      <c r="EG28" s="15" t="b">
        <v>0</v>
      </c>
      <c r="EH28" s="15" t="b">
        <v>1</v>
      </c>
      <c r="EI28" s="15" t="b">
        <v>0</v>
      </c>
      <c r="EJ28" s="15" t="inlineStr">
        <is>
          <t>wf=log|dst=-90.0|ceil=20000.0|fft=adaptive_tier</t>
        </is>
      </c>
      <c r="EK28" s="15" t="inlineStr">
        <is>
          <t>wf=log|dst=runtime_configured|ceil=runtime_configured|fft=fixed</t>
        </is>
      </c>
      <c r="EL28" s="15" t="n">
        <v>0.759581085448867</v>
      </c>
      <c r="EM28" s="15" t="n">
        <v>0.9897946042217823</v>
      </c>
      <c r="EN28" s="15" t="n">
        <v>0.6842105263157895</v>
      </c>
      <c r="EO28" s="15" t="n">
        <v>0.3734991466926935</v>
      </c>
      <c r="EP28" s="15" t="inlineStr">
        <is>
          <t>warn:power_outlier_detected</t>
        </is>
      </c>
      <c r="EQ28" s="15" t="n">
        <v>465.753824474589</v>
      </c>
      <c r="ER28" s="15" t="inlineStr">
        <is>
          <t>winsorize_p95_for_robust_diagnostics</t>
        </is>
      </c>
      <c r="ES28" s="15" t="n">
        <v>0.1555820113310778</v>
      </c>
      <c r="ET28" s="15" t="n">
        <v>0.02235874800315433</v>
      </c>
      <c r="EU28" s="15" t="n">
        <v>0.02617563518048753</v>
      </c>
      <c r="EV28" t="inlineStr">
        <is>
          <t>computed</t>
        </is>
      </c>
      <c r="EW28" s="15" t="inlineStr">
        <is>
          <t>computed</t>
        </is>
      </c>
      <c r="EX28" s="15" t="inlineStr">
        <is>
          <t>computed</t>
        </is>
      </c>
      <c r="EY28" s="15" t="inlineStr">
        <is>
          <t>available_from_curve</t>
        </is>
      </c>
      <c r="EZ28" s="15" t="n">
        <v>20000</v>
      </c>
      <c r="FA28" s="15" t="n">
        <v>20000</v>
      </c>
      <c r="FB28" s="15" t="n">
        <v>0.23692362443608</v>
      </c>
      <c r="FC28" s="15" t="n">
        <v>0.06445634019611386</v>
      </c>
      <c r="FD28" s="15" t="n">
        <v>2.390344391258986</v>
      </c>
      <c r="FE28" s="15" t="n">
        <v>1.780269485318344</v>
      </c>
      <c r="FF28" s="15" t="n">
        <v>0.7213383106232469</v>
      </c>
      <c r="FG28" s="15" t="n">
        <v>1.768977549961257</v>
      </c>
      <c r="FH28" s="15" t="n">
        <v>0.3670052167663576</v>
      </c>
      <c r="FI28" s="15" t="n">
        <v>0.03880596175749756</v>
      </c>
      <c r="FJ28" s="15" t="n">
        <v>2477.286743424839</v>
      </c>
      <c r="FK28" s="15" t="n">
        <v>22.33294318384139</v>
      </c>
      <c r="FL28" s="15" t="n">
        <v>0.2918448674946335</v>
      </c>
      <c r="FM28" s="15" t="n">
        <v>0.004609608864953662</v>
      </c>
      <c r="FN28" t="n">
        <v>1</v>
      </c>
      <c r="FO28" t="n">
        <v>0</v>
      </c>
      <c r="FP28" t="n">
        <v>0</v>
      </c>
      <c r="FQ28" t="inlineStr">
        <is>
          <t>excellent</t>
        </is>
      </c>
      <c r="FR28" s="19" t="n">
        <v>0.8888888888888888</v>
      </c>
      <c r="FS28" s="15" t="n">
        <v>0.9654322635799605</v>
      </c>
      <c r="FT28" s="15" t="n">
        <v>7.869592481562851</v>
      </c>
      <c r="FU28" t="inlineStr">
        <is>
          <t>passed</t>
        </is>
      </c>
      <c r="FV28" t="n">
        <v>61.16640619383181</v>
      </c>
      <c r="FW28" t="n">
        <v>14.82333995210473</v>
      </c>
      <c r="FX28" t="n">
        <v>1.066067969238222</v>
      </c>
      <c r="FY28" t="n">
        <v>0.3031265572317186</v>
      </c>
      <c r="FZ28" t="n">
        <v>0.1489529202697547</v>
      </c>
      <c r="GA28" t="n">
        <v>0.388635390508093</v>
      </c>
      <c r="GB28" t="n">
        <v>0.01841122177621038</v>
      </c>
      <c r="GC28" t="n">
        <v>0.0169187686758885</v>
      </c>
      <c r="GD28" t="n">
        <v>0.03908344276730778</v>
      </c>
      <c r="GE28" t="n">
        <v>0.8481741506662749</v>
      </c>
      <c r="GF28" t="n">
        <v>0.562040200740983</v>
      </c>
      <c r="GG28" t="n">
        <v>0.1261417736734858</v>
      </c>
      <c r="GH28" t="n">
        <v>0.308844680879015</v>
      </c>
      <c r="GI28" t="n">
        <v>0.7037037037037037</v>
      </c>
      <c r="GJ28" t="n">
        <v>0.8333333333333333</v>
      </c>
      <c r="GK28" t="n">
        <v>0.06250000000000007</v>
      </c>
      <c r="GL28" t="n">
        <v>0.8192715951790105</v>
      </c>
      <c r="GM28" t="n">
        <v>0.8192715951790105</v>
      </c>
      <c r="GN28" t="n">
        <v>0.04896553185516079</v>
      </c>
      <c r="GO28" t="n">
        <v>0.07271100130493553</v>
      </c>
      <c r="GP28" t="n">
        <v>145.4549070549183</v>
      </c>
      <c r="GQ28" t="inlineStr">
        <is>
          <t>compiled workbook density_weighted_sum = density_component_ratio_weighted_sum (per-note component ratios); research density_weighted_sum maps body-ceiling richness</t>
        </is>
      </c>
      <c r="GR28" s="15" t="inlineStr">
        <is>
          <t>individual_exact</t>
        </is>
      </c>
      <c r="GS28" s="15" t="inlineStr">
        <is>
          <t>density_weight</t>
        </is>
      </c>
      <c r="GT28" s="15" t="n">
        <v>0.8959064930125877</v>
      </c>
      <c r="GU28" s="15" t="n">
        <v>0.1040935069874123</v>
      </c>
      <c r="GV28" s="15" t="n">
        <v>0</v>
      </c>
      <c r="GW28" s="15" t="inlineStr">
        <is>
          <t>log</t>
        </is>
      </c>
      <c r="GX28" s="15" t="n">
        <v>0.5</v>
      </c>
      <c r="GY28" s="15" t="inlineStr">
        <is>
          <t>EWSD-R v18.1</t>
        </is>
      </c>
      <c r="GZ28" s="15" t="n">
        <v>1.547393597947473</v>
      </c>
      <c r="HA28" s="15" t="n">
        <v>8.684039868079156</v>
      </c>
      <c r="HB28" s="15" t="n">
        <v>0.5937878635235535</v>
      </c>
      <c r="HC28" s="15" t="n">
        <v>3.21473249497595</v>
      </c>
      <c r="HD28" s="15" t="n">
        <v>11.93941084944042</v>
      </c>
      <c r="HE28" s="15" t="n">
        <v>0.4094678516346805</v>
      </c>
      <c r="HF28" s="15" t="inlineStr">
        <is>
          <t>partials+ratios</t>
        </is>
      </c>
      <c r="HG28" s="15" t="inlineStr">
        <is>
          <t>merged_individual_exact</t>
        </is>
      </c>
      <c r="HH28" s="15" t="inlineStr">
        <is>
          <t>passed</t>
        </is>
      </c>
      <c r="HI28" s="15" t="inlineStr">
        <is>
          <t>passed</t>
        </is>
      </c>
    </row>
    <row r="29">
      <c r="A29" t="inlineStr">
        <is>
          <t>incomplete_inference</t>
        </is>
      </c>
      <c r="B29" t="inlineStr">
        <is>
          <t>missing_instrument_technique</t>
        </is>
      </c>
      <c r="C29" t="inlineStr">
        <is>
          <t>prior_constrained_harmonic_fit</t>
        </is>
      </c>
      <c r="D29" t="inlineStr">
        <is>
          <t>IOWA_flt_mf.D6_SustainStable/D6/component_amplitude_mass_pie.png</t>
        </is>
      </c>
      <c r="E29" t="inlineStr">
        <is>
          <t>IOWA_flt_mf.D6_SustainStable/D6/component_energy_ratio_pie.png</t>
        </is>
      </c>
      <c r="F29" s="15" t="n">
        <v>1175.634277223944</v>
      </c>
      <c r="G29" s="15" t="inlineStr">
        <is>
          <t>prior_constrained_harmonic_fit</t>
        </is>
      </c>
      <c r="H29" s="15" t="inlineStr">
        <is>
          <t>fit_accepted_acoustically_verified</t>
        </is>
      </c>
      <c r="I29" s="16" t="n">
        <v>192.0797937533328</v>
      </c>
      <c r="J29" t="inlineStr">
        <is>
          <t>richness_weighted_body_density_body_ceiling</t>
        </is>
      </c>
      <c r="K29" t="inlineStr">
        <is>
          <t>research_body_ceiling_richness_metric</t>
        </is>
      </c>
      <c r="L29" s="15" t="n">
        <v>41194.92102576998</v>
      </c>
      <c r="M29" s="15" t="n">
        <v>41194.92102576998</v>
      </c>
      <c r="N29" s="15" t="n">
        <v>112.6702673906454</v>
      </c>
      <c r="O29" s="15" t="n">
        <v>7.78208493676037</v>
      </c>
      <c r="P29" s="15" t="n">
        <v>-7.260666232838975</v>
      </c>
      <c r="Q29" s="15" t="n">
        <v>8</v>
      </c>
      <c r="R29" s="15" t="n">
        <v>13</v>
      </c>
      <c r="S29" s="15" t="n">
        <v>2574.68795887176</v>
      </c>
      <c r="T29" s="15" t="n">
        <v>18</v>
      </c>
      <c r="U29" s="15" t="n">
        <v>-0.4535914713419694</v>
      </c>
      <c r="V29" s="15" t="n">
        <v>11.82244705394015</v>
      </c>
      <c r="W29" s="15" t="n">
        <v>0.6758434497291068</v>
      </c>
      <c r="X29" s="15" t="n">
        <v>0.3866928331016862</v>
      </c>
      <c r="Y29" s="15" t="n">
        <v>10</v>
      </c>
      <c r="Z29" s="15" t="n">
        <v>17</v>
      </c>
      <c r="AA29" s="15" t="n">
        <v>0.5882352941176471</v>
      </c>
      <c r="AB29" s="15" t="n">
        <v>17</v>
      </c>
      <c r="AC29" s="15" t="n">
        <v>10</v>
      </c>
      <c r="AD29" s="15" t="n">
        <v>0.5882352941176471</v>
      </c>
      <c r="AE29" s="15" t="n">
        <v>193.9888231261335</v>
      </c>
      <c r="AF29" s="15" t="n">
        <v>10</v>
      </c>
      <c r="AG29" s="15" t="n">
        <v>17</v>
      </c>
      <c r="AH29" s="15" t="n">
        <v>0.5882352941176471</v>
      </c>
      <c r="AI29" s="15" t="n">
        <v>193.9888231261335</v>
      </c>
      <c r="AJ29" s="15" t="n">
        <v>5</v>
      </c>
      <c r="AK29" s="15" t="n">
        <v>5</v>
      </c>
      <c r="AL29" s="15" t="n">
        <v>7.419557929258186</v>
      </c>
      <c r="AM29" s="15" t="n">
        <v>27</v>
      </c>
      <c r="AN29" s="15" t="n">
        <v>0</v>
      </c>
      <c r="AO29" s="15" t="n">
        <v>27</v>
      </c>
      <c r="AP29" s="15" t="n">
        <v>0</v>
      </c>
      <c r="AQ29" s="15" t="n">
        <v>12.59481427645707</v>
      </c>
      <c r="AR29" s="15" t="n">
        <v>7.063428919843023</v>
      </c>
      <c r="AS29" s="15" t="n">
        <v>0.05329786623702453</v>
      </c>
      <c r="AT29" s="17" t="n">
        <v>2.444805166380105</v>
      </c>
      <c r="AU29" s="18" t="n">
        <v>4.448840744731952</v>
      </c>
      <c r="AV29" s="15" t="n">
        <v>6.298694702175444</v>
      </c>
      <c r="AW29" s="15" t="b">
        <v>1</v>
      </c>
      <c r="AX29" s="15" t="n">
        <v>6.044442630879336</v>
      </c>
      <c r="AY29" s="15" t="n">
        <v>12.72036046806458</v>
      </c>
      <c r="AZ29" s="15" t="n">
        <v>0</v>
      </c>
      <c r="BA29" s="15" t="n">
        <v>1</v>
      </c>
      <c r="BB29" s="15" t="n">
        <v>0.5</v>
      </c>
      <c r="BC29" s="15" t="n">
        <v>0.25</v>
      </c>
      <c r="BD29" s="15" t="inlineStr">
        <is>
          <t>his_note_adaptive</t>
        </is>
      </c>
      <c r="BE29" s="15" t="n">
        <v>-90</v>
      </c>
      <c r="BF29" s="15" t="n">
        <v>20000</v>
      </c>
      <c r="BG29" s="15" t="n">
        <v>10</v>
      </c>
      <c r="BH29" s="15" t="n">
        <v>0.5882352941176471</v>
      </c>
      <c r="BI29" s="15" t="n">
        <v>17</v>
      </c>
      <c r="BJ29" s="15" t="n">
        <v>10</v>
      </c>
      <c r="BK29" s="15" t="n">
        <v>17</v>
      </c>
      <c r="BL29" s="15" t="n">
        <v>15</v>
      </c>
      <c r="BM29" s="15" t="n">
        <v>0.8823529411764706</v>
      </c>
      <c r="BN29" s="15" t="n">
        <v>0.3047144613491903</v>
      </c>
      <c r="BO29" s="15" t="n">
        <v>0.225</v>
      </c>
      <c r="BP29" s="19" t="n">
        <v>0.7744635144341054</v>
      </c>
      <c r="BQ29" s="19" t="n">
        <v>0.2255364855658945</v>
      </c>
      <c r="BR29" s="19" t="n">
        <v>0</v>
      </c>
      <c r="BS29" s="15" t="n">
        <v>0.06552369260339627</v>
      </c>
      <c r="BT29" s="19" t="n">
        <v>1</v>
      </c>
      <c r="BU29" s="19" t="n">
        <v>0</v>
      </c>
      <c r="BV29" s="19" t="n">
        <v>0</v>
      </c>
      <c r="BW29" t="inlineStr">
        <is>
          <t>D6</t>
        </is>
      </c>
      <c r="BX29" t="n">
        <v>86</v>
      </c>
      <c r="BY29" t="inlineStr">
        <is>
          <t>D</t>
        </is>
      </c>
      <c r="BZ29" t="n">
        <v>6</v>
      </c>
      <c r="CA29" t="inlineStr">
        <is>
          <t>Very high</t>
        </is>
      </c>
      <c r="CB29" t="inlineStr">
        <is>
          <t>mf</t>
        </is>
      </c>
      <c r="CC29" s="15" t="n">
        <v>1174.659071669631</v>
      </c>
      <c r="CD29" s="15" t="n">
        <v>1175.634277223944</v>
      </c>
      <c r="CE29" t="inlineStr">
        <is>
          <t>prior_constrained_harmonic_fit</t>
        </is>
      </c>
      <c r="CF29" t="n">
        <v>1175.634277223944</v>
      </c>
      <c r="CG29" s="15" t="n">
        <v>1</v>
      </c>
      <c r="CH29" t="inlineStr">
        <is>
          <t>free_fit_acoustically_verified</t>
        </is>
      </c>
      <c r="CI29" s="15" t="inlineStr">
        <is>
          <t>free_f0_fit</t>
        </is>
      </c>
      <c r="CJ29" s="15" t="n">
        <v>1174.659071669631</v>
      </c>
      <c r="CK29" s="15" t="n">
        <v>1175.634277223944</v>
      </c>
      <c r="CL29" s="15" t="n">
        <v>1.436679517602264</v>
      </c>
      <c r="CM29" s="15" t="n">
        <v>20000</v>
      </c>
      <c r="CN29" s="15" t="n">
        <v>1.436679517602264</v>
      </c>
      <c r="CO29" s="15" t="n">
        <v>2.157383487500267</v>
      </c>
      <c r="CP29" s="15" t="n">
        <v>41194.92102576998</v>
      </c>
      <c r="CQ29" t="n">
        <v>1.268255954859668</v>
      </c>
      <c r="CR29" t="n">
        <v>0.0746032914623334</v>
      </c>
      <c r="CS29" t="n">
        <v>151.4519155359191</v>
      </c>
      <c r="CT29" t="n">
        <v>151.4519155359191</v>
      </c>
      <c r="CU29" t="n">
        <v>192.0797937533328</v>
      </c>
      <c r="CV29" t="n">
        <v>7.78208493676037</v>
      </c>
      <c r="CW29" s="15" t="n">
        <v>41194.92102576998</v>
      </c>
      <c r="CX29" s="15" t="n">
        <v>112.6702673906454</v>
      </c>
      <c r="CY29" s="15" t="n">
        <v>7.78208493676037</v>
      </c>
      <c r="CZ29" s="15" t="n">
        <v>2.444805166380105</v>
      </c>
      <c r="DA29" s="15" t="n">
        <v>2.444805166380105</v>
      </c>
      <c r="DB29" s="15" t="n">
        <v>1.477678518413896</v>
      </c>
      <c r="DC29" s="15" t="n">
        <v>0</v>
      </c>
      <c r="DD29" s="15" t="n">
        <v>5.934724731844315e-05</v>
      </c>
      <c r="DE29" s="15" t="n">
        <v>0</v>
      </c>
      <c r="DF29" s="15" t="n">
        <v>8</v>
      </c>
      <c r="DG29" s="15" t="inlineStr">
        <is>
          <t>Density_Metrics</t>
        </is>
      </c>
      <c r="DH29" s="15" t="n">
        <v>2.157383487500267</v>
      </c>
      <c r="DI29" t="n">
        <v>0.8807417765297902</v>
      </c>
      <c r="DJ29" s="15" t="n">
        <v>0.5371646638172802</v>
      </c>
      <c r="DK29" s="15" t="n">
        <v>4.730640130363316</v>
      </c>
      <c r="DL29" s="15" t="n">
        <v>1.275679930721124</v>
      </c>
      <c r="DM29" s="15" t="n">
        <v>1.008521307169796</v>
      </c>
      <c r="DN29" s="15" t="n">
        <v>8.245076059959246</v>
      </c>
      <c r="DO29" s="15" t="n">
        <v>1.55662146687103</v>
      </c>
      <c r="DP29" s="15" t="n">
        <v>15.9375</v>
      </c>
      <c r="DQ29" s="15" t="n">
        <v>23</v>
      </c>
      <c r="DR29" s="15" t="b">
        <v>0</v>
      </c>
      <c r="DS29" s="15" t="n">
        <v>1.271571803092926</v>
      </c>
      <c r="DT29" s="15" t="n">
        <v>6.573778162728665</v>
      </c>
      <c r="DU29" t="n">
        <v>17</v>
      </c>
      <c r="DV29" s="15" t="n">
        <v>0.06552369260339627</v>
      </c>
      <c r="DW29" s="15" t="n">
        <v>0.839868143838032</v>
      </c>
      <c r="DX29" s="15" t="n">
        <v>2.216028234589616</v>
      </c>
      <c r="DY29" s="15" t="n">
        <v>0.1953761123043169</v>
      </c>
      <c r="DZ29" s="15" t="b">
        <v>1</v>
      </c>
      <c r="EA29" s="15" t="n">
        <v>0.2347879425930543</v>
      </c>
      <c r="EB29" s="15" t="n">
        <v>20000</v>
      </c>
      <c r="EC29" s="15" t="n">
        <v>9405.074217791551</v>
      </c>
      <c r="ED29" s="15" t="n">
        <v>8</v>
      </c>
      <c r="EE29" s="15" t="n">
        <v>0</v>
      </c>
      <c r="EF29" s="15" t="n">
        <v>0.01833144922159691</v>
      </c>
      <c r="EG29" s="15" t="b">
        <v>0</v>
      </c>
      <c r="EH29" s="15" t="b">
        <v>1</v>
      </c>
      <c r="EI29" s="15" t="b">
        <v>0</v>
      </c>
      <c r="EJ29" s="15" t="inlineStr">
        <is>
          <t>wf=log|dst=-90.0|ceil=20000.0|fft=adaptive_tier</t>
        </is>
      </c>
      <c r="EK29" s="15" t="inlineStr">
        <is>
          <t>wf=log|dst=runtime_configured|ceil=runtime_configured|fft=fixed</t>
        </is>
      </c>
      <c r="EL29" s="15" t="n">
        <v>0.6743151199840842</v>
      </c>
      <c r="EM29" s="15" t="n">
        <v>0.984062692468469</v>
      </c>
      <c r="EN29" s="15" t="n">
        <v>0.4444444444444444</v>
      </c>
      <c r="EO29" s="15" t="n">
        <v>0.3796567640885886</v>
      </c>
      <c r="EP29" s="15" t="inlineStr">
        <is>
          <t>warn:power_outlier_detected</t>
        </is>
      </c>
      <c r="EQ29" s="15" t="n">
        <v>420.4850525392172</v>
      </c>
      <c r="ER29" s="15" t="inlineStr">
        <is>
          <t>winsorize_p95_for_robust_diagnostics</t>
        </is>
      </c>
      <c r="ES29" s="15" t="n">
        <v>0.2160652337070809</v>
      </c>
      <c r="ET29" s="15" t="n">
        <v>0.02712317640252263</v>
      </c>
      <c r="EU29" s="15" t="n">
        <v>0.03157544015456475</v>
      </c>
      <c r="EV29" t="inlineStr">
        <is>
          <t>computed</t>
        </is>
      </c>
      <c r="EW29" s="15" t="inlineStr">
        <is>
          <t>computed</t>
        </is>
      </c>
      <c r="EX29" s="15" t="inlineStr">
        <is>
          <t>computed</t>
        </is>
      </c>
      <c r="EY29" s="15" t="inlineStr">
        <is>
          <t>available_from_curve</t>
        </is>
      </c>
      <c r="EZ29" s="15" t="n">
        <v>20000</v>
      </c>
      <c r="FA29" s="15" t="n">
        <v>20000</v>
      </c>
      <c r="FB29" s="15" t="n">
        <v>0.2255364855658945</v>
      </c>
      <c r="FC29" s="15" t="n">
        <v>0.1974575115819895</v>
      </c>
      <c r="FD29" s="15" t="n">
        <v>2.444805166380105</v>
      </c>
      <c r="FE29" s="15" t="n">
        <v>1.477678518413896</v>
      </c>
      <c r="FF29" s="15" t="n">
        <v>0.8081564455693153</v>
      </c>
      <c r="FG29" s="15" t="n">
        <v>1.809281319114791</v>
      </c>
      <c r="FH29" s="15" t="n">
        <v>0.3046256364184697</v>
      </c>
      <c r="FI29" s="15" t="n">
        <v>0.04347653196700643</v>
      </c>
      <c r="FJ29" s="15" t="n">
        <v>2574.682564110624</v>
      </c>
      <c r="FK29" s="15" t="n">
        <v>7.041891711915338</v>
      </c>
      <c r="FL29" s="15" t="n">
        <v>0.4863803085475231</v>
      </c>
      <c r="FM29" s="15" t="n">
        <v>0.0047928297988487</v>
      </c>
      <c r="FN29" t="n">
        <v>1</v>
      </c>
      <c r="FO29" t="n">
        <v>0</v>
      </c>
      <c r="FP29" t="n">
        <v>0</v>
      </c>
      <c r="FQ29" t="inlineStr">
        <is>
          <t>excellent</t>
        </is>
      </c>
      <c r="FR29" s="19" t="n">
        <v>0.8823529411764706</v>
      </c>
      <c r="FS29" s="15" t="n">
        <v>4.947376775407792</v>
      </c>
      <c r="FT29" s="15" t="n">
        <v>17.12924130206586</v>
      </c>
      <c r="FU29" t="inlineStr">
        <is>
          <t>passed</t>
        </is>
      </c>
      <c r="FV29" t="n">
        <v>69.37178841306952</v>
      </c>
      <c r="FW29" t="n">
        <v>7.259629779954798</v>
      </c>
      <c r="FX29" t="n">
        <v>1.357298184816235</v>
      </c>
      <c r="FY29" t="n">
        <v>0.2589750231482392</v>
      </c>
      <c r="FZ29" t="n">
        <v>0.2172132075639952</v>
      </c>
      <c r="GA29" t="n">
        <v>0.2957963187639813</v>
      </c>
      <c r="GB29" t="n">
        <v>0.08764025844814644</v>
      </c>
      <c r="GC29" t="n">
        <v>0.09252993028208019</v>
      </c>
      <c r="GD29" t="n">
        <v>0.09109866203207657</v>
      </c>
      <c r="GE29" t="n">
        <v>0.7175764014683618</v>
      </c>
      <c r="GF29" t="n">
        <v>0.6880672687959941</v>
      </c>
      <c r="GG29" t="n">
        <v>0.226589022424452</v>
      </c>
      <c r="GH29" t="n">
        <v>0.3181002496327682</v>
      </c>
      <c r="GI29" t="n">
        <v>0.4509803921568628</v>
      </c>
      <c r="GJ29" t="n">
        <v>0.7941176470588236</v>
      </c>
      <c r="GK29" t="n">
        <v>0.2083333333333333</v>
      </c>
      <c r="GL29" t="n">
        <v>0.7156072553528985</v>
      </c>
      <c r="GM29" t="n">
        <v>0.7156072553528985</v>
      </c>
      <c r="GN29" t="n">
        <v>0.3073903749098098</v>
      </c>
      <c r="GO29" t="n">
        <v>0.01900125438144046</v>
      </c>
      <c r="GP29" t="n">
        <v>192.0797937533328</v>
      </c>
      <c r="GQ29" t="inlineStr">
        <is>
          <t>compiled workbook density_weighted_sum = density_component_ratio_weighted_sum (per-note component ratios); research density_weighted_sum maps body-ceiling richness</t>
        </is>
      </c>
      <c r="GR29" s="15" t="inlineStr">
        <is>
          <t>individual_exact</t>
        </is>
      </c>
      <c r="GS29" s="15" t="inlineStr">
        <is>
          <t>density_weight</t>
        </is>
      </c>
      <c r="GT29" s="15" t="n">
        <v>0.8473638660907604</v>
      </c>
      <c r="GU29" s="15" t="n">
        <v>0.1526361339092396</v>
      </c>
      <c r="GV29" s="15" t="n">
        <v>0</v>
      </c>
      <c r="GW29" s="15" t="inlineStr">
        <is>
          <t>log</t>
        </is>
      </c>
      <c r="GX29" s="15" t="n">
        <v>0.5</v>
      </c>
      <c r="GY29" s="15" t="inlineStr">
        <is>
          <t>EWSD-R v18.1</t>
        </is>
      </c>
      <c r="GZ29" s="15" t="n">
        <v>1.688767929094086</v>
      </c>
      <c r="HA29" s="15" t="n">
        <v>12.39273434033851</v>
      </c>
      <c r="HB29" s="15" t="n">
        <v>0.6375954481087882</v>
      </c>
      <c r="HC29" s="15" t="n">
        <v>2.993610138284134</v>
      </c>
      <c r="HD29" s="15" t="n">
        <v>15.13936045273145</v>
      </c>
      <c r="HE29" s="15" t="n">
        <v>0.5197356835195959</v>
      </c>
      <c r="HF29" s="15" t="inlineStr">
        <is>
          <t>partials+ratios</t>
        </is>
      </c>
      <c r="HG29" s="15" t="inlineStr">
        <is>
          <t>merged_individual_exact</t>
        </is>
      </c>
      <c r="HH29" s="15" t="inlineStr">
        <is>
          <t>passed</t>
        </is>
      </c>
      <c r="HI29" s="15" t="inlineStr">
        <is>
          <t>passed</t>
        </is>
      </c>
    </row>
    <row r="30">
      <c r="A30" t="inlineStr">
        <is>
          <t>incomplete_inference</t>
        </is>
      </c>
      <c r="B30" t="inlineStr">
        <is>
          <t>missing_instrument_technique</t>
        </is>
      </c>
      <c r="C30" t="inlineStr">
        <is>
          <t>prior_constrained_harmonic_fit</t>
        </is>
      </c>
      <c r="D30" t="inlineStr">
        <is>
          <t>IOWA_flt_mf.D#6_SustainStable/D#6/component_amplitude_mass_pie.png</t>
        </is>
      </c>
      <c r="E30" t="inlineStr">
        <is>
          <t>IOWA_flt_mf.D#6_SustainStable/D#6/component_energy_ratio_pie.png</t>
        </is>
      </c>
      <c r="F30" s="15" t="n">
        <v>1244.241540376175</v>
      </c>
      <c r="G30" s="15" t="inlineStr">
        <is>
          <t>prior_constrained_harmonic_fit</t>
        </is>
      </c>
      <c r="H30" s="15" t="inlineStr">
        <is>
          <t>fit_accepted_acoustically_verified</t>
        </is>
      </c>
      <c r="I30" s="16" t="n">
        <v>163.9749188526918</v>
      </c>
      <c r="J30" t="inlineStr">
        <is>
          <t>richness_weighted_body_density_body_ceiling</t>
        </is>
      </c>
      <c r="K30" t="inlineStr">
        <is>
          <t>research_body_ceiling_richness_metric</t>
        </is>
      </c>
      <c r="L30" s="15" t="n">
        <v>39228.3709175124</v>
      </c>
      <c r="M30" s="15" t="n">
        <v>39228.3709175124</v>
      </c>
      <c r="N30" s="15" t="n">
        <v>123.4432234012867</v>
      </c>
      <c r="O30" s="15" t="n">
        <v>7.013257266259814</v>
      </c>
      <c r="P30" s="15" t="n">
        <v>-4.002268203550132</v>
      </c>
      <c r="Q30" s="15" t="n">
        <v>13</v>
      </c>
      <c r="R30" s="15" t="n">
        <v>13</v>
      </c>
      <c r="S30" s="15" t="n">
        <v>2451.773182344525</v>
      </c>
      <c r="T30" s="15" t="n">
        <v>17</v>
      </c>
      <c r="U30" s="15" t="n">
        <v>-0.4502739708240819</v>
      </c>
      <c r="V30" s="15" t="n">
        <v>10.45884648013663</v>
      </c>
      <c r="W30" s="15" t="n">
        <v>0.7441939254122475</v>
      </c>
      <c r="X30" s="15" t="n">
        <v>0.3386538912314679</v>
      </c>
      <c r="Y30" s="15" t="n">
        <v>13</v>
      </c>
      <c r="Z30" s="15" t="n">
        <v>16</v>
      </c>
      <c r="AA30" s="15" t="n">
        <v>0.8125</v>
      </c>
      <c r="AB30" s="15" t="n">
        <v>16</v>
      </c>
      <c r="AC30" s="15" t="n">
        <v>13</v>
      </c>
      <c r="AD30" s="15" t="n">
        <v>0.8125</v>
      </c>
      <c r="AE30" s="15" t="n">
        <v>179.2998603951142</v>
      </c>
      <c r="AF30" s="15" t="n">
        <v>13</v>
      </c>
      <c r="AG30" s="15" t="n">
        <v>16</v>
      </c>
      <c r="AH30" s="15" t="n">
        <v>0.8125</v>
      </c>
      <c r="AI30" s="15" t="n">
        <v>179.2998603951142</v>
      </c>
      <c r="AJ30" s="15" t="n">
        <v>7</v>
      </c>
      <c r="AK30" s="15" t="n">
        <v>6</v>
      </c>
      <c r="AL30" s="15" t="n">
        <v>33.84764631145213</v>
      </c>
      <c r="AM30" s="15" t="n">
        <v>32</v>
      </c>
      <c r="AN30" s="15" t="n">
        <v>0</v>
      </c>
      <c r="AO30" s="15" t="n">
        <v>32</v>
      </c>
      <c r="AP30" s="15" t="n">
        <v>0</v>
      </c>
      <c r="AQ30" s="15" t="n">
        <v>16.10166817760027</v>
      </c>
      <c r="AR30" s="15" t="n">
        <v>8.612626294156536</v>
      </c>
      <c r="AS30" s="15" t="n">
        <v>0.1294040568568093</v>
      </c>
      <c r="AT30" s="17" t="n">
        <v>2.412209375212666</v>
      </c>
      <c r="AU30" s="18" t="n">
        <v>4.060103271092546</v>
      </c>
      <c r="AV30" s="15" t="n">
        <v>6.267548048800883</v>
      </c>
      <c r="AW30" s="15" t="b">
        <v>1</v>
      </c>
      <c r="AX30" s="15" t="n">
        <v>7.465821828358592</v>
      </c>
      <c r="AY30" s="15" t="n">
        <v>14.49084307580199</v>
      </c>
      <c r="AZ30" s="15" t="n">
        <v>0</v>
      </c>
      <c r="BA30" s="15" t="n">
        <v>1</v>
      </c>
      <c r="BB30" s="15" t="n">
        <v>0.5</v>
      </c>
      <c r="BC30" s="15" t="n">
        <v>0.25</v>
      </c>
      <c r="BD30" s="15" t="inlineStr">
        <is>
          <t>his_note_adaptive</t>
        </is>
      </c>
      <c r="BE30" s="15" t="n">
        <v>-90</v>
      </c>
      <c r="BF30" s="15" t="n">
        <v>20000</v>
      </c>
      <c r="BG30" s="15" t="n">
        <v>13</v>
      </c>
      <c r="BH30" s="15" t="n">
        <v>0.8125</v>
      </c>
      <c r="BI30" s="15" t="n">
        <v>16</v>
      </c>
      <c r="BJ30" s="15" t="n">
        <v>13</v>
      </c>
      <c r="BK30" s="15" t="n">
        <v>16</v>
      </c>
      <c r="BL30" s="15" t="n">
        <v>13</v>
      </c>
      <c r="BM30" s="15" t="n">
        <v>0.8125</v>
      </c>
      <c r="BN30" s="15" t="n">
        <v>0.2624724244507507</v>
      </c>
      <c r="BO30" s="15" t="n">
        <v>0.2666666666666667</v>
      </c>
      <c r="BP30" s="19" t="n">
        <v>0.7462388168255625</v>
      </c>
      <c r="BQ30" s="19" t="n">
        <v>0.2537611831744375</v>
      </c>
      <c r="BR30" s="19" t="n">
        <v>0</v>
      </c>
      <c r="BS30" s="15" t="n">
        <v>0.0906809553734791</v>
      </c>
      <c r="BT30" s="19" t="n">
        <v>1</v>
      </c>
      <c r="BU30" s="19" t="n">
        <v>0</v>
      </c>
      <c r="BV30" s="19" t="n">
        <v>0</v>
      </c>
      <c r="BW30" t="inlineStr">
        <is>
          <t>D#6</t>
        </is>
      </c>
      <c r="BX30" t="n">
        <v>87</v>
      </c>
      <c r="BY30" t="inlineStr">
        <is>
          <t>D#</t>
        </is>
      </c>
      <c r="BZ30" t="n">
        <v>6</v>
      </c>
      <c r="CA30" t="inlineStr">
        <is>
          <t>Very high</t>
        </is>
      </c>
      <c r="CB30" t="inlineStr">
        <is>
          <t>mf</t>
        </is>
      </c>
      <c r="CC30" s="15" t="n">
        <v>1244.507934888323</v>
      </c>
      <c r="CD30" s="15" t="n">
        <v>1244.241540376175</v>
      </c>
      <c r="CE30" t="inlineStr">
        <is>
          <t>prior_constrained_harmonic_fit</t>
        </is>
      </c>
      <c r="CF30" t="n">
        <v>1244.241540376175</v>
      </c>
      <c r="CG30" s="15" t="n">
        <v>1</v>
      </c>
      <c r="CH30" t="inlineStr">
        <is>
          <t>free_fit_acoustically_verified</t>
        </is>
      </c>
      <c r="CI30" s="15" t="inlineStr">
        <is>
          <t>free_f0_fit</t>
        </is>
      </c>
      <c r="CJ30" s="15" t="n">
        <v>1244.507934888323</v>
      </c>
      <c r="CK30" s="15" t="n">
        <v>1244.241540376175</v>
      </c>
      <c r="CL30" s="15" t="n">
        <v>-0.3706208730615905</v>
      </c>
      <c r="CM30" s="15" t="n">
        <v>20000</v>
      </c>
      <c r="CN30" s="15" t="n">
        <v>-0.3706208730615905</v>
      </c>
      <c r="CO30" s="15" t="n">
        <v>2.145829542431917</v>
      </c>
      <c r="CP30" s="15" t="n">
        <v>39228.3709175124</v>
      </c>
      <c r="CQ30" t="n">
        <v>1.070082143216134</v>
      </c>
      <c r="CR30" t="n">
        <v>0.06688013395100835</v>
      </c>
      <c r="CS30" t="n">
        <v>153.2358238965328</v>
      </c>
      <c r="CT30" t="n">
        <v>153.2358238965328</v>
      </c>
      <c r="CU30" t="n">
        <v>163.9749188526918</v>
      </c>
      <c r="CV30" t="n">
        <v>7.013257266259814</v>
      </c>
      <c r="CW30" s="15" t="n">
        <v>39228.3709175124</v>
      </c>
      <c r="CX30" s="15" t="n">
        <v>123.4432234012867</v>
      </c>
      <c r="CY30" s="15" t="n">
        <v>7.013257266259814</v>
      </c>
      <c r="CZ30" s="15" t="n">
        <v>2.412209375212666</v>
      </c>
      <c r="DA30" s="15" t="n">
        <v>2.412209375212666</v>
      </c>
      <c r="DB30" s="15" t="n">
        <v>1.542342428929393</v>
      </c>
      <c r="DC30" s="15" t="n">
        <v>0</v>
      </c>
      <c r="DD30" s="15" t="n">
        <v>6.149144914238085e-05</v>
      </c>
      <c r="DE30" s="15" t="n">
        <v>0</v>
      </c>
      <c r="DF30" s="15" t="n">
        <v>13</v>
      </c>
      <c r="DG30" s="15" t="inlineStr">
        <is>
          <t>Density_Metrics</t>
        </is>
      </c>
      <c r="DH30" s="15" t="n">
        <v>2.145829542431917</v>
      </c>
      <c r="DI30" t="n">
        <v>0.8760249321836713</v>
      </c>
      <c r="DJ30" s="15" t="n">
        <v>0.5330356718828465</v>
      </c>
      <c r="DK30" s="15" t="n">
        <v>4.748544898292652</v>
      </c>
      <c r="DL30" s="15" t="n">
        <v>1.077208483858992</v>
      </c>
      <c r="DM30" s="15" t="n">
        <v>1.009226655830025</v>
      </c>
      <c r="DN30" s="15" t="n">
        <v>7.51836288909218</v>
      </c>
      <c r="DO30" s="15" t="n">
        <v>1.484994416049364</v>
      </c>
      <c r="DP30" s="15" t="n">
        <v>4.9375</v>
      </c>
      <c r="DQ30" s="15" t="n">
        <v>31</v>
      </c>
      <c r="DR30" s="15" t="b">
        <v>1</v>
      </c>
      <c r="DS30" s="15" t="n">
        <v>1.077275741798638</v>
      </c>
      <c r="DT30" s="15" t="n">
        <v>5.418462259703486</v>
      </c>
      <c r="DU30" t="n">
        <v>16</v>
      </c>
      <c r="DV30" s="15" t="n">
        <v>0.0906809553734791</v>
      </c>
      <c r="DW30" s="15" t="n">
        <v>0.9247489964133843</v>
      </c>
      <c r="DX30" s="15" t="n">
        <v>2.213673629784915</v>
      </c>
      <c r="DY30" s="15" t="n">
        <v>0.2086969585404544</v>
      </c>
      <c r="DZ30" s="15" t="b">
        <v>1</v>
      </c>
      <c r="EA30" s="15" t="n">
        <v>0.2148921913903811</v>
      </c>
      <c r="EB30" s="15" t="n">
        <v>20000</v>
      </c>
      <c r="EC30" s="15" t="n">
        <v>20000</v>
      </c>
      <c r="ED30" s="15" t="n">
        <v/>
      </c>
      <c r="EE30" s="15" t="n">
        <v>0</v>
      </c>
      <c r="EF30" s="15" t="n">
        <v>0.01730258403449416</v>
      </c>
      <c r="EG30" s="15" t="b">
        <v>0</v>
      </c>
      <c r="EH30" s="15" t="b">
        <v>1</v>
      </c>
      <c r="EI30" s="15" t="b">
        <v>0</v>
      </c>
      <c r="EJ30" s="15" t="inlineStr">
        <is>
          <t>wf=log|dst=-90.0|ceil=20000.0|fft=adaptive_tier</t>
        </is>
      </c>
      <c r="EK30" s="15" t="inlineStr">
        <is>
          <t>wf=log|dst=runtime_configured|ceil=runtime_configured|fft=fixed</t>
        </is>
      </c>
      <c r="EL30" s="15" t="n">
        <v>0.790820069057147</v>
      </c>
      <c r="EM30" s="15" t="n">
        <v>0.9954628657446848</v>
      </c>
      <c r="EN30" s="15" t="n">
        <v>0.7647058823529411</v>
      </c>
      <c r="EO30" s="15" t="n">
        <v>0.376073603242547</v>
      </c>
      <c r="EP30" s="15" t="inlineStr">
        <is>
          <t>warn:power_outlier_detected</t>
        </is>
      </c>
      <c r="EQ30" s="15" t="n">
        <v>446.0935698739377</v>
      </c>
      <c r="ER30" s="15" t="inlineStr">
        <is>
          <t>winsorize_p95_for_robust_diagnostics</t>
        </is>
      </c>
      <c r="ES30" s="15" t="n">
        <v>0.1916474646314331</v>
      </c>
      <c r="ET30" s="15" t="n">
        <v>0.02639985194136841</v>
      </c>
      <c r="EU30" s="15" t="n">
        <v>0.03244947792934803</v>
      </c>
      <c r="EV30" t="inlineStr">
        <is>
          <t>computed</t>
        </is>
      </c>
      <c r="EW30" s="15" t="inlineStr">
        <is>
          <t>computed</t>
        </is>
      </c>
      <c r="EX30" s="15" t="inlineStr">
        <is>
          <t>computed</t>
        </is>
      </c>
      <c r="EY30" s="15" t="inlineStr">
        <is>
          <t>available_from_curve</t>
        </is>
      </c>
      <c r="EZ30" s="15" t="n">
        <v>20000</v>
      </c>
      <c r="FA30" s="15" t="n">
        <v>20000</v>
      </c>
      <c r="FB30" s="15" t="n">
        <v>0.2537611831744375</v>
      </c>
      <c r="FC30" s="15" t="n">
        <v>0.08515675389533836</v>
      </c>
      <c r="FD30" s="15" t="n">
        <v>2.412209375212666</v>
      </c>
      <c r="FE30" s="15" t="n">
        <v>1.542342428929393</v>
      </c>
      <c r="FF30" s="15" t="n">
        <v>0.7939930941505922</v>
      </c>
      <c r="FG30" s="15" t="n">
        <v>1.78515876045367</v>
      </c>
      <c r="FH30" s="15" t="n">
        <v>0.3179561982752084</v>
      </c>
      <c r="FI30" s="15" t="n">
        <v>0.04271458370303845</v>
      </c>
      <c r="FJ30" s="15" t="n">
        <v>2451.773182344525</v>
      </c>
      <c r="FK30" s="15" t="n">
        <v>7.715201462580418</v>
      </c>
      <c r="FL30" s="15" t="n">
        <v>0.4383285791412384</v>
      </c>
      <c r="FM30" s="15" t="n">
        <v>0.004553698655066329</v>
      </c>
      <c r="FN30" t="n">
        <v>1</v>
      </c>
      <c r="FO30" t="n">
        <v>0</v>
      </c>
      <c r="FP30" t="n">
        <v>0</v>
      </c>
      <c r="FQ30" t="inlineStr">
        <is>
          <t>good</t>
        </is>
      </c>
      <c r="FR30" s="19" t="n">
        <v>0.8125</v>
      </c>
      <c r="FS30" s="15" t="n">
        <v>1.121913610703924</v>
      </c>
      <c r="FT30" s="15" t="n">
        <v>8.483731824585083</v>
      </c>
      <c r="FU30" t="inlineStr">
        <is>
          <t>passed</t>
        </is>
      </c>
      <c r="FV30" t="n">
        <v>64.33763523422226</v>
      </c>
      <c r="FW30" t="n">
        <v>8.465301936868697</v>
      </c>
      <c r="FX30" t="n">
        <v>1.305725974651593</v>
      </c>
      <c r="FY30" t="n">
        <v>0.2296663568719107</v>
      </c>
      <c r="FZ30" t="n">
        <v>0.1760667947588423</v>
      </c>
      <c r="GA30" t="n">
        <v>0.3061009548026268</v>
      </c>
      <c r="GB30" t="n">
        <v>0.01874300973380327</v>
      </c>
      <c r="GC30" t="n">
        <v>0.02410267077867558</v>
      </c>
      <c r="GD30" t="n">
        <v>0.0507708448501109</v>
      </c>
      <c r="GE30" t="n">
        <v>0.7945017516103999</v>
      </c>
      <c r="GF30" t="n">
        <v>0.5330271106707856</v>
      </c>
      <c r="GG30" t="n">
        <v>0.4100193891220404</v>
      </c>
      <c r="GH30" t="n">
        <v>0.3193330265369033</v>
      </c>
      <c r="GI30" t="n">
        <v>0.75</v>
      </c>
      <c r="GJ30" t="n">
        <v>0.3750000000000001</v>
      </c>
      <c r="GK30" t="n">
        <v>0.3125000000000002</v>
      </c>
      <c r="GL30" t="n">
        <v>0.9725545603552131</v>
      </c>
      <c r="GM30" t="n">
        <v>0.9725545603552131</v>
      </c>
      <c r="GN30" t="n">
        <v>0.08918699085169787</v>
      </c>
      <c r="GO30" t="n">
        <v>0.1117971827861836</v>
      </c>
      <c r="GP30" t="n">
        <v>163.9749188526918</v>
      </c>
      <c r="GQ30" t="inlineStr">
        <is>
          <t>compiled workbook density_weighted_sum = density_component_ratio_weighted_sum (per-note component ratios); research density_weighted_sum maps body-ceiling richness</t>
        </is>
      </c>
      <c r="GR30" s="15" t="inlineStr">
        <is>
          <t>individual_exact</t>
        </is>
      </c>
      <c r="GS30" s="15" t="inlineStr">
        <is>
          <t>density_weight</t>
        </is>
      </c>
      <c r="GT30" s="15" t="n">
        <v>0.836754306442091</v>
      </c>
      <c r="GU30" s="15" t="n">
        <v>0.163245693557909</v>
      </c>
      <c r="GV30" s="15" t="n">
        <v>0</v>
      </c>
      <c r="GW30" s="15" t="inlineStr">
        <is>
          <t>log</t>
        </is>
      </c>
      <c r="GX30" s="15" t="n">
        <v>0.5</v>
      </c>
      <c r="GY30" s="15" t="inlineStr">
        <is>
          <t>EWSD-R v18.1</t>
        </is>
      </c>
      <c r="GZ30" s="15" t="n">
        <v>1.798203326939455</v>
      </c>
      <c r="HA30" s="15" t="n">
        <v>10.25722868071896</v>
      </c>
      <c r="HB30" s="15" t="n">
        <v>0.5080880383203029</v>
      </c>
      <c r="HC30" s="15" t="n">
        <v>3.246326030628476</v>
      </c>
      <c r="HD30" s="15" t="n">
        <v>13.70455227273259</v>
      </c>
      <c r="HE30" s="15" t="n">
        <v>0.4340548072247926</v>
      </c>
      <c r="HF30" s="15" t="inlineStr">
        <is>
          <t>partials+ratios</t>
        </is>
      </c>
      <c r="HG30" s="15" t="inlineStr">
        <is>
          <t>merged_individual_exact</t>
        </is>
      </c>
      <c r="HH30" s="15" t="inlineStr">
        <is>
          <t>passed</t>
        </is>
      </c>
      <c r="HI30" s="15" t="inlineStr">
        <is>
          <t>passed</t>
        </is>
      </c>
    </row>
    <row r="31">
      <c r="A31" t="inlineStr">
        <is>
          <t>incomplete_inference</t>
        </is>
      </c>
      <c r="B31" t="inlineStr">
        <is>
          <t>missing_instrument_technique</t>
        </is>
      </c>
      <c r="C31" t="inlineStr">
        <is>
          <t>prior_constrained_harmonic_fit</t>
        </is>
      </c>
      <c r="D31" t="inlineStr">
        <is>
          <t>IOWA_flt_mf.E6_SustainStable/E6/component_amplitude_mass_pie.png</t>
        </is>
      </c>
      <c r="E31" t="inlineStr">
        <is>
          <t>IOWA_flt_mf.E6_SustainStable/E6/component_energy_ratio_pie.png</t>
        </is>
      </c>
      <c r="F31" s="15" t="n">
        <v>1319.185589335618</v>
      </c>
      <c r="G31" s="15" t="inlineStr">
        <is>
          <t>prior_constrained_harmonic_fit</t>
        </is>
      </c>
      <c r="H31" s="15" t="inlineStr">
        <is>
          <t>fit_accepted_acoustically_verified</t>
        </is>
      </c>
      <c r="I31" s="16" t="n">
        <v>174.8221550355792</v>
      </c>
      <c r="J31" t="inlineStr">
        <is>
          <t>richness_weighted_body_density_body_ceiling</t>
        </is>
      </c>
      <c r="K31" t="inlineStr">
        <is>
          <t>research_body_ceiling_richness_metric</t>
        </is>
      </c>
      <c r="L31" s="15" t="n">
        <v>40497.34153621395</v>
      </c>
      <c r="M31" s="15" t="n">
        <v>40497.34153621395</v>
      </c>
      <c r="N31" s="15" t="n">
        <v>135.7625499018765</v>
      </c>
      <c r="O31" s="15" t="n">
        <v>2.522803129196189</v>
      </c>
      <c r="P31" s="15" t="n">
        <v>-3.722186242978613</v>
      </c>
      <c r="Q31" s="15" t="n">
        <v>14</v>
      </c>
      <c r="R31" s="15" t="n">
        <v>15</v>
      </c>
      <c r="S31" s="15" t="n">
        <v>2531.084148390064</v>
      </c>
      <c r="T31" s="15" t="n">
        <v>16</v>
      </c>
      <c r="U31" s="15" t="n">
        <v>-0.3911391408257255</v>
      </c>
      <c r="V31" s="15" t="n">
        <v>9.467589004361431</v>
      </c>
      <c r="W31" s="15" t="n">
        <v>0.8033706474344374</v>
      </c>
      <c r="X31" s="15" t="n">
        <v>0.3907850354416195</v>
      </c>
      <c r="Y31" s="15" t="n">
        <v>12</v>
      </c>
      <c r="Z31" s="15" t="n">
        <v>15</v>
      </c>
      <c r="AA31" s="15" t="n">
        <v>0.8</v>
      </c>
      <c r="AB31" s="15" t="n">
        <v>15</v>
      </c>
      <c r="AC31" s="15" t="n">
        <v>12</v>
      </c>
      <c r="AD31" s="15" t="n">
        <v>0.8</v>
      </c>
      <c r="AE31" s="15" t="n">
        <v>171.7612177016636</v>
      </c>
      <c r="AF31" s="15" t="n">
        <v>12</v>
      </c>
      <c r="AG31" s="15" t="n">
        <v>15</v>
      </c>
      <c r="AH31" s="15" t="n">
        <v>0.8</v>
      </c>
      <c r="AI31" s="15" t="n">
        <v>171.7612177016636</v>
      </c>
      <c r="AJ31" s="15" t="n">
        <v>6</v>
      </c>
      <c r="AK31" s="15" t="n">
        <v>6</v>
      </c>
      <c r="AL31" s="15" t="n">
        <v>78.13726615352881</v>
      </c>
      <c r="AM31" s="15" t="n">
        <v>17</v>
      </c>
      <c r="AN31" s="15" t="n">
        <v>0</v>
      </c>
      <c r="AO31" s="15" t="n">
        <v>17</v>
      </c>
      <c r="AP31" s="15" t="n">
        <v>0</v>
      </c>
      <c r="AQ31" s="15" t="n">
        <v>12.4897328421171</v>
      </c>
      <c r="AR31" s="15" t="n">
        <v>7.001427879859353</v>
      </c>
      <c r="AS31" s="15" t="n">
        <v>0.05025199032356124</v>
      </c>
      <c r="AT31" s="17" t="n">
        <v>2.39426204361413</v>
      </c>
      <c r="AU31" s="18" t="n">
        <v>3.100426446875322</v>
      </c>
      <c r="AV31" s="15" t="n">
        <v>5.326087615129508</v>
      </c>
      <c r="AW31" s="15" t="b">
        <v>1</v>
      </c>
      <c r="AX31" s="15" t="n">
        <v>6.867861741710267</v>
      </c>
      <c r="AY31" s="15" t="n">
        <v>8.231525015462569</v>
      </c>
      <c r="AZ31" s="15" t="n">
        <v>0</v>
      </c>
      <c r="BA31" s="15" t="n">
        <v>1</v>
      </c>
      <c r="BB31" s="15" t="n">
        <v>0.5</v>
      </c>
      <c r="BC31" s="15" t="n">
        <v>0.25</v>
      </c>
      <c r="BD31" s="15" t="inlineStr">
        <is>
          <t>his_note_adaptive</t>
        </is>
      </c>
      <c r="BE31" s="15" t="n">
        <v>-90</v>
      </c>
      <c r="BF31" s="15" t="n">
        <v>20000</v>
      </c>
      <c r="BG31" s="15" t="n">
        <v>12</v>
      </c>
      <c r="BH31" s="15" t="n">
        <v>0.8</v>
      </c>
      <c r="BI31" s="15" t="n">
        <v>15</v>
      </c>
      <c r="BJ31" s="15" t="n">
        <v>12</v>
      </c>
      <c r="BK31" s="15" t="n">
        <v>15</v>
      </c>
      <c r="BL31" s="15" t="n">
        <v>12</v>
      </c>
      <c r="BM31" s="15" t="n">
        <v>0.8</v>
      </c>
      <c r="BN31" s="15" t="n">
        <v>0.3111890199183447</v>
      </c>
      <c r="BO31" s="15" t="n">
        <v>0.1416666666666667</v>
      </c>
      <c r="BP31" s="19" t="n">
        <v>0.7451823826652911</v>
      </c>
      <c r="BQ31" s="19" t="n">
        <v>0.2548176173347089</v>
      </c>
      <c r="BR31" s="19" t="n">
        <v>0</v>
      </c>
      <c r="BS31" s="15" t="n">
        <v>0.04844339224262748</v>
      </c>
      <c r="BT31" s="19" t="n">
        <v>1</v>
      </c>
      <c r="BU31" s="19" t="n">
        <v>0</v>
      </c>
      <c r="BV31" s="19" t="n">
        <v>0</v>
      </c>
      <c r="BW31" t="inlineStr">
        <is>
          <t>E6</t>
        </is>
      </c>
      <c r="BX31" t="n">
        <v>88</v>
      </c>
      <c r="BY31" t="inlineStr">
        <is>
          <t>E</t>
        </is>
      </c>
      <c r="BZ31" t="n">
        <v>6</v>
      </c>
      <c r="CA31" t="inlineStr">
        <is>
          <t>Very high</t>
        </is>
      </c>
      <c r="CB31" t="inlineStr">
        <is>
          <t>mf</t>
        </is>
      </c>
      <c r="CC31" s="15" t="n">
        <v>1318.510227651479</v>
      </c>
      <c r="CD31" s="15" t="n">
        <v>1319.185589335618</v>
      </c>
      <c r="CE31" t="inlineStr">
        <is>
          <t>prior_constrained_harmonic_fit</t>
        </is>
      </c>
      <c r="CF31" t="n">
        <v>1319.185589335618</v>
      </c>
      <c r="CG31" s="15" t="n">
        <v>1</v>
      </c>
      <c r="CH31" t="inlineStr">
        <is>
          <t>free_fit_acoustically_verified</t>
        </is>
      </c>
      <c r="CI31" s="15" t="inlineStr">
        <is>
          <t>free_f0_fit</t>
        </is>
      </c>
      <c r="CJ31" s="15" t="n">
        <v>1318.510227651479</v>
      </c>
      <c r="CK31" s="15" t="n">
        <v>1319.185589335618</v>
      </c>
      <c r="CL31" s="15" t="n">
        <v>0.8865382892413499</v>
      </c>
      <c r="CM31" s="15" t="n">
        <v>20000</v>
      </c>
      <c r="CN31" s="15" t="n">
        <v>0.8865382892413499</v>
      </c>
      <c r="CO31" s="15" t="n">
        <v>2.12565310643063</v>
      </c>
      <c r="CP31" s="15" t="n">
        <v>40497.34153621395</v>
      </c>
      <c r="CQ31" t="n">
        <v>1.036051148469079</v>
      </c>
      <c r="CR31" t="n">
        <v>0.06907007656460526</v>
      </c>
      <c r="CS31" t="n">
        <v>168.7389230675581</v>
      </c>
      <c r="CT31" t="n">
        <v>168.7389230675581</v>
      </c>
      <c r="CU31" t="n">
        <v>174.8221550355792</v>
      </c>
      <c r="CV31" t="n">
        <v>2.522803129196189</v>
      </c>
      <c r="CW31" s="15" t="n">
        <v>40497.34153621395</v>
      </c>
      <c r="CX31" s="15" t="n">
        <v>135.7625499018765</v>
      </c>
      <c r="CY31" s="15" t="n">
        <v>2.522803129196189</v>
      </c>
      <c r="CZ31" s="15" t="n">
        <v>2.39426204361413</v>
      </c>
      <c r="DA31" s="15" t="n">
        <v>2.39426204361413</v>
      </c>
      <c r="DB31" s="15" t="n">
        <v>1.557576224490378</v>
      </c>
      <c r="DC31" s="15" t="n">
        <v>0</v>
      </c>
      <c r="DD31" s="15" t="n">
        <v>5.912146212049766e-05</v>
      </c>
      <c r="DE31" s="15" t="n">
        <v>0</v>
      </c>
      <c r="DF31" s="15" t="n">
        <v>14</v>
      </c>
      <c r="DG31" s="15" t="inlineStr">
        <is>
          <t>Density_Metrics</t>
        </is>
      </c>
      <c r="DH31" s="15" t="n">
        <v>2.12565310643063</v>
      </c>
      <c r="DI31" t="n">
        <v>0.867787996010398</v>
      </c>
      <c r="DJ31" s="15" t="n">
        <v>0.530745367652421</v>
      </c>
      <c r="DK31" s="15" t="n">
        <v>4.559298156838905</v>
      </c>
      <c r="DL31" s="15" t="n">
        <v>1.043136355329637</v>
      </c>
      <c r="DM31" s="15" t="n">
        <v>1.009459194777006</v>
      </c>
      <c r="DN31" s="15" t="n">
        <v>6.574208220122292</v>
      </c>
      <c r="DO31" s="15" t="n">
        <v>1.469724265624117</v>
      </c>
      <c r="DP31" s="15" t="n">
        <v>12.0625</v>
      </c>
      <c r="DQ31" s="15" t="n">
        <v>33</v>
      </c>
      <c r="DR31" s="15" t="b">
        <v>0</v>
      </c>
      <c r="DS31" s="15" t="n">
        <v>1.036051148469079</v>
      </c>
      <c r="DT31" s="15" t="n">
        <v>5.861775531624292</v>
      </c>
      <c r="DU31" t="n">
        <v>15</v>
      </c>
      <c r="DV31" s="15" t="n">
        <v>0.04844339224262748</v>
      </c>
      <c r="DW31" s="15" t="n">
        <v>0.898628400916744</v>
      </c>
      <c r="DX31" s="15" t="n">
        <v>2.217375293054373</v>
      </c>
      <c r="DY31" s="15" t="n">
        <v>0.2355556029436615</v>
      </c>
      <c r="DZ31" s="15" t="b">
        <v>1</v>
      </c>
      <c r="EA31" s="15" t="n">
        <v>0.3347507100527256</v>
      </c>
      <c r="EB31" s="15" t="n">
        <v>20000</v>
      </c>
      <c r="EC31" s="15" t="n">
        <v>20000</v>
      </c>
      <c r="ED31" s="15" t="n">
        <v/>
      </c>
      <c r="EE31" s="15" t="n">
        <v>0</v>
      </c>
      <c r="EF31" s="15" t="n">
        <v>0.01633146461317542</v>
      </c>
      <c r="EG31" s="15" t="b">
        <v>0</v>
      </c>
      <c r="EH31" s="15" t="b">
        <v>1</v>
      </c>
      <c r="EI31" s="15" t="b">
        <v>0</v>
      </c>
      <c r="EJ31" s="15" t="inlineStr">
        <is>
          <t>wf=log|dst=-90.0|ceil=20000.0|fft=adaptive_tier</t>
        </is>
      </c>
      <c r="EK31" s="15" t="inlineStr">
        <is>
          <t>wf=log|dst=runtime_configured|ceil=runtime_configured|fft=fixed</t>
        </is>
      </c>
      <c r="EL31" s="15" t="n">
        <v>0.830205749806831</v>
      </c>
      <c r="EM31" s="15" t="n">
        <v>0.997624974002122</v>
      </c>
      <c r="EN31" s="15" t="n">
        <v>0.875</v>
      </c>
      <c r="EO31" s="15" t="n">
        <v>0.375122557529381</v>
      </c>
      <c r="EP31" s="15" t="inlineStr">
        <is>
          <t>warn:power_outlier_detected</t>
        </is>
      </c>
      <c r="EQ31" s="15" t="n">
        <v>453.2286704578366</v>
      </c>
      <c r="ER31" s="15" t="inlineStr">
        <is>
          <t>winsorize_p95_for_robust_diagnostics</t>
        </is>
      </c>
      <c r="ES31" s="15" t="n">
        <v>0.2393996246505873</v>
      </c>
      <c r="ET31" s="15" t="n">
        <v>0.02217511732580855</v>
      </c>
      <c r="EU31" s="15" t="n">
        <v>0.02621615576256408</v>
      </c>
      <c r="EV31" t="inlineStr">
        <is>
          <t>computed</t>
        </is>
      </c>
      <c r="EW31" s="15" t="inlineStr">
        <is>
          <t>computed</t>
        </is>
      </c>
      <c r="EX31" s="15" t="inlineStr">
        <is>
          <t>computed</t>
        </is>
      </c>
      <c r="EY31" s="15" t="inlineStr">
        <is>
          <t>available_from_curve</t>
        </is>
      </c>
      <c r="EZ31" s="15" t="n">
        <v>20000</v>
      </c>
      <c r="FA31" s="15" t="n">
        <v>20000</v>
      </c>
      <c r="FB31" s="15" t="n">
        <v>0.2548176173347089</v>
      </c>
      <c r="FC31" s="15" t="n">
        <v>0.04785782771898282</v>
      </c>
      <c r="FD31" s="15" t="n">
        <v>2.39426204361413</v>
      </c>
      <c r="FE31" s="15" t="n">
        <v>1.557576224490378</v>
      </c>
      <c r="FF31" s="15" t="n">
        <v>0.6074598887343973</v>
      </c>
      <c r="FG31" s="15" t="n">
        <v>1.771876813803799</v>
      </c>
      <c r="FH31" s="15" t="n">
        <v>0.3210966680120323</v>
      </c>
      <c r="FI31" s="15" t="n">
        <v>0.03267962461479866</v>
      </c>
      <c r="FJ31" s="15" t="n">
        <v>2531.083846013372</v>
      </c>
      <c r="FK31" s="15" t="n">
        <v>8.485159368867281</v>
      </c>
      <c r="FL31" s="15" t="n">
        <v>0.1576751955747618</v>
      </c>
      <c r="FM31" s="15" t="n">
        <v>0.004643329186242262</v>
      </c>
      <c r="FN31" t="n">
        <v>1</v>
      </c>
      <c r="FO31" t="n">
        <v>0</v>
      </c>
      <c r="FP31" t="n">
        <v>0</v>
      </c>
      <c r="FQ31" t="inlineStr">
        <is>
          <t>good</t>
        </is>
      </c>
      <c r="FR31" s="19" t="n">
        <v>0.8</v>
      </c>
      <c r="FS31" s="15" t="n">
        <v>0.4658791671852735</v>
      </c>
      <c r="FT31" s="15" t="n">
        <v>1.049250443964761</v>
      </c>
      <c r="FU31" t="inlineStr">
        <is>
          <t>passed</t>
        </is>
      </c>
      <c r="FV31" t="n">
        <v>61.72293324916421</v>
      </c>
      <c r="FW31" t="n">
        <v>8.77643446061793</v>
      </c>
      <c r="FX31" t="n">
        <v>0.7625113433776535</v>
      </c>
      <c r="FY31" t="n">
        <v>0.1784851866387825</v>
      </c>
      <c r="FZ31" t="n">
        <v>0.191947486608707</v>
      </c>
      <c r="GA31" t="n">
        <v>0.1971847823128747</v>
      </c>
      <c r="GB31" t="n">
        <v>0.00691523324187948</v>
      </c>
      <c r="GC31" t="n">
        <v>0.009584178088227067</v>
      </c>
      <c r="GD31" t="n">
        <v>0.02145489190076944</v>
      </c>
      <c r="GE31" t="n">
        <v>0.8611024594521137</v>
      </c>
      <c r="GF31" t="n">
        <v>0.7012743810504158</v>
      </c>
      <c r="GG31" t="n">
        <v>0.1020506023620512</v>
      </c>
      <c r="GH31" t="n">
        <v>0.3413074172744063</v>
      </c>
      <c r="GI31" t="n">
        <v>0.7333333333333334</v>
      </c>
      <c r="GJ31" t="n">
        <v>0.3000000000000003</v>
      </c>
      <c r="GK31" t="n">
        <v>0</v>
      </c>
      <c r="GL31" t="n">
        <v>0.9821719498542582</v>
      </c>
      <c r="GM31" t="n">
        <v>0.9821719498542582</v>
      </c>
      <c r="GN31" t="n">
        <v>0.01671417694492312</v>
      </c>
      <c r="GO31" t="n">
        <v>0.01622066256536827</v>
      </c>
      <c r="GP31" t="n">
        <v>174.8221550355792</v>
      </c>
      <c r="GQ31" t="inlineStr">
        <is>
          <t>compiled workbook density_weighted_sum = density_component_ratio_weighted_sum (per-note component ratios); research density_weighted_sum maps body-ceiling richness</t>
        </is>
      </c>
      <c r="GR31" s="15" t="inlineStr">
        <is>
          <t>individual_exact</t>
        </is>
      </c>
      <c r="GS31" s="15" t="inlineStr">
        <is>
          <t>density_weight</t>
        </is>
      </c>
      <c r="GT31" s="15" t="n">
        <v>0.9020534315765795</v>
      </c>
      <c r="GU31" s="15" t="n">
        <v>0.0979465684234206</v>
      </c>
      <c r="GV31" s="15" t="n">
        <v>0</v>
      </c>
      <c r="GW31" s="15" t="inlineStr">
        <is>
          <t>log</t>
        </is>
      </c>
      <c r="GX31" s="15" t="n">
        <v>0.5</v>
      </c>
      <c r="GY31" s="15" t="inlineStr">
        <is>
          <t>EWSD-R v18.1</t>
        </is>
      </c>
      <c r="GZ31" s="15" t="n">
        <v>1.39157113257317</v>
      </c>
      <c r="HA31" s="15" t="n">
        <v>8.212889002700198</v>
      </c>
      <c r="HB31" s="15" t="n">
        <v>0.5733796872220372</v>
      </c>
      <c r="HC31" s="15" t="n">
        <v>2.834483057252246</v>
      </c>
      <c r="HD31" s="15" t="n">
        <v>12.24495265427713</v>
      </c>
      <c r="HE31" s="15" t="n">
        <v>0.4674611546706302</v>
      </c>
      <c r="HF31" s="15" t="inlineStr">
        <is>
          <t>partials+ratios</t>
        </is>
      </c>
      <c r="HG31" s="15" t="inlineStr">
        <is>
          <t>merged_individual_exact</t>
        </is>
      </c>
      <c r="HH31" s="15" t="inlineStr">
        <is>
          <t>passed</t>
        </is>
      </c>
      <c r="HI31" s="15" t="inlineStr">
        <is>
          <t>passed</t>
        </is>
      </c>
    </row>
    <row r="32">
      <c r="A32" t="inlineStr">
        <is>
          <t>incomplete_inference</t>
        </is>
      </c>
      <c r="B32" t="inlineStr">
        <is>
          <t>missing_instrument_technique</t>
        </is>
      </c>
      <c r="C32" t="inlineStr">
        <is>
          <t>prior_constrained_harmonic_fit</t>
        </is>
      </c>
      <c r="D32" t="inlineStr">
        <is>
          <t>IOWA_flt_mf.F6_SustainStable/F6/component_amplitude_mass_pie.png</t>
        </is>
      </c>
      <c r="E32" t="inlineStr">
        <is>
          <t>IOWA_flt_mf.F6_SustainStable/F6/component_energy_ratio_pie.png</t>
        </is>
      </c>
      <c r="F32" s="15" t="n">
        <v>1397.814070436934</v>
      </c>
      <c r="G32" s="15" t="inlineStr">
        <is>
          <t>prior_constrained_harmonic_fit</t>
        </is>
      </c>
      <c r="H32" s="15" t="inlineStr">
        <is>
          <t>fit_accepted_acoustically_verified</t>
        </is>
      </c>
      <c r="I32" s="16" t="n">
        <v>43.71327504216718</v>
      </c>
      <c r="J32" t="inlineStr">
        <is>
          <t>richness_weighted_body_density_body_ceiling</t>
        </is>
      </c>
      <c r="K32" t="inlineStr">
        <is>
          <t>research_body_ceiling_richness_metric</t>
        </is>
      </c>
      <c r="L32" s="15" t="n">
        <v>38743.08508374397</v>
      </c>
      <c r="M32" s="15" t="n">
        <v>38761.53972087758</v>
      </c>
      <c r="N32" s="15" t="n">
        <v>940.4925102127295</v>
      </c>
      <c r="O32" s="15" t="n">
        <v>2.992506873629007</v>
      </c>
      <c r="P32" s="15" t="n">
        <v>-3.763612364967675</v>
      </c>
      <c r="Q32" s="15" t="n">
        <v>13</v>
      </c>
      <c r="R32" s="15" t="n">
        <v>13</v>
      </c>
      <c r="S32" s="15" t="n">
        <v>605.6490581387121</v>
      </c>
      <c r="T32" s="15" t="n">
        <v>15</v>
      </c>
      <c r="U32" s="15" t="n">
        <v>-0.6492006536979323</v>
      </c>
      <c r="V32" s="15" t="n">
        <v>8.742136823927902</v>
      </c>
      <c r="W32" s="15" t="n">
        <v>0.8648637761359399</v>
      </c>
      <c r="X32" s="15" t="n">
        <v>0.2418659833536008</v>
      </c>
      <c r="Y32" s="15" t="n">
        <v>14</v>
      </c>
      <c r="Z32" s="15" t="n">
        <v>14</v>
      </c>
      <c r="AA32" s="15" t="n">
        <v>1</v>
      </c>
      <c r="AB32" s="15" t="n">
        <v>14</v>
      </c>
      <c r="AC32" s="15" t="n">
        <v>14</v>
      </c>
      <c r="AD32" s="15" t="n">
        <v>1</v>
      </c>
      <c r="AE32" s="15" t="n">
        <v>78.62263370037229</v>
      </c>
      <c r="AF32" s="15" t="n">
        <v>14</v>
      </c>
      <c r="AG32" s="15" t="n">
        <v>14</v>
      </c>
      <c r="AH32" s="15" t="n">
        <v>1</v>
      </c>
      <c r="AI32" s="15" t="n">
        <v>78.62263370037229</v>
      </c>
      <c r="AJ32" s="15" t="n">
        <v>7</v>
      </c>
      <c r="AK32" s="15" t="n">
        <v>7</v>
      </c>
      <c r="AL32" s="15" t="n">
        <v>522.501270520088</v>
      </c>
      <c r="AM32" s="15" t="n">
        <v>24</v>
      </c>
      <c r="AN32" s="15" t="n">
        <v>0</v>
      </c>
      <c r="AO32" s="15" t="n">
        <v>24</v>
      </c>
      <c r="AP32" s="15" t="n">
        <v>0</v>
      </c>
      <c r="AQ32" s="15" t="n">
        <v>14.98580140348252</v>
      </c>
      <c r="AR32" s="15" t="n">
        <v>7.668759679371654</v>
      </c>
      <c r="AS32" s="15" t="n">
        <v>0.08303547032579957</v>
      </c>
      <c r="AT32" s="17" t="n">
        <v>2.35490403832563</v>
      </c>
      <c r="AU32" s="18" t="n">
        <v>1.83149730759938</v>
      </c>
      <c r="AV32" s="15" t="n">
        <v>3.229012676769698</v>
      </c>
      <c r="AW32" s="15" t="b">
        <v>1</v>
      </c>
      <c r="AX32" s="15" t="n">
        <v>7.220897227758338</v>
      </c>
      <c r="AY32" s="15" t="n">
        <v>11.76402782212715</v>
      </c>
      <c r="AZ32" s="15" t="n">
        <v>0</v>
      </c>
      <c r="BA32" s="15" t="n">
        <v>1</v>
      </c>
      <c r="BB32" s="15" t="n">
        <v>0.5</v>
      </c>
      <c r="BC32" s="15" t="n">
        <v>0.25</v>
      </c>
      <c r="BD32" s="15" t="inlineStr">
        <is>
          <t>his_note_adaptive</t>
        </is>
      </c>
      <c r="BE32" s="15" t="n">
        <v>-90</v>
      </c>
      <c r="BF32" s="15" t="n">
        <v>20000</v>
      </c>
      <c r="BG32" s="15" t="n">
        <v>14</v>
      </c>
      <c r="BH32" s="15" t="n">
        <v>1</v>
      </c>
      <c r="BI32" s="15" t="n">
        <v>14</v>
      </c>
      <c r="BJ32" s="15" t="n">
        <v>14</v>
      </c>
      <c r="BK32" s="15" t="n">
        <v>14</v>
      </c>
      <c r="BL32" s="15" t="n">
        <v>12</v>
      </c>
      <c r="BM32" s="15" t="n">
        <v>0.8571428571428571</v>
      </c>
      <c r="BN32" s="15" t="n">
        <v>0.2157801660277904</v>
      </c>
      <c r="BO32" s="15" t="n">
        <v>0.2</v>
      </c>
      <c r="BP32" s="19" t="n">
        <v>0.7644754527125087</v>
      </c>
      <c r="BQ32" s="19" t="n">
        <v>0.2355245472874912</v>
      </c>
      <c r="BR32" s="19" t="n">
        <v>0</v>
      </c>
      <c r="BS32" s="15" t="n">
        <v>0.06158722903108428</v>
      </c>
      <c r="BT32" s="19" t="n">
        <v>0.9995120537770725</v>
      </c>
      <c r="BU32" s="19" t="n">
        <v>0.0004879462229274562</v>
      </c>
      <c r="BV32" s="19" t="n">
        <v>0</v>
      </c>
      <c r="BW32" t="inlineStr">
        <is>
          <t>F6</t>
        </is>
      </c>
      <c r="BX32" t="n">
        <v>89</v>
      </c>
      <c r="BY32" t="inlineStr">
        <is>
          <t>F</t>
        </is>
      </c>
      <c r="BZ32" t="n">
        <v>6</v>
      </c>
      <c r="CA32" t="inlineStr">
        <is>
          <t>Very high</t>
        </is>
      </c>
      <c r="CB32" t="inlineStr">
        <is>
          <t>mf</t>
        </is>
      </c>
      <c r="CC32" s="15" t="n">
        <v>1396.912925732016</v>
      </c>
      <c r="CD32" s="15" t="n">
        <v>1397.814070436934</v>
      </c>
      <c r="CE32" t="inlineStr">
        <is>
          <t>prior_constrained_harmonic_fit</t>
        </is>
      </c>
      <c r="CF32" t="n">
        <v>1397.814070436934</v>
      </c>
      <c r="CG32" s="15" t="n">
        <v>1</v>
      </c>
      <c r="CH32" t="inlineStr">
        <is>
          <t>free_fit_acoustically_verified</t>
        </is>
      </c>
      <c r="CI32" s="15" t="inlineStr">
        <is>
          <t>free_f0_fit</t>
        </is>
      </c>
      <c r="CJ32" s="15" t="n">
        <v>1396.912925732016</v>
      </c>
      <c r="CK32" s="15" t="n">
        <v>1397.814070436934</v>
      </c>
      <c r="CL32" s="15" t="n">
        <v>1.116454274422984</v>
      </c>
      <c r="CM32" s="15" t="n">
        <v>20000</v>
      </c>
      <c r="CN32" s="15" t="n">
        <v>1.116454274422984</v>
      </c>
      <c r="CO32" s="15" t="n">
        <v>2.178719494312875</v>
      </c>
      <c r="CP32" s="15" t="n">
        <v>38743.08508374397</v>
      </c>
      <c r="CQ32" t="n">
        <v>1.010955859002098</v>
      </c>
      <c r="CR32" t="n">
        <v>0.07221113278586418</v>
      </c>
      <c r="CS32" t="n">
        <v>43.23954864391012</v>
      </c>
      <c r="CT32" t="n">
        <v>43.26064700990801</v>
      </c>
      <c r="CU32" t="n">
        <v>43.71327504216718</v>
      </c>
      <c r="CV32" t="n">
        <v>2.992506873629007</v>
      </c>
      <c r="CW32" s="15" t="n">
        <v>38761.53972087758</v>
      </c>
      <c r="CX32" s="15" t="n">
        <v>940.4925102127295</v>
      </c>
      <c r="CY32" s="15" t="n">
        <v>2.992506873629007</v>
      </c>
      <c r="CZ32" s="15" t="n">
        <v>2.35490403832563</v>
      </c>
      <c r="DA32" s="15" t="n">
        <v>2.355089455314495</v>
      </c>
      <c r="DB32" s="15" t="n">
        <v>1.975094734271931</v>
      </c>
      <c r="DC32" s="15" t="n">
        <v>0</v>
      </c>
      <c r="DD32" s="15" t="n">
        <v>6.078256373325605e-05</v>
      </c>
      <c r="DE32" s="15" t="n">
        <v>0</v>
      </c>
      <c r="DF32" s="15" t="n">
        <v>13</v>
      </c>
      <c r="DG32" s="15" t="inlineStr">
        <is>
          <t>Density_Metrics</t>
        </is>
      </c>
      <c r="DH32" s="15" t="n">
        <v>2.178719494312875</v>
      </c>
      <c r="DI32" t="n">
        <v>0.8894521020945609</v>
      </c>
      <c r="DJ32" s="15" t="n">
        <v>0.5256801023823044</v>
      </c>
      <c r="DK32" s="15" t="n">
        <v>4.862994223044776</v>
      </c>
      <c r="DL32" s="15" t="n">
        <v>1.06065630926047</v>
      </c>
      <c r="DM32" s="15" t="n">
        <v>1.031549728606034</v>
      </c>
      <c r="DN32" s="15" t="n">
        <v>10.66117239035873</v>
      </c>
      <c r="DO32" s="15" t="n">
        <v>3.090162165666082</v>
      </c>
      <c r="DP32" s="15" t="n">
        <v>14</v>
      </c>
      <c r="DQ32" s="15" t="n">
        <v>28</v>
      </c>
      <c r="DR32" s="15" t="b">
        <v>0</v>
      </c>
      <c r="DS32" s="15" t="n">
        <v>1.010955859002098</v>
      </c>
      <c r="DT32" s="15" t="n">
        <v>3.386123766950411</v>
      </c>
      <c r="DU32" t="n">
        <v>14</v>
      </c>
      <c r="DV32" s="15" t="n">
        <v>0.06158722903108428</v>
      </c>
      <c r="DW32" s="15" t="n">
        <v>0.9205299146767013</v>
      </c>
      <c r="DX32" s="15" t="n">
        <v>1.891845068836278</v>
      </c>
      <c r="DY32" s="15" t="n">
        <v>0.2007515217134581</v>
      </c>
      <c r="DZ32" s="15" t="b">
        <v>1</v>
      </c>
      <c r="EA32" s="15" t="n">
        <v>0.08629011409130635</v>
      </c>
      <c r="EB32" s="15" t="n">
        <v>20000</v>
      </c>
      <c r="EC32" s="15" t="n">
        <v>20000</v>
      </c>
      <c r="ED32" s="15" t="n">
        <v/>
      </c>
      <c r="EE32" s="15" t="n">
        <v>0</v>
      </c>
      <c r="EF32" s="15" t="n">
        <v>0.03082969987369268</v>
      </c>
      <c r="EG32" s="15" t="b">
        <v>0</v>
      </c>
      <c r="EH32" s="15" t="b">
        <v>1</v>
      </c>
      <c r="EI32" s="15" t="b">
        <v>0</v>
      </c>
      <c r="EJ32" s="15" t="inlineStr">
        <is>
          <t>wf=log|dst=-90.0|ceil=20000.0|fft=adaptive_tier</t>
        </is>
      </c>
      <c r="EK32" s="15" t="inlineStr">
        <is>
          <t>wf=log|dst=runtime_configured|ceil=runtime_configured|fft=fixed</t>
        </is>
      </c>
      <c r="EL32" s="15" t="n">
        <v>0.8209816746300398</v>
      </c>
      <c r="EM32" s="15" t="n">
        <v>0.9646651628557155</v>
      </c>
      <c r="EN32" s="15" t="n">
        <v>0.8666666666666667</v>
      </c>
      <c r="EO32" s="15" t="n">
        <v>0.4177450900581722</v>
      </c>
      <c r="EP32" s="15" t="inlineStr">
        <is>
          <t>warn:power_outlier_detected</t>
        </is>
      </c>
      <c r="EQ32" s="15" t="n">
        <v>237.6306040457201</v>
      </c>
      <c r="ER32" s="15" t="inlineStr">
        <is>
          <t>winsorize_p95_for_robust_diagnostics</t>
        </is>
      </c>
      <c r="ES32" s="15" t="n">
        <v>0.09902007533547359</v>
      </c>
      <c r="ET32" s="15" t="n">
        <v>0.0145691619569097</v>
      </c>
      <c r="EU32" s="15" t="n">
        <v>0.01720322697149682</v>
      </c>
      <c r="EV32" t="inlineStr">
        <is>
          <t>computed</t>
        </is>
      </c>
      <c r="EW32" s="15" t="inlineStr">
        <is>
          <t>computed</t>
        </is>
      </c>
      <c r="EX32" s="15" t="inlineStr">
        <is>
          <t>computed</t>
        </is>
      </c>
      <c r="EY32" s="15" t="inlineStr">
        <is>
          <t>available_from_curve</t>
        </is>
      </c>
      <c r="EZ32" s="15" t="n">
        <v>20000</v>
      </c>
      <c r="FA32" s="15" t="n">
        <v>20000</v>
      </c>
      <c r="FB32" s="15" t="n">
        <v>0.2355245472874912</v>
      </c>
      <c r="FC32" s="15" t="n">
        <v>0.05565831195858106</v>
      </c>
      <c r="FD32" s="15" t="n">
        <v>2.355089455314495</v>
      </c>
      <c r="FE32" s="15" t="n">
        <v>1.975094734271931</v>
      </c>
      <c r="FF32" s="15" t="n">
        <v>0.5328100334583501</v>
      </c>
      <c r="FG32" s="15" t="n">
        <v>1.742887087666708</v>
      </c>
      <c r="FH32" s="15" t="n">
        <v>0.4071687331965597</v>
      </c>
      <c r="FI32" s="15" t="n">
        <v>0.02866367344960672</v>
      </c>
      <c r="FJ32" s="15" t="n">
        <v>605.6490581387121</v>
      </c>
      <c r="FK32" s="15" t="n">
        <v>14.6951954720739</v>
      </c>
      <c r="FL32" s="15" t="n">
        <v>0.04675791990045323</v>
      </c>
      <c r="FM32" s="15" t="n">
        <v>0.004576428147320391</v>
      </c>
      <c r="FN32" t="n">
        <v>0.9995120537770725</v>
      </c>
      <c r="FO32" t="n">
        <v>0.0004879462229274562</v>
      </c>
      <c r="FP32" t="n">
        <v>0</v>
      </c>
      <c r="FQ32" t="inlineStr">
        <is>
          <t>excellent</t>
        </is>
      </c>
      <c r="FR32" s="19" t="n">
        <v>0.8571428571428571</v>
      </c>
      <c r="FS32" s="15" t="n">
        <v>2.985839796857727</v>
      </c>
      <c r="FT32" s="15" t="n">
        <v>11.08616159741559</v>
      </c>
      <c r="FU32" t="inlineStr">
        <is>
          <t>passed</t>
        </is>
      </c>
      <c r="FV32" t="n">
        <v>28.18888529519204</v>
      </c>
      <c r="FW32" t="n">
        <v>11.67833537826154</v>
      </c>
      <c r="FX32" t="n">
        <v>0.3013046270725187</v>
      </c>
      <c r="FY32" t="n">
        <v>0.3130976539588345</v>
      </c>
      <c r="FZ32" t="n">
        <v>0</v>
      </c>
      <c r="GA32" t="n">
        <v>0.3719693671212856</v>
      </c>
      <c r="GB32" t="n">
        <v>0.01299709863118617</v>
      </c>
      <c r="GC32" t="n">
        <v>0.0007461096619750376</v>
      </c>
      <c r="GD32" t="n">
        <v>0</v>
      </c>
      <c r="GE32" t="n">
        <v>0.9303101776049705</v>
      </c>
      <c r="GF32" t="n">
        <v>0.2206552732033247</v>
      </c>
      <c r="GG32" t="n">
        <v>0.1978868952033787</v>
      </c>
      <c r="GH32" t="n">
        <v>0.2454122482458888</v>
      </c>
      <c r="GI32" t="n">
        <v>1</v>
      </c>
      <c r="GJ32" t="n">
        <v>0.6428571428571427</v>
      </c>
      <c r="GK32" t="n">
        <v>0.1458333333333333</v>
      </c>
      <c r="GL32" t="n">
        <v>0.8065349094647444</v>
      </c>
      <c r="GM32" t="n">
        <v>0.8065349094647444</v>
      </c>
      <c r="GN32" t="n">
        <v>0.03187072702913173</v>
      </c>
      <c r="GO32" t="n">
        <v>0.08226989245723468</v>
      </c>
      <c r="GP32" t="n">
        <v>43.71327504216718</v>
      </c>
      <c r="GQ32" t="inlineStr">
        <is>
          <t>compiled workbook density_weighted_sum = density_component_ratio_weighted_sum (per-note component ratios); research density_weighted_sum maps body-ceiling richness</t>
        </is>
      </c>
      <c r="GR32" s="15" t="inlineStr">
        <is>
          <t>individual_exact</t>
        </is>
      </c>
      <c r="GS32" s="15" t="inlineStr">
        <is>
          <t>density_weight</t>
        </is>
      </c>
      <c r="GT32" s="15" t="n">
        <v>0.9014198596517478</v>
      </c>
      <c r="GU32" s="15" t="n">
        <v>0.0985801403482521</v>
      </c>
      <c r="GV32" s="15" t="n">
        <v>0</v>
      </c>
      <c r="GW32" s="15" t="inlineStr">
        <is>
          <t>log</t>
        </is>
      </c>
      <c r="GX32" s="15" t="n">
        <v>0.5</v>
      </c>
      <c r="GY32" s="15" t="inlineStr">
        <is>
          <t>EWSD-R v18.1</t>
        </is>
      </c>
      <c r="GZ32" s="15" t="n">
        <v>0.8012112376313826</v>
      </c>
      <c r="HA32" s="15" t="n">
        <v>7.210330315327881</v>
      </c>
      <c r="HB32" s="15" t="n">
        <v>1.085857983560319</v>
      </c>
      <c r="HC32" s="15" t="n">
        <v>1.861134655909612</v>
      </c>
      <c r="HD32" s="15" t="n">
        <v>8.347577386587973</v>
      </c>
      <c r="HE32" s="15" t="n">
        <v>0.5738240487356299</v>
      </c>
      <c r="HF32" s="15" t="inlineStr">
        <is>
          <t>partials+ratios</t>
        </is>
      </c>
      <c r="HG32" s="15" t="inlineStr">
        <is>
          <t>merged_individual_exact</t>
        </is>
      </c>
      <c r="HH32" s="15" t="inlineStr">
        <is>
          <t>passed</t>
        </is>
      </c>
      <c r="HI32" s="15" t="inlineStr">
        <is>
          <t>passed</t>
        </is>
      </c>
    </row>
    <row r="33">
      <c r="A33" t="inlineStr">
        <is>
          <t>incomplete_inference</t>
        </is>
      </c>
      <c r="B33" t="inlineStr">
        <is>
          <t>missing_instrument_technique</t>
        </is>
      </c>
      <c r="C33" t="inlineStr">
        <is>
          <t>prior_constrained_harmonic_fit</t>
        </is>
      </c>
      <c r="D33" t="inlineStr">
        <is>
          <t>IOWA_flt_mf.F#6_SustainStable/F#6/component_amplitude_mass_pie.png</t>
        </is>
      </c>
      <c r="E33" t="inlineStr">
        <is>
          <t>IOWA_flt_mf.F#6_SustainStable/F#6/component_energy_ratio_pie.png</t>
        </is>
      </c>
      <c r="F33" s="15" t="n">
        <v>1479.328786620015</v>
      </c>
      <c r="G33" s="15" t="inlineStr">
        <is>
          <t>prior_constrained_harmonic_fit</t>
        </is>
      </c>
      <c r="H33" s="15" t="inlineStr">
        <is>
          <t>fit_accepted_acoustically_verified</t>
        </is>
      </c>
      <c r="I33" s="16" t="n">
        <v>49.36528291813028</v>
      </c>
      <c r="J33" t="inlineStr">
        <is>
          <t>richness_weighted_body_density_body_ceiling</t>
        </is>
      </c>
      <c r="K33" t="inlineStr">
        <is>
          <t>research_body_ceiling_richness_metric</t>
        </is>
      </c>
      <c r="L33" s="15" t="n">
        <v>39489.14575737995</v>
      </c>
      <c r="M33" s="15" t="n">
        <v>39489.14575737995</v>
      </c>
      <c r="N33" s="15" t="n">
        <v>1226.455989418306</v>
      </c>
      <c r="O33" s="15" t="n">
        <v>4.843515989393439</v>
      </c>
      <c r="P33" s="15" t="n">
        <v>-4.017051702151068</v>
      </c>
      <c r="Q33" s="15" t="n">
        <v>11</v>
      </c>
      <c r="R33" s="15" t="n">
        <v>12</v>
      </c>
      <c r="S33" s="15" t="n">
        <v>617.0183719197981</v>
      </c>
      <c r="T33" s="15" t="n">
        <v>14</v>
      </c>
      <c r="U33" s="15" t="n">
        <v>-0.5064821657876922</v>
      </c>
      <c r="V33" s="15" t="n">
        <v>9.817800345089159</v>
      </c>
      <c r="W33" s="15" t="n">
        <v>0.7723936657599084</v>
      </c>
      <c r="X33" s="15" t="n">
        <v>0.2933427413262696</v>
      </c>
      <c r="Y33" s="15" t="n">
        <v>12</v>
      </c>
      <c r="Z33" s="15" t="n">
        <v>13</v>
      </c>
      <c r="AA33" s="15" t="n">
        <v>0.9230769230769231</v>
      </c>
      <c r="AB33" s="15" t="n">
        <v>13</v>
      </c>
      <c r="AC33" s="15" t="n">
        <v>12</v>
      </c>
      <c r="AD33" s="15" t="n">
        <v>0.9230769230769231</v>
      </c>
      <c r="AE33" s="15" t="n">
        <v>86.37204783231297</v>
      </c>
      <c r="AF33" s="15" t="n">
        <v>12</v>
      </c>
      <c r="AG33" s="15" t="n">
        <v>13</v>
      </c>
      <c r="AH33" s="15" t="n">
        <v>0.9230769230769231</v>
      </c>
      <c r="AI33" s="15" t="n">
        <v>86.37204783231297</v>
      </c>
      <c r="AJ33" s="15" t="n">
        <v>6</v>
      </c>
      <c r="AK33" s="15" t="n">
        <v>6</v>
      </c>
      <c r="AL33" s="15" t="n">
        <v>80.64531543000686</v>
      </c>
      <c r="AM33" s="15" t="n">
        <v>39</v>
      </c>
      <c r="AN33" s="15" t="n">
        <v>0</v>
      </c>
      <c r="AO33" s="15" t="n">
        <v>39</v>
      </c>
      <c r="AP33" s="15" t="n">
        <v>0</v>
      </c>
      <c r="AQ33" s="15" t="n">
        <v>16.33977693452621</v>
      </c>
      <c r="AR33" s="15" t="n">
        <v>8.917130530894289</v>
      </c>
      <c r="AS33" s="15" t="n">
        <v>0.1443631949691914</v>
      </c>
      <c r="AT33" s="17" t="n">
        <v>2.39559473361786</v>
      </c>
      <c r="AU33" s="18" t="n">
        <v>2.926333554646732</v>
      </c>
      <c r="AV33" s="15" t="n">
        <v>4.488042342215028</v>
      </c>
      <c r="AW33" s="15" t="b">
        <v>1</v>
      </c>
      <c r="AX33" s="15" t="n">
        <v>7.087897064393855</v>
      </c>
      <c r="AY33" s="15" t="n">
        <v>18.46850587001759</v>
      </c>
      <c r="AZ33" s="15" t="n">
        <v>0</v>
      </c>
      <c r="BA33" s="15" t="n">
        <v>1</v>
      </c>
      <c r="BB33" s="15" t="n">
        <v>0.5</v>
      </c>
      <c r="BC33" s="15" t="n">
        <v>0.25</v>
      </c>
      <c r="BD33" s="15" t="inlineStr">
        <is>
          <t>his_note_adaptive</t>
        </is>
      </c>
      <c r="BE33" s="15" t="n">
        <v>-90</v>
      </c>
      <c r="BF33" s="15" t="n">
        <v>20000</v>
      </c>
      <c r="BG33" s="15" t="n">
        <v>12</v>
      </c>
      <c r="BH33" s="15" t="n">
        <v>0.9230769230769231</v>
      </c>
      <c r="BI33" s="15" t="n">
        <v>13</v>
      </c>
      <c r="BJ33" s="15" t="n">
        <v>12</v>
      </c>
      <c r="BK33" s="15" t="n">
        <v>13</v>
      </c>
      <c r="BL33" s="15" t="n">
        <v>10</v>
      </c>
      <c r="BM33" s="15" t="n">
        <v>0.7692307692307693</v>
      </c>
      <c r="BN33" s="15" t="n">
        <v>0.2409247367732031</v>
      </c>
      <c r="BO33" s="15" t="n">
        <v>0.325</v>
      </c>
      <c r="BP33" s="19" t="n">
        <v>0.7578042375477519</v>
      </c>
      <c r="BQ33" s="19" t="n">
        <v>0.2421957624522479</v>
      </c>
      <c r="BR33" s="19" t="n">
        <v>0</v>
      </c>
      <c r="BS33" s="15" t="n">
        <v>0.1038706553709665</v>
      </c>
      <c r="BT33" s="19" t="n">
        <v>1</v>
      </c>
      <c r="BU33" s="19" t="n">
        <v>0</v>
      </c>
      <c r="BV33" s="19" t="n">
        <v>0</v>
      </c>
      <c r="BW33" t="inlineStr">
        <is>
          <t>F#6</t>
        </is>
      </c>
      <c r="BX33" t="n">
        <v>90</v>
      </c>
      <c r="BY33" t="inlineStr">
        <is>
          <t>F#</t>
        </is>
      </c>
      <c r="BZ33" t="n">
        <v>6</v>
      </c>
      <c r="CA33" t="inlineStr">
        <is>
          <t>Very high</t>
        </is>
      </c>
      <c r="CB33" t="inlineStr">
        <is>
          <t>mf</t>
        </is>
      </c>
      <c r="CC33" s="15" t="n">
        <v>1479.977690846538</v>
      </c>
      <c r="CD33" s="15" t="n">
        <v>1479.328786620015</v>
      </c>
      <c r="CE33" t="inlineStr">
        <is>
          <t>prior_constrained_harmonic_fit</t>
        </is>
      </c>
      <c r="CF33" t="n">
        <v>1479.328786620015</v>
      </c>
      <c r="CG33" s="15" t="n">
        <v>1</v>
      </c>
      <c r="CH33" t="inlineStr">
        <is>
          <t>free_fit_acoustically_verified</t>
        </is>
      </c>
      <c r="CI33" s="15" t="inlineStr">
        <is>
          <t>free_f0_fit</t>
        </is>
      </c>
      <c r="CJ33" s="15" t="n">
        <v>1479.977690846538</v>
      </c>
      <c r="CK33" s="15" t="n">
        <v>1479.328786620015</v>
      </c>
      <c r="CL33" s="15" t="n">
        <v>-0.7592353938999155</v>
      </c>
      <c r="CM33" s="15" t="n">
        <v>20000</v>
      </c>
      <c r="CN33" s="15" t="n">
        <v>-0.7592353938999155</v>
      </c>
      <c r="CO33" s="15" t="n">
        <v>2.214562370370067</v>
      </c>
      <c r="CP33" s="15" t="n">
        <v>39489.14575737995</v>
      </c>
      <c r="CQ33" t="n">
        <v>1.040081131160165</v>
      </c>
      <c r="CR33" t="n">
        <v>0.08000624085847427</v>
      </c>
      <c r="CS33" t="n">
        <v>47.46291557377398</v>
      </c>
      <c r="CT33" t="n">
        <v>47.46291557377398</v>
      </c>
      <c r="CU33" t="n">
        <v>49.36528291813028</v>
      </c>
      <c r="CV33" t="n">
        <v>4.843515989393439</v>
      </c>
      <c r="CW33" s="15" t="n">
        <v>39489.14575737995</v>
      </c>
      <c r="CX33" s="15" t="n">
        <v>1226.455989418306</v>
      </c>
      <c r="CY33" s="15" t="n">
        <v>4.843515989393439</v>
      </c>
      <c r="CZ33" s="15" t="n">
        <v>2.39559473361786</v>
      </c>
      <c r="DA33" s="15" t="n">
        <v>2.39559473361786</v>
      </c>
      <c r="DB33" s="15" t="n">
        <v>1.983560857100674</v>
      </c>
      <c r="DC33" s="15" t="n">
        <v>0</v>
      </c>
      <c r="DD33" s="15" t="n">
        <v>6.066463803335523e-05</v>
      </c>
      <c r="DE33" s="15" t="n">
        <v>0</v>
      </c>
      <c r="DF33" s="15" t="n">
        <v>11</v>
      </c>
      <c r="DG33" s="15" t="inlineStr">
        <is>
          <t>Density_Metrics</t>
        </is>
      </c>
      <c r="DH33" s="15" t="n">
        <v>2.214562370370067</v>
      </c>
      <c r="DI33" t="n">
        <v>0.9040847895687415</v>
      </c>
      <c r="DJ33" s="15" t="n">
        <v>0.5309158513433526</v>
      </c>
      <c r="DK33" s="15" t="n">
        <v>4.988579074475948</v>
      </c>
      <c r="DL33" s="15" t="n">
        <v>1.105694517551371</v>
      </c>
      <c r="DM33" s="15" t="n">
        <v>1.056139645790221</v>
      </c>
      <c r="DN33" s="15" t="n">
        <v>9.05025476363299</v>
      </c>
      <c r="DO33" s="15" t="n">
        <v>2.343227323278805</v>
      </c>
      <c r="DP33" s="15" t="n">
        <v>18.0625</v>
      </c>
      <c r="DQ33" s="15" t="n">
        <v>24</v>
      </c>
      <c r="DR33" s="15" t="b">
        <v>0</v>
      </c>
      <c r="DS33" s="15" t="n">
        <v>1.040081131160165</v>
      </c>
      <c r="DT33" s="15" t="n">
        <v>3.813455637241505</v>
      </c>
      <c r="DU33" t="n">
        <v>13</v>
      </c>
      <c r="DV33" s="15" t="n">
        <v>0.1038706553709665</v>
      </c>
      <c r="DW33" s="15" t="n">
        <v>0.932289771195839</v>
      </c>
      <c r="DX33" s="15" t="n">
        <v>1.904177856238217</v>
      </c>
      <c r="DY33" s="15" t="n">
        <v>0.2016410482807831</v>
      </c>
      <c r="DZ33" s="15" t="b">
        <v>1</v>
      </c>
      <c r="EA33" s="15" t="n">
        <v>0.1385457498616673</v>
      </c>
      <c r="EB33" s="15" t="n">
        <v>20000</v>
      </c>
      <c r="EC33" s="15" t="n">
        <v>20000</v>
      </c>
      <c r="ED33" s="15" t="n">
        <v/>
      </c>
      <c r="EE33" s="15" t="n">
        <v>0</v>
      </c>
      <c r="EF33" s="15" t="n">
        <v>0.02909936177846458</v>
      </c>
      <c r="EG33" s="15" t="b">
        <v>0</v>
      </c>
      <c r="EH33" s="15" t="b">
        <v>1</v>
      </c>
      <c r="EI33" s="15" t="b">
        <v>0</v>
      </c>
      <c r="EJ33" s="15" t="inlineStr">
        <is>
          <t>wf=log|dst=-90.0|ceil=20000.0|fft=adaptive_tier</t>
        </is>
      </c>
      <c r="EK33" s="15" t="inlineStr">
        <is>
          <t>wf=log|dst=runtime_configured|ceil=runtime_configured|fft=fixed</t>
        </is>
      </c>
      <c r="EL33" s="15" t="n">
        <v>0.8076122103916067</v>
      </c>
      <c r="EM33" s="15" t="n">
        <v>0.9955320359529833</v>
      </c>
      <c r="EN33" s="15" t="n">
        <v>0.7857142857142857</v>
      </c>
      <c r="EO33" s="15" t="n">
        <v>0.4231139710638211</v>
      </c>
      <c r="EP33" s="15" t="inlineStr">
        <is>
          <t>warn:power_outlier_detected</t>
        </is>
      </c>
      <c r="EQ33" s="15" t="n">
        <v>220.9029082396618</v>
      </c>
      <c r="ER33" s="15" t="inlineStr">
        <is>
          <t>winsorize_p95_for_robust_diagnostics</t>
        </is>
      </c>
      <c r="ES33" s="15" t="n">
        <v>0.1624334138248517</v>
      </c>
      <c r="ET33" s="15" t="n">
        <v>0.02888998544796201</v>
      </c>
      <c r="EU33" s="15" t="n">
        <v>0.03487104460262495</v>
      </c>
      <c r="EV33" t="inlineStr">
        <is>
          <t>computed</t>
        </is>
      </c>
      <c r="EW33" s="15" t="inlineStr">
        <is>
          <t>computed</t>
        </is>
      </c>
      <c r="EX33" s="15" t="inlineStr">
        <is>
          <t>computed</t>
        </is>
      </c>
      <c r="EY33" s="15" t="inlineStr">
        <is>
          <t>available_from_curve</t>
        </is>
      </c>
      <c r="EZ33" s="15" t="n">
        <v>20000</v>
      </c>
      <c r="FA33" s="15" t="n">
        <v>20000</v>
      </c>
      <c r="FB33" s="15" t="n">
        <v>0.2421957624522479</v>
      </c>
      <c r="FC33" s="15" t="n">
        <v>0.06017309057449115</v>
      </c>
      <c r="FD33" s="15" t="n">
        <v>2.39559473361786</v>
      </c>
      <c r="FE33" s="15" t="n">
        <v>1.983560857100674</v>
      </c>
      <c r="FF33" s="15" t="n">
        <v>0.6094234837574133</v>
      </c>
      <c r="FG33" s="15" t="n">
        <v>1.772863072815797</v>
      </c>
      <c r="FH33" s="15" t="n">
        <v>0.4089140370786728</v>
      </c>
      <c r="FI33" s="15" t="n">
        <v>0.0327852604755982</v>
      </c>
      <c r="FJ33" s="15" t="n">
        <v>617.0179024590617</v>
      </c>
      <c r="FK33" s="15" t="n">
        <v>19.16337483466103</v>
      </c>
      <c r="FL33" s="15" t="n">
        <v>0.07567993733427249</v>
      </c>
      <c r="FM33" s="15" t="n">
        <v>0.004591845440684385</v>
      </c>
      <c r="FN33" t="n">
        <v>1</v>
      </c>
      <c r="FO33" t="n">
        <v>0</v>
      </c>
      <c r="FP33" t="n">
        <v>0</v>
      </c>
      <c r="FQ33" t="inlineStr">
        <is>
          <t>good</t>
        </is>
      </c>
      <c r="FR33" s="19" t="n">
        <v>0.7692307692307693</v>
      </c>
      <c r="FS33" s="15" t="n">
        <v>1.495937466417527</v>
      </c>
      <c r="FT33" s="15" t="n">
        <v>2.939834796433954</v>
      </c>
      <c r="FU33" t="inlineStr">
        <is>
          <t>passed</t>
        </is>
      </c>
      <c r="FV33" t="n">
        <v>30.95669873327785</v>
      </c>
      <c r="FW33" t="n">
        <v>11.91068658855277</v>
      </c>
      <c r="FX33" t="n">
        <v>0.3835498104385388</v>
      </c>
      <c r="FY33" t="n">
        <v>0.4040195759975437</v>
      </c>
      <c r="FZ33" t="n">
        <v>0.008274715687741727</v>
      </c>
      <c r="GA33" t="n">
        <v>0.4442465499964287</v>
      </c>
      <c r="GB33" t="n">
        <v>0.02863163290463311</v>
      </c>
      <c r="GC33" t="n">
        <v>0.01100345889896613</v>
      </c>
      <c r="GD33" t="n">
        <v>0.03181222028214773</v>
      </c>
      <c r="GE33" t="n">
        <v>0.8262392761627484</v>
      </c>
      <c r="GF33" t="n">
        <v>0.3867905872869901</v>
      </c>
      <c r="GG33" t="n">
        <v>0.5061900865974212</v>
      </c>
      <c r="GH33" t="n">
        <v>0.2984461678308843</v>
      </c>
      <c r="GI33" t="n">
        <v>0.8974358974358975</v>
      </c>
      <c r="GJ33" t="n">
        <v>0.1153846153846157</v>
      </c>
      <c r="GK33" t="n">
        <v>0.4583333333333334</v>
      </c>
      <c r="GL33" t="n">
        <v>0.8672672078740632</v>
      </c>
      <c r="GM33" t="n">
        <v>0.8672672078740632</v>
      </c>
      <c r="GN33" t="n">
        <v>0.04064306296486585</v>
      </c>
      <c r="GO33" t="n">
        <v>0.1180978510726608</v>
      </c>
      <c r="GP33" t="n">
        <v>49.36528291813028</v>
      </c>
      <c r="GQ33" t="inlineStr">
        <is>
          <t>compiled workbook density_weighted_sum = density_component_ratio_weighted_sum (per-note component ratios); research density_weighted_sum maps body-ceiling richness</t>
        </is>
      </c>
      <c r="GR33" s="15" t="inlineStr">
        <is>
          <t>individual_exact</t>
        </is>
      </c>
      <c r="GS33" s="15" t="inlineStr">
        <is>
          <t>density_weight</t>
        </is>
      </c>
      <c r="GT33" s="15" t="n">
        <v>0.8392675209434738</v>
      </c>
      <c r="GU33" s="15" t="n">
        <v>0.1607324790565262</v>
      </c>
      <c r="GV33" s="15" t="n">
        <v>0</v>
      </c>
      <c r="GW33" s="15" t="inlineStr">
        <is>
          <t>log</t>
        </is>
      </c>
      <c r="GX33" s="15" t="n">
        <v>0.5</v>
      </c>
      <c r="GY33" s="15" t="inlineStr">
        <is>
          <t>EWSD-R v18.1</t>
        </is>
      </c>
      <c r="GZ33" s="15" t="n">
        <v>1.217585285121108</v>
      </c>
      <c r="HA33" s="15" t="n">
        <v>6.930713524355111</v>
      </c>
      <c r="HB33" s="15" t="n">
        <v>0.5148655113309264</v>
      </c>
      <c r="HC33" s="15" t="n">
        <v>2.436539317202728</v>
      </c>
      <c r="HD33" s="15" t="n">
        <v>9.021873451815633</v>
      </c>
      <c r="HE33" s="15" t="n">
        <v>0.3685481547911788</v>
      </c>
      <c r="HF33" s="15" t="inlineStr">
        <is>
          <t>partials+ratios</t>
        </is>
      </c>
      <c r="HG33" s="15" t="inlineStr">
        <is>
          <t>merged_individual_exact</t>
        </is>
      </c>
      <c r="HH33" s="15" t="inlineStr">
        <is>
          <t>passed</t>
        </is>
      </c>
      <c r="HI33" s="15" t="inlineStr">
        <is>
          <t>passed</t>
        </is>
      </c>
    </row>
    <row r="34">
      <c r="A34" t="inlineStr">
        <is>
          <t>incomplete_inference</t>
        </is>
      </c>
      <c r="B34" t="inlineStr">
        <is>
          <t>missing_instrument_technique</t>
        </is>
      </c>
      <c r="C34" t="inlineStr">
        <is>
          <t>prior_constrained_harmonic_fit</t>
        </is>
      </c>
      <c r="D34" t="inlineStr">
        <is>
          <t>IOWA_flt_mf.G6_SustainStable/G6/component_amplitude_mass_pie.png</t>
        </is>
      </c>
      <c r="E34" t="inlineStr">
        <is>
          <t>IOWA_flt_mf.G6_SustainStable/G6/component_energy_ratio_pie.png</t>
        </is>
      </c>
      <c r="F34" s="15" t="n">
        <v>1569.059053072746</v>
      </c>
      <c r="G34" s="15" t="inlineStr">
        <is>
          <t>prior_constrained_harmonic_fit</t>
        </is>
      </c>
      <c r="H34" s="15" t="inlineStr">
        <is>
          <t>fit_accepted_acoustically_verified</t>
        </is>
      </c>
      <c r="I34" s="16" t="n">
        <v>71.62643126231141</v>
      </c>
      <c r="J34" t="inlineStr">
        <is>
          <t>richness_weighted_body_density_body_ceiling</t>
        </is>
      </c>
      <c r="K34" t="inlineStr">
        <is>
          <t>research_body_ceiling_richness_metric</t>
        </is>
      </c>
      <c r="L34" s="15" t="n">
        <v>39358.51085364041</v>
      </c>
      <c r="M34" s="15" t="n">
        <v>39358.51085364041</v>
      </c>
      <c r="N34" s="15" t="n">
        <v>600.3192313957246</v>
      </c>
      <c r="O34" s="15" t="n">
        <v>39.90383230360735</v>
      </c>
      <c r="P34" s="15" t="n">
        <v>-3.854262095917369</v>
      </c>
      <c r="Q34" s="15" t="n">
        <v>10</v>
      </c>
      <c r="R34" s="15" t="n">
        <v>10</v>
      </c>
      <c r="S34" s="15" t="n">
        <v>614.9767320881314</v>
      </c>
      <c r="T34" s="15" t="n">
        <v>13</v>
      </c>
      <c r="U34" s="15" t="n">
        <v>-0.1152020734228077</v>
      </c>
      <c r="V34" s="15" t="n">
        <v>14.92949297682763</v>
      </c>
      <c r="W34" s="15" t="n">
        <v>0.5239040590820903</v>
      </c>
      <c r="X34" s="15" t="n">
        <v>0.4659845545221666</v>
      </c>
      <c r="Y34" s="15" t="n">
        <v>12</v>
      </c>
      <c r="Z34" s="15" t="n">
        <v>12</v>
      </c>
      <c r="AA34" s="15" t="n">
        <v>1</v>
      </c>
      <c r="AB34" s="15" t="n">
        <v>12</v>
      </c>
      <c r="AC34" s="15" t="n">
        <v>12</v>
      </c>
      <c r="AD34" s="15" t="n">
        <v>1</v>
      </c>
      <c r="AE34" s="15" t="n">
        <v>113.8372669331731</v>
      </c>
      <c r="AF34" s="15" t="n">
        <v>12</v>
      </c>
      <c r="AG34" s="15" t="n">
        <v>12</v>
      </c>
      <c r="AH34" s="15" t="n">
        <v>1</v>
      </c>
      <c r="AI34" s="15" t="n">
        <v>113.8372669331731</v>
      </c>
      <c r="AJ34" s="15" t="n">
        <v>6</v>
      </c>
      <c r="AK34" s="15" t="n">
        <v>6</v>
      </c>
      <c r="AL34" s="15" t="n">
        <v>5.826246374954689</v>
      </c>
      <c r="AM34" s="15" t="n">
        <v>62</v>
      </c>
      <c r="AN34" s="15" t="n">
        <v>0</v>
      </c>
      <c r="AO34" s="15" t="n">
        <v>62</v>
      </c>
      <c r="AP34" s="15" t="n">
        <v>0</v>
      </c>
      <c r="AQ34" s="15" t="n">
        <v>21.92168804948685</v>
      </c>
      <c r="AR34" s="15" t="n">
        <v>12.8290281408047</v>
      </c>
      <c r="AS34" s="15" t="n">
        <v>0.3365398860230663</v>
      </c>
      <c r="AT34" s="17" t="n">
        <v>2.514144989963434</v>
      </c>
      <c r="AU34" s="18" t="n">
        <v>6.345569425244911</v>
      </c>
      <c r="AV34" s="15" t="n">
        <v>7.930713373893051</v>
      </c>
      <c r="AW34" s="15" t="b">
        <v>1</v>
      </c>
      <c r="AX34" s="15" t="n">
        <v>8.234244431218338</v>
      </c>
      <c r="AY34" s="15" t="n">
        <v>31.38949627278377</v>
      </c>
      <c r="AZ34" s="15" t="n">
        <v>0</v>
      </c>
      <c r="BA34" s="15" t="n">
        <v>1</v>
      </c>
      <c r="BB34" s="15" t="n">
        <v>0.5</v>
      </c>
      <c r="BC34" s="15" t="n">
        <v>0.25</v>
      </c>
      <c r="BD34" s="15" t="inlineStr">
        <is>
          <t>his_note_adaptive</t>
        </is>
      </c>
      <c r="BE34" s="15" t="n">
        <v>-90</v>
      </c>
      <c r="BF34" s="15" t="n">
        <v>20000</v>
      </c>
      <c r="BG34" s="15" t="n">
        <v>12</v>
      </c>
      <c r="BH34" s="15" t="n">
        <v>1</v>
      </c>
      <c r="BI34" s="15" t="n">
        <v>12</v>
      </c>
      <c r="BJ34" s="15" t="n">
        <v>12</v>
      </c>
      <c r="BK34" s="15" t="n">
        <v>12</v>
      </c>
      <c r="BL34" s="15" t="n">
        <v>9</v>
      </c>
      <c r="BM34" s="15" t="n">
        <v>0.75</v>
      </c>
      <c r="BN34" s="15" t="n">
        <v>0.4013349203348047</v>
      </c>
      <c r="BO34" s="15" t="n">
        <v>0.5166666666666667</v>
      </c>
      <c r="BP34" s="19" t="n">
        <v>0.7691090235613852</v>
      </c>
      <c r="BQ34" s="19" t="n">
        <v>0.2308909764386148</v>
      </c>
      <c r="BR34" s="19" t="n">
        <v>0</v>
      </c>
      <c r="BS34" s="15" t="n">
        <v>0.1551063210876888</v>
      </c>
      <c r="BT34" s="19" t="n">
        <v>1</v>
      </c>
      <c r="BU34" s="19" t="n">
        <v>0</v>
      </c>
      <c r="BV34" s="19" t="n">
        <v>0</v>
      </c>
      <c r="BW34" t="inlineStr">
        <is>
          <t>G6</t>
        </is>
      </c>
      <c r="BX34" t="n">
        <v>91</v>
      </c>
      <c r="BY34" t="inlineStr">
        <is>
          <t>G</t>
        </is>
      </c>
      <c r="BZ34" t="n">
        <v>6</v>
      </c>
      <c r="CA34" t="inlineStr">
        <is>
          <t>Very high</t>
        </is>
      </c>
      <c r="CB34" t="inlineStr">
        <is>
          <t>mf</t>
        </is>
      </c>
      <c r="CC34" s="15" t="n">
        <v>1567.981743926997</v>
      </c>
      <c r="CD34" s="15" t="n">
        <v>1569.059053072746</v>
      </c>
      <c r="CE34" t="inlineStr">
        <is>
          <t>prior_constrained_harmonic_fit</t>
        </is>
      </c>
      <c r="CF34" t="n">
        <v>1569.059053072746</v>
      </c>
      <c r="CG34" s="15" t="n">
        <v>1</v>
      </c>
      <c r="CH34" t="inlineStr">
        <is>
          <t>free_fit_acoustically_verified</t>
        </is>
      </c>
      <c r="CI34" s="15" t="inlineStr">
        <is>
          <t>free_f0_fit</t>
        </is>
      </c>
      <c r="CJ34" s="15" t="n">
        <v>1567.981743926997</v>
      </c>
      <c r="CK34" s="15" t="n">
        <v>1569.059053072746</v>
      </c>
      <c r="CL34" s="15" t="n">
        <v>1.189066045679091</v>
      </c>
      <c r="CM34" s="15" t="n">
        <v>20000</v>
      </c>
      <c r="CN34" s="15" t="n">
        <v>1.189066045679091</v>
      </c>
      <c r="CO34" s="15" t="n">
        <v>2.299643614332764</v>
      </c>
      <c r="CP34" s="15" t="n">
        <v>39358.51085364041</v>
      </c>
      <c r="CQ34" t="n">
        <v>1.397641781062638</v>
      </c>
      <c r="CR34" t="n">
        <v>0.1164701484218865</v>
      </c>
      <c r="CS34" t="n">
        <v>51.24806100734428</v>
      </c>
      <c r="CT34" t="n">
        <v>51.24806100734428</v>
      </c>
      <c r="CU34" t="n">
        <v>71.62643126231141</v>
      </c>
      <c r="CV34" t="n">
        <v>39.90383230360735</v>
      </c>
      <c r="CW34" s="15" t="n">
        <v>39358.51085364041</v>
      </c>
      <c r="CX34" s="15" t="n">
        <v>600.3192313957246</v>
      </c>
      <c r="CY34" s="15" t="n">
        <v>39.90383230360735</v>
      </c>
      <c r="CZ34" s="15" t="n">
        <v>2.514144989963434</v>
      </c>
      <c r="DA34" s="15" t="n">
        <v>2.514144989963434</v>
      </c>
      <c r="DB34" s="15" t="n">
        <v>1.870862524108638</v>
      </c>
      <c r="DC34" s="15" t="n">
        <v>0</v>
      </c>
      <c r="DD34" s="15" t="n">
        <v>6.387805167000855e-05</v>
      </c>
      <c r="DE34" s="15" t="n">
        <v>0</v>
      </c>
      <c r="DF34" s="15" t="n">
        <v>10</v>
      </c>
      <c r="DG34" s="15" t="inlineStr">
        <is>
          <t>Density_Metrics</t>
        </is>
      </c>
      <c r="DH34" s="15" t="n">
        <v>2.299643614332764</v>
      </c>
      <c r="DI34" t="n">
        <v>0.938818811772599</v>
      </c>
      <c r="DJ34" s="15" t="n">
        <v>0.5458196760670818</v>
      </c>
      <c r="DK34" s="15" t="n">
        <v>5.376995688277291</v>
      </c>
      <c r="DL34" s="15" t="n">
        <v>1.443403475788122</v>
      </c>
      <c r="DM34" s="15" t="n">
        <v>1.070675353982897</v>
      </c>
      <c r="DN34" s="15" t="n">
        <v>13.18444270025231</v>
      </c>
      <c r="DO34" s="15" t="n">
        <v>1.896080382636887</v>
      </c>
      <c r="DP34" s="15" t="n">
        <v>38.3125</v>
      </c>
      <c r="DQ34" s="15" t="n">
        <v>22</v>
      </c>
      <c r="DR34" s="15" t="b">
        <v>0</v>
      </c>
      <c r="DS34" s="15" t="n">
        <v>1.397641781062638</v>
      </c>
      <c r="DT34" s="15" t="n">
        <v>5.591814654265999</v>
      </c>
      <c r="DU34" t="n">
        <v>12</v>
      </c>
      <c r="DV34" s="15" t="n">
        <v>0.1551063210876888</v>
      </c>
      <c r="DW34" s="15" t="n">
        <v>0.990313227130919</v>
      </c>
      <c r="DX34" s="15" t="n">
        <v>1.943438502399436</v>
      </c>
      <c r="DY34" s="15" t="n">
        <v>0.1580301681936679</v>
      </c>
      <c r="DZ34" s="15" t="b">
        <v>1</v>
      </c>
      <c r="EA34" s="15" t="n">
        <v>0.06233316856225889</v>
      </c>
      <c r="EB34" s="15" t="n">
        <v>20000</v>
      </c>
      <c r="EC34" s="15" t="n">
        <v>20000</v>
      </c>
      <c r="ED34" s="15" t="n">
        <v/>
      </c>
      <c r="EE34" s="15" t="n">
        <v>0</v>
      </c>
      <c r="EF34" s="15" t="n">
        <v>0.0274661400981242</v>
      </c>
      <c r="EG34" s="15" t="b">
        <v>0</v>
      </c>
      <c r="EH34" s="15" t="b">
        <v>1</v>
      </c>
      <c r="EI34" s="15" t="b">
        <v>0</v>
      </c>
      <c r="EJ34" s="15" t="inlineStr">
        <is>
          <t>wf=log|dst=-90.0|ceil=20000.0|fft=adaptive_tier</t>
        </is>
      </c>
      <c r="EK34" s="15" t="inlineStr">
        <is>
          <t>wf=log|dst=runtime_configured|ceil=runtime_configured|fft=fixed</t>
        </is>
      </c>
      <c r="EL34" s="15" t="n">
        <v>0.7898995465335239</v>
      </c>
      <c r="EM34" s="15" t="n">
        <v>0.962413450023758</v>
      </c>
      <c r="EN34" s="15" t="n">
        <v>0.7692307692307693</v>
      </c>
      <c r="EO34" s="15" t="n">
        <v>0.4379136239603174</v>
      </c>
      <c r="EP34" s="15" t="inlineStr">
        <is>
          <t>warn:power_outlier_detected</t>
        </is>
      </c>
      <c r="EQ34" s="15" t="n">
        <v>182.1123801491811</v>
      </c>
      <c r="ER34" s="15" t="inlineStr">
        <is>
          <t>winsorize_p95_for_robust_diagnostics</t>
        </is>
      </c>
      <c r="ES34" s="15" t="n">
        <v>0.09530163748651888</v>
      </c>
      <c r="ET34" s="15" t="n">
        <v>0.07178469473112128</v>
      </c>
      <c r="EU34" s="15" t="n">
        <v>0.08193239544571441</v>
      </c>
      <c r="EV34" t="inlineStr">
        <is>
          <t>computed</t>
        </is>
      </c>
      <c r="EW34" s="15" t="inlineStr">
        <is>
          <t>computed</t>
        </is>
      </c>
      <c r="EX34" s="15" t="inlineStr">
        <is>
          <t>computed</t>
        </is>
      </c>
      <c r="EY34" s="15" t="inlineStr">
        <is>
          <t>available_from_curve</t>
        </is>
      </c>
      <c r="EZ34" s="15" t="n">
        <v>20000</v>
      </c>
      <c r="FA34" s="15" t="n">
        <v>20000</v>
      </c>
      <c r="FB34" s="15" t="n">
        <v>0.2308909764386148</v>
      </c>
      <c r="FC34" s="15" t="n">
        <v>0.3131215172964777</v>
      </c>
      <c r="FD34" s="15" t="n">
        <v>2.514144989963434</v>
      </c>
      <c r="FE34" s="15" t="n">
        <v>1.870862524108638</v>
      </c>
      <c r="FF34" s="15" t="n">
        <v>0.9919881742052187</v>
      </c>
      <c r="FG34" s="15" t="n">
        <v>1.860596347897141</v>
      </c>
      <c r="FH34" s="15" t="n">
        <v>0.3856811071935924</v>
      </c>
      <c r="FI34" s="15" t="n">
        <v>0.05336615924203061</v>
      </c>
      <c r="FJ34" s="15" t="n">
        <v>614.9767320881314</v>
      </c>
      <c r="FK34" s="15" t="n">
        <v>9.379987990558197</v>
      </c>
      <c r="FL34" s="15" t="n">
        <v>0.6234973797438648</v>
      </c>
      <c r="FM34" s="15" t="n">
        <v>0.00472351074937704</v>
      </c>
      <c r="FN34" t="n">
        <v>1</v>
      </c>
      <c r="FO34" t="n">
        <v>0</v>
      </c>
      <c r="FP34" t="n">
        <v>0</v>
      </c>
      <c r="FQ34" t="inlineStr">
        <is>
          <t>good</t>
        </is>
      </c>
      <c r="FR34" s="19" t="n">
        <v>0.75</v>
      </c>
      <c r="FS34" s="15" t="n">
        <v>4.155795541710415</v>
      </c>
      <c r="FT34" s="15" t="n">
        <v>9.076745430121555</v>
      </c>
      <c r="FU34" t="inlineStr">
        <is>
          <t>passed</t>
        </is>
      </c>
      <c r="FV34" t="n">
        <v>40.71211028585813</v>
      </c>
      <c r="FW34" t="n">
        <v>9.159799655717032</v>
      </c>
      <c r="FX34" t="n">
        <v>1.102151513108545</v>
      </c>
      <c r="FY34" t="n">
        <v>0.6198435020181388</v>
      </c>
      <c r="FZ34" t="n">
        <v>0.04086573068156867</v>
      </c>
      <c r="GA34" t="n">
        <v>0.667789901822183</v>
      </c>
      <c r="GB34" t="n">
        <v>0.145863700572592</v>
      </c>
      <c r="GC34" t="n">
        <v>0.1369293022541954</v>
      </c>
      <c r="GD34" t="n">
        <v>0.1829880190486075</v>
      </c>
      <c r="GE34" t="n">
        <v>0.54657553118806</v>
      </c>
      <c r="GF34" t="n">
        <v>0.9439721773650264</v>
      </c>
      <c r="GG34" t="n">
        <v>0.8797671739103462</v>
      </c>
      <c r="GH34" t="n">
        <v>0.4438451084834781</v>
      </c>
      <c r="GI34" t="n">
        <v>1</v>
      </c>
      <c r="GJ34" t="n">
        <v>0</v>
      </c>
      <c r="GK34" t="n">
        <v>0.9375000000000002</v>
      </c>
      <c r="GL34" t="n">
        <v>0.7643525782784676</v>
      </c>
      <c r="GM34" t="n">
        <v>0.7643525782784676</v>
      </c>
      <c r="GN34" t="n">
        <v>0.5321286400873219</v>
      </c>
      <c r="GO34" t="n">
        <v>0.2658024999651258</v>
      </c>
      <c r="GP34" t="n">
        <v>71.62643126231141</v>
      </c>
      <c r="GQ34" t="inlineStr">
        <is>
          <t>compiled workbook density_weighted_sum = density_component_ratio_weighted_sum (per-note component ratios); research density_weighted_sum maps body-ceiling richness</t>
        </is>
      </c>
      <c r="GR34" s="15" t="inlineStr">
        <is>
          <t>individual_exact</t>
        </is>
      </c>
      <c r="GS34" s="15" t="inlineStr">
        <is>
          <t>density_weight</t>
        </is>
      </c>
      <c r="GT34" s="15" t="n">
        <v>0.8015662390102629</v>
      </c>
      <c r="GU34" s="15" t="n">
        <v>0.198433760989737</v>
      </c>
      <c r="GV34" s="15" t="n">
        <v>0</v>
      </c>
      <c r="GW34" s="15" t="inlineStr">
        <is>
          <t>log</t>
        </is>
      </c>
      <c r="GX34" s="15" t="n">
        <v>0.5</v>
      </c>
      <c r="GY34" s="15" t="inlineStr">
        <is>
          <t>EWSD-R v18.1</t>
        </is>
      </c>
      <c r="GZ34" s="15" t="n">
        <v>3.875791607807674</v>
      </c>
      <c r="HA34" s="15" t="n">
        <v>11.76890620369881</v>
      </c>
      <c r="HB34" s="15" t="n">
        <v>0.3177942141802361</v>
      </c>
      <c r="HC34" s="15" t="n">
        <v>5.176694636608122</v>
      </c>
      <c r="HD34" s="15" t="n">
        <v>13.77398087577613</v>
      </c>
      <c r="HE34" s="15" t="n">
        <v>0.2915968904952541</v>
      </c>
      <c r="HF34" s="15" t="inlineStr">
        <is>
          <t>partials+ratios</t>
        </is>
      </c>
      <c r="HG34" s="15" t="inlineStr">
        <is>
          <t>merged_individual_exact</t>
        </is>
      </c>
      <c r="HH34" s="15" t="inlineStr">
        <is>
          <t>passed</t>
        </is>
      </c>
      <c r="HI34" s="15" t="inlineStr">
        <is>
          <t>passed</t>
        </is>
      </c>
    </row>
    <row r="35">
      <c r="A35" t="inlineStr">
        <is>
          <t>incomplete_inference</t>
        </is>
      </c>
      <c r="B35" t="inlineStr">
        <is>
          <t>missing_instrument_technique</t>
        </is>
      </c>
      <c r="C35" t="inlineStr">
        <is>
          <t>prior_constrained_harmonic_fit</t>
        </is>
      </c>
      <c r="D35" t="inlineStr">
        <is>
          <t>IOWA_flt_mf.G#6_SustainStable/G#6/component_amplitude_mass_pie.png</t>
        </is>
      </c>
      <c r="E35" t="inlineStr">
        <is>
          <t>IOWA_flt_mf.G#6_SustainStable/G#6/component_energy_ratio_pie.png</t>
        </is>
      </c>
      <c r="F35" s="15" t="n">
        <v>1658.887154543974</v>
      </c>
      <c r="G35" s="15" t="inlineStr">
        <is>
          <t>prior_constrained_harmonic_fit</t>
        </is>
      </c>
      <c r="H35" s="15" t="inlineStr">
        <is>
          <t>fit_accepted_acoustically_verified</t>
        </is>
      </c>
      <c r="I35" s="16" t="n">
        <v>54.33269892670851</v>
      </c>
      <c r="J35" t="inlineStr">
        <is>
          <t>richness_weighted_body_density_body_ceiling</t>
        </is>
      </c>
      <c r="K35" t="inlineStr">
        <is>
          <t>research_body_ceiling_richness_metric</t>
        </is>
      </c>
      <c r="L35" s="15" t="n">
        <v>41361.98390004873</v>
      </c>
      <c r="M35" s="15" t="n">
        <v>41361.98390004873</v>
      </c>
      <c r="N35" s="15" t="n">
        <v>680.615914458409</v>
      </c>
      <c r="O35" s="15" t="n">
        <v>4.719097658671055</v>
      </c>
      <c r="P35" s="15" t="n">
        <v>-5.512413780608981</v>
      </c>
      <c r="Q35" s="15" t="n">
        <v>8</v>
      </c>
      <c r="R35" s="15" t="n">
        <v>8</v>
      </c>
      <c r="S35" s="15" t="n">
        <v>646.2809984382615</v>
      </c>
      <c r="T35" s="15" t="n">
        <v>13</v>
      </c>
      <c r="U35" s="15" t="n">
        <v>-0.5047046131725432</v>
      </c>
      <c r="V35" s="15" t="n">
        <v>8.831102623203174</v>
      </c>
      <c r="W35" s="15" t="n">
        <v>0.8704325742892074</v>
      </c>
      <c r="X35" s="15" t="n">
        <v>0.2795357777167399</v>
      </c>
      <c r="Y35" s="15" t="n">
        <v>11</v>
      </c>
      <c r="Z35" s="15" t="n">
        <v>12</v>
      </c>
      <c r="AA35" s="15" t="n">
        <v>0.9166666666666666</v>
      </c>
      <c r="AB35" s="15" t="n">
        <v>12</v>
      </c>
      <c r="AC35" s="15" t="n">
        <v>11</v>
      </c>
      <c r="AD35" s="15" t="n">
        <v>0.9166666666666666</v>
      </c>
      <c r="AE35" s="15" t="n">
        <v>80.13847490546684</v>
      </c>
      <c r="AF35" s="15" t="n">
        <v>11</v>
      </c>
      <c r="AG35" s="15" t="n">
        <v>12</v>
      </c>
      <c r="AH35" s="15" t="n">
        <v>0.9166666666666666</v>
      </c>
      <c r="AI35" s="15" t="n">
        <v>80.13847490546684</v>
      </c>
      <c r="AJ35" s="15" t="n">
        <v>6</v>
      </c>
      <c r="AK35" s="15" t="n">
        <v>5</v>
      </c>
      <c r="AL35" s="15" t="n">
        <v>433.3906208436385</v>
      </c>
      <c r="AM35" s="15" t="n">
        <v>30</v>
      </c>
      <c r="AN35" s="15" t="n">
        <v>0</v>
      </c>
      <c r="AO35" s="15" t="n">
        <v>30</v>
      </c>
      <c r="AP35" s="15" t="n">
        <v>0</v>
      </c>
      <c r="AQ35" s="15" t="n">
        <v>13.31394953900531</v>
      </c>
      <c r="AR35" s="15" t="n">
        <v>7.000115973540878</v>
      </c>
      <c r="AS35" s="15" t="n">
        <v>0.05018754134242778</v>
      </c>
      <c r="AT35" s="17" t="n">
        <v>2.362124603718762</v>
      </c>
      <c r="AU35" s="18" t="n">
        <v>2.184134533035946</v>
      </c>
      <c r="AV35" s="15" t="n">
        <v>3.457939766555042</v>
      </c>
      <c r="AW35" s="15" t="b">
        <v>1</v>
      </c>
      <c r="AX35" s="15" t="n">
        <v>6.088132506833472</v>
      </c>
      <c r="AY35" s="15" t="n">
        <v>13.57649194395814</v>
      </c>
      <c r="AZ35" s="15" t="n">
        <v>0</v>
      </c>
      <c r="BA35" s="15" t="n">
        <v>1</v>
      </c>
      <c r="BB35" s="15" t="n">
        <v>0.5</v>
      </c>
      <c r="BC35" s="15" t="n">
        <v>0.25</v>
      </c>
      <c r="BD35" s="15" t="inlineStr">
        <is>
          <t>his_note_adaptive</t>
        </is>
      </c>
      <c r="BE35" s="15" t="n">
        <v>-90</v>
      </c>
      <c r="BF35" s="15" t="n">
        <v>20000</v>
      </c>
      <c r="BG35" s="15" t="n">
        <v>11</v>
      </c>
      <c r="BH35" s="15" t="n">
        <v>0.9166666666666666</v>
      </c>
      <c r="BI35" s="15" t="n">
        <v>12</v>
      </c>
      <c r="BJ35" s="15" t="n">
        <v>11</v>
      </c>
      <c r="BK35" s="15" t="n">
        <v>12</v>
      </c>
      <c r="BL35" s="15" t="n">
        <v>11</v>
      </c>
      <c r="BM35" s="15" t="n">
        <v>0.9166666666666666</v>
      </c>
      <c r="BN35" s="15" t="n">
        <v>0.2512023412468125</v>
      </c>
      <c r="BO35" s="15" t="n">
        <v>0.25</v>
      </c>
      <c r="BP35" s="19" t="n">
        <v>0.767370809518361</v>
      </c>
      <c r="BQ35" s="19" t="n">
        <v>0.2326291904816389</v>
      </c>
      <c r="BR35" s="19" t="n">
        <v>0</v>
      </c>
      <c r="BS35" s="15" t="n">
        <v>0.07578773768696266</v>
      </c>
      <c r="BT35" s="19" t="n">
        <v>1</v>
      </c>
      <c r="BU35" s="19" t="n">
        <v>0</v>
      </c>
      <c r="BV35" s="19" t="n">
        <v>0</v>
      </c>
      <c r="BW35" t="inlineStr">
        <is>
          <t>G#6</t>
        </is>
      </c>
      <c r="BX35" t="n">
        <v>92</v>
      </c>
      <c r="BY35" t="inlineStr">
        <is>
          <t>G#</t>
        </is>
      </c>
      <c r="BZ35" t="n">
        <v>6</v>
      </c>
      <c r="CA35" t="inlineStr">
        <is>
          <t>Very high</t>
        </is>
      </c>
      <c r="CB35" t="inlineStr">
        <is>
          <t>mf</t>
        </is>
      </c>
      <c r="CC35" s="15" t="n">
        <v>1661.218790319781</v>
      </c>
      <c r="CD35" s="15" t="n">
        <v>1658.887154543974</v>
      </c>
      <c r="CE35" t="inlineStr">
        <is>
          <t>prior_constrained_harmonic_fit</t>
        </is>
      </c>
      <c r="CF35" t="n">
        <v>1658.887154543974</v>
      </c>
      <c r="CG35" s="15" t="n">
        <v>1</v>
      </c>
      <c r="CH35" t="inlineStr">
        <is>
          <t>free_fit_acoustically_verified</t>
        </is>
      </c>
      <c r="CI35" s="15" t="inlineStr">
        <is>
          <t>free_f0_fit</t>
        </is>
      </c>
      <c r="CJ35" s="15" t="n">
        <v>1661.218790319781</v>
      </c>
      <c r="CK35" s="15" t="n">
        <v>1658.887154543974</v>
      </c>
      <c r="CL35" s="15" t="n">
        <v>-2.431613915787151</v>
      </c>
      <c r="CM35" s="15" t="n">
        <v>20000</v>
      </c>
      <c r="CN35" s="15" t="n">
        <v>-2.431613915787151</v>
      </c>
      <c r="CO35" s="15" t="n">
        <v>2.152321467564693</v>
      </c>
      <c r="CP35" s="15" t="n">
        <v>41361.98390004873</v>
      </c>
      <c r="CQ35" t="n">
        <v>1.008837314877031</v>
      </c>
      <c r="CR35" t="n">
        <v>0.08406977623975255</v>
      </c>
      <c r="CS35" t="n">
        <v>53.85674986985512</v>
      </c>
      <c r="CT35" t="n">
        <v>53.85674986985512</v>
      </c>
      <c r="CU35" t="n">
        <v>54.33269892670851</v>
      </c>
      <c r="CV35" t="n">
        <v>4.719097658671055</v>
      </c>
      <c r="CW35" s="15" t="n">
        <v>41361.98390004873</v>
      </c>
      <c r="CX35" s="15" t="n">
        <v>680.615914458409</v>
      </c>
      <c r="CY35" s="15" t="n">
        <v>4.719097658671055</v>
      </c>
      <c r="CZ35" s="15" t="n">
        <v>2.362124603718762</v>
      </c>
      <c r="DA35" s="15" t="n">
        <v>2.362124603718762</v>
      </c>
      <c r="DB35" s="15" t="n">
        <v>1.802999852246027</v>
      </c>
      <c r="DC35" s="15" t="n">
        <v>0</v>
      </c>
      <c r="DD35" s="15" t="n">
        <v>5.710859057019213e-05</v>
      </c>
      <c r="DE35" s="15" t="n">
        <v>0</v>
      </c>
      <c r="DF35" s="15" t="n">
        <v>8</v>
      </c>
      <c r="DG35" s="15" t="inlineStr">
        <is>
          <t>Density_Metrics</t>
        </is>
      </c>
      <c r="DH35" s="15" t="n">
        <v>2.152321467564693</v>
      </c>
      <c r="DI35" t="n">
        <v>0.8786752304304444</v>
      </c>
      <c r="DJ35" s="15" t="n">
        <v>0.5266138047919405</v>
      </c>
      <c r="DK35" s="15" t="n">
        <v>4.769931202237797</v>
      </c>
      <c r="DL35" s="15" t="n">
        <v>1.042466403467372</v>
      </c>
      <c r="DM35" s="15" t="n">
        <v>1.021144910138511</v>
      </c>
      <c r="DN35" s="15" t="n">
        <v>8.861075892711959</v>
      </c>
      <c r="DO35" s="15" t="n">
        <v>2.460969817002316</v>
      </c>
      <c r="DP35" s="15" t="n">
        <v>24.9375</v>
      </c>
      <c r="DQ35" s="15" t="n">
        <v>18</v>
      </c>
      <c r="DR35" s="15" t="b">
        <v>0</v>
      </c>
      <c r="DS35" s="15" t="n">
        <v>1.008837314877031</v>
      </c>
      <c r="DT35" s="15" t="n">
        <v>3.354429332600879</v>
      </c>
      <c r="DU35" t="n">
        <v>12</v>
      </c>
      <c r="DV35" s="15" t="n">
        <v>0.07578773768696266</v>
      </c>
      <c r="DW35" s="15" t="n">
        <v>0.7787253470330732</v>
      </c>
      <c r="DX35" s="15" t="n">
        <v>1.896947950264431</v>
      </c>
      <c r="DY35" s="15" t="n">
        <v>0.244360105933573</v>
      </c>
      <c r="DZ35" s="15" t="b">
        <v>1</v>
      </c>
      <c r="EA35" s="15" t="n">
        <v>0.09292328729320712</v>
      </c>
      <c r="EB35" s="15" t="n">
        <v>20000</v>
      </c>
      <c r="EC35" s="15" t="n">
        <v>13271.09723635179</v>
      </c>
      <c r="ED35" s="15" t="n">
        <v>8</v>
      </c>
      <c r="EE35" s="15" t="n">
        <v>0</v>
      </c>
      <c r="EF35" s="15" t="n">
        <v>0.02592458410713607</v>
      </c>
      <c r="EG35" s="15" t="b">
        <v>0</v>
      </c>
      <c r="EH35" s="15" t="b">
        <v>1</v>
      </c>
      <c r="EI35" s="15" t="b">
        <v>0</v>
      </c>
      <c r="EJ35" s="15" t="inlineStr">
        <is>
          <t>wf=log|dst=-90.0|ceil=20000.0|fft=adaptive_tier</t>
        </is>
      </c>
      <c r="EK35" s="15" t="inlineStr">
        <is>
          <t>wf=log|dst=runtime_configured|ceil=runtime_configured|fft=fixed</t>
        </is>
      </c>
      <c r="EL35" s="15" t="n">
        <v>0.7371060644800861</v>
      </c>
      <c r="EM35" s="15" t="n">
        <v>0.9724229758425358</v>
      </c>
      <c r="EN35" s="15" t="n">
        <v>0.6153846153846154</v>
      </c>
      <c r="EO35" s="15" t="n">
        <v>0.4206555498316479</v>
      </c>
      <c r="EP35" s="15" t="inlineStr">
        <is>
          <t>warn:power_outlier_detected</t>
        </is>
      </c>
      <c r="EQ35" s="15" t="n">
        <v>228.3646799020563</v>
      </c>
      <c r="ER35" s="15" t="inlineStr">
        <is>
          <t>winsorize_p95_for_robust_diagnostics</t>
        </is>
      </c>
      <c r="ES35" s="15" t="n">
        <v>0.1340699778771142</v>
      </c>
      <c r="ET35" s="15" t="n">
        <v>0.02305034998447502</v>
      </c>
      <c r="EU35" s="15" t="n">
        <v>0.02657387372881738</v>
      </c>
      <c r="EV35" t="inlineStr">
        <is>
          <t>computed</t>
        </is>
      </c>
      <c r="EW35" s="15" t="inlineStr">
        <is>
          <t>computed</t>
        </is>
      </c>
      <c r="EX35" s="15" t="inlineStr">
        <is>
          <t>computed</t>
        </is>
      </c>
      <c r="EY35" s="15" t="inlineStr">
        <is>
          <t>available_from_curve</t>
        </is>
      </c>
      <c r="EZ35" s="15" t="n">
        <v>20000</v>
      </c>
      <c r="FA35" s="15" t="n">
        <v>20000</v>
      </c>
      <c r="FB35" s="15" t="n">
        <v>0.2326291904816389</v>
      </c>
      <c r="FC35" s="15" t="n">
        <v>0.06227796250227594</v>
      </c>
      <c r="FD35" s="15" t="n">
        <v>2.362124603718762</v>
      </c>
      <c r="FE35" s="15" t="n">
        <v>1.802999852246027</v>
      </c>
      <c r="FF35" s="15" t="n">
        <v>0.6048067462730075</v>
      </c>
      <c r="FG35" s="15" t="n">
        <v>1.748093458611959</v>
      </c>
      <c r="FH35" s="15" t="n">
        <v>0.3716911159014437</v>
      </c>
      <c r="FI35" s="15" t="n">
        <v>0.03253689305129009</v>
      </c>
      <c r="FJ35" s="15" t="n">
        <v>646.2809984382615</v>
      </c>
      <c r="FK35" s="15" t="n">
        <v>10.63462366341264</v>
      </c>
      <c r="FL35" s="15" t="n">
        <v>0.07373590091673524</v>
      </c>
      <c r="FM35" s="15" t="n">
        <v>0.004874289768077677</v>
      </c>
      <c r="FN35" t="n">
        <v>1</v>
      </c>
      <c r="FO35" t="n">
        <v>0</v>
      </c>
      <c r="FP35" t="n">
        <v>0</v>
      </c>
      <c r="FQ35" t="inlineStr">
        <is>
          <t>excellent</t>
        </is>
      </c>
      <c r="FR35" s="19" t="n">
        <v>0.9166666666666666</v>
      </c>
      <c r="FS35" s="15" t="n">
        <v>3.579563112635078</v>
      </c>
      <c r="FT35" s="15" t="n">
        <v>21.47186271958758</v>
      </c>
      <c r="FU35" t="inlineStr">
        <is>
          <t>passed</t>
        </is>
      </c>
      <c r="FV35" t="n">
        <v>28.65127775431755</v>
      </c>
      <c r="FW35" t="n">
        <v>7.816633946274648</v>
      </c>
      <c r="FX35" t="n">
        <v>0.3781723398695948</v>
      </c>
      <c r="FY35" t="n">
        <v>0.2461342962711247</v>
      </c>
      <c r="FZ35" t="n">
        <v>0.01554716754481164</v>
      </c>
      <c r="GA35" t="n">
        <v>0.3184093007826658</v>
      </c>
      <c r="GB35" t="n">
        <v>0.006682666589039108</v>
      </c>
      <c r="GC35" t="n">
        <v>0</v>
      </c>
      <c r="GD35" t="n">
        <v>0.002631119814369903</v>
      </c>
      <c r="GE35" t="n">
        <v>0.9365776065223101</v>
      </c>
      <c r="GF35" t="n">
        <v>0.3422302006940961</v>
      </c>
      <c r="GG35" t="n">
        <v>0.3014277507346768</v>
      </c>
      <c r="GH35" t="n">
        <v>0.2991067030133283</v>
      </c>
      <c r="GI35" t="n">
        <v>0.8888888888888888</v>
      </c>
      <c r="GJ35" t="n">
        <v>1</v>
      </c>
      <c r="GK35" t="n">
        <v>0.2708333333333333</v>
      </c>
      <c r="GL35" t="n">
        <v>0.7801766420139471</v>
      </c>
      <c r="GM35" t="n">
        <v>0.7801766420139471</v>
      </c>
      <c r="GN35" t="n">
        <v>0.04473288557259131</v>
      </c>
      <c r="GO35" t="n">
        <v>0.0380305114357473</v>
      </c>
      <c r="GP35" t="n">
        <v>54.33269892670851</v>
      </c>
      <c r="GQ35" t="inlineStr">
        <is>
          <t>compiled workbook density_weighted_sum = density_component_ratio_weighted_sum (per-note component ratios); research density_weighted_sum maps body-ceiling richness</t>
        </is>
      </c>
      <c r="GR35" s="15" t="inlineStr">
        <is>
          <t>individual_exact</t>
        </is>
      </c>
      <c r="GS35" s="15" t="inlineStr">
        <is>
          <t>density_weight</t>
        </is>
      </c>
      <c r="GT35" s="15" t="n">
        <v>0.8782131821576149</v>
      </c>
      <c r="GU35" s="15" t="n">
        <v>0.121786817842385</v>
      </c>
      <c r="GV35" s="15" t="n">
        <v>0</v>
      </c>
      <c r="GW35" s="15" t="inlineStr">
        <is>
          <t>log</t>
        </is>
      </c>
      <c r="GX35" s="15" t="n">
        <v>0.5</v>
      </c>
      <c r="GY35" s="15" t="inlineStr">
        <is>
          <t>EWSD-R v18.1</t>
        </is>
      </c>
      <c r="GZ35" s="15" t="n">
        <v>1.180407522418185</v>
      </c>
      <c r="HA35" s="15" t="n">
        <v>6.539754791729529</v>
      </c>
      <c r="HB35" s="15" t="n">
        <v>0.6692540006214747</v>
      </c>
      <c r="HC35" s="15" t="n">
        <v>2.254654704425632</v>
      </c>
      <c r="HD35" s="15" t="n">
        <v>8.67284745139094</v>
      </c>
      <c r="HE35" s="15" t="n">
        <v>0.4850538209001039</v>
      </c>
      <c r="HF35" s="15" t="inlineStr">
        <is>
          <t>partials+ratios</t>
        </is>
      </c>
      <c r="HG35" s="15" t="inlineStr">
        <is>
          <t>merged_individual_exact</t>
        </is>
      </c>
      <c r="HH35" s="15" t="inlineStr">
        <is>
          <t>passed</t>
        </is>
      </c>
      <c r="HI35" s="15" t="inlineStr">
        <is>
          <t>passed</t>
        </is>
      </c>
    </row>
    <row r="36">
      <c r="A36" t="inlineStr">
        <is>
          <t>incomplete_inference</t>
        </is>
      </c>
      <c r="B36" t="inlineStr">
        <is>
          <t>missing_instrument_technique</t>
        </is>
      </c>
      <c r="C36" t="inlineStr">
        <is>
          <t>prior_constrained_harmonic_fit</t>
        </is>
      </c>
      <c r="D36" t="inlineStr">
        <is>
          <t>IOWA_flt_mf.A6_SustainStable/A6/component_amplitude_mass_pie.png</t>
        </is>
      </c>
      <c r="E36" t="inlineStr">
        <is>
          <t>IOWA_flt_mf.A6_SustainStable/A6/component_energy_ratio_pie.png</t>
        </is>
      </c>
      <c r="F36" s="15" t="n">
        <v>1760.573617924108</v>
      </c>
      <c r="G36" s="15" t="inlineStr">
        <is>
          <t>prior_constrained_harmonic_fit</t>
        </is>
      </c>
      <c r="H36" s="15" t="inlineStr">
        <is>
          <t>fit_accepted_acoustically_verified</t>
        </is>
      </c>
      <c r="I36" s="16" t="n">
        <v>60.12476857577566</v>
      </c>
      <c r="J36" t="inlineStr">
        <is>
          <t>richness_weighted_body_density_body_ceiling</t>
        </is>
      </c>
      <c r="K36" t="inlineStr">
        <is>
          <t>research_body_ceiling_richness_metric</t>
        </is>
      </c>
      <c r="L36" s="15" t="n">
        <v>39462.76894495661</v>
      </c>
      <c r="M36" s="15" t="n">
        <v>39462.76894495661</v>
      </c>
      <c r="N36" s="15" t="n">
        <v>680.3573787990385</v>
      </c>
      <c r="O36" s="15" t="n">
        <v>11.15391210640737</v>
      </c>
      <c r="P36" s="15" t="n">
        <v>-6.076250743488329</v>
      </c>
      <c r="Q36" s="15" t="n">
        <v>8</v>
      </c>
      <c r="R36" s="15" t="n">
        <v>9</v>
      </c>
      <c r="S36" s="15" t="n">
        <v>616.6062037484347</v>
      </c>
      <c r="T36" s="15" t="n">
        <v>12</v>
      </c>
      <c r="U36" s="15" t="n">
        <v>-0.3178682851090348</v>
      </c>
      <c r="V36" s="15" t="n">
        <v>10.54943014785548</v>
      </c>
      <c r="W36" s="15" t="n">
        <v>0.7600545108043817</v>
      </c>
      <c r="X36" s="15" t="n">
        <v>0.3582235484800538</v>
      </c>
      <c r="Y36" s="15" t="n">
        <v>10</v>
      </c>
      <c r="Z36" s="15" t="n">
        <v>11</v>
      </c>
      <c r="AA36" s="15" t="n">
        <v>0.9090909090909091</v>
      </c>
      <c r="AB36" s="15" t="n">
        <v>11</v>
      </c>
      <c r="AC36" s="15" t="n">
        <v>10</v>
      </c>
      <c r="AD36" s="15" t="n">
        <v>0.9090909090909091</v>
      </c>
      <c r="AE36" s="15" t="n">
        <v>87.47202342348632</v>
      </c>
      <c r="AF36" s="15" t="n">
        <v>10</v>
      </c>
      <c r="AG36" s="15" t="n">
        <v>11</v>
      </c>
      <c r="AH36" s="15" t="n">
        <v>0.9090909090909091</v>
      </c>
      <c r="AI36" s="15" t="n">
        <v>87.47202342348632</v>
      </c>
      <c r="AJ36" s="15" t="n">
        <v>5</v>
      </c>
      <c r="AK36" s="15" t="n">
        <v>5</v>
      </c>
      <c r="AL36" s="15" t="n">
        <v>29.12046069666243</v>
      </c>
      <c r="AM36" s="15" t="n">
        <v>42</v>
      </c>
      <c r="AN36" s="15" t="n">
        <v>0</v>
      </c>
      <c r="AO36" s="15" t="n">
        <v>42</v>
      </c>
      <c r="AP36" s="15" t="n">
        <v>0</v>
      </c>
      <c r="AQ36" s="15" t="n">
        <v>15.41645721963036</v>
      </c>
      <c r="AR36" s="15" t="n">
        <v>8.399947951523684</v>
      </c>
      <c r="AS36" s="15" t="n">
        <v>0.1189559766099084</v>
      </c>
      <c r="AT36" s="17" t="n">
        <v>2.400573124729923</v>
      </c>
      <c r="AU36" s="18" t="n">
        <v>3.074974027586185</v>
      </c>
      <c r="AV36" s="15" t="n">
        <v>4.453709645334089</v>
      </c>
      <c r="AW36" s="15" t="b">
        <v>1</v>
      </c>
      <c r="AX36" s="15" t="n">
        <v>6.038176372074304</v>
      </c>
      <c r="AY36" s="15" t="n">
        <v>19.9913356933507</v>
      </c>
      <c r="AZ36" s="15" t="n">
        <v>0</v>
      </c>
      <c r="BA36" s="15" t="n">
        <v>1</v>
      </c>
      <c r="BB36" s="15" t="n">
        <v>0.5</v>
      </c>
      <c r="BC36" s="15" t="n">
        <v>0.25</v>
      </c>
      <c r="BD36" s="15" t="inlineStr">
        <is>
          <t>his_note_adaptive</t>
        </is>
      </c>
      <c r="BE36" s="15" t="n">
        <v>-90</v>
      </c>
      <c r="BF36" s="15" t="n">
        <v>20000</v>
      </c>
      <c r="BG36" s="15" t="n">
        <v>10</v>
      </c>
      <c r="BH36" s="15" t="n">
        <v>0.9090909090909091</v>
      </c>
      <c r="BI36" s="15" t="n">
        <v>11</v>
      </c>
      <c r="BJ36" s="15" t="n">
        <v>10</v>
      </c>
      <c r="BK36" s="15" t="n">
        <v>11</v>
      </c>
      <c r="BL36" s="15" t="n">
        <v>9</v>
      </c>
      <c r="BM36" s="15" t="n">
        <v>0.8181818181818182</v>
      </c>
      <c r="BN36" s="15" t="n">
        <v>0.2988029522888753</v>
      </c>
      <c r="BO36" s="15" t="n">
        <v>0.35</v>
      </c>
      <c r="BP36" s="19" t="n">
        <v>0.7604118015736341</v>
      </c>
      <c r="BQ36" s="19" t="n">
        <v>0.2395881984263659</v>
      </c>
      <c r="BR36" s="19" t="n">
        <v>0</v>
      </c>
      <c r="BS36" s="15" t="n">
        <v>0.1102769174224973</v>
      </c>
      <c r="BT36" s="19" t="n">
        <v>1</v>
      </c>
      <c r="BU36" s="19" t="n">
        <v>0</v>
      </c>
      <c r="BV36" s="19" t="n">
        <v>0</v>
      </c>
      <c r="BW36" t="inlineStr">
        <is>
          <t>A6</t>
        </is>
      </c>
      <c r="BX36" t="n">
        <v>93</v>
      </c>
      <c r="BY36" t="inlineStr">
        <is>
          <t>A</t>
        </is>
      </c>
      <c r="BZ36" t="n">
        <v>6</v>
      </c>
      <c r="CA36" t="inlineStr">
        <is>
          <t>Very high</t>
        </is>
      </c>
      <c r="CB36" t="inlineStr">
        <is>
          <t>mf</t>
        </is>
      </c>
      <c r="CC36" s="15" t="n">
        <v>1760</v>
      </c>
      <c r="CD36" s="15" t="n">
        <v>1760.573617924108</v>
      </c>
      <c r="CE36" t="inlineStr">
        <is>
          <t>prior_constrained_harmonic_fit</t>
        </is>
      </c>
      <c r="CF36" t="n">
        <v>1760.573617924108</v>
      </c>
      <c r="CG36" s="15" t="n">
        <v>1</v>
      </c>
      <c r="CH36" t="inlineStr">
        <is>
          <t>free_fit_acoustically_verified</t>
        </is>
      </c>
      <c r="CI36" s="15" t="inlineStr">
        <is>
          <t>free_f0_fit</t>
        </is>
      </c>
      <c r="CJ36" s="15" t="n">
        <v>1760</v>
      </c>
      <c r="CK36" s="15" t="n">
        <v>1760.573617924108</v>
      </c>
      <c r="CL36" s="15" t="n">
        <v>0.5641506174461886</v>
      </c>
      <c r="CM36" s="15" t="n">
        <v>20000</v>
      </c>
      <c r="CN36" s="15" t="n">
        <v>0.5641506174461886</v>
      </c>
      <c r="CO36" s="15" t="n">
        <v>2.189598130210272</v>
      </c>
      <c r="CP36" s="15" t="n">
        <v>39462.76894495661</v>
      </c>
      <c r="CQ36" t="n">
        <v>1.072601801875223</v>
      </c>
      <c r="CR36" t="n">
        <v>0.09750925471592939</v>
      </c>
      <c r="CS36" t="n">
        <v>56.05506952408609</v>
      </c>
      <c r="CT36" t="n">
        <v>56.05506952408609</v>
      </c>
      <c r="CU36" t="n">
        <v>60.12476857577566</v>
      </c>
      <c r="CV36" t="n">
        <v>11.15391210640737</v>
      </c>
      <c r="CW36" s="15" t="n">
        <v>39462.76894495661</v>
      </c>
      <c r="CX36" s="15" t="n">
        <v>680.3573787990385</v>
      </c>
      <c r="CY36" s="15" t="n">
        <v>11.15391210640737</v>
      </c>
      <c r="CZ36" s="15" t="n">
        <v>2.400573124729923</v>
      </c>
      <c r="DA36" s="15" t="n">
        <v>2.400573124729923</v>
      </c>
      <c r="DB36" s="15" t="n">
        <v>1.80724163859375</v>
      </c>
      <c r="DC36" s="15" t="n">
        <v>0</v>
      </c>
      <c r="DD36" s="15" t="n">
        <v>6.083134024574622e-05</v>
      </c>
      <c r="DE36" s="15" t="n">
        <v>0</v>
      </c>
      <c r="DF36" s="15" t="n">
        <v>8</v>
      </c>
      <c r="DG36" s="15" t="inlineStr">
        <is>
          <t>Density_Metrics</t>
        </is>
      </c>
      <c r="DH36" s="15" t="n">
        <v>2.189598130210272</v>
      </c>
      <c r="DI36" t="n">
        <v>0.893893254611954</v>
      </c>
      <c r="DJ36" s="15" t="n">
        <v>0.5315521181985906</v>
      </c>
      <c r="DK36" s="15" t="n">
        <v>4.960367802830354</v>
      </c>
      <c r="DL36" s="15" t="n">
        <v>1.110432571582308</v>
      </c>
      <c r="DM36" s="15" t="n">
        <v>1.032953238073268</v>
      </c>
      <c r="DN36" s="15" t="n">
        <v>7.362076479623146</v>
      </c>
      <c r="DO36" s="15" t="n">
        <v>1.538185960709966</v>
      </c>
      <c r="DP36" s="15" t="n">
        <v>36.8125</v>
      </c>
      <c r="DQ36" s="15" t="n">
        <v>18</v>
      </c>
      <c r="DR36" s="15" t="b">
        <v>0</v>
      </c>
      <c r="DS36" s="15" t="n">
        <v>1.072601801875223</v>
      </c>
      <c r="DT36" s="15" t="n">
        <v>3.940459033280591</v>
      </c>
      <c r="DU36" t="n">
        <v>11</v>
      </c>
      <c r="DV36" s="15" t="n">
        <v>0.1102769174224973</v>
      </c>
      <c r="DW36" s="15" t="n">
        <v>0.838265898755804</v>
      </c>
      <c r="DX36" s="15" t="n">
        <v>1.899613493373885</v>
      </c>
      <c r="DY36" s="15" t="n">
        <v>0.2200661857687601</v>
      </c>
      <c r="DZ36" s="15" t="b">
        <v>1</v>
      </c>
      <c r="EA36" s="15" t="n">
        <v>0.06364794391082756</v>
      </c>
      <c r="EB36" s="15" t="n">
        <v>20000</v>
      </c>
      <c r="EC36" s="15" t="n">
        <v>20000</v>
      </c>
      <c r="ED36" s="15" t="n">
        <v/>
      </c>
      <c r="EE36" s="15" t="n">
        <v>0</v>
      </c>
      <c r="EF36" s="15" t="n">
        <v>0.02446954900568182</v>
      </c>
      <c r="EG36" s="15" t="b">
        <v>0</v>
      </c>
      <c r="EH36" s="15" t="b">
        <v>1</v>
      </c>
      <c r="EI36" s="15" t="b">
        <v>0</v>
      </c>
      <c r="EJ36" s="15" t="inlineStr">
        <is>
          <t>wf=log|dst=-90.0|ceil=20000.0|fft=adaptive_tier</t>
        </is>
      </c>
      <c r="EK36" s="15" t="inlineStr">
        <is>
          <t>wf=log|dst=runtime_configured|ceil=runtime_configured|fft=fixed</t>
        </is>
      </c>
      <c r="EL36" s="15" t="n">
        <v>0.7638069195724515</v>
      </c>
      <c r="EM36" s="15" t="n">
        <v>0.9901631919034805</v>
      </c>
      <c r="EN36" s="15" t="n">
        <v>0.6666666666666666</v>
      </c>
      <c r="EO36" s="15" t="n">
        <v>0.4245007494127598</v>
      </c>
      <c r="EP36" s="15" t="inlineStr">
        <is>
          <t>warn:power_outlier_detected</t>
        </is>
      </c>
      <c r="EQ36" s="15" t="n">
        <v>216.8341530750892</v>
      </c>
      <c r="ER36" s="15" t="inlineStr">
        <is>
          <t>winsorize_p95_for_robust_diagnostics</t>
        </is>
      </c>
      <c r="ES36" s="15" t="n">
        <v>0.12816531535176</v>
      </c>
      <c r="ET36" s="15" t="n">
        <v>0.02801284075786394</v>
      </c>
      <c r="EU36" s="15" t="n">
        <v>0.03319499181144418</v>
      </c>
      <c r="EV36" t="inlineStr">
        <is>
          <t>computed</t>
        </is>
      </c>
      <c r="EW36" s="15" t="inlineStr">
        <is>
          <t>computed</t>
        </is>
      </c>
      <c r="EX36" s="15" t="inlineStr">
        <is>
          <t>computed</t>
        </is>
      </c>
      <c r="EY36" s="15" t="inlineStr">
        <is>
          <t>available_from_curve</t>
        </is>
      </c>
      <c r="EZ36" s="15" t="n">
        <v>20000</v>
      </c>
      <c r="FA36" s="15" t="n">
        <v>20000</v>
      </c>
      <c r="FB36" s="15" t="n">
        <v>0.2395881984263659</v>
      </c>
      <c r="FC36" s="15" t="n">
        <v>0.1214868989597053</v>
      </c>
      <c r="FD36" s="15" t="n">
        <v>2.400573124729923</v>
      </c>
      <c r="FE36" s="15" t="n">
        <v>1.80724163859375</v>
      </c>
      <c r="FF36" s="15" t="n">
        <v>0.7525530395066802</v>
      </c>
      <c r="FG36" s="15" t="n">
        <v>1.776547337787978</v>
      </c>
      <c r="FH36" s="15" t="n">
        <v>0.3725655665005586</v>
      </c>
      <c r="FI36" s="15" t="n">
        <v>0.04048522592173496</v>
      </c>
      <c r="FJ36" s="15" t="n">
        <v>616.605764764947</v>
      </c>
      <c r="FK36" s="15" t="n">
        <v>10.63058404373498</v>
      </c>
      <c r="FL36" s="15" t="n">
        <v>0.1742798766626151</v>
      </c>
      <c r="FM36" s="15" t="n">
        <v>0.004643213702403183</v>
      </c>
      <c r="FN36" t="n">
        <v>1</v>
      </c>
      <c r="FO36" t="n">
        <v>0</v>
      </c>
      <c r="FP36" t="n">
        <v>0</v>
      </c>
      <c r="FQ36" t="inlineStr">
        <is>
          <t>good</t>
        </is>
      </c>
      <c r="FR36" s="19" t="n">
        <v>0.8181818181818182</v>
      </c>
      <c r="FS36" s="15" t="n">
        <v>1.298525903225678</v>
      </c>
      <c r="FT36" s="15" t="n">
        <v>5.055841093357489</v>
      </c>
      <c r="FU36" t="inlineStr">
        <is>
          <t>passed</t>
        </is>
      </c>
      <c r="FV36" t="n">
        <v>31.31504346282485</v>
      </c>
      <c r="FW36" t="n">
        <v>7.894580508076155</v>
      </c>
      <c r="FX36" t="n">
        <v>0.5820710442451159</v>
      </c>
      <c r="FY36" t="n">
        <v>0.3406932766809727</v>
      </c>
      <c r="FZ36" t="n">
        <v>0.02402693803371278</v>
      </c>
      <c r="GA36" t="n">
        <v>0.4280102665861924</v>
      </c>
      <c r="GB36" t="n">
        <v>0.03027639789301061</v>
      </c>
      <c r="GC36" t="n">
        <v>0.02245660086911408</v>
      </c>
      <c r="GD36" t="n">
        <v>0.05344981232901727</v>
      </c>
      <c r="GE36" t="n">
        <v>0.8123521187446927</v>
      </c>
      <c r="GF36" t="n">
        <v>0.5961859280001461</v>
      </c>
      <c r="GG36" t="n">
        <v>0.5529003749150588</v>
      </c>
      <c r="GH36" t="n">
        <v>0.3685347283740496</v>
      </c>
      <c r="GI36" t="n">
        <v>0.8787878787878788</v>
      </c>
      <c r="GJ36" t="n">
        <v>0.4090909090909095</v>
      </c>
      <c r="GK36" t="n">
        <v>0.5208333333333334</v>
      </c>
      <c r="GL36" t="n">
        <v>0.8435289004397767</v>
      </c>
      <c r="GM36" t="n">
        <v>0.8435289004397767</v>
      </c>
      <c r="GN36" t="n">
        <v>0.1597774370754572</v>
      </c>
      <c r="GO36" t="n">
        <v>0.09366560708033703</v>
      </c>
      <c r="GP36" t="n">
        <v>60.12476857577566</v>
      </c>
      <c r="GQ36" t="inlineStr">
        <is>
          <t>compiled workbook density_weighted_sum = density_component_ratio_weighted_sum (per-note component ratios); research density_weighted_sum maps body-ceiling richness</t>
        </is>
      </c>
      <c r="GR36" s="15" t="inlineStr">
        <is>
          <t>individual_exact</t>
        </is>
      </c>
      <c r="GS36" s="15" t="inlineStr">
        <is>
          <t>density_weight</t>
        </is>
      </c>
      <c r="GT36" s="15" t="n">
        <v>0.8307357118865515</v>
      </c>
      <c r="GU36" s="15" t="n">
        <v>0.1692642881134486</v>
      </c>
      <c r="GV36" s="15" t="n">
        <v>0</v>
      </c>
      <c r="GW36" s="15" t="inlineStr">
        <is>
          <t>log</t>
        </is>
      </c>
      <c r="GX36" s="15" t="n">
        <v>0.5</v>
      </c>
      <c r="GY36" s="15" t="inlineStr">
        <is>
          <t>EWSD-R v18.1</t>
        </is>
      </c>
      <c r="GZ36" s="15" t="n">
        <v>1.328759948762853</v>
      </c>
      <c r="HA36" s="15" t="n">
        <v>8.458608848199173</v>
      </c>
      <c r="HB36" s="15" t="n">
        <v>0.5638735302479215</v>
      </c>
      <c r="HC36" s="15" t="n">
        <v>2.507742211582381</v>
      </c>
      <c r="HD36" s="15" t="n">
        <v>10.76044446695884</v>
      </c>
      <c r="HE36" s="15" t="n">
        <v>0.4610136609278606</v>
      </c>
      <c r="HF36" s="15" t="inlineStr">
        <is>
          <t>partials+ratios</t>
        </is>
      </c>
      <c r="HG36" s="15" t="inlineStr">
        <is>
          <t>merged_individual_exact</t>
        </is>
      </c>
      <c r="HH36" s="15" t="inlineStr">
        <is>
          <t>passed</t>
        </is>
      </c>
      <c r="HI36" s="15" t="inlineStr">
        <is>
          <t>passed</t>
        </is>
      </c>
    </row>
    <row r="37">
      <c r="A37" t="inlineStr">
        <is>
          <t>incomplete_inference</t>
        </is>
      </c>
      <c r="B37" t="inlineStr">
        <is>
          <t>missing_instrument_technique</t>
        </is>
      </c>
      <c r="C37" t="inlineStr">
        <is>
          <t>prior_constrained_harmonic_fit</t>
        </is>
      </c>
      <c r="D37" t="inlineStr">
        <is>
          <t>IOWA_flt_mf.A#6_SustainStable/A#6/component_amplitude_mass_pie.png</t>
        </is>
      </c>
      <c r="E37" t="inlineStr">
        <is>
          <t>IOWA_flt_mf.A#6_SustainStable/A#6/component_energy_ratio_pie.png</t>
        </is>
      </c>
      <c r="F37" s="15" t="n">
        <v>1862.196033739299</v>
      </c>
      <c r="G37" s="15" t="inlineStr">
        <is>
          <t>prior_constrained_harmonic_fit</t>
        </is>
      </c>
      <c r="H37" s="15" t="inlineStr">
        <is>
          <t>fit_accepted_acoustically_verified</t>
        </is>
      </c>
      <c r="I37" s="16" t="n">
        <v>61.70038619527899</v>
      </c>
      <c r="J37" t="inlineStr">
        <is>
          <t>richness_weighted_body_density_body_ceiling</t>
        </is>
      </c>
      <c r="K37" t="inlineStr">
        <is>
          <t>research_body_ceiling_richness_metric</t>
        </is>
      </c>
      <c r="L37" s="15" t="n">
        <v>37406.09983794976</v>
      </c>
      <c r="M37" s="15" t="n">
        <v>37406.09983794976</v>
      </c>
      <c r="N37" s="15" t="n">
        <v>1060.696247432939</v>
      </c>
      <c r="O37" s="15" t="n">
        <v>9.309692691433764</v>
      </c>
      <c r="P37" s="15" t="n">
        <v>-6.933260848225477</v>
      </c>
      <c r="Q37" s="15" t="n">
        <v>6</v>
      </c>
      <c r="R37" s="15" t="n">
        <v>6</v>
      </c>
      <c r="S37" s="15" t="n">
        <v>584.470309967965</v>
      </c>
      <c r="T37" s="15" t="n">
        <v>11</v>
      </c>
      <c r="U37" s="15" t="n">
        <v>0.1340836647546416</v>
      </c>
      <c r="V37" s="15" t="n">
        <v>11.18843231858079</v>
      </c>
      <c r="W37" s="15" t="n">
        <v>0.7271193027959961</v>
      </c>
      <c r="X37" s="15" t="n">
        <v>0.4833446846150601</v>
      </c>
      <c r="Y37" s="15" t="n">
        <v>10</v>
      </c>
      <c r="Z37" s="15" t="n">
        <v>10</v>
      </c>
      <c r="AA37" s="15" t="n">
        <v>1</v>
      </c>
      <c r="AB37" s="15" t="n">
        <v>10</v>
      </c>
      <c r="AC37" s="15" t="n">
        <v>10</v>
      </c>
      <c r="AD37" s="15" t="n">
        <v>1</v>
      </c>
      <c r="AE37" s="15" t="n">
        <v>84.41848705115032</v>
      </c>
      <c r="AF37" s="15" t="n">
        <v>10</v>
      </c>
      <c r="AG37" s="15" t="n">
        <v>10</v>
      </c>
      <c r="AH37" s="15" t="n">
        <v>1</v>
      </c>
      <c r="AI37" s="15" t="n">
        <v>84.41848705115032</v>
      </c>
      <c r="AJ37" s="15" t="n">
        <v>5</v>
      </c>
      <c r="AK37" s="15" t="n">
        <v>5</v>
      </c>
      <c r="AL37" s="15" t="n">
        <v>38.81640170947095</v>
      </c>
      <c r="AM37" s="15" t="n">
        <v>61</v>
      </c>
      <c r="AN37" s="15" t="n">
        <v>0</v>
      </c>
      <c r="AO37" s="15" t="n">
        <v>61</v>
      </c>
      <c r="AP37" s="15" t="n">
        <v>0</v>
      </c>
      <c r="AQ37" s="15" t="n">
        <v>21.68491138254631</v>
      </c>
      <c r="AR37" s="15" t="n">
        <v>11.25192927324985</v>
      </c>
      <c r="AS37" s="15" t="n">
        <v>0.2590630008756441</v>
      </c>
      <c r="AT37" s="17" t="n">
        <v>2.382025725008166</v>
      </c>
      <c r="AU37" s="18" t="n">
        <v>3.789379921834993</v>
      </c>
      <c r="AV37" s="15" t="n">
        <v>4.852611249938233</v>
      </c>
      <c r="AW37" s="15" t="b">
        <v>1</v>
      </c>
      <c r="AX37" s="15" t="n">
        <v>6.038129909689635</v>
      </c>
      <c r="AY37" s="15" t="n">
        <v>28.79429457677903</v>
      </c>
      <c r="AZ37" s="15" t="n">
        <v>0</v>
      </c>
      <c r="BA37" s="15" t="n">
        <v>1</v>
      </c>
      <c r="BB37" s="15" t="n">
        <v>0.5</v>
      </c>
      <c r="BC37" s="15" t="n">
        <v>0.25</v>
      </c>
      <c r="BD37" s="15" t="inlineStr">
        <is>
          <t>his_note_adaptive</t>
        </is>
      </c>
      <c r="BE37" s="15" t="n">
        <v>-90</v>
      </c>
      <c r="BF37" s="15" t="n">
        <v>20000</v>
      </c>
      <c r="BG37" s="15" t="n">
        <v>10</v>
      </c>
      <c r="BH37" s="15" t="n">
        <v>1</v>
      </c>
      <c r="BI37" s="15" t="n">
        <v>10</v>
      </c>
      <c r="BJ37" s="15" t="n">
        <v>10</v>
      </c>
      <c r="BK37" s="15" t="n">
        <v>10</v>
      </c>
      <c r="BL37" s="15" t="n">
        <v>8</v>
      </c>
      <c r="BM37" s="15" t="n">
        <v>0.8</v>
      </c>
      <c r="BN37" s="15" t="n">
        <v>0.4120283710837674</v>
      </c>
      <c r="BO37" s="15" t="n">
        <v>0.5083333333333333</v>
      </c>
      <c r="BP37" s="19" t="n">
        <v>0.7476265885653881</v>
      </c>
      <c r="BQ37" s="19" t="n">
        <v>0.2523734114346119</v>
      </c>
      <c r="BR37" s="19" t="n">
        <v>0</v>
      </c>
      <c r="BS37" s="15" t="n">
        <v>0.1715961142118218</v>
      </c>
      <c r="BT37" s="19" t="n">
        <v>1</v>
      </c>
      <c r="BU37" s="19" t="n">
        <v>0</v>
      </c>
      <c r="BV37" s="19" t="n">
        <v>0</v>
      </c>
      <c r="BW37" t="inlineStr">
        <is>
          <t>A#6</t>
        </is>
      </c>
      <c r="BX37" t="n">
        <v>94</v>
      </c>
      <c r="BY37" t="inlineStr">
        <is>
          <t>A#</t>
        </is>
      </c>
      <c r="BZ37" t="n">
        <v>6</v>
      </c>
      <c r="CA37" t="inlineStr">
        <is>
          <t>Very high</t>
        </is>
      </c>
      <c r="CB37" t="inlineStr">
        <is>
          <t>mf</t>
        </is>
      </c>
      <c r="CC37" s="15" t="n">
        <v>1864.655046072359</v>
      </c>
      <c r="CD37" s="15" t="n">
        <v>1862.196033739299</v>
      </c>
      <c r="CE37" t="inlineStr">
        <is>
          <t>prior_constrained_harmonic_fit</t>
        </is>
      </c>
      <c r="CF37" t="n">
        <v>1862.196033739299</v>
      </c>
      <c r="CG37" s="15" t="n">
        <v>1</v>
      </c>
      <c r="CH37" t="inlineStr">
        <is>
          <t>free_fit_acoustically_verified</t>
        </is>
      </c>
      <c r="CI37" s="15" t="inlineStr">
        <is>
          <t>free_f0_fit</t>
        </is>
      </c>
      <c r="CJ37" s="15" t="n">
        <v>1864.655046072359</v>
      </c>
      <c r="CK37" s="15" t="n">
        <v>1862.196033739299</v>
      </c>
      <c r="CL37" s="15" t="n">
        <v>-2.284570220102213</v>
      </c>
      <c r="CM37" s="15" t="n">
        <v>20000</v>
      </c>
      <c r="CN37" s="15" t="n">
        <v>-2.284570220102213</v>
      </c>
      <c r="CO37" s="15" t="n">
        <v>2.186009778790092</v>
      </c>
      <c r="CP37" s="15" t="n">
        <v>37406.09983794976</v>
      </c>
      <c r="CQ37" t="n">
        <v>1.05566330988927</v>
      </c>
      <c r="CR37" t="n">
        <v>0.1055663309889271</v>
      </c>
      <c r="CS37" t="n">
        <v>58.4470309967965</v>
      </c>
      <c r="CT37" t="n">
        <v>58.4470309967965</v>
      </c>
      <c r="CU37" t="n">
        <v>61.70038619527899</v>
      </c>
      <c r="CV37" t="n">
        <v>9.309692691433764</v>
      </c>
      <c r="CW37" s="15" t="n">
        <v>37406.09983794976</v>
      </c>
      <c r="CX37" s="15" t="n">
        <v>1060.696247432939</v>
      </c>
      <c r="CY37" s="15" t="n">
        <v>9.309692691433764</v>
      </c>
      <c r="CZ37" s="15" t="n">
        <v>2.382025725008166</v>
      </c>
      <c r="DA37" s="15" t="n">
        <v>2.382025725008166</v>
      </c>
      <c r="DB37" s="15" t="n">
        <v>1.864777542664666</v>
      </c>
      <c r="DC37" s="15" t="n">
        <v>0</v>
      </c>
      <c r="DD37" s="15" t="n">
        <v>6.368014134934003e-05</v>
      </c>
      <c r="DE37" s="15" t="n">
        <v>0</v>
      </c>
      <c r="DF37" s="15" t="n">
        <v>6</v>
      </c>
      <c r="DG37" s="15" t="inlineStr">
        <is>
          <t>Density_Metrics</t>
        </is>
      </c>
      <c r="DH37" s="15" t="n">
        <v>2.186009778790092</v>
      </c>
      <c r="DI37" t="n">
        <v>0.8924283268311802</v>
      </c>
      <c r="DJ37" s="15" t="n">
        <v>0.5291769066876848</v>
      </c>
      <c r="DK37" s="15" t="n">
        <v>4.967320493127223</v>
      </c>
      <c r="DL37" s="15" t="n">
        <v>1.116664261663978</v>
      </c>
      <c r="DM37" s="15" t="n">
        <v>1.048400753493641</v>
      </c>
      <c r="DN37" s="15" t="n">
        <v>6.615306888828312</v>
      </c>
      <c r="DO37" s="15" t="n">
        <v>1.578040993606077</v>
      </c>
      <c r="DP37" s="15" t="n">
        <v>9.3125</v>
      </c>
      <c r="DQ37" s="15" t="n">
        <v>14</v>
      </c>
      <c r="DR37" s="15" t="b">
        <v>1</v>
      </c>
      <c r="DS37" s="15" t="n">
        <v>1.05566330988927</v>
      </c>
      <c r="DT37" s="15" t="n">
        <v>4.833446846150601</v>
      </c>
      <c r="DU37" t="n">
        <v>10</v>
      </c>
      <c r="DV37" s="15" t="n">
        <v>0.1715961142118218</v>
      </c>
      <c r="DW37" s="15" t="n">
        <v>0.8776800555244156</v>
      </c>
      <c r="DX37" s="15" t="n">
        <v>1.878109951143766</v>
      </c>
      <c r="DY37" s="15" t="n">
        <v>0.2111860657812671</v>
      </c>
      <c r="DZ37" s="15" t="b">
        <v>1</v>
      </c>
      <c r="EA37" s="15" t="n">
        <v>0.2444018301405922</v>
      </c>
      <c r="EB37" s="15" t="n">
        <v>20000</v>
      </c>
      <c r="EC37" s="15" t="n">
        <v>11173.1762024358</v>
      </c>
      <c r="ED37" s="15" t="n">
        <v>6</v>
      </c>
      <c r="EE37" s="15" t="n">
        <v>0</v>
      </c>
      <c r="EF37" s="15" t="n">
        <v>0.02309617874936895</v>
      </c>
      <c r="EG37" s="15" t="b">
        <v>0</v>
      </c>
      <c r="EH37" s="15" t="b">
        <v>1</v>
      </c>
      <c r="EI37" s="15" t="b">
        <v>0</v>
      </c>
      <c r="EJ37" s="15" t="inlineStr">
        <is>
          <t>wf=log|dst=-90.0|ceil=20000.0|fft=adaptive_tier</t>
        </is>
      </c>
      <c r="EK37" s="15" t="inlineStr">
        <is>
          <t>wf=log|dst=runtime_configured|ceil=runtime_configured|fft=fixed</t>
        </is>
      </c>
      <c r="EL37" s="15" t="n">
        <v>0.721519990370766</v>
      </c>
      <c r="EM37" s="15" t="n">
        <v>0.9893749989690672</v>
      </c>
      <c r="EN37" s="15" t="n">
        <v>0.5454545454545454</v>
      </c>
      <c r="EO37" s="15" t="n">
        <v>0.4269607496279741</v>
      </c>
      <c r="EP37" s="15" t="inlineStr">
        <is>
          <t>warn:power_outlier_detected</t>
        </is>
      </c>
      <c r="EQ37" s="15" t="n">
        <v>209.8546556740349</v>
      </c>
      <c r="ER37" s="15" t="inlineStr">
        <is>
          <t>winsorize_p95_for_robust_diagnostics</t>
        </is>
      </c>
      <c r="ES37" s="15" t="n">
        <v>0.1741117623248256</v>
      </c>
      <c r="ET37" s="15" t="n">
        <v>0.04940477251821978</v>
      </c>
      <c r="EU37" s="15" t="n">
        <v>0.05605621288824093</v>
      </c>
      <c r="EV37" t="inlineStr">
        <is>
          <t>computed</t>
        </is>
      </c>
      <c r="EW37" s="15" t="inlineStr">
        <is>
          <t>computed</t>
        </is>
      </c>
      <c r="EX37" s="15" t="inlineStr">
        <is>
          <t>computed</t>
        </is>
      </c>
      <c r="EY37" s="15" t="inlineStr">
        <is>
          <t>available_from_curve</t>
        </is>
      </c>
      <c r="EZ37" s="15" t="n">
        <v>20000</v>
      </c>
      <c r="FA37" s="15" t="n">
        <v>20000</v>
      </c>
      <c r="FB37" s="15" t="n">
        <v>0.2523734114346119</v>
      </c>
      <c r="FC37" s="15" t="n">
        <v>0.1330860141914789</v>
      </c>
      <c r="FD37" s="15" t="n">
        <v>2.382025725008166</v>
      </c>
      <c r="FE37" s="15" t="n">
        <v>1.864777542664666</v>
      </c>
      <c r="FF37" s="15" t="n">
        <v>0.7205172254543909</v>
      </c>
      <c r="FG37" s="15" t="n">
        <v>1.76282130992441</v>
      </c>
      <c r="FH37" s="15" t="n">
        <v>0.3844266791689134</v>
      </c>
      <c r="FI37" s="15" t="n">
        <v>0.03876178969676956</v>
      </c>
      <c r="FJ37" s="15" t="n">
        <v>584.470309967965</v>
      </c>
      <c r="FK37" s="15" t="n">
        <v>16.57337886613968</v>
      </c>
      <c r="FL37" s="15" t="n">
        <v>0.1454639483036526</v>
      </c>
      <c r="FM37" s="15" t="n">
        <v>0.004327235526551162</v>
      </c>
      <c r="FN37" t="n">
        <v>1</v>
      </c>
      <c r="FO37" t="n">
        <v>0</v>
      </c>
      <c r="FP37" t="n">
        <v>0</v>
      </c>
      <c r="FQ37" t="inlineStr">
        <is>
          <t>good</t>
        </is>
      </c>
      <c r="FR37" s="19" t="n">
        <v>0.8</v>
      </c>
      <c r="FS37" s="15" t="n">
        <v>1.235014052554173</v>
      </c>
      <c r="FT37" s="15" t="n">
        <v>3.728531157963566</v>
      </c>
      <c r="FU37" t="inlineStr">
        <is>
          <t>passed</t>
        </is>
      </c>
      <c r="FV37" t="n">
        <v>30.00060226626989</v>
      </c>
      <c r="FW37" t="n">
        <v>9.030615709865232</v>
      </c>
      <c r="FX37" t="n">
        <v>0.5317910687240779</v>
      </c>
      <c r="FY37" t="n">
        <v>0.3315907758785112</v>
      </c>
      <c r="FZ37" t="n">
        <v>0.02633369133627515</v>
      </c>
      <c r="GA37" t="n">
        <v>0.43201171152429</v>
      </c>
      <c r="GB37" t="n">
        <v>0.03243966272659527</v>
      </c>
      <c r="GC37" t="n">
        <v>0.01649119642911569</v>
      </c>
      <c r="GD37" t="n">
        <v>0.07234798765612935</v>
      </c>
      <c r="GE37" t="n">
        <v>0.7752850408242556</v>
      </c>
      <c r="GF37" t="n">
        <v>1</v>
      </c>
      <c r="GG37" t="n">
        <v>1</v>
      </c>
      <c r="GH37" t="n">
        <v>0.5364792162698773</v>
      </c>
      <c r="GI37" t="n">
        <v>1</v>
      </c>
      <c r="GJ37" t="n">
        <v>0.3000000000000003</v>
      </c>
      <c r="GK37" t="n">
        <v>0.9166666666666666</v>
      </c>
      <c r="GL37" t="n">
        <v>0.9599207949398262</v>
      </c>
      <c r="GM37" t="n">
        <v>0.9599207949398262</v>
      </c>
      <c r="GN37" t="n">
        <v>0.1823148290556169</v>
      </c>
      <c r="GO37" t="n">
        <v>0.2595370805171798</v>
      </c>
      <c r="GP37" t="n">
        <v>61.70038619527899</v>
      </c>
      <c r="GQ37" t="inlineStr">
        <is>
          <t>compiled workbook density_weighted_sum = density_component_ratio_weighted_sum (per-note component ratios); research density_weighted_sum maps body-ceiling richness</t>
        </is>
      </c>
      <c r="GR37" s="15" t="inlineStr">
        <is>
          <t>individual_exact</t>
        </is>
      </c>
      <c r="GS37" s="15" t="inlineStr">
        <is>
          <t>density_weight</t>
        </is>
      </c>
      <c r="GT37" s="15" t="n">
        <v>0.7708840905383076</v>
      </c>
      <c r="GU37" s="15" t="n">
        <v>0.2291159094616923</v>
      </c>
      <c r="GV37" s="15" t="n">
        <v>0</v>
      </c>
      <c r="GW37" s="15" t="inlineStr">
        <is>
          <t>log</t>
        </is>
      </c>
      <c r="GX37" s="15" t="n">
        <v>0.5</v>
      </c>
      <c r="GY37" s="15" t="inlineStr">
        <is>
          <t>EWSD-R v18.1</t>
        </is>
      </c>
      <c r="GZ37" s="15" t="n">
        <v>2.198871118464804</v>
      </c>
      <c r="HA37" s="15" t="n">
        <v>9.17178745891343</v>
      </c>
      <c r="HB37" s="15" t="n">
        <v>0.4524184078869155</v>
      </c>
      <c r="HC37" s="15" t="n">
        <v>3.28034556780844</v>
      </c>
      <c r="HD37" s="15" t="n">
        <v>10.462982317912</v>
      </c>
      <c r="HE37" s="15" t="n">
        <v>0.3953154413129615</v>
      </c>
      <c r="HF37" s="15" t="inlineStr">
        <is>
          <t>partials+ratios</t>
        </is>
      </c>
      <c r="HG37" s="15" t="inlineStr">
        <is>
          <t>merged_individual_exact</t>
        </is>
      </c>
      <c r="HH37" s="15" t="inlineStr">
        <is>
          <t>passed</t>
        </is>
      </c>
      <c r="HI37" s="15" t="inlineStr">
        <is>
          <t>passed</t>
        </is>
      </c>
    </row>
    <row r="38">
      <c r="A38" t="inlineStr">
        <is>
          <t>incomplete_inference</t>
        </is>
      </c>
      <c r="B38" t="inlineStr">
        <is>
          <t>missing_instrument_technique</t>
        </is>
      </c>
      <c r="C38" t="inlineStr">
        <is>
          <t>prior_constrained_harmonic_fit</t>
        </is>
      </c>
      <c r="D38" t="inlineStr">
        <is>
          <t>IOWA_flt_mf.B6_SustainStable/B6/component_amplitude_mass_pie.png</t>
        </is>
      </c>
      <c r="E38" t="inlineStr">
        <is>
          <t>IOWA_flt_mf.B6_SustainStable/B6/component_energy_ratio_pie.png</t>
        </is>
      </c>
      <c r="F38" s="15" t="n">
        <v>1976.424083138403</v>
      </c>
      <c r="G38" s="15" t="inlineStr">
        <is>
          <t>prior_constrained_harmonic_fit</t>
        </is>
      </c>
      <c r="H38" s="15" t="inlineStr">
        <is>
          <t>fit_accepted_acoustically_verified</t>
        </is>
      </c>
      <c r="I38" s="16" t="n">
        <v>62.75269864962914</v>
      </c>
      <c r="J38" t="inlineStr">
        <is>
          <t>richness_weighted_body_density_body_ceiling</t>
        </is>
      </c>
      <c r="K38" t="inlineStr">
        <is>
          <t>research_body_ceiling_richness_metric</t>
        </is>
      </c>
      <c r="L38" s="15" t="n">
        <v>39808.24073066802</v>
      </c>
      <c r="M38" s="15" t="n">
        <v>39808.24073066802</v>
      </c>
      <c r="N38" s="15" t="n">
        <v>303.3376147891033</v>
      </c>
      <c r="O38" s="15" t="n">
        <v>5.398301587718158</v>
      </c>
      <c r="P38" s="15" t="n">
        <v>-7.239138788122896</v>
      </c>
      <c r="Q38" s="15" t="n">
        <v>6</v>
      </c>
      <c r="R38" s="15" t="n">
        <v>6</v>
      </c>
      <c r="S38" s="15" t="n">
        <v>622.0037614166878</v>
      </c>
      <c r="T38" s="15" t="n">
        <v>11</v>
      </c>
      <c r="U38" s="15" t="n">
        <v>-0.4936225686069707</v>
      </c>
      <c r="V38" s="15" t="n">
        <v>9.576202115642783</v>
      </c>
      <c r="W38" s="15" t="n">
        <v>0.5372183892902068</v>
      </c>
      <c r="X38" s="15" t="n">
        <v>0.4318968799725675</v>
      </c>
      <c r="Y38" s="15" t="n">
        <v>10</v>
      </c>
      <c r="Z38" s="15" t="n">
        <v>10</v>
      </c>
      <c r="AA38" s="15" t="n">
        <v>1</v>
      </c>
      <c r="AB38" s="15" t="n">
        <v>10</v>
      </c>
      <c r="AC38" s="15" t="n">
        <v>10</v>
      </c>
      <c r="AD38" s="15" t="n">
        <v>1</v>
      </c>
      <c r="AE38" s="15" t="n">
        <v>78.15635801628342</v>
      </c>
      <c r="AF38" s="15" t="n">
        <v>10</v>
      </c>
      <c r="AG38" s="15" t="n">
        <v>10</v>
      </c>
      <c r="AH38" s="15" t="n">
        <v>1</v>
      </c>
      <c r="AI38" s="15" t="n">
        <v>78.15635801628342</v>
      </c>
      <c r="AJ38" s="15" t="n">
        <v>5</v>
      </c>
      <c r="AK38" s="15" t="n">
        <v>5</v>
      </c>
      <c r="AL38" s="15" t="n">
        <v>250.4055839631141</v>
      </c>
      <c r="AM38" s="15" t="n">
        <v>49</v>
      </c>
      <c r="AN38" s="15" t="n">
        <v>0</v>
      </c>
      <c r="AO38" s="15" t="n">
        <v>49</v>
      </c>
      <c r="AP38" s="15" t="n">
        <v>0</v>
      </c>
      <c r="AQ38" s="15" t="n">
        <v>16.90750341559951</v>
      </c>
      <c r="AR38" s="15" t="n">
        <v>8.385681002349708</v>
      </c>
      <c r="AS38" s="15" t="n">
        <v>0.118255095514058</v>
      </c>
      <c r="AT38" s="17" t="n">
        <v>2.350049811804707</v>
      </c>
      <c r="AU38" s="18" t="n">
        <v>2.279659498390154</v>
      </c>
      <c r="AV38" s="15" t="n">
        <v>3.354063023731409</v>
      </c>
      <c r="AW38" s="15" t="b">
        <v>1</v>
      </c>
      <c r="AX38" s="15" t="n">
        <v>5.561498258467557</v>
      </c>
      <c r="AY38" s="15" t="n">
        <v>21.50693040442395</v>
      </c>
      <c r="AZ38" s="15" t="n">
        <v>0</v>
      </c>
      <c r="BA38" s="15" t="n">
        <v>1</v>
      </c>
      <c r="BB38" s="15" t="n">
        <v>0.5</v>
      </c>
      <c r="BC38" s="15" t="n">
        <v>0.25</v>
      </c>
      <c r="BD38" s="15" t="inlineStr">
        <is>
          <t>his_note_adaptive</t>
        </is>
      </c>
      <c r="BE38" s="15" t="n">
        <v>-90</v>
      </c>
      <c r="BF38" s="15" t="n">
        <v>20000</v>
      </c>
      <c r="BG38" s="15" t="n">
        <v>10</v>
      </c>
      <c r="BH38" s="15" t="n">
        <v>1</v>
      </c>
      <c r="BI38" s="15" t="n">
        <v>10</v>
      </c>
      <c r="BJ38" s="15" t="n">
        <v>10</v>
      </c>
      <c r="BK38" s="15" t="n">
        <v>10</v>
      </c>
      <c r="BL38" s="15" t="n">
        <v>8</v>
      </c>
      <c r="BM38" s="15" t="n">
        <v>0.8</v>
      </c>
      <c r="BN38" s="15" t="n">
        <v>0.3874812939102117</v>
      </c>
      <c r="BO38" s="15" t="n">
        <v>0.4083333333333333</v>
      </c>
      <c r="BP38" s="19" t="n">
        <v>0.7614979793932836</v>
      </c>
      <c r="BQ38" s="19" t="n">
        <v>0.2385020206067164</v>
      </c>
      <c r="BR38" s="19" t="n">
        <v>0</v>
      </c>
      <c r="BS38" s="15" t="n">
        <v>0.1278904576459534</v>
      </c>
      <c r="BT38" s="19" t="n">
        <v>1</v>
      </c>
      <c r="BU38" s="19" t="n">
        <v>0</v>
      </c>
      <c r="BV38" s="19" t="n">
        <v>0</v>
      </c>
      <c r="BW38" t="inlineStr">
        <is>
          <t>B6</t>
        </is>
      </c>
      <c r="BX38" t="n">
        <v>95</v>
      </c>
      <c r="BY38" t="inlineStr">
        <is>
          <t>B</t>
        </is>
      </c>
      <c r="BZ38" t="n">
        <v>6</v>
      </c>
      <c r="CA38" t="inlineStr">
        <is>
          <t>Very high</t>
        </is>
      </c>
      <c r="CB38" t="inlineStr">
        <is>
          <t>mf</t>
        </is>
      </c>
      <c r="CC38" s="15" t="n">
        <v>1975.533205024497</v>
      </c>
      <c r="CD38" s="15" t="n">
        <v>1976.424083138403</v>
      </c>
      <c r="CE38" t="inlineStr">
        <is>
          <t>prior_constrained_harmonic_fit</t>
        </is>
      </c>
      <c r="CF38" t="n">
        <v>1976.424083138403</v>
      </c>
      <c r="CG38" s="15" t="n">
        <v>1</v>
      </c>
      <c r="CH38" t="inlineStr">
        <is>
          <t>free_fit_acoustically_verified</t>
        </is>
      </c>
      <c r="CI38" s="15" t="inlineStr">
        <is>
          <t>free_f0_fit</t>
        </is>
      </c>
      <c r="CJ38" s="15" t="n">
        <v>1975.533205024497</v>
      </c>
      <c r="CK38" s="15" t="n">
        <v>1976.424083138403</v>
      </c>
      <c r="CL38" s="15" t="n">
        <v>0.7805340179703337</v>
      </c>
      <c r="CM38" s="15" t="n">
        <v>20000</v>
      </c>
      <c r="CN38" s="15" t="n">
        <v>0.7805340179703337</v>
      </c>
      <c r="CO38" s="15" t="n">
        <v>2.094299573438892</v>
      </c>
      <c r="CP38" s="15" t="n">
        <v>39808.24073066802</v>
      </c>
      <c r="CQ38" t="n">
        <v>1.008879729387848</v>
      </c>
      <c r="CR38" t="n">
        <v>0.1008879729387848</v>
      </c>
      <c r="CS38" t="n">
        <v>62.20037614166878</v>
      </c>
      <c r="CT38" t="n">
        <v>62.20037614166878</v>
      </c>
      <c r="CU38" t="n">
        <v>62.75269864962914</v>
      </c>
      <c r="CV38" t="n">
        <v>5.398301587718158</v>
      </c>
      <c r="CW38" s="15" t="n">
        <v>39808.24073066802</v>
      </c>
      <c r="CX38" s="15" t="n">
        <v>303.3376147891033</v>
      </c>
      <c r="CY38" s="15" t="n">
        <v>5.398301587718158</v>
      </c>
      <c r="CZ38" s="15" t="n">
        <v>2.350049811804707</v>
      </c>
      <c r="DA38" s="15" t="n">
        <v>2.350049811804707</v>
      </c>
      <c r="DB38" s="15" t="n">
        <v>1.559156095353522</v>
      </c>
      <c r="DC38" s="15" t="n">
        <v>0</v>
      </c>
      <c r="DD38" s="15" t="n">
        <v>5.903425443250607e-05</v>
      </c>
      <c r="DE38" s="15" t="n">
        <v>0</v>
      </c>
      <c r="DF38" s="15" t="n">
        <v>6</v>
      </c>
      <c r="DG38" s="15" t="inlineStr">
        <is>
          <t>Density_Metrics</t>
        </is>
      </c>
      <c r="DH38" s="15" t="n">
        <v>2.094299573438892</v>
      </c>
      <c r="DI38" t="n">
        <v>0.8549880619663931</v>
      </c>
      <c r="DJ38" s="15" t="n">
        <v>0.5250512645983637</v>
      </c>
      <c r="DK38" s="15" t="n">
        <v>4.535999438172101</v>
      </c>
      <c r="DL38" s="15" t="n">
        <v>1.024560343488023</v>
      </c>
      <c r="DM38" s="15" t="n">
        <v>1.009130784206553</v>
      </c>
      <c r="DN38" s="15" t="n">
        <v>7.188671211415234</v>
      </c>
      <c r="DO38" s="15" t="n">
        <v>1.837443524950745</v>
      </c>
      <c r="DP38" s="15" t="n">
        <v>29.125</v>
      </c>
      <c r="DQ38" s="15" t="n">
        <v>14</v>
      </c>
      <c r="DR38" s="15" t="b">
        <v>0</v>
      </c>
      <c r="DS38" s="15" t="n">
        <v>1.008879729387848</v>
      </c>
      <c r="DT38" s="15" t="n">
        <v>4.318968799725675</v>
      </c>
      <c r="DU38" t="n">
        <v>10</v>
      </c>
      <c r="DV38" s="15" t="n">
        <v>0.1278904576459534</v>
      </c>
      <c r="DW38" s="15" t="n">
        <v>0.6095137629093631</v>
      </c>
      <c r="DX38" s="15" t="n">
        <v>1.887437245546088</v>
      </c>
      <c r="DY38" s="15" t="n">
        <v>0.2953666818200327</v>
      </c>
      <c r="DZ38" s="15" t="b">
        <v>1</v>
      </c>
      <c r="EA38" s="15" t="n">
        <v>0.0703653769201552</v>
      </c>
      <c r="EB38" s="15" t="n">
        <v>20000</v>
      </c>
      <c r="EC38" s="15" t="n">
        <v>11858.54449883042</v>
      </c>
      <c r="ED38" s="15" t="n">
        <v>6</v>
      </c>
      <c r="EE38" s="15" t="n">
        <v>0</v>
      </c>
      <c r="EF38" s="15" t="n">
        <v>0.02179988984263414</v>
      </c>
      <c r="EG38" s="15" t="b">
        <v>0</v>
      </c>
      <c r="EH38" s="15" t="b">
        <v>1</v>
      </c>
      <c r="EI38" s="15" t="b">
        <v>0</v>
      </c>
      <c r="EJ38" s="15" t="inlineStr">
        <is>
          <t>wf=log|dst=-90.0|ceil=20000.0|fft=adaptive_tier</t>
        </is>
      </c>
      <c r="EK38" s="15" t="inlineStr">
        <is>
          <t>wf=log|dst=runtime_configured|ceil=runtime_configured|fft=fixed</t>
        </is>
      </c>
      <c r="EL38" s="15" t="n">
        <v>0.724405520163383</v>
      </c>
      <c r="EM38" s="15" t="n">
        <v>0.9972062462165434</v>
      </c>
      <c r="EN38" s="15" t="n">
        <v>0.5454545454545454</v>
      </c>
      <c r="EO38" s="15" t="n">
        <v>0.4237680922842377</v>
      </c>
      <c r="EP38" s="15" t="inlineStr">
        <is>
          <t>warn:power_outlier_detected</t>
        </is>
      </c>
      <c r="EQ38" s="15" t="n">
        <v>218.9714073477398</v>
      </c>
      <c r="ER38" s="15" t="inlineStr">
        <is>
          <t>winsorize_p95_for_robust_diagnostics</t>
        </is>
      </c>
      <c r="ES38" s="15" t="n">
        <v>0.2683326544299883</v>
      </c>
      <c r="ET38" s="15" t="n">
        <v>0.03803554849808082</v>
      </c>
      <c r="EU38" s="15" t="n">
        <v>0.04174593913659022</v>
      </c>
      <c r="EV38" t="inlineStr">
        <is>
          <t>computed</t>
        </is>
      </c>
      <c r="EW38" s="15" t="inlineStr">
        <is>
          <t>computed</t>
        </is>
      </c>
      <c r="EX38" s="15" t="inlineStr">
        <is>
          <t>computed</t>
        </is>
      </c>
      <c r="EY38" s="15" t="inlineStr">
        <is>
          <t>available_from_curve</t>
        </is>
      </c>
      <c r="EZ38" s="15" t="n">
        <v>20000</v>
      </c>
      <c r="FA38" s="15" t="n">
        <v>20000</v>
      </c>
      <c r="FB38" s="15" t="n">
        <v>0.2385020206067164</v>
      </c>
      <c r="FC38" s="15" t="n">
        <v>0.04726352415565104</v>
      </c>
      <c r="FD38" s="15" t="n">
        <v>2.350049811804707</v>
      </c>
      <c r="FE38" s="15" t="n">
        <v>1.559156095353522</v>
      </c>
      <c r="FF38" s="15" t="n">
        <v>0.6267935310138721</v>
      </c>
      <c r="FG38" s="15" t="n">
        <v>1.739157492776021</v>
      </c>
      <c r="FH38" s="15" t="n">
        <v>0.3214223607531441</v>
      </c>
      <c r="FI38" s="15" t="n">
        <v>0.0337197199097265</v>
      </c>
      <c r="FJ38" s="15" t="n">
        <v>622.0037614166878</v>
      </c>
      <c r="FK38" s="15" t="n">
        <v>4.739650231079739</v>
      </c>
      <c r="FL38" s="15" t="n">
        <v>0.08434846230809621</v>
      </c>
      <c r="FM38" s="15" t="n">
        <v>0.004647565683355078</v>
      </c>
      <c r="FN38" t="n">
        <v>1</v>
      </c>
      <c r="FO38" t="n">
        <v>0</v>
      </c>
      <c r="FP38" t="n">
        <v>0</v>
      </c>
      <c r="FQ38" t="inlineStr">
        <is>
          <t>good</t>
        </is>
      </c>
      <c r="FR38" s="19" t="n">
        <v>0.8</v>
      </c>
      <c r="FS38" s="15" t="n">
        <v>1.243033742858078</v>
      </c>
      <c r="FT38" s="15" t="n">
        <v>2.232578619828898</v>
      </c>
      <c r="FU38" t="inlineStr">
        <is>
          <t>passed</t>
        </is>
      </c>
      <c r="FV38" t="n">
        <v>27.86222406840722</v>
      </c>
      <c r="FW38" t="n">
        <v>4.404665252784592</v>
      </c>
      <c r="FX38" t="n">
        <v>0.4043020109923663</v>
      </c>
      <c r="FY38" t="n">
        <v>0.09895129327140281</v>
      </c>
      <c r="FZ38" t="n">
        <v>0.02787430956708989</v>
      </c>
      <c r="GA38" t="n">
        <v>0.1837757944401613</v>
      </c>
      <c r="GB38" t="n">
        <v>0.0004667685976865831</v>
      </c>
      <c r="GC38" t="n">
        <v>1.493755827597877e-05</v>
      </c>
      <c r="GD38" t="n">
        <v>0.02466707131713715</v>
      </c>
      <c r="GE38" t="n">
        <v>0.5615602039782556</v>
      </c>
      <c r="GF38" t="n">
        <v>0.8339581294584696</v>
      </c>
      <c r="GG38" t="n">
        <v>0.6813268325769564</v>
      </c>
      <c r="GH38" t="n">
        <v>0.303224769767914</v>
      </c>
      <c r="GI38" t="n">
        <v>1</v>
      </c>
      <c r="GJ38" t="n">
        <v>0.3000000000000003</v>
      </c>
      <c r="GK38" t="n">
        <v>0.6666666666666666</v>
      </c>
      <c r="GL38" t="n">
        <v>0.8336407355643528</v>
      </c>
      <c r="GM38" t="n">
        <v>0.8336407355643528</v>
      </c>
      <c r="GN38" t="n">
        <v>0.01555942918232451</v>
      </c>
      <c r="GO38" t="n">
        <v>0.1331206342784227</v>
      </c>
      <c r="GP38" t="n">
        <v>62.75269864962914</v>
      </c>
      <c r="GQ38" t="inlineStr">
        <is>
          <t>compiled workbook density_weighted_sum = density_component_ratio_weighted_sum (per-note component ratios); research density_weighted_sum maps body-ceiling richness</t>
        </is>
      </c>
      <c r="GR38" s="15" t="inlineStr">
        <is>
          <t>individual_exact</t>
        </is>
      </c>
      <c r="GS38" s="15" t="inlineStr">
        <is>
          <t>density_weight</t>
        </is>
      </c>
      <c r="GT38" s="15" t="n">
        <v>0.8228845278051409</v>
      </c>
      <c r="GU38" s="15" t="n">
        <v>0.1771154721948591</v>
      </c>
      <c r="GV38" s="15" t="n">
        <v>0</v>
      </c>
      <c r="GW38" s="15" t="inlineStr">
        <is>
          <t>log</t>
        </is>
      </c>
      <c r="GX38" s="15" t="n">
        <v>0.5</v>
      </c>
      <c r="GY38" s="15" t="inlineStr">
        <is>
          <t>EWSD-R v18.1</t>
        </is>
      </c>
      <c r="GZ38" s="15" t="n">
        <v>1.454699894663169</v>
      </c>
      <c r="HA38" s="15" t="n">
        <v>7.085568781427838</v>
      </c>
      <c r="HB38" s="15" t="n">
        <v>0.6338817883845533</v>
      </c>
      <c r="HC38" s="15" t="n">
        <v>2.023838665986909</v>
      </c>
      <c r="HD38" s="15" t="n">
        <v>8.887516546263599</v>
      </c>
      <c r="HE38" s="15" t="n">
        <v>0.5405656937917889</v>
      </c>
      <c r="HF38" s="15" t="inlineStr">
        <is>
          <t>partials+ratios</t>
        </is>
      </c>
      <c r="HG38" s="15" t="inlineStr">
        <is>
          <t>merged_individual_exact</t>
        </is>
      </c>
      <c r="HH38" s="15" t="inlineStr">
        <is>
          <t>passed</t>
        </is>
      </c>
      <c r="HI38" s="15" t="inlineStr">
        <is>
          <t>passed</t>
        </is>
      </c>
    </row>
    <row r="39">
      <c r="A39" t="inlineStr">
        <is>
          <t>incomplete_inference</t>
        </is>
      </c>
      <c r="B39" t="inlineStr">
        <is>
          <t>missing_instrument_technique</t>
        </is>
      </c>
      <c r="C39" t="inlineStr">
        <is>
          <t>prior_constrained_harmonic_fit</t>
        </is>
      </c>
      <c r="D39" t="inlineStr">
        <is>
          <t>IOWA_flt_mf.C7_SustainStable/C7/component_amplitude_mass_pie.png</t>
        </is>
      </c>
      <c r="E39" t="inlineStr">
        <is>
          <t>IOWA_flt_mf.C7_SustainStable/C7/component_energy_ratio_pie.png</t>
        </is>
      </c>
      <c r="F39" s="15" t="n">
        <v>2089.836958761173</v>
      </c>
      <c r="G39" s="15" t="inlineStr">
        <is>
          <t>prior_constrained_harmonic_fit</t>
        </is>
      </c>
      <c r="H39" s="15" t="inlineStr">
        <is>
          <t>fit_accepted_acoustically_verified</t>
        </is>
      </c>
      <c r="I39" s="16" t="n">
        <v>70.62303893343321</v>
      </c>
      <c r="J39" t="inlineStr">
        <is>
          <t>richness_weighted_body_density_body_ceiling</t>
        </is>
      </c>
      <c r="K39" t="inlineStr">
        <is>
          <t>research_body_ceiling_richness_metric</t>
        </is>
      </c>
      <c r="L39" s="15" t="n">
        <v>40243.15967259451</v>
      </c>
      <c r="M39" s="15" t="n">
        <v>40243.15967259451</v>
      </c>
      <c r="N39" s="15" t="n">
        <v>244.6946278302886</v>
      </c>
      <c r="O39" s="15" t="n">
        <v>1.42528260267398</v>
      </c>
      <c r="P39" s="15" t="n">
        <v>-15.43582094490191</v>
      </c>
      <c r="Q39" s="15" t="n">
        <v>3</v>
      </c>
      <c r="R39" s="15" t="n">
        <v>3</v>
      </c>
      <c r="S39" s="15" t="n">
        <v>628.7993698842891</v>
      </c>
      <c r="T39" s="15" t="n">
        <v>10</v>
      </c>
      <c r="U39" s="15" t="n">
        <v>-1.309624496747523</v>
      </c>
      <c r="V39" s="15" t="n">
        <v>9.102793786424305</v>
      </c>
      <c r="W39" s="15" t="n">
        <v>0.03825534270330779</v>
      </c>
      <c r="X39" s="15" t="n">
        <v>0.477576266410425</v>
      </c>
      <c r="Y39" s="15" t="n">
        <v>7</v>
      </c>
      <c r="Z39" s="15" t="n">
        <v>9</v>
      </c>
      <c r="AA39" s="15" t="n">
        <v>0.7777777777777778</v>
      </c>
      <c r="AB39" s="15" t="n">
        <v>9</v>
      </c>
      <c r="AC39" s="15" t="n">
        <v>7</v>
      </c>
      <c r="AD39" s="15" t="n">
        <v>0.7777777777777778</v>
      </c>
      <c r="AE39" s="15" t="n">
        <v>77.09369216287364</v>
      </c>
      <c r="AF39" s="15" t="n">
        <v>7</v>
      </c>
      <c r="AG39" s="15" t="n">
        <v>9</v>
      </c>
      <c r="AH39" s="15" t="n">
        <v>0.7777777777777778</v>
      </c>
      <c r="AI39" s="15" t="n">
        <v>77.09369216287364</v>
      </c>
      <c r="AJ39" s="15" t="n">
        <v>4</v>
      </c>
      <c r="AK39" s="15" t="n">
        <v>3</v>
      </c>
      <c r="AL39" s="15" t="n">
        <v>217.2034532022953</v>
      </c>
      <c r="AM39" s="15" t="n">
        <v>37</v>
      </c>
      <c r="AN39" s="15" t="n">
        <v>0</v>
      </c>
      <c r="AO39" s="15" t="n">
        <v>37</v>
      </c>
      <c r="AP39" s="15" t="n">
        <v>0</v>
      </c>
      <c r="AQ39" s="15" t="n">
        <v>11.87673726381561</v>
      </c>
      <c r="AR39" s="15" t="n">
        <v>5.978511730341143</v>
      </c>
      <c r="AS39" s="15" t="n">
        <v>0</v>
      </c>
      <c r="AT39" s="17" t="n">
        <v>2.343105229648099</v>
      </c>
      <c r="AU39" s="18" t="n">
        <v>2.944681738924264</v>
      </c>
      <c r="AV39" s="15" t="n">
        <v>3.582538129559525</v>
      </c>
      <c r="AW39" s="15" t="b">
        <v>1</v>
      </c>
      <c r="AX39" s="15" t="n">
        <v>4.038429946310895</v>
      </c>
      <c r="AY39" s="15" t="n">
        <v>15.97314169565154</v>
      </c>
      <c r="AZ39" s="15" t="n">
        <v>0</v>
      </c>
      <c r="BA39" s="15" t="n">
        <v>1</v>
      </c>
      <c r="BB39" s="15" t="n">
        <v>0.5</v>
      </c>
      <c r="BC39" s="15" t="n">
        <v>0.25</v>
      </c>
      <c r="BD39" s="15" t="inlineStr">
        <is>
          <t>his_note_adaptive</t>
        </is>
      </c>
      <c r="BE39" s="15" t="n">
        <v>-90</v>
      </c>
      <c r="BF39" s="15" t="n">
        <v>20000</v>
      </c>
      <c r="BG39" s="15" t="n">
        <v>7</v>
      </c>
      <c r="BH39" s="15" t="n">
        <v>0.7777777777777778</v>
      </c>
      <c r="BI39" s="15" t="n">
        <v>9</v>
      </c>
      <c r="BJ39" s="15" t="n">
        <v>7</v>
      </c>
      <c r="BK39" s="15" t="n">
        <v>9</v>
      </c>
      <c r="BL39" s="15" t="n">
        <v>7</v>
      </c>
      <c r="BM39" s="15" t="n">
        <v>0.7777777777777778</v>
      </c>
      <c r="BN39" s="15" t="n">
        <v>0.4255641055178961</v>
      </c>
      <c r="BO39" s="15" t="n">
        <v>0.3083333333333333</v>
      </c>
      <c r="BP39" s="19" t="n">
        <v>0.7683987969691508</v>
      </c>
      <c r="BQ39" s="19" t="n">
        <v>0.2316012030308491</v>
      </c>
      <c r="BR39" s="19" t="n">
        <v>0</v>
      </c>
      <c r="BS39" s="15" t="n">
        <v>0.09293399627404512</v>
      </c>
      <c r="BT39" s="19" t="n">
        <v>1</v>
      </c>
      <c r="BU39" s="19" t="n">
        <v>0</v>
      </c>
      <c r="BV39" s="19" t="n">
        <v>0</v>
      </c>
      <c r="BW39" t="inlineStr">
        <is>
          <t>C7</t>
        </is>
      </c>
      <c r="BX39" t="n">
        <v>96</v>
      </c>
      <c r="BY39" t="inlineStr">
        <is>
          <t>C</t>
        </is>
      </c>
      <c r="BZ39" t="n">
        <v>7</v>
      </c>
      <c r="CA39" t="inlineStr">
        <is>
          <t>Very high</t>
        </is>
      </c>
      <c r="CB39" t="inlineStr">
        <is>
          <t>mf</t>
        </is>
      </c>
      <c r="CC39" s="15" t="n">
        <v>2093.004522404789</v>
      </c>
      <c r="CD39" s="15" t="n">
        <v>2089.836958761173</v>
      </c>
      <c r="CE39" t="inlineStr">
        <is>
          <t>prior_constrained_harmonic_fit</t>
        </is>
      </c>
      <c r="CF39" t="n">
        <v>2089.836958761173</v>
      </c>
      <c r="CG39" s="15" t="n">
        <v>1</v>
      </c>
      <c r="CH39" t="inlineStr">
        <is>
          <t>free_fit_acoustically_verified</t>
        </is>
      </c>
      <c r="CI39" s="15" t="inlineStr">
        <is>
          <t>free_f0_fit</t>
        </is>
      </c>
      <c r="CJ39" s="15" t="n">
        <v>2093.004522404789</v>
      </c>
      <c r="CK39" s="15" t="n">
        <v>2089.836958761173</v>
      </c>
      <c r="CL39" s="15" t="n">
        <v>-2.622042984589581</v>
      </c>
      <c r="CM39" s="15" t="n">
        <v>20000</v>
      </c>
      <c r="CN39" s="15" t="n">
        <v>-2.622042984589581</v>
      </c>
      <c r="CO39" s="15" t="n">
        <v>2.055291390803732</v>
      </c>
      <c r="CP39" s="15" t="n">
        <v>40243.15967259451</v>
      </c>
      <c r="CQ39" t="n">
        <v>1.010826951874749</v>
      </c>
      <c r="CR39" t="n">
        <v>0.112314105763861</v>
      </c>
      <c r="CS39" t="n">
        <v>69.86659665380991</v>
      </c>
      <c r="CT39" t="n">
        <v>69.86659665380991</v>
      </c>
      <c r="CU39" t="n">
        <v>70.62303893343321</v>
      </c>
      <c r="CV39" t="n">
        <v>1.42528260267398</v>
      </c>
      <c r="CW39" s="15" t="n">
        <v>40243.15967259451</v>
      </c>
      <c r="CX39" s="15" t="n">
        <v>244.6946278302886</v>
      </c>
      <c r="CY39" s="15" t="n">
        <v>1.42528260267398</v>
      </c>
      <c r="CZ39" s="15" t="n">
        <v>2.343105229648099</v>
      </c>
      <c r="DA39" s="15" t="n">
        <v>2.343105229648099</v>
      </c>
      <c r="DB39" s="15" t="n">
        <v>1.447154080341847</v>
      </c>
      <c r="DC39" s="15" t="n">
        <v>0</v>
      </c>
      <c r="DD39" s="15" t="n">
        <v>5.822368940984891e-05</v>
      </c>
      <c r="DE39" s="15" t="n">
        <v>0</v>
      </c>
      <c r="DF39" s="15" t="n">
        <v>3</v>
      </c>
      <c r="DG39" s="15" t="inlineStr">
        <is>
          <t>Density_Metrics</t>
        </is>
      </c>
      <c r="DH39" s="15" t="n">
        <v>2.055291390803732</v>
      </c>
      <c r="DI39" t="n">
        <v>0.8390631528010332</v>
      </c>
      <c r="DJ39" s="15" t="n">
        <v>0.5241500469294645</v>
      </c>
      <c r="DK39" s="15" t="n">
        <v>4.216680741408803</v>
      </c>
      <c r="DL39" s="15" t="n">
        <v>1.023215728998165</v>
      </c>
      <c r="DM39" s="15" t="n">
        <v>1.012393782459572</v>
      </c>
      <c r="DN39" s="15" t="n">
        <v>6.212266834714275</v>
      </c>
      <c r="DO39" s="15" t="n">
        <v>1.65025587519841</v>
      </c>
      <c r="DP39" s="15" t="n">
        <v>6.375</v>
      </c>
      <c r="DQ39" s="15" t="n">
        <v>8</v>
      </c>
      <c r="DR39" s="15" t="b">
        <v>1</v>
      </c>
      <c r="DS39" s="15" t="n">
        <v>1.010826951874749</v>
      </c>
      <c r="DT39" s="15" t="n">
        <v>4.298186397693825</v>
      </c>
      <c r="DU39" t="n">
        <v>9</v>
      </c>
      <c r="DV39" s="15" t="n">
        <v>0.09293399627404512</v>
      </c>
      <c r="DW39" s="15" t="n">
        <v>0.6094490466287976</v>
      </c>
      <c r="DX39" s="15" t="n">
        <v>1.878287334013279</v>
      </c>
      <c r="DY39" s="15" t="n">
        <v>0.2938571563570814</v>
      </c>
      <c r="DZ39" s="15" t="b">
        <v>1</v>
      </c>
      <c r="EA39" s="15" t="n">
        <v>0.1553094851514838</v>
      </c>
      <c r="EB39" s="15" t="n">
        <v>20000</v>
      </c>
      <c r="EC39" s="15" t="n">
        <v>6269.51087628352</v>
      </c>
      <c r="ED39" s="15" t="n">
        <v>3</v>
      </c>
      <c r="EE39" s="15" t="n">
        <v>0</v>
      </c>
      <c r="EF39" s="15" t="n">
        <v>0.02057635604175294</v>
      </c>
      <c r="EG39" s="15" t="b">
        <v>0</v>
      </c>
      <c r="EH39" s="15" t="b">
        <v>1</v>
      </c>
      <c r="EI39" s="15" t="b">
        <v>0</v>
      </c>
      <c r="EJ39" s="15" t="inlineStr">
        <is>
          <t>wf=log|dst=-90.0|ceil=20000.0|fft=adaptive_tier</t>
        </is>
      </c>
      <c r="EK39" s="15" t="inlineStr">
        <is>
          <t>wf=log|dst=runtime_configured|ceil=runtime_configured|fft=fixed</t>
        </is>
      </c>
      <c r="EL39" s="15" t="n">
        <v>0.6365470917576528</v>
      </c>
      <c r="EM39" s="15" t="n">
        <v>0.9932274789772217</v>
      </c>
      <c r="EN39" s="15" t="n">
        <v>0.3</v>
      </c>
      <c r="EO39" s="15" t="n">
        <v>0.4229736310895146</v>
      </c>
      <c r="EP39" s="15" t="inlineStr">
        <is>
          <t>warn:power_outlier_detected</t>
        </is>
      </c>
      <c r="EQ39" s="15" t="n">
        <v>221.3202078406084</v>
      </c>
      <c r="ER39" s="15" t="inlineStr">
        <is>
          <t>winsorize_p95_for_robust_diagnostics</t>
        </is>
      </c>
      <c r="ES39" s="15" t="n">
        <v>0.3783527126337553</v>
      </c>
      <c r="ET39" s="15" t="n">
        <v>0.02427193726002058</v>
      </c>
      <c r="EU39" s="15" t="n">
        <v>0.0262602184200799</v>
      </c>
      <c r="EV39" t="inlineStr">
        <is>
          <t>computed</t>
        </is>
      </c>
      <c r="EW39" s="15" t="inlineStr">
        <is>
          <t>computed</t>
        </is>
      </c>
      <c r="EX39" s="15" t="inlineStr">
        <is>
          <t>computed</t>
        </is>
      </c>
      <c r="EY39" s="15" t="inlineStr">
        <is>
          <t>available_from_curve</t>
        </is>
      </c>
      <c r="EZ39" s="15" t="n">
        <v>20000</v>
      </c>
      <c r="FA39" s="15" t="n">
        <v>20000</v>
      </c>
      <c r="FB39" s="15" t="n">
        <v>0.2316012030308491</v>
      </c>
      <c r="FC39" s="15" t="n">
        <v>0.05757172784855183</v>
      </c>
      <c r="FD39" s="15" t="n">
        <v>2.343105229648099</v>
      </c>
      <c r="FE39" s="15" t="n">
        <v>1.447154080341847</v>
      </c>
      <c r="FF39" s="15" t="n">
        <v>0.4264214314188562</v>
      </c>
      <c r="FG39" s="15" t="n">
        <v>1.734018145502957</v>
      </c>
      <c r="FH39" s="15" t="n">
        <v>0.298332977861049</v>
      </c>
      <c r="FI39" s="15" t="n">
        <v>0.0229402674397261</v>
      </c>
      <c r="FJ39" s="15" t="n">
        <v>628.7993698842891</v>
      </c>
      <c r="FK39" s="15" t="n">
        <v>3.823353559848259</v>
      </c>
      <c r="FL39" s="15" t="n">
        <v>0.02227004066678094</v>
      </c>
      <c r="FM39" s="15" t="n">
        <v>0.004681448177251912</v>
      </c>
      <c r="FN39" t="n">
        <v>1</v>
      </c>
      <c r="FO39" t="n">
        <v>0</v>
      </c>
      <c r="FP39" t="n">
        <v>0</v>
      </c>
      <c r="FQ39" t="inlineStr">
        <is>
          <t>good</t>
        </is>
      </c>
      <c r="FR39" s="19" t="n">
        <v>0.7777777777777778</v>
      </c>
      <c r="FS39" s="15" t="n">
        <v>6.252810402753852</v>
      </c>
      <c r="FT39" s="15" t="n">
        <v>16.83144209194221</v>
      </c>
      <c r="FU39" t="inlineStr">
        <is>
          <t>passed</t>
        </is>
      </c>
      <c r="FV39" t="n">
        <v>27.41825371611849</v>
      </c>
      <c r="FW39" t="n">
        <v>3.374968158843881</v>
      </c>
      <c r="FX39" t="n">
        <v>0.2086809739238659</v>
      </c>
      <c r="FY39" t="n">
        <v>0</v>
      </c>
      <c r="FZ39" t="n">
        <v>0.03939673303914882</v>
      </c>
      <c r="GA39" t="n">
        <v>0</v>
      </c>
      <c r="GB39" t="n">
        <v>0</v>
      </c>
      <c r="GC39" t="n">
        <v>0.0007007111016738961</v>
      </c>
      <c r="GD39" t="n">
        <v>0.01066625251439187</v>
      </c>
      <c r="GE39" t="n">
        <v>0</v>
      </c>
      <c r="GF39" t="n">
        <v>0.9813830938867245</v>
      </c>
      <c r="GG39" t="n">
        <v>0.4264470952024874</v>
      </c>
      <c r="GH39" t="n">
        <v>0</v>
      </c>
      <c r="GI39" t="n">
        <v>0.7037037037037037</v>
      </c>
      <c r="GJ39" t="n">
        <v>0.1666666666666668</v>
      </c>
      <c r="GK39" t="n">
        <v>0.4166666666666666</v>
      </c>
      <c r="GL39" t="n">
        <v>0.7708182209346479</v>
      </c>
      <c r="GM39" t="n">
        <v>0.7708182209346479</v>
      </c>
      <c r="GN39" t="n">
        <v>0.0355885454205905</v>
      </c>
      <c r="GO39" t="n">
        <v>0</v>
      </c>
      <c r="GP39" t="n">
        <v>70.62303893343321</v>
      </c>
      <c r="GQ39" t="inlineStr">
        <is>
          <t>compiled workbook density_weighted_sum = density_component_ratio_weighted_sum (per-note component ratios); research density_weighted_sum maps body-ceiling richness</t>
        </is>
      </c>
      <c r="GR39" s="15" t="inlineStr">
        <is>
          <t>individual_exact</t>
        </is>
      </c>
      <c r="GS39" s="15" t="inlineStr">
        <is>
          <t>density_weight</t>
        </is>
      </c>
      <c r="GT39" s="15" t="n">
        <v>0.8374420912061463</v>
      </c>
      <c r="GU39" s="15" t="n">
        <v>0.1625579087938535</v>
      </c>
      <c r="GV39" s="15" t="n">
        <v>0</v>
      </c>
      <c r="GW39" s="15" t="inlineStr">
        <is>
          <t>log</t>
        </is>
      </c>
      <c r="GX39" s="15" t="n">
        <v>0.5</v>
      </c>
      <c r="GY39" s="15" t="inlineStr">
        <is>
          <t>EWSD-R v18.1</t>
        </is>
      </c>
      <c r="GZ39" s="15" t="n">
        <v>2.001153021572412</v>
      </c>
      <c r="HA39" s="15" t="n">
        <v>9.759799562352699</v>
      </c>
      <c r="HB39" s="15" t="n">
        <v>0.6533978048241463</v>
      </c>
      <c r="HC39" s="15" t="n">
        <v>2.023922421396871</v>
      </c>
      <c r="HD39" s="15" t="n">
        <v>9.75980745229257</v>
      </c>
      <c r="HE39" s="15" t="n">
        <v>0.5494286710341337</v>
      </c>
      <c r="HF39" s="15" t="inlineStr">
        <is>
          <t>partials+ratios</t>
        </is>
      </c>
      <c r="HG39" s="15" t="inlineStr">
        <is>
          <t>merged_individual_exact</t>
        </is>
      </c>
      <c r="HH39" s="15" t="inlineStr">
        <is>
          <t>passed</t>
        </is>
      </c>
      <c r="HI39" s="15" t="inlineStr">
        <is>
          <t>passed</t>
        </is>
      </c>
    </row>
  </sheetData>
  <autoFilter ref="A1:HI39"/>
  <conditionalFormatting sqref="FN2:FN39">
    <cfRule type="colorScale" priority="1">
      <colorScale>
        <cfvo type="num" val="0"/>
        <cfvo type="num" val="0.85"/>
        <cfvo type="num" val="1"/>
        <color rgb="00F8696B"/>
        <color rgb="00FFEB84"/>
        <color rgb="0063BE7B"/>
      </colorScale>
    </cfRule>
  </conditionalFormatting>
  <conditionalFormatting sqref="FU2:FU39">
    <cfRule type="cellIs" priority="2" operator="equal" dxfId="0" stopIfTrue="0">
      <formula>passed</formula>
    </cfRule>
  </conditionalFormatting>
  <conditionalFormatting sqref="CG2:CG39">
    <cfRule type="cellIs" priority="3" operator="equal" dxfId="0">
      <formula>TRUE</formula>
    </cfRule>
    <cfRule type="cellIs" priority="4" operator="equal" dxfId="1">
      <formula>FALSE</formula>
    </cfRule>
  </conditionalFormatting>
  <conditionalFormatting sqref="AV2:AV39">
    <cfRule type="dataBar" priority="5">
      <dataBar minLength="0" maxLength="100" showValue="1">
        <cfvo type="min"/>
        <cfvo type="max"/>
        <color rgb="FFC0000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2" customWidth="1" min="3" max="3"/>
    <col width="30" customWidth="1" min="4" max="4"/>
    <col width="26" customWidth="1" min="5" max="5"/>
    <col width="17" customWidth="1" min="6" max="6"/>
    <col width="30" customWidth="1" min="7" max="7"/>
    <col width="14" customWidth="1" min="8" max="8"/>
  </cols>
  <sheetData>
    <row r="1">
      <c r="A1" s="11" t="inlineStr">
        <is>
          <t>Note</t>
        </is>
      </c>
      <c r="B1" s="11" t="inlineStr">
        <is>
          <t>ewsd_merge_status</t>
        </is>
      </c>
      <c r="C1" s="11" t="inlineStr">
        <is>
          <t>ewsd_primary_analysis_eligible</t>
        </is>
      </c>
      <c r="D1" s="11" t="inlineStr">
        <is>
          <t>EWSD_score_acoustic_balanced</t>
        </is>
      </c>
      <c r="E1" s="11" t="inlineStr">
        <is>
          <t>ewsd_uncertainty_sources</t>
        </is>
      </c>
      <c r="F1" s="11" t="inlineStr">
        <is>
          <t>density_fragile</t>
        </is>
      </c>
      <c r="G1" s="11" t="inlineStr">
        <is>
          <t>density_effective_ceiling_hz</t>
        </is>
      </c>
      <c r="H1" s="11" t="inlineStr">
        <is>
          <t>stage3_issue</t>
        </is>
      </c>
    </row>
    <row r="2">
      <c r="A2" s="15" t="inlineStr">
        <is>
          <t>B3</t>
        </is>
      </c>
      <c r="B2" s="15" t="inlineStr">
        <is>
          <t>merged_individual_exact</t>
        </is>
      </c>
      <c r="C2" s="15" t="b">
        <v>1</v>
      </c>
      <c r="D2" s="15" t="n">
        <v>20.29318484026282</v>
      </c>
      <c r="E2" s="15" t="inlineStr">
        <is>
          <t>partials+ratios</t>
        </is>
      </c>
      <c r="F2" s="15" t="b">
        <v>1</v>
      </c>
      <c r="G2" s="15" t="n">
        <v>20000</v>
      </c>
      <c r="H2" s="15" t="inlineStr"/>
    </row>
    <row r="3">
      <c r="A3" s="15" t="inlineStr">
        <is>
          <t>C4</t>
        </is>
      </c>
      <c r="B3" s="15" t="inlineStr">
        <is>
          <t>merged_individual_exact</t>
        </is>
      </c>
      <c r="C3" s="15" t="b">
        <v>1</v>
      </c>
      <c r="D3" s="15" t="n">
        <v>26.02866044902019</v>
      </c>
      <c r="E3" s="15" t="inlineStr">
        <is>
          <t>partials+ratios</t>
        </is>
      </c>
      <c r="F3" s="15" t="b">
        <v>1</v>
      </c>
      <c r="G3" s="15" t="n">
        <v>20000</v>
      </c>
      <c r="H3" s="15" t="inlineStr"/>
    </row>
    <row r="4">
      <c r="A4" s="15" t="inlineStr">
        <is>
          <t>C#4</t>
        </is>
      </c>
      <c r="B4" s="15" t="inlineStr">
        <is>
          <t>merged_individual_exact</t>
        </is>
      </c>
      <c r="C4" s="15" t="b">
        <v>1</v>
      </c>
      <c r="D4" s="15" t="n">
        <v>21.84593696880262</v>
      </c>
      <c r="E4" s="15" t="inlineStr">
        <is>
          <t>partials+ratios</t>
        </is>
      </c>
      <c r="F4" s="15" t="b">
        <v>1</v>
      </c>
      <c r="G4" s="15" t="n">
        <v>20000</v>
      </c>
      <c r="H4" s="15" t="inlineStr"/>
    </row>
    <row r="5">
      <c r="A5" s="15" t="inlineStr">
        <is>
          <t>D4</t>
        </is>
      </c>
      <c r="B5" s="15" t="inlineStr">
        <is>
          <t>merged_individual_exact</t>
        </is>
      </c>
      <c r="C5" s="15" t="b">
        <v>1</v>
      </c>
      <c r="D5" s="15" t="n">
        <v>22.06579888808779</v>
      </c>
      <c r="E5" s="15" t="inlineStr">
        <is>
          <t>partials+ratios</t>
        </is>
      </c>
      <c r="F5" s="15" t="b">
        <v>1</v>
      </c>
      <c r="G5" s="15" t="n">
        <v>20000</v>
      </c>
      <c r="H5" s="15" t="inlineStr"/>
    </row>
    <row r="6">
      <c r="A6" s="15" t="inlineStr">
        <is>
          <t>D#4</t>
        </is>
      </c>
      <c r="B6" s="15" t="inlineStr">
        <is>
          <t>merged_individual_exact</t>
        </is>
      </c>
      <c r="C6" s="15" t="b">
        <v>1</v>
      </c>
      <c r="D6" s="15" t="n">
        <v>18.79995435532786</v>
      </c>
      <c r="E6" s="15" t="inlineStr">
        <is>
          <t>partials+ratios</t>
        </is>
      </c>
      <c r="F6" s="15" t="b">
        <v>1</v>
      </c>
      <c r="G6" s="15" t="n">
        <v>20000</v>
      </c>
      <c r="H6" s="15" t="inlineStr"/>
    </row>
    <row r="7">
      <c r="A7" s="15" t="inlineStr">
        <is>
          <t>E4</t>
        </is>
      </c>
      <c r="B7" s="15" t="inlineStr">
        <is>
          <t>merged_individual_exact</t>
        </is>
      </c>
      <c r="C7" s="15" t="b">
        <v>1</v>
      </c>
      <c r="D7" s="15" t="n">
        <v>17.91647395621288</v>
      </c>
      <c r="E7" s="15" t="inlineStr">
        <is>
          <t>partials+ratios</t>
        </is>
      </c>
      <c r="F7" s="15" t="b">
        <v>1</v>
      </c>
      <c r="G7" s="15" t="n">
        <v>20000</v>
      </c>
      <c r="H7" s="15" t="inlineStr"/>
    </row>
    <row r="8">
      <c r="A8" s="15" t="inlineStr">
        <is>
          <t>F4</t>
        </is>
      </c>
      <c r="B8" s="15" t="inlineStr">
        <is>
          <t>merged_individual_exact</t>
        </is>
      </c>
      <c r="C8" s="15" t="b">
        <v>1</v>
      </c>
      <c r="D8" s="15" t="n">
        <v>16.97405722224918</v>
      </c>
      <c r="E8" s="15" t="inlineStr">
        <is>
          <t>partials+ratios</t>
        </is>
      </c>
      <c r="F8" s="15" t="b">
        <v>1</v>
      </c>
      <c r="G8" s="15" t="n">
        <v>20000</v>
      </c>
      <c r="H8" s="15" t="inlineStr"/>
    </row>
    <row r="9">
      <c r="A9" s="15" t="inlineStr">
        <is>
          <t>F#4</t>
        </is>
      </c>
      <c r="B9" s="15" t="inlineStr">
        <is>
          <t>merged_individual_exact</t>
        </is>
      </c>
      <c r="C9" s="15" t="b">
        <v>1</v>
      </c>
      <c r="D9" s="15" t="n">
        <v>17.29698529328588</v>
      </c>
      <c r="E9" s="15" t="inlineStr">
        <is>
          <t>partials+ratios</t>
        </is>
      </c>
      <c r="F9" s="15" t="b">
        <v>1</v>
      </c>
      <c r="G9" s="15" t="n">
        <v>20000</v>
      </c>
      <c r="H9" s="15" t="inlineStr"/>
    </row>
    <row r="10">
      <c r="A10" s="15" t="inlineStr">
        <is>
          <t>G4</t>
        </is>
      </c>
      <c r="B10" s="15" t="inlineStr">
        <is>
          <t>merged_individual_exact</t>
        </is>
      </c>
      <c r="C10" s="15" t="b">
        <v>1</v>
      </c>
      <c r="D10" s="15" t="n">
        <v>18.25648663074225</v>
      </c>
      <c r="E10" s="15" t="inlineStr">
        <is>
          <t>partials+ratios</t>
        </is>
      </c>
      <c r="F10" s="15" t="b">
        <v>1</v>
      </c>
      <c r="G10" s="15" t="n">
        <v>20000</v>
      </c>
      <c r="H10" s="15" t="inlineStr"/>
    </row>
    <row r="11">
      <c r="A11" s="15" t="inlineStr">
        <is>
          <t>G#4</t>
        </is>
      </c>
      <c r="B11" s="15" t="inlineStr">
        <is>
          <t>merged_individual_exact</t>
        </is>
      </c>
      <c r="C11" s="15" t="b">
        <v>1</v>
      </c>
      <c r="D11" s="15" t="n">
        <v>17.37863037489453</v>
      </c>
      <c r="E11" s="15" t="inlineStr">
        <is>
          <t>partials+ratios</t>
        </is>
      </c>
      <c r="F11" s="15" t="b">
        <v>1</v>
      </c>
      <c r="G11" s="15" t="n">
        <v>20000</v>
      </c>
      <c r="H11" s="15" t="inlineStr"/>
    </row>
    <row r="12">
      <c r="A12" s="15" t="inlineStr">
        <is>
          <t>A4</t>
        </is>
      </c>
      <c r="B12" s="15" t="inlineStr">
        <is>
          <t>merged_individual_exact</t>
        </is>
      </c>
      <c r="C12" s="15" t="b">
        <v>1</v>
      </c>
      <c r="D12" s="15" t="n">
        <v>15.60905191983151</v>
      </c>
      <c r="E12" s="15" t="inlineStr">
        <is>
          <t>partials+ratios</t>
        </is>
      </c>
      <c r="F12" s="15" t="b">
        <v>1</v>
      </c>
      <c r="G12" s="15" t="n">
        <v>20000</v>
      </c>
      <c r="H12" s="15" t="inlineStr"/>
    </row>
    <row r="13">
      <c r="A13" s="15" t="inlineStr">
        <is>
          <t>A#4</t>
        </is>
      </c>
      <c r="B13" s="15" t="inlineStr">
        <is>
          <t>merged_individual_exact</t>
        </is>
      </c>
      <c r="C13" s="15" t="b">
        <v>1</v>
      </c>
      <c r="D13" s="15" t="n">
        <v>17.40341149108035</v>
      </c>
      <c r="E13" s="15" t="inlineStr">
        <is>
          <t>partials+ratios</t>
        </is>
      </c>
      <c r="F13" s="15" t="b">
        <v>1</v>
      </c>
      <c r="G13" s="15" t="n">
        <v>20000</v>
      </c>
      <c r="H13" s="15" t="inlineStr"/>
    </row>
    <row r="14">
      <c r="A14" s="15" t="inlineStr">
        <is>
          <t>B4</t>
        </is>
      </c>
      <c r="B14" s="15" t="inlineStr">
        <is>
          <t>merged_individual_exact</t>
        </is>
      </c>
      <c r="C14" s="15" t="b">
        <v>1</v>
      </c>
      <c r="D14" s="15" t="n">
        <v>15.98063098586069</v>
      </c>
      <c r="E14" s="15" t="inlineStr">
        <is>
          <t>partials+ratios</t>
        </is>
      </c>
      <c r="F14" s="15" t="b">
        <v>1</v>
      </c>
      <c r="G14" s="15" t="n">
        <v>20000</v>
      </c>
      <c r="H14" s="15" t="inlineStr"/>
    </row>
    <row r="15">
      <c r="A15" s="15" t="inlineStr">
        <is>
          <t>C5</t>
        </is>
      </c>
      <c r="B15" s="15" t="inlineStr">
        <is>
          <t>merged_individual_exact</t>
        </is>
      </c>
      <c r="C15" s="15" t="b">
        <v>1</v>
      </c>
      <c r="D15" s="15" t="n">
        <v>10.2936175027912</v>
      </c>
      <c r="E15" s="15" t="inlineStr">
        <is>
          <t>partials+ratios</t>
        </is>
      </c>
      <c r="F15" s="15" t="b">
        <v>1</v>
      </c>
      <c r="G15" s="15" t="n">
        <v>20000</v>
      </c>
      <c r="H15" s="15" t="inlineStr"/>
    </row>
    <row r="16">
      <c r="A16" s="15" t="inlineStr">
        <is>
          <t>C#5</t>
        </is>
      </c>
      <c r="B16" s="15" t="inlineStr">
        <is>
          <t>merged_individual_exact</t>
        </is>
      </c>
      <c r="C16" s="15" t="b">
        <v>1</v>
      </c>
      <c r="D16" s="15" t="n">
        <v>9.885027142696245</v>
      </c>
      <c r="E16" s="15" t="inlineStr">
        <is>
          <t>partials+ratios</t>
        </is>
      </c>
      <c r="F16" s="15" t="b">
        <v>1</v>
      </c>
      <c r="G16" s="15" t="n">
        <v>20000</v>
      </c>
      <c r="H16" s="15" t="inlineStr"/>
    </row>
    <row r="17">
      <c r="A17" s="15" t="inlineStr">
        <is>
          <t>D5</t>
        </is>
      </c>
      <c r="B17" s="15" t="inlineStr">
        <is>
          <t>merged_individual_exact</t>
        </is>
      </c>
      <c r="C17" s="15" t="b">
        <v>1</v>
      </c>
      <c r="D17" s="15" t="n">
        <v>9.4767518136021</v>
      </c>
      <c r="E17" s="15" t="inlineStr">
        <is>
          <t>partials+ratios</t>
        </is>
      </c>
      <c r="F17" s="15" t="b">
        <v>1</v>
      </c>
      <c r="G17" s="15" t="n">
        <v>20000</v>
      </c>
      <c r="H17" s="15" t="inlineStr"/>
    </row>
    <row r="18">
      <c r="A18" s="15" t="inlineStr">
        <is>
          <t>D#5</t>
        </is>
      </c>
      <c r="B18" s="15" t="inlineStr">
        <is>
          <t>merged_individual_exact</t>
        </is>
      </c>
      <c r="C18" s="15" t="b">
        <v>1</v>
      </c>
      <c r="D18" s="15" t="n">
        <v>8.966740052549257</v>
      </c>
      <c r="E18" s="15" t="inlineStr">
        <is>
          <t>partials+ratios</t>
        </is>
      </c>
      <c r="F18" s="15" t="b">
        <v>1</v>
      </c>
      <c r="G18" s="15" t="n">
        <v>20000</v>
      </c>
      <c r="H18" s="15" t="inlineStr"/>
    </row>
    <row r="19">
      <c r="A19" s="15" t="inlineStr">
        <is>
          <t>E5</t>
        </is>
      </c>
      <c r="B19" s="15" t="inlineStr">
        <is>
          <t>merged_individual_exact</t>
        </is>
      </c>
      <c r="C19" s="15" t="b">
        <v>1</v>
      </c>
      <c r="D19" s="15" t="n">
        <v>6.954350237200202</v>
      </c>
      <c r="E19" s="15" t="inlineStr">
        <is>
          <t>partials+ratios</t>
        </is>
      </c>
      <c r="F19" s="15" t="b">
        <v>1</v>
      </c>
      <c r="G19" s="15" t="n">
        <v>20000</v>
      </c>
      <c r="H19" s="15" t="inlineStr"/>
    </row>
    <row r="20">
      <c r="A20" s="15" t="inlineStr">
        <is>
          <t>F5</t>
        </is>
      </c>
      <c r="B20" s="15" t="inlineStr">
        <is>
          <t>merged_individual_exact</t>
        </is>
      </c>
      <c r="C20" s="15" t="b">
        <v>1</v>
      </c>
      <c r="D20" s="15" t="n">
        <v>8.05884185934603</v>
      </c>
      <c r="E20" s="15" t="inlineStr">
        <is>
          <t>partials+ratios</t>
        </is>
      </c>
      <c r="F20" s="15" t="b">
        <v>1</v>
      </c>
      <c r="G20" s="15" t="n">
        <v>20000</v>
      </c>
      <c r="H20" s="15" t="inlineStr"/>
    </row>
    <row r="21">
      <c r="A21" s="15" t="inlineStr">
        <is>
          <t>F#5</t>
        </is>
      </c>
      <c r="B21" s="15" t="inlineStr">
        <is>
          <t>merged_individual_exact</t>
        </is>
      </c>
      <c r="C21" s="15" t="b">
        <v>1</v>
      </c>
      <c r="D21" s="15" t="n">
        <v>8.069084678983797</v>
      </c>
      <c r="E21" s="15" t="inlineStr">
        <is>
          <t>partials+ratios</t>
        </is>
      </c>
      <c r="F21" s="15" t="b">
        <v>1</v>
      </c>
      <c r="G21" s="15" t="n">
        <v>20000</v>
      </c>
      <c r="H21" s="15" t="inlineStr"/>
    </row>
    <row r="22">
      <c r="A22" s="15" t="inlineStr">
        <is>
          <t>G5</t>
        </is>
      </c>
      <c r="B22" s="15" t="inlineStr">
        <is>
          <t>merged_individual_exact</t>
        </is>
      </c>
      <c r="C22" s="15" t="b">
        <v>1</v>
      </c>
      <c r="D22" s="15" t="n">
        <v>9.699263212397154</v>
      </c>
      <c r="E22" s="15" t="inlineStr">
        <is>
          <t>partials+ratios</t>
        </is>
      </c>
      <c r="F22" s="15" t="b">
        <v>1</v>
      </c>
      <c r="G22" s="15" t="n">
        <v>20000</v>
      </c>
      <c r="H22" s="15" t="inlineStr"/>
    </row>
    <row r="23">
      <c r="A23" s="15" t="inlineStr">
        <is>
          <t>G#5</t>
        </is>
      </c>
      <c r="B23" s="15" t="inlineStr">
        <is>
          <t>merged_individual_exact</t>
        </is>
      </c>
      <c r="C23" s="15" t="b">
        <v>1</v>
      </c>
      <c r="D23" s="15" t="n">
        <v>9.938202796278205</v>
      </c>
      <c r="E23" s="15" t="inlineStr">
        <is>
          <t>partials+ratios</t>
        </is>
      </c>
      <c r="F23" s="15" t="b">
        <v>1</v>
      </c>
      <c r="G23" s="15" t="n">
        <v>20000</v>
      </c>
      <c r="H23" s="15" t="inlineStr"/>
    </row>
    <row r="24">
      <c r="A24" s="15" t="inlineStr">
        <is>
          <t>A5</t>
        </is>
      </c>
      <c r="B24" s="15" t="inlineStr">
        <is>
          <t>merged_individual_exact</t>
        </is>
      </c>
      <c r="C24" s="15" t="b">
        <v>1</v>
      </c>
      <c r="D24" s="15" t="n">
        <v>6.681761687802062</v>
      </c>
      <c r="E24" s="15" t="inlineStr">
        <is>
          <t>partials+ratios</t>
        </is>
      </c>
      <c r="F24" s="15" t="b">
        <v>1</v>
      </c>
      <c r="G24" s="15" t="n">
        <v>20000</v>
      </c>
      <c r="H24" s="15" t="inlineStr"/>
    </row>
    <row r="25">
      <c r="A25" s="15" t="inlineStr">
        <is>
          <t>A#5</t>
        </is>
      </c>
      <c r="B25" s="15" t="inlineStr">
        <is>
          <t>merged_individual_exact</t>
        </is>
      </c>
      <c r="C25" s="15" t="b">
        <v>1</v>
      </c>
      <c r="D25" s="15" t="n">
        <v>5.964472048620103</v>
      </c>
      <c r="E25" s="15" t="inlineStr">
        <is>
          <t>partials+ratios</t>
        </is>
      </c>
      <c r="F25" s="15" t="b">
        <v>1</v>
      </c>
      <c r="G25" s="15" t="n">
        <v>20000</v>
      </c>
      <c r="H25" s="15" t="inlineStr"/>
    </row>
    <row r="26">
      <c r="A26" s="15" t="inlineStr">
        <is>
          <t>B5</t>
        </is>
      </c>
      <c r="B26" s="15" t="inlineStr">
        <is>
          <t>merged_individual_exact</t>
        </is>
      </c>
      <c r="C26" s="15" t="b">
        <v>1</v>
      </c>
      <c r="D26" s="15" t="n">
        <v>6.777376733307422</v>
      </c>
      <c r="E26" s="15" t="inlineStr">
        <is>
          <t>partials+ratios</t>
        </is>
      </c>
      <c r="F26" s="15" t="b">
        <v>1</v>
      </c>
      <c r="G26" s="15" t="n">
        <v>20000</v>
      </c>
      <c r="H26" s="15" t="inlineStr"/>
    </row>
    <row r="27">
      <c r="A27" s="15" t="inlineStr">
        <is>
          <t>C6</t>
        </is>
      </c>
      <c r="B27" s="15" t="inlineStr">
        <is>
          <t>merged_individual_exact</t>
        </is>
      </c>
      <c r="C27" s="15" t="b">
        <v>1</v>
      </c>
      <c r="D27" s="15" t="n">
        <v>6.514822910693791</v>
      </c>
      <c r="E27" s="15" t="inlineStr">
        <is>
          <t>partials+ratios</t>
        </is>
      </c>
      <c r="F27" s="15" t="b">
        <v>1</v>
      </c>
      <c r="G27" s="15" t="n">
        <v>20000</v>
      </c>
      <c r="H27" s="15" t="inlineStr"/>
    </row>
    <row r="28">
      <c r="A28" s="15" t="inlineStr">
        <is>
          <t>C#6</t>
        </is>
      </c>
      <c r="B28" s="15" t="inlineStr">
        <is>
          <t>merged_individual_exact</t>
        </is>
      </c>
      <c r="C28" s="15" t="b">
        <v>1</v>
      </c>
      <c r="D28" s="15" t="n">
        <v>5.506585140014545</v>
      </c>
      <c r="E28" s="15" t="inlineStr">
        <is>
          <t>partials+ratios</t>
        </is>
      </c>
      <c r="F28" s="15" t="b">
        <v>1</v>
      </c>
      <c r="G28" s="15" t="n">
        <v>20000</v>
      </c>
      <c r="H28" s="15" t="inlineStr"/>
    </row>
    <row r="29">
      <c r="A29" s="15" t="inlineStr">
        <is>
          <t>D6</t>
        </is>
      </c>
      <c r="B29" s="15" t="inlineStr">
        <is>
          <t>merged_individual_exact</t>
        </is>
      </c>
      <c r="C29" s="15" t="b">
        <v>1</v>
      </c>
      <c r="D29" s="15" t="n">
        <v>6.298694702175444</v>
      </c>
      <c r="E29" s="15" t="inlineStr">
        <is>
          <t>partials+ratios</t>
        </is>
      </c>
      <c r="F29" s="15" t="b">
        <v>1</v>
      </c>
      <c r="G29" s="15" t="n">
        <v>20000</v>
      </c>
      <c r="H29" s="15" t="inlineStr"/>
    </row>
    <row r="30">
      <c r="A30" s="15" t="inlineStr">
        <is>
          <t>D#6</t>
        </is>
      </c>
      <c r="B30" s="15" t="inlineStr">
        <is>
          <t>merged_individual_exact</t>
        </is>
      </c>
      <c r="C30" s="15" t="b">
        <v>1</v>
      </c>
      <c r="D30" s="15" t="n">
        <v>6.267548048800883</v>
      </c>
      <c r="E30" s="15" t="inlineStr">
        <is>
          <t>partials+ratios</t>
        </is>
      </c>
      <c r="F30" s="15" t="b">
        <v>1</v>
      </c>
      <c r="G30" s="15" t="n">
        <v>20000</v>
      </c>
      <c r="H30" s="15" t="inlineStr"/>
    </row>
    <row r="31">
      <c r="A31" s="15" t="inlineStr">
        <is>
          <t>E6</t>
        </is>
      </c>
      <c r="B31" s="15" t="inlineStr">
        <is>
          <t>merged_individual_exact</t>
        </is>
      </c>
      <c r="C31" s="15" t="b">
        <v>1</v>
      </c>
      <c r="D31" s="15" t="n">
        <v>5.326087615129508</v>
      </c>
      <c r="E31" s="15" t="inlineStr">
        <is>
          <t>partials+ratios</t>
        </is>
      </c>
      <c r="F31" s="15" t="b">
        <v>1</v>
      </c>
      <c r="G31" s="15" t="n">
        <v>20000</v>
      </c>
      <c r="H31" s="15" t="inlineStr"/>
    </row>
    <row r="32">
      <c r="A32" s="15" t="inlineStr">
        <is>
          <t>F6</t>
        </is>
      </c>
      <c r="B32" s="15" t="inlineStr">
        <is>
          <t>merged_individual_exact</t>
        </is>
      </c>
      <c r="C32" s="15" t="b">
        <v>1</v>
      </c>
      <c r="D32" s="15" t="n">
        <v>3.229012676769698</v>
      </c>
      <c r="E32" s="15" t="inlineStr">
        <is>
          <t>partials+ratios</t>
        </is>
      </c>
      <c r="F32" s="15" t="b">
        <v>1</v>
      </c>
      <c r="G32" s="15" t="n">
        <v>20000</v>
      </c>
      <c r="H32" s="15" t="inlineStr"/>
    </row>
    <row r="33">
      <c r="A33" s="15" t="inlineStr">
        <is>
          <t>F#6</t>
        </is>
      </c>
      <c r="B33" s="15" t="inlineStr">
        <is>
          <t>merged_individual_exact</t>
        </is>
      </c>
      <c r="C33" s="15" t="b">
        <v>1</v>
      </c>
      <c r="D33" s="15" t="n">
        <v>4.488042342215028</v>
      </c>
      <c r="E33" s="15" t="inlineStr">
        <is>
          <t>partials+ratios</t>
        </is>
      </c>
      <c r="F33" s="15" t="b">
        <v>1</v>
      </c>
      <c r="G33" s="15" t="n">
        <v>20000</v>
      </c>
      <c r="H33" s="15" t="inlineStr"/>
    </row>
    <row r="34">
      <c r="A34" s="15" t="inlineStr">
        <is>
          <t>G6</t>
        </is>
      </c>
      <c r="B34" s="15" t="inlineStr">
        <is>
          <t>merged_individual_exact</t>
        </is>
      </c>
      <c r="C34" s="15" t="b">
        <v>1</v>
      </c>
      <c r="D34" s="15" t="n">
        <v>7.930713373893051</v>
      </c>
      <c r="E34" s="15" t="inlineStr">
        <is>
          <t>partials+ratios</t>
        </is>
      </c>
      <c r="F34" s="15" t="b">
        <v>1</v>
      </c>
      <c r="G34" s="15" t="n">
        <v>20000</v>
      </c>
      <c r="H34" s="15" t="inlineStr"/>
    </row>
    <row r="35">
      <c r="A35" s="15" t="inlineStr">
        <is>
          <t>G#6</t>
        </is>
      </c>
      <c r="B35" s="15" t="inlineStr">
        <is>
          <t>merged_individual_exact</t>
        </is>
      </c>
      <c r="C35" s="15" t="b">
        <v>1</v>
      </c>
      <c r="D35" s="15" t="n">
        <v>3.457939766555042</v>
      </c>
      <c r="E35" s="15" t="inlineStr">
        <is>
          <t>partials+ratios</t>
        </is>
      </c>
      <c r="F35" s="15" t="b">
        <v>1</v>
      </c>
      <c r="G35" s="15" t="n">
        <v>20000</v>
      </c>
      <c r="H35" s="15" t="inlineStr"/>
    </row>
    <row r="36">
      <c r="A36" s="15" t="inlineStr">
        <is>
          <t>A6</t>
        </is>
      </c>
      <c r="B36" s="15" t="inlineStr">
        <is>
          <t>merged_individual_exact</t>
        </is>
      </c>
      <c r="C36" s="15" t="b">
        <v>1</v>
      </c>
      <c r="D36" s="15" t="n">
        <v>4.453709645334089</v>
      </c>
      <c r="E36" s="15" t="inlineStr">
        <is>
          <t>partials+ratios</t>
        </is>
      </c>
      <c r="F36" s="15" t="b">
        <v>1</v>
      </c>
      <c r="G36" s="15" t="n">
        <v>20000</v>
      </c>
      <c r="H36" s="15" t="inlineStr"/>
    </row>
    <row r="37">
      <c r="A37" s="15" t="inlineStr">
        <is>
          <t>A#6</t>
        </is>
      </c>
      <c r="B37" s="15" t="inlineStr">
        <is>
          <t>merged_individual_exact</t>
        </is>
      </c>
      <c r="C37" s="15" t="b">
        <v>1</v>
      </c>
      <c r="D37" s="15" t="n">
        <v>4.852611249938233</v>
      </c>
      <c r="E37" s="15" t="inlineStr">
        <is>
          <t>partials+ratios</t>
        </is>
      </c>
      <c r="F37" s="15" t="b">
        <v>1</v>
      </c>
      <c r="G37" s="15" t="n">
        <v>20000</v>
      </c>
      <c r="H37" s="15" t="inlineStr"/>
    </row>
    <row r="38">
      <c r="A38" s="15" t="inlineStr">
        <is>
          <t>B6</t>
        </is>
      </c>
      <c r="B38" s="15" t="inlineStr">
        <is>
          <t>merged_individual_exact</t>
        </is>
      </c>
      <c r="C38" s="15" t="b">
        <v>1</v>
      </c>
      <c r="D38" s="15" t="n">
        <v>3.354063023731409</v>
      </c>
      <c r="E38" s="15" t="inlineStr">
        <is>
          <t>partials+ratios</t>
        </is>
      </c>
      <c r="F38" s="15" t="b">
        <v>1</v>
      </c>
      <c r="G38" s="15" t="n">
        <v>20000</v>
      </c>
      <c r="H38" s="15" t="inlineStr"/>
    </row>
    <row r="39">
      <c r="A39" s="15" t="inlineStr">
        <is>
          <t>C7</t>
        </is>
      </c>
      <c r="B39" s="15" t="inlineStr">
        <is>
          <t>merged_individual_exact</t>
        </is>
      </c>
      <c r="C39" s="15" t="b">
        <v>1</v>
      </c>
      <c r="D39" s="15" t="n">
        <v>3.582538129559525</v>
      </c>
      <c r="E39" s="15" t="inlineStr">
        <is>
          <t>partials+ratios</t>
        </is>
      </c>
      <c r="F39" s="15" t="b">
        <v>1</v>
      </c>
      <c r="G39" s="15" t="n">
        <v>20000</v>
      </c>
      <c r="H39" s="15" t="inlineStr"/>
    </row>
  </sheetData>
  <autoFilter ref="A1:H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8" customWidth="1" min="3" max="3"/>
    <col width="48" customWidth="1" min="4" max="4"/>
    <col width="44" customWidth="1" min="5" max="5"/>
    <col width="17" customWidth="1" min="6" max="6"/>
    <col width="13" customWidth="1" min="7" max="7"/>
    <col width="12" customWidth="1" min="8" max="8"/>
    <col width="42" customWidth="1" min="9" max="9"/>
    <col width="34" customWidth="1" min="10" max="10"/>
  </cols>
  <sheetData>
    <row r="1">
      <c r="A1" s="11" t="inlineStr">
        <is>
          <t>stage3_status_row</t>
        </is>
      </c>
      <c r="B1" s="11" t="inlineStr">
        <is>
          <t>ewsd_stage3_version</t>
        </is>
      </c>
      <c r="C1" s="11" t="inlineStr">
        <is>
          <t>stage3_issue</t>
        </is>
      </c>
      <c r="D1" s="11" t="inlineStr">
        <is>
          <t>analysis_version</t>
        </is>
      </c>
      <c r="E1" s="11" t="inlineStr">
        <is>
          <t>analysis_version_source</t>
        </is>
      </c>
      <c r="F1" s="11" t="inlineStr">
        <is>
          <t>package_version</t>
        </is>
      </c>
      <c r="G1" s="11" t="inlineStr">
        <is>
          <t>code_commit</t>
        </is>
      </c>
      <c r="H1" s="11" t="inlineStr">
        <is>
          <t>code_dirty</t>
        </is>
      </c>
      <c r="I1" s="11" t="inlineStr">
        <is>
          <t>git_describe</t>
        </is>
      </c>
      <c r="J1" s="11" t="inlineStr">
        <is>
          <t>export_schema_version</t>
        </is>
      </c>
    </row>
    <row r="2">
      <c r="A2" s="15" t="inlineStr">
        <is>
          <t>__STAGE3_SUMMARY__</t>
        </is>
      </c>
      <c r="B2" s="15" t="inlineStr">
        <is>
          <t>EWSD-R v18.1</t>
        </is>
      </c>
      <c r="C2" s="15" t="inlineStr">
        <is>
          <t>analysis_root=D:\METAIS\TROMBONE\IOWA-flute - test\IOWA_Flute_mf\_Sustains_Stable\analysis_results; frequency_ceiling_hz=20000.0; workbooks=38; rows=38</t>
        </is>
      </c>
      <c r="D2" s="15" t="inlineStr">
        <is>
          <t>4.1.0+v0.1.0-validated-2026-05-15-242-g6b0e51a</t>
        </is>
      </c>
      <c r="E2" s="15" t="inlineStr">
        <is>
          <t>pyproject.toml:pyproject.toml+git-describe</t>
        </is>
      </c>
      <c r="F2" s="15" t="inlineStr">
        <is>
          <t>4.1.0</t>
        </is>
      </c>
      <c r="G2" s="15" t="inlineStr">
        <is>
          <t>6b0e51a</t>
        </is>
      </c>
      <c r="H2" s="15" t="b">
        <v>0</v>
      </c>
      <c r="I2" s="15" t="inlineStr">
        <is>
          <t>v0.1.0-validated-2026-05-15-242-g6b0e51a</t>
        </is>
      </c>
      <c r="J2" s="15" t="inlineStr">
        <is>
          <t>spectral_analysis_schema_2026_08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1" customWidth="1" min="3" max="3"/>
    <col width="21" customWidth="1" min="4" max="4"/>
    <col width="18" customWidth="1" min="5" max="5"/>
    <col width="32" customWidth="1" min="6" max="6"/>
    <col width="22" customWidth="1" min="7" max="7"/>
    <col width="24" customWidth="1" min="8" max="8"/>
    <col width="30" customWidth="1" min="9" max="9"/>
  </cols>
  <sheetData>
    <row r="1">
      <c r="A1" s="11" t="inlineStr">
        <is>
          <t>Note</t>
        </is>
      </c>
      <c r="B1" s="11" t="inlineStr">
        <is>
          <t>metric</t>
        </is>
      </c>
      <c r="C1" s="11" t="inlineStr">
        <is>
          <t>rel_uncertainty</t>
        </is>
      </c>
      <c r="D1" s="11" t="inlineStr">
        <is>
          <t>rel_uncertainty_pct</t>
        </is>
      </c>
      <c r="E1" s="11" t="inlineStr">
        <is>
          <t>uncertainty_flag</t>
        </is>
      </c>
      <c r="F1" s="11" t="inlineStr">
        <is>
          <t>uncertainty_flag_threshold_pct</t>
        </is>
      </c>
      <c r="G1" s="11" t="inlineStr">
        <is>
          <t>ci_basis_frame_count</t>
        </is>
      </c>
      <c r="H1" s="11" t="inlineStr">
        <is>
          <t>ci_basis_partial_count</t>
        </is>
      </c>
      <c r="I1" s="11" t="inlineStr">
        <is>
          <t>ci_basis_frames_insufficient</t>
        </is>
      </c>
    </row>
    <row r="2">
      <c r="A2" s="15" t="inlineStr">
        <is>
          <t>B3</t>
        </is>
      </c>
      <c r="B2" s="15" t="inlineStr">
        <is>
          <t>note_density_final</t>
        </is>
      </c>
      <c r="C2" s="15" t="n">
        <v>0.06993150067739541</v>
      </c>
      <c r="D2" s="15" t="n">
        <v>6.993150067739541</v>
      </c>
      <c r="E2" s="15" t="b">
        <v>0</v>
      </c>
      <c r="F2" s="15" t="n">
        <v>25</v>
      </c>
      <c r="G2" s="15" t="n">
        <v>5.5625</v>
      </c>
      <c r="H2" s="15" t="n">
        <v>35</v>
      </c>
      <c r="I2" s="15" t="b">
        <v>1</v>
      </c>
    </row>
    <row r="3">
      <c r="A3" s="15" t="inlineStr">
        <is>
          <t>B3</t>
        </is>
      </c>
      <c r="B3" s="15" t="inlineStr">
        <is>
          <t>note_effective_component_density</t>
        </is>
      </c>
      <c r="C3" s="15" t="n">
        <v>0.4629443174437017</v>
      </c>
      <c r="D3" s="15" t="n">
        <v>46.29443174437016</v>
      </c>
      <c r="E3" s="15" t="b">
        <v>1</v>
      </c>
      <c r="F3" s="15" t="n">
        <v>25</v>
      </c>
      <c r="G3" s="15" t="n">
        <v>5.5625</v>
      </c>
      <c r="H3" s="15" t="n">
        <v>35</v>
      </c>
      <c r="I3" s="15" t="b">
        <v>1</v>
      </c>
    </row>
    <row r="4">
      <c r="A4" s="15" t="inlineStr">
        <is>
          <t>B3</t>
        </is>
      </c>
      <c r="B4" s="15" t="inlineStr">
        <is>
          <t>EWSD_score_acoustic_balanced</t>
        </is>
      </c>
      <c r="C4" s="15" t="n">
        <v>0.2124819009538448</v>
      </c>
      <c r="D4" s="15" t="n">
        <v>21.24819009538448</v>
      </c>
      <c r="E4" s="15" t="b">
        <v>0</v>
      </c>
      <c r="F4" s="15" t="n">
        <v>25</v>
      </c>
      <c r="G4" s="15" t="n">
        <v>5.5625</v>
      </c>
      <c r="H4" s="15" t="n">
        <v>35</v>
      </c>
      <c r="I4" s="15" t="b">
        <v>1</v>
      </c>
    </row>
    <row r="5">
      <c r="A5" s="15" t="inlineStr">
        <is>
          <t>C4</t>
        </is>
      </c>
      <c r="B5" s="15" t="inlineStr">
        <is>
          <t>note_density_final</t>
        </is>
      </c>
      <c r="C5" s="15" t="n">
        <v>0.05772985680093697</v>
      </c>
      <c r="D5" s="15" t="n">
        <v>5.772985680093697</v>
      </c>
      <c r="E5" s="15" t="b">
        <v>0</v>
      </c>
      <c r="F5" s="15" t="n">
        <v>25</v>
      </c>
      <c r="G5" s="15" t="n">
        <v>7.8125</v>
      </c>
      <c r="H5" s="15" t="n">
        <v>47</v>
      </c>
      <c r="I5" s="15" t="b">
        <v>1</v>
      </c>
    </row>
    <row r="6">
      <c r="A6" s="15" t="inlineStr">
        <is>
          <t>C4</t>
        </is>
      </c>
      <c r="B6" s="15" t="inlineStr">
        <is>
          <t>note_effective_component_density</t>
        </is>
      </c>
      <c r="C6" s="15" t="n">
        <v>0.3808937739301669</v>
      </c>
      <c r="D6" s="15" t="n">
        <v>38.08937739301669</v>
      </c>
      <c r="E6" s="15" t="b">
        <v>1</v>
      </c>
      <c r="F6" s="15" t="n">
        <v>25</v>
      </c>
      <c r="G6" s="15" t="n">
        <v>7.8125</v>
      </c>
      <c r="H6" s="15" t="n">
        <v>47</v>
      </c>
      <c r="I6" s="15" t="b">
        <v>1</v>
      </c>
    </row>
    <row r="7">
      <c r="A7" s="15" t="inlineStr">
        <is>
          <t>C4</t>
        </is>
      </c>
      <c r="B7" s="15" t="inlineStr">
        <is>
          <t>EWSD_score_acoustic_balanced</t>
        </is>
      </c>
      <c r="C7" s="15" t="n">
        <v>0.2278084853062031</v>
      </c>
      <c r="D7" s="15" t="n">
        <v>22.78084853062031</v>
      </c>
      <c r="E7" s="15" t="b">
        <v>0</v>
      </c>
      <c r="F7" s="15" t="n">
        <v>25</v>
      </c>
      <c r="G7" s="15" t="n">
        <v>7.8125</v>
      </c>
      <c r="H7" s="15" t="n">
        <v>47</v>
      </c>
      <c r="I7" s="15" t="b">
        <v>1</v>
      </c>
    </row>
    <row r="8">
      <c r="A8" s="15" t="inlineStr">
        <is>
          <t>C#4</t>
        </is>
      </c>
      <c r="B8" s="15" t="inlineStr">
        <is>
          <t>note_density_final</t>
        </is>
      </c>
      <c r="C8" s="15" t="n">
        <v>0.06561226914239413</v>
      </c>
      <c r="D8" s="15" t="n">
        <v>6.561226914239413</v>
      </c>
      <c r="E8" s="15" t="b">
        <v>0</v>
      </c>
      <c r="F8" s="15" t="n">
        <v>25</v>
      </c>
      <c r="G8" s="15" t="n">
        <v>7.9375</v>
      </c>
      <c r="H8" s="15" t="n">
        <v>43</v>
      </c>
      <c r="I8" s="15" t="b">
        <v>1</v>
      </c>
    </row>
    <row r="9">
      <c r="A9" s="15" t="inlineStr">
        <is>
          <t>C#4</t>
        </is>
      </c>
      <c r="B9" s="15" t="inlineStr">
        <is>
          <t>note_effective_component_density</t>
        </is>
      </c>
      <c r="C9" s="15" t="n">
        <v>0.3858018314973387</v>
      </c>
      <c r="D9" s="15" t="n">
        <v>38.58018314973387</v>
      </c>
      <c r="E9" s="15" t="b">
        <v>1</v>
      </c>
      <c r="F9" s="15" t="n">
        <v>25</v>
      </c>
      <c r="G9" s="15" t="n">
        <v>7.9375</v>
      </c>
      <c r="H9" s="15" t="n">
        <v>43</v>
      </c>
      <c r="I9" s="15" t="b">
        <v>1</v>
      </c>
    </row>
    <row r="10">
      <c r="A10" s="15" t="inlineStr">
        <is>
          <t>C#4</t>
        </is>
      </c>
      <c r="B10" s="15" t="inlineStr">
        <is>
          <t>EWSD_score_acoustic_balanced</t>
        </is>
      </c>
      <c r="C10" s="15" t="n">
        <v>0.2578187851655278</v>
      </c>
      <c r="D10" s="15" t="n">
        <v>25.78187851655278</v>
      </c>
      <c r="E10" s="15" t="b">
        <v>1</v>
      </c>
      <c r="F10" s="15" t="n">
        <v>25</v>
      </c>
      <c r="G10" s="15" t="n">
        <v>7.9375</v>
      </c>
      <c r="H10" s="15" t="n">
        <v>43</v>
      </c>
      <c r="I10" s="15" t="b">
        <v>1</v>
      </c>
    </row>
    <row r="11">
      <c r="A11" s="15" t="inlineStr">
        <is>
          <t>D4</t>
        </is>
      </c>
      <c r="B11" s="15" t="inlineStr">
        <is>
          <t>note_density_final</t>
        </is>
      </c>
      <c r="C11" s="15" t="n">
        <v>0.07911001776143094</v>
      </c>
      <c r="D11" s="15" t="n">
        <v>7.911001776143094</v>
      </c>
      <c r="E11" s="15" t="b">
        <v>0</v>
      </c>
      <c r="F11" s="15" t="n">
        <v>25</v>
      </c>
      <c r="G11" s="15" t="n">
        <v>7.6875</v>
      </c>
      <c r="H11" s="15" t="n">
        <v>49</v>
      </c>
      <c r="I11" s="15" t="b">
        <v>1</v>
      </c>
    </row>
    <row r="12">
      <c r="A12" s="15" t="inlineStr">
        <is>
          <t>D4</t>
        </is>
      </c>
      <c r="B12" s="15" t="inlineStr">
        <is>
          <t>note_effective_component_density</t>
        </is>
      </c>
      <c r="C12" s="15" t="n">
        <v>0.4691543768900662</v>
      </c>
      <c r="D12" s="15" t="n">
        <v>46.91543768900662</v>
      </c>
      <c r="E12" s="15" t="b">
        <v>1</v>
      </c>
      <c r="F12" s="15" t="n">
        <v>25</v>
      </c>
      <c r="G12" s="15" t="n">
        <v>7.6875</v>
      </c>
      <c r="H12" s="15" t="n">
        <v>49</v>
      </c>
      <c r="I12" s="15" t="b">
        <v>1</v>
      </c>
    </row>
    <row r="13">
      <c r="A13" s="15" t="inlineStr">
        <is>
          <t>D4</t>
        </is>
      </c>
      <c r="B13" s="15" t="inlineStr">
        <is>
          <t>EWSD_score_acoustic_balanced</t>
        </is>
      </c>
      <c r="C13" s="15" t="n">
        <v>0.2501902914776577</v>
      </c>
      <c r="D13" s="15" t="n">
        <v>25.01902914776577</v>
      </c>
      <c r="E13" s="15" t="b">
        <v>1</v>
      </c>
      <c r="F13" s="15" t="n">
        <v>25</v>
      </c>
      <c r="G13" s="15" t="n">
        <v>7.6875</v>
      </c>
      <c r="H13" s="15" t="n">
        <v>49</v>
      </c>
      <c r="I13" s="15" t="b">
        <v>1</v>
      </c>
    </row>
    <row r="14">
      <c r="A14" s="15" t="inlineStr">
        <is>
          <t>D#4</t>
        </is>
      </c>
      <c r="B14" s="15" t="inlineStr">
        <is>
          <t>note_density_final</t>
        </is>
      </c>
      <c r="C14" s="15" t="n">
        <v>0.07908217807812754</v>
      </c>
      <c r="D14" s="15" t="n">
        <v>7.908217807812753</v>
      </c>
      <c r="E14" s="15" t="b">
        <v>0</v>
      </c>
      <c r="F14" s="15" t="n">
        <v>25</v>
      </c>
      <c r="G14" s="15" t="n">
        <v>8.3125</v>
      </c>
      <c r="H14" s="15" t="n">
        <v>41</v>
      </c>
      <c r="I14" s="15" t="b">
        <v>1</v>
      </c>
    </row>
    <row r="15">
      <c r="A15" s="15" t="inlineStr">
        <is>
          <t>D#4</t>
        </is>
      </c>
      <c r="B15" s="15" t="inlineStr">
        <is>
          <t>note_effective_component_density</t>
        </is>
      </c>
      <c r="C15" s="15" t="n">
        <v>0.504760928598867</v>
      </c>
      <c r="D15" s="15" t="n">
        <v>50.4760928598867</v>
      </c>
      <c r="E15" s="15" t="b">
        <v>1</v>
      </c>
      <c r="F15" s="15" t="n">
        <v>25</v>
      </c>
      <c r="G15" s="15" t="n">
        <v>8.3125</v>
      </c>
      <c r="H15" s="15" t="n">
        <v>41</v>
      </c>
      <c r="I15" s="15" t="b">
        <v>1</v>
      </c>
    </row>
    <row r="16">
      <c r="A16" s="15" t="inlineStr">
        <is>
          <t>D#4</t>
        </is>
      </c>
      <c r="B16" s="15" t="inlineStr">
        <is>
          <t>EWSD_score_acoustic_balanced</t>
        </is>
      </c>
      <c r="C16" s="15" t="n">
        <v>0.2863734925044842</v>
      </c>
      <c r="D16" s="15" t="n">
        <v>28.63734925044842</v>
      </c>
      <c r="E16" s="15" t="b">
        <v>1</v>
      </c>
      <c r="F16" s="15" t="n">
        <v>25</v>
      </c>
      <c r="G16" s="15" t="n">
        <v>8.3125</v>
      </c>
      <c r="H16" s="15" t="n">
        <v>41</v>
      </c>
      <c r="I16" s="15" t="b">
        <v>1</v>
      </c>
    </row>
    <row r="17">
      <c r="A17" s="15" t="inlineStr">
        <is>
          <t>E4</t>
        </is>
      </c>
      <c r="B17" s="15" t="inlineStr">
        <is>
          <t>note_density_final</t>
        </is>
      </c>
      <c r="C17" s="15" t="n">
        <v>0.08889774961293567</v>
      </c>
      <c r="D17" s="15" t="n">
        <v>8.889774961293567</v>
      </c>
      <c r="E17" s="15" t="b">
        <v>0</v>
      </c>
      <c r="F17" s="15" t="n">
        <v>25</v>
      </c>
      <c r="G17" s="15" t="n">
        <v>7.5625</v>
      </c>
      <c r="H17" s="15" t="n">
        <v>44</v>
      </c>
      <c r="I17" s="15" t="b">
        <v>1</v>
      </c>
    </row>
    <row r="18">
      <c r="A18" s="15" t="inlineStr">
        <is>
          <t>E4</t>
        </is>
      </c>
      <c r="B18" s="15" t="inlineStr">
        <is>
          <t>note_effective_component_density</t>
        </is>
      </c>
      <c r="C18" s="15" t="n">
        <v>0.5620062296381311</v>
      </c>
      <c r="D18" s="15" t="n">
        <v>56.20062296381311</v>
      </c>
      <c r="E18" s="15" t="b">
        <v>1</v>
      </c>
      <c r="F18" s="15" t="n">
        <v>25</v>
      </c>
      <c r="G18" s="15" t="n">
        <v>7.5625</v>
      </c>
      <c r="H18" s="15" t="n">
        <v>44</v>
      </c>
      <c r="I18" s="15" t="b">
        <v>1</v>
      </c>
    </row>
    <row r="19">
      <c r="A19" s="15" t="inlineStr">
        <is>
          <t>E4</t>
        </is>
      </c>
      <c r="B19" s="15" t="inlineStr">
        <is>
          <t>EWSD_score_acoustic_balanced</t>
        </is>
      </c>
      <c r="C19" s="15" t="n">
        <v>0.285354476813671</v>
      </c>
      <c r="D19" s="15" t="n">
        <v>28.5354476813671</v>
      </c>
      <c r="E19" s="15" t="b">
        <v>1</v>
      </c>
      <c r="F19" s="15" t="n">
        <v>25</v>
      </c>
      <c r="G19" s="15" t="n">
        <v>7.5625</v>
      </c>
      <c r="H19" s="15" t="n">
        <v>44</v>
      </c>
      <c r="I19" s="15" t="b">
        <v>1</v>
      </c>
    </row>
    <row r="20">
      <c r="A20" s="15" t="inlineStr">
        <is>
          <t>F4</t>
        </is>
      </c>
      <c r="B20" s="15" t="inlineStr">
        <is>
          <t>note_density_final</t>
        </is>
      </c>
      <c r="C20" s="15" t="n">
        <v>0.0994652907450833</v>
      </c>
      <c r="D20" s="15" t="n">
        <v>9.94652907450833</v>
      </c>
      <c r="E20" s="15" t="b">
        <v>0</v>
      </c>
      <c r="F20" s="15" t="n">
        <v>25</v>
      </c>
      <c r="G20" s="15" t="n">
        <v>9</v>
      </c>
      <c r="H20" s="15" t="n">
        <v>47</v>
      </c>
      <c r="I20" s="15" t="b">
        <v>1</v>
      </c>
    </row>
    <row r="21">
      <c r="A21" s="15" t="inlineStr">
        <is>
          <t>F4</t>
        </is>
      </c>
      <c r="B21" s="15" t="inlineStr">
        <is>
          <t>note_effective_component_density</t>
        </is>
      </c>
      <c r="C21" s="15" t="n">
        <v>0.7425772720895071</v>
      </c>
      <c r="D21" s="15" t="n">
        <v>74.25772720895071</v>
      </c>
      <c r="E21" s="15" t="b">
        <v>1</v>
      </c>
      <c r="F21" s="15" t="n">
        <v>25</v>
      </c>
      <c r="G21" s="15" t="n">
        <v>9</v>
      </c>
      <c r="H21" s="15" t="n">
        <v>47</v>
      </c>
      <c r="I21" s="15" t="b">
        <v>1</v>
      </c>
    </row>
    <row r="22">
      <c r="A22" s="15" t="inlineStr">
        <is>
          <t>F4</t>
        </is>
      </c>
      <c r="B22" s="15" t="inlineStr">
        <is>
          <t>EWSD_score_acoustic_balanced</t>
        </is>
      </c>
      <c r="C22" s="15" t="n">
        <v>0.3169083695987303</v>
      </c>
      <c r="D22" s="15" t="n">
        <v>31.69083695987303</v>
      </c>
      <c r="E22" s="15" t="b">
        <v>1</v>
      </c>
      <c r="F22" s="15" t="n">
        <v>25</v>
      </c>
      <c r="G22" s="15" t="n">
        <v>9</v>
      </c>
      <c r="H22" s="15" t="n">
        <v>47</v>
      </c>
      <c r="I22" s="15" t="b">
        <v>1</v>
      </c>
    </row>
    <row r="23">
      <c r="A23" s="15" t="inlineStr">
        <is>
          <t>F#4</t>
        </is>
      </c>
      <c r="B23" s="15" t="inlineStr">
        <is>
          <t>note_density_final</t>
        </is>
      </c>
      <c r="C23" s="15" t="n">
        <v>0.09443191160671724</v>
      </c>
      <c r="D23" s="15" t="n">
        <v>9.443191160671724</v>
      </c>
      <c r="E23" s="15" t="b">
        <v>0</v>
      </c>
      <c r="F23" s="15" t="n">
        <v>25</v>
      </c>
      <c r="G23" s="15" t="n">
        <v>7</v>
      </c>
      <c r="H23" s="15" t="n">
        <v>41</v>
      </c>
      <c r="I23" s="15" t="b">
        <v>1</v>
      </c>
    </row>
    <row r="24">
      <c r="A24" s="15" t="inlineStr">
        <is>
          <t>F#4</t>
        </is>
      </c>
      <c r="B24" s="15" t="inlineStr">
        <is>
          <t>note_effective_component_density</t>
        </is>
      </c>
      <c r="C24" s="15" t="n">
        <v>0.5244924630544319</v>
      </c>
      <c r="D24" s="15" t="n">
        <v>52.44924630544319</v>
      </c>
      <c r="E24" s="15" t="b">
        <v>1</v>
      </c>
      <c r="F24" s="15" t="n">
        <v>25</v>
      </c>
      <c r="G24" s="15" t="n">
        <v>7</v>
      </c>
      <c r="H24" s="15" t="n">
        <v>41</v>
      </c>
      <c r="I24" s="15" t="b">
        <v>1</v>
      </c>
    </row>
    <row r="25">
      <c r="A25" s="15" t="inlineStr">
        <is>
          <t>F#4</t>
        </is>
      </c>
      <c r="B25" s="15" t="inlineStr">
        <is>
          <t>EWSD_score_acoustic_balanced</t>
        </is>
      </c>
      <c r="C25" s="15" t="n">
        <v>0.3145445276095134</v>
      </c>
      <c r="D25" s="15" t="n">
        <v>31.45445276095134</v>
      </c>
      <c r="E25" s="15" t="b">
        <v>1</v>
      </c>
      <c r="F25" s="15" t="n">
        <v>25</v>
      </c>
      <c r="G25" s="15" t="n">
        <v>7</v>
      </c>
      <c r="H25" s="15" t="n">
        <v>41</v>
      </c>
      <c r="I25" s="15" t="b">
        <v>1</v>
      </c>
    </row>
    <row r="26">
      <c r="A26" s="15" t="inlineStr">
        <is>
          <t>G4</t>
        </is>
      </c>
      <c r="B26" s="15" t="inlineStr">
        <is>
          <t>note_density_final</t>
        </is>
      </c>
      <c r="C26" s="15" t="n">
        <v>0.08872918613253274</v>
      </c>
      <c r="D26" s="15" t="n">
        <v>8.872918613253274</v>
      </c>
      <c r="E26" s="15" t="b">
        <v>0</v>
      </c>
      <c r="F26" s="15" t="n">
        <v>25</v>
      </c>
      <c r="G26" s="15" t="n">
        <v>5.25</v>
      </c>
      <c r="H26" s="15" t="n">
        <v>53</v>
      </c>
      <c r="I26" s="15" t="b">
        <v>1</v>
      </c>
    </row>
    <row r="27">
      <c r="A27" s="15" t="inlineStr">
        <is>
          <t>G4</t>
        </is>
      </c>
      <c r="B27" s="15" t="inlineStr">
        <is>
          <t>note_effective_component_density</t>
        </is>
      </c>
      <c r="C27" s="15" t="n">
        <v>0.5933419448070646</v>
      </c>
      <c r="D27" s="15" t="n">
        <v>59.33419448070646</v>
      </c>
      <c r="E27" s="15" t="b">
        <v>1</v>
      </c>
      <c r="F27" s="15" t="n">
        <v>25</v>
      </c>
      <c r="G27" s="15" t="n">
        <v>5.25</v>
      </c>
      <c r="H27" s="15" t="n">
        <v>53</v>
      </c>
      <c r="I27" s="15" t="b">
        <v>1</v>
      </c>
    </row>
    <row r="28">
      <c r="A28" s="15" t="inlineStr">
        <is>
          <t>G4</t>
        </is>
      </c>
      <c r="B28" s="15" t="inlineStr">
        <is>
          <t>EWSD_score_acoustic_balanced</t>
        </is>
      </c>
      <c r="C28" s="15" t="n">
        <v>0.3121568094123106</v>
      </c>
      <c r="D28" s="15" t="n">
        <v>31.21568094123106</v>
      </c>
      <c r="E28" s="15" t="b">
        <v>1</v>
      </c>
      <c r="F28" s="15" t="n">
        <v>25</v>
      </c>
      <c r="G28" s="15" t="n">
        <v>5.25</v>
      </c>
      <c r="H28" s="15" t="n">
        <v>53</v>
      </c>
      <c r="I28" s="15" t="b">
        <v>1</v>
      </c>
    </row>
    <row r="29">
      <c r="A29" s="15" t="inlineStr">
        <is>
          <t>G#4</t>
        </is>
      </c>
      <c r="B29" s="15" t="inlineStr">
        <is>
          <t>note_density_final</t>
        </is>
      </c>
      <c r="C29" s="15" t="n">
        <v>0.08641175953614486</v>
      </c>
      <c r="D29" s="15" t="n">
        <v>8.641175953614486</v>
      </c>
      <c r="E29" s="15" t="b">
        <v>0</v>
      </c>
      <c r="F29" s="15" t="n">
        <v>25</v>
      </c>
      <c r="G29" s="15" t="n">
        <v>8.9375</v>
      </c>
      <c r="H29" s="15" t="n">
        <v>47</v>
      </c>
      <c r="I29" s="15" t="b">
        <v>1</v>
      </c>
    </row>
    <row r="30">
      <c r="A30" s="15" t="inlineStr">
        <is>
          <t>G#4</t>
        </is>
      </c>
      <c r="B30" s="15" t="inlineStr">
        <is>
          <t>note_effective_component_density</t>
        </is>
      </c>
      <c r="C30" s="15" t="n">
        <v>0.6355798114144742</v>
      </c>
      <c r="D30" s="15" t="n">
        <v>63.55798114144741</v>
      </c>
      <c r="E30" s="15" t="b">
        <v>1</v>
      </c>
      <c r="F30" s="15" t="n">
        <v>25</v>
      </c>
      <c r="G30" s="15" t="n">
        <v>8.9375</v>
      </c>
      <c r="H30" s="15" t="n">
        <v>47</v>
      </c>
      <c r="I30" s="15" t="b">
        <v>1</v>
      </c>
    </row>
    <row r="31">
      <c r="A31" s="15" t="inlineStr">
        <is>
          <t>G#4</t>
        </is>
      </c>
      <c r="B31" s="15" t="inlineStr">
        <is>
          <t>EWSD_score_acoustic_balanced</t>
        </is>
      </c>
      <c r="C31" s="15" t="n">
        <v>0.3154855921720562</v>
      </c>
      <c r="D31" s="15" t="n">
        <v>31.54855921720562</v>
      </c>
      <c r="E31" s="15" t="b">
        <v>1</v>
      </c>
      <c r="F31" s="15" t="n">
        <v>25</v>
      </c>
      <c r="G31" s="15" t="n">
        <v>8.9375</v>
      </c>
      <c r="H31" s="15" t="n">
        <v>47</v>
      </c>
      <c r="I31" s="15" t="b">
        <v>1</v>
      </c>
    </row>
    <row r="32">
      <c r="A32" s="15" t="inlineStr">
        <is>
          <t>A4</t>
        </is>
      </c>
      <c r="B32" s="15" t="inlineStr">
        <is>
          <t>note_density_final</t>
        </is>
      </c>
      <c r="C32" s="15" t="n">
        <v>0.09356203318903844</v>
      </c>
      <c r="D32" s="15" t="n">
        <v>9.356203318903844</v>
      </c>
      <c r="E32" s="15" t="b">
        <v>0</v>
      </c>
      <c r="F32" s="15" t="n">
        <v>25</v>
      </c>
      <c r="G32" s="15" t="n">
        <v>4.375</v>
      </c>
      <c r="H32" s="15" t="n">
        <v>41</v>
      </c>
      <c r="I32" s="15" t="b">
        <v>1</v>
      </c>
    </row>
    <row r="33">
      <c r="A33" s="15" t="inlineStr">
        <is>
          <t>A4</t>
        </is>
      </c>
      <c r="B33" s="15" t="inlineStr">
        <is>
          <t>note_effective_component_density</t>
        </is>
      </c>
      <c r="C33" s="15" t="n">
        <v>0.5470003150560185</v>
      </c>
      <c r="D33" s="15" t="n">
        <v>54.70003150560186</v>
      </c>
      <c r="E33" s="15" t="b">
        <v>1</v>
      </c>
      <c r="F33" s="15" t="n">
        <v>25</v>
      </c>
      <c r="G33" s="15" t="n">
        <v>4.375</v>
      </c>
      <c r="H33" s="15" t="n">
        <v>41</v>
      </c>
      <c r="I33" s="15" t="b">
        <v>1</v>
      </c>
    </row>
    <row r="34">
      <c r="A34" s="15" t="inlineStr">
        <is>
          <t>A4</t>
        </is>
      </c>
      <c r="B34" s="15" t="inlineStr">
        <is>
          <t>EWSD_score_acoustic_balanced</t>
        </is>
      </c>
      <c r="C34" s="15" t="n">
        <v>0.340833789235202</v>
      </c>
      <c r="D34" s="15" t="n">
        <v>34.0833789235202</v>
      </c>
      <c r="E34" s="15" t="b">
        <v>1</v>
      </c>
      <c r="F34" s="15" t="n">
        <v>25</v>
      </c>
      <c r="G34" s="15" t="n">
        <v>4.375</v>
      </c>
      <c r="H34" s="15" t="n">
        <v>41</v>
      </c>
      <c r="I34" s="15" t="b">
        <v>1</v>
      </c>
    </row>
    <row r="35">
      <c r="A35" s="15" t="inlineStr">
        <is>
          <t>A#4</t>
        </is>
      </c>
      <c r="B35" s="15" t="inlineStr">
        <is>
          <t>note_density_final</t>
        </is>
      </c>
      <c r="C35" s="15" t="n">
        <v>0.09676285299406476</v>
      </c>
      <c r="D35" s="15" t="n">
        <v>9.676285299406477</v>
      </c>
      <c r="E35" s="15" t="b">
        <v>0</v>
      </c>
      <c r="F35" s="15" t="n">
        <v>25</v>
      </c>
      <c r="G35" s="15" t="n">
        <v>1.5625</v>
      </c>
      <c r="H35" s="15" t="n">
        <v>51</v>
      </c>
      <c r="I35" s="15" t="b">
        <v>1</v>
      </c>
    </row>
    <row r="36">
      <c r="A36" s="15" t="inlineStr">
        <is>
          <t>A#4</t>
        </is>
      </c>
      <c r="B36" s="15" t="inlineStr">
        <is>
          <t>note_effective_component_density</t>
        </is>
      </c>
      <c r="C36" s="15" t="n">
        <v>0.6062140988084963</v>
      </c>
      <c r="D36" s="15" t="n">
        <v>60.62140988084963</v>
      </c>
      <c r="E36" s="15" t="b">
        <v>1</v>
      </c>
      <c r="F36" s="15" t="n">
        <v>25</v>
      </c>
      <c r="G36" s="15" t="n">
        <v>1.5625</v>
      </c>
      <c r="H36" s="15" t="n">
        <v>51</v>
      </c>
      <c r="I36" s="15" t="b">
        <v>1</v>
      </c>
    </row>
    <row r="37">
      <c r="A37" s="15" t="inlineStr">
        <is>
          <t>A#4</t>
        </is>
      </c>
      <c r="B37" s="15" t="inlineStr">
        <is>
          <t>EWSD_score_acoustic_balanced</t>
        </is>
      </c>
      <c r="C37" s="15" t="n">
        <v>0.2801452880324565</v>
      </c>
      <c r="D37" s="15" t="n">
        <v>28.01452880324565</v>
      </c>
      <c r="E37" s="15" t="b">
        <v>1</v>
      </c>
      <c r="F37" s="15" t="n">
        <v>25</v>
      </c>
      <c r="G37" s="15" t="n">
        <v>1.5625</v>
      </c>
      <c r="H37" s="15" t="n">
        <v>51</v>
      </c>
      <c r="I37" s="15" t="b">
        <v>1</v>
      </c>
    </row>
    <row r="38">
      <c r="A38" s="15" t="inlineStr">
        <is>
          <t>B4</t>
        </is>
      </c>
      <c r="B38" s="15" t="inlineStr">
        <is>
          <t>note_density_final</t>
        </is>
      </c>
      <c r="C38" s="15" t="n">
        <v>0.1043112414185808</v>
      </c>
      <c r="D38" s="15" t="n">
        <v>10.43112414185808</v>
      </c>
      <c r="E38" s="15" t="b">
        <v>0</v>
      </c>
      <c r="F38" s="15" t="n">
        <v>25</v>
      </c>
      <c r="G38" s="15" t="n">
        <v>6.75</v>
      </c>
      <c r="H38" s="15" t="n">
        <v>49</v>
      </c>
      <c r="I38" s="15" t="b">
        <v>1</v>
      </c>
    </row>
    <row r="39">
      <c r="A39" s="15" t="inlineStr">
        <is>
          <t>B4</t>
        </is>
      </c>
      <c r="B39" s="15" t="inlineStr">
        <is>
          <t>note_effective_component_density</t>
        </is>
      </c>
      <c r="C39" s="15" t="n">
        <v>0.6368496503284248</v>
      </c>
      <c r="D39" s="15" t="n">
        <v>63.68496503284248</v>
      </c>
      <c r="E39" s="15" t="b">
        <v>1</v>
      </c>
      <c r="F39" s="15" t="n">
        <v>25</v>
      </c>
      <c r="G39" s="15" t="n">
        <v>6.75</v>
      </c>
      <c r="H39" s="15" t="n">
        <v>49</v>
      </c>
      <c r="I39" s="15" t="b">
        <v>1</v>
      </c>
    </row>
    <row r="40">
      <c r="A40" s="15" t="inlineStr">
        <is>
          <t>B4</t>
        </is>
      </c>
      <c r="B40" s="15" t="inlineStr">
        <is>
          <t>EWSD_score_acoustic_balanced</t>
        </is>
      </c>
      <c r="C40" s="15" t="n">
        <v>0.3074253347423735</v>
      </c>
      <c r="D40" s="15" t="n">
        <v>30.74253347423735</v>
      </c>
      <c r="E40" s="15" t="b">
        <v>1</v>
      </c>
      <c r="F40" s="15" t="n">
        <v>25</v>
      </c>
      <c r="G40" s="15" t="n">
        <v>6.75</v>
      </c>
      <c r="H40" s="15" t="n">
        <v>49</v>
      </c>
      <c r="I40" s="15" t="b">
        <v>1</v>
      </c>
    </row>
    <row r="41">
      <c r="A41" s="15" t="inlineStr">
        <is>
          <t>C5</t>
        </is>
      </c>
      <c r="B41" s="15" t="inlineStr">
        <is>
          <t>note_density_final</t>
        </is>
      </c>
      <c r="C41" s="15" t="n">
        <v>0.1222904761619052</v>
      </c>
      <c r="D41" s="15" t="n">
        <v>12.22904761619052</v>
      </c>
      <c r="E41" s="15" t="b">
        <v>0</v>
      </c>
      <c r="F41" s="15" t="n">
        <v>25</v>
      </c>
      <c r="G41" s="15" t="n">
        <v>9.5625</v>
      </c>
      <c r="H41" s="15" t="n">
        <v>37</v>
      </c>
      <c r="I41" s="15" t="b">
        <v>1</v>
      </c>
    </row>
    <row r="42">
      <c r="A42" s="15" t="inlineStr">
        <is>
          <t>C5</t>
        </is>
      </c>
      <c r="B42" s="15" t="inlineStr">
        <is>
          <t>note_effective_component_density</t>
        </is>
      </c>
      <c r="C42" s="15" t="n">
        <v>0.6861237997578282</v>
      </c>
      <c r="D42" s="15" t="n">
        <v>68.61237997578283</v>
      </c>
      <c r="E42" s="15" t="b">
        <v>1</v>
      </c>
      <c r="F42" s="15" t="n">
        <v>25</v>
      </c>
      <c r="G42" s="15" t="n">
        <v>9.5625</v>
      </c>
      <c r="H42" s="15" t="n">
        <v>37</v>
      </c>
      <c r="I42" s="15" t="b">
        <v>1</v>
      </c>
    </row>
    <row r="43">
      <c r="A43" s="15" t="inlineStr">
        <is>
          <t>C5</t>
        </is>
      </c>
      <c r="B43" s="15" t="inlineStr">
        <is>
          <t>EWSD_score_acoustic_balanced</t>
        </is>
      </c>
      <c r="C43" s="15" t="n">
        <v>0.4010623074177784</v>
      </c>
      <c r="D43" s="15" t="n">
        <v>40.10623074177784</v>
      </c>
      <c r="E43" s="15" t="b">
        <v>1</v>
      </c>
      <c r="F43" s="15" t="n">
        <v>25</v>
      </c>
      <c r="G43" s="15" t="n">
        <v>9.5625</v>
      </c>
      <c r="H43" s="15" t="n">
        <v>37</v>
      </c>
      <c r="I43" s="15" t="b">
        <v>1</v>
      </c>
    </row>
    <row r="44">
      <c r="A44" s="15" t="inlineStr">
        <is>
          <t>C#5</t>
        </is>
      </c>
      <c r="B44" s="15" t="inlineStr">
        <is>
          <t>note_density_final</t>
        </is>
      </c>
      <c r="C44" s="15" t="n">
        <v>0.1294387425887749</v>
      </c>
      <c r="D44" s="15" t="n">
        <v>12.94387425887749</v>
      </c>
      <c r="E44" s="15" t="b">
        <v>0</v>
      </c>
      <c r="F44" s="15" t="n">
        <v>25</v>
      </c>
      <c r="G44" s="15" t="n">
        <v>8.8125</v>
      </c>
      <c r="H44" s="15" t="n">
        <v>47</v>
      </c>
      <c r="I44" s="15" t="b">
        <v>1</v>
      </c>
    </row>
    <row r="45">
      <c r="A45" s="15" t="inlineStr">
        <is>
          <t>C#5</t>
        </is>
      </c>
      <c r="B45" s="15" t="inlineStr">
        <is>
          <t>note_effective_component_density</t>
        </is>
      </c>
      <c r="C45" s="15" t="n">
        <v>0.9535187073412089</v>
      </c>
      <c r="D45" s="15" t="n">
        <v>95.35187073412089</v>
      </c>
      <c r="E45" s="15" t="b">
        <v>1</v>
      </c>
      <c r="F45" s="15" t="n">
        <v>25</v>
      </c>
      <c r="G45" s="15" t="n">
        <v>8.8125</v>
      </c>
      <c r="H45" s="15" t="n">
        <v>47</v>
      </c>
      <c r="I45" s="15" t="b">
        <v>1</v>
      </c>
    </row>
    <row r="46">
      <c r="A46" s="15" t="inlineStr">
        <is>
          <t>C#5</t>
        </is>
      </c>
      <c r="B46" s="15" t="inlineStr">
        <is>
          <t>EWSD_score_acoustic_balanced</t>
        </is>
      </c>
      <c r="C46" s="15" t="n">
        <v>0.3709865264328778</v>
      </c>
      <c r="D46" s="15" t="n">
        <v>37.09865264328778</v>
      </c>
      <c r="E46" s="15" t="b">
        <v>1</v>
      </c>
      <c r="F46" s="15" t="n">
        <v>25</v>
      </c>
      <c r="G46" s="15" t="n">
        <v>8.8125</v>
      </c>
      <c r="H46" s="15" t="n">
        <v>47</v>
      </c>
      <c r="I46" s="15" t="b">
        <v>1</v>
      </c>
    </row>
    <row r="47">
      <c r="A47" s="15" t="inlineStr">
        <is>
          <t>D5</t>
        </is>
      </c>
      <c r="B47" s="15" t="inlineStr">
        <is>
          <t>note_density_final</t>
        </is>
      </c>
      <c r="C47" s="15" t="n">
        <v>0.134168644820835</v>
      </c>
      <c r="D47" s="15" t="n">
        <v>13.4168644820835</v>
      </c>
      <c r="E47" s="15" t="b">
        <v>0</v>
      </c>
      <c r="F47" s="15" t="n">
        <v>25</v>
      </c>
      <c r="G47" s="15" t="n">
        <v>14.875</v>
      </c>
      <c r="H47" s="15" t="n">
        <v>29</v>
      </c>
      <c r="I47" s="15" t="b">
        <v>0</v>
      </c>
    </row>
    <row r="48">
      <c r="A48" s="15" t="inlineStr">
        <is>
          <t>D5</t>
        </is>
      </c>
      <c r="B48" s="15" t="inlineStr">
        <is>
          <t>note_effective_component_density</t>
        </is>
      </c>
      <c r="C48" s="15" t="n">
        <v>0.6078703211479518</v>
      </c>
      <c r="D48" s="15" t="n">
        <v>60.78703211479518</v>
      </c>
      <c r="E48" s="15" t="b">
        <v>1</v>
      </c>
      <c r="F48" s="15" t="n">
        <v>25</v>
      </c>
      <c r="G48" s="15" t="n">
        <v>14.875</v>
      </c>
      <c r="H48" s="15" t="n">
        <v>29</v>
      </c>
      <c r="I48" s="15" t="b">
        <v>0</v>
      </c>
    </row>
    <row r="49">
      <c r="A49" s="15" t="inlineStr">
        <is>
          <t>D5</t>
        </is>
      </c>
      <c r="B49" s="15" t="inlineStr">
        <is>
          <t>EWSD_score_acoustic_balanced</t>
        </is>
      </c>
      <c r="C49" s="15" t="n">
        <v>0.4064604901900574</v>
      </c>
      <c r="D49" s="15" t="n">
        <v>40.64604901900574</v>
      </c>
      <c r="E49" s="15" t="b">
        <v>1</v>
      </c>
      <c r="F49" s="15" t="n">
        <v>25</v>
      </c>
      <c r="G49" s="15" t="n">
        <v>14.875</v>
      </c>
      <c r="H49" s="15" t="n">
        <v>29</v>
      </c>
      <c r="I49" s="15" t="b">
        <v>0</v>
      </c>
    </row>
    <row r="50">
      <c r="A50" s="15" t="inlineStr">
        <is>
          <t>D#5</t>
        </is>
      </c>
      <c r="B50" s="15" t="inlineStr">
        <is>
          <t>note_density_final</t>
        </is>
      </c>
      <c r="C50" s="15" t="n">
        <v>0.1359400721615139</v>
      </c>
      <c r="D50" s="15" t="n">
        <v>13.59400721615139</v>
      </c>
      <c r="E50" s="15" t="b">
        <v>0</v>
      </c>
      <c r="F50" s="15" t="n">
        <v>25</v>
      </c>
      <c r="G50" s="15" t="n">
        <v>10.8125</v>
      </c>
      <c r="H50" s="15" t="n">
        <v>24</v>
      </c>
      <c r="I50" s="15" t="b">
        <v>0</v>
      </c>
    </row>
    <row r="51">
      <c r="A51" s="15" t="inlineStr">
        <is>
          <t>D#5</t>
        </is>
      </c>
      <c r="B51" s="15" t="inlineStr">
        <is>
          <t>note_effective_component_density</t>
        </is>
      </c>
      <c r="C51" s="15" t="n">
        <v>0.6995294211282539</v>
      </c>
      <c r="D51" s="15" t="n">
        <v>69.95294211282538</v>
      </c>
      <c r="E51" s="15" t="b">
        <v>1</v>
      </c>
      <c r="F51" s="15" t="n">
        <v>25</v>
      </c>
      <c r="G51" s="15" t="n">
        <v>10.8125</v>
      </c>
      <c r="H51" s="15" t="n">
        <v>24</v>
      </c>
      <c r="I51" s="15" t="b">
        <v>0</v>
      </c>
    </row>
    <row r="52">
      <c r="A52" s="15" t="inlineStr">
        <is>
          <t>D#5</t>
        </is>
      </c>
      <c r="B52" s="15" t="inlineStr">
        <is>
          <t>EWSD_score_acoustic_balanced</t>
        </is>
      </c>
      <c r="C52" s="15" t="n">
        <v>0.4186095959555754</v>
      </c>
      <c r="D52" s="15" t="n">
        <v>41.86095959555754</v>
      </c>
      <c r="E52" s="15" t="b">
        <v>1</v>
      </c>
      <c r="F52" s="15" t="n">
        <v>25</v>
      </c>
      <c r="G52" s="15" t="n">
        <v>10.8125</v>
      </c>
      <c r="H52" s="15" t="n">
        <v>24</v>
      </c>
      <c r="I52" s="15" t="b">
        <v>0</v>
      </c>
    </row>
    <row r="53">
      <c r="A53" s="15" t="inlineStr">
        <is>
          <t>E5</t>
        </is>
      </c>
      <c r="B53" s="15" t="inlineStr">
        <is>
          <t>note_density_final</t>
        </is>
      </c>
      <c r="C53" s="15" t="n">
        <v>0.1655544740342887</v>
      </c>
      <c r="D53" s="15" t="n">
        <v>16.55544740342887</v>
      </c>
      <c r="E53" s="15" t="b">
        <v>0</v>
      </c>
      <c r="F53" s="15" t="n">
        <v>25</v>
      </c>
      <c r="G53" s="15" t="n">
        <v>11.375</v>
      </c>
      <c r="H53" s="15" t="n">
        <v>26</v>
      </c>
      <c r="I53" s="15" t="b">
        <v>0</v>
      </c>
    </row>
    <row r="54">
      <c r="A54" s="15" t="inlineStr">
        <is>
          <t>E5</t>
        </is>
      </c>
      <c r="B54" s="15" t="inlineStr">
        <is>
          <t>note_effective_component_density</t>
        </is>
      </c>
      <c r="C54" s="15" t="n">
        <v>1.344247821388536</v>
      </c>
      <c r="D54" s="15" t="n">
        <v>134.4247821388536</v>
      </c>
      <c r="E54" s="15" t="b">
        <v>1</v>
      </c>
      <c r="F54" s="15" t="n">
        <v>25</v>
      </c>
      <c r="G54" s="15" t="n">
        <v>11.375</v>
      </c>
      <c r="H54" s="15" t="n">
        <v>26</v>
      </c>
      <c r="I54" s="15" t="b">
        <v>0</v>
      </c>
    </row>
    <row r="55">
      <c r="A55" s="15" t="inlineStr">
        <is>
          <t>E5</t>
        </is>
      </c>
      <c r="B55" s="15" t="inlineStr">
        <is>
          <t>EWSD_score_acoustic_balanced</t>
        </is>
      </c>
      <c r="C55" s="15" t="n">
        <v>0.4704777617106921</v>
      </c>
      <c r="D55" s="15" t="n">
        <v>47.04777617106921</v>
      </c>
      <c r="E55" s="15" t="b">
        <v>1</v>
      </c>
      <c r="F55" s="15" t="n">
        <v>25</v>
      </c>
      <c r="G55" s="15" t="n">
        <v>11.375</v>
      </c>
      <c r="H55" s="15" t="n">
        <v>26</v>
      </c>
      <c r="I55" s="15" t="b">
        <v>0</v>
      </c>
    </row>
    <row r="56">
      <c r="A56" s="15" t="inlineStr">
        <is>
          <t>F5</t>
        </is>
      </c>
      <c r="B56" s="15" t="inlineStr">
        <is>
          <t>note_density_final</t>
        </is>
      </c>
      <c r="C56" s="15" t="n">
        <v>0.1632450988960474</v>
      </c>
      <c r="D56" s="15" t="n">
        <v>16.32450988960474</v>
      </c>
      <c r="E56" s="15" t="b">
        <v>0</v>
      </c>
      <c r="F56" s="15" t="n">
        <v>25</v>
      </c>
      <c r="G56" s="15" t="n">
        <v>15.9375</v>
      </c>
      <c r="H56" s="15" t="n">
        <v>33</v>
      </c>
      <c r="I56" s="15" t="b">
        <v>0</v>
      </c>
    </row>
    <row r="57">
      <c r="A57" s="15" t="inlineStr">
        <is>
          <t>F5</t>
        </is>
      </c>
      <c r="B57" s="15" t="inlineStr">
        <is>
          <t>note_effective_component_density</t>
        </is>
      </c>
      <c r="C57" s="15" t="n">
        <v>1.388481965597557</v>
      </c>
      <c r="D57" s="15" t="n">
        <v>138.8481965597557</v>
      </c>
      <c r="E57" s="15" t="b">
        <v>1</v>
      </c>
      <c r="F57" s="15" t="n">
        <v>25</v>
      </c>
      <c r="G57" s="15" t="n">
        <v>15.9375</v>
      </c>
      <c r="H57" s="15" t="n">
        <v>33</v>
      </c>
      <c r="I57" s="15" t="b">
        <v>0</v>
      </c>
    </row>
    <row r="58">
      <c r="A58" s="15" t="inlineStr">
        <is>
          <t>F5</t>
        </is>
      </c>
      <c r="B58" s="15" t="inlineStr">
        <is>
          <t>EWSD_score_acoustic_balanced</t>
        </is>
      </c>
      <c r="C58" s="15" t="n">
        <v>0.3887928617477168</v>
      </c>
      <c r="D58" s="15" t="n">
        <v>38.87928617477169</v>
      </c>
      <c r="E58" s="15" t="b">
        <v>1</v>
      </c>
      <c r="F58" s="15" t="n">
        <v>25</v>
      </c>
      <c r="G58" s="15" t="n">
        <v>15.9375</v>
      </c>
      <c r="H58" s="15" t="n">
        <v>33</v>
      </c>
      <c r="I58" s="15" t="b">
        <v>0</v>
      </c>
    </row>
    <row r="59">
      <c r="A59" s="15" t="inlineStr">
        <is>
          <t>F#5</t>
        </is>
      </c>
      <c r="B59" s="15" t="inlineStr">
        <is>
          <t>note_density_final</t>
        </is>
      </c>
      <c r="C59" s="15" t="n">
        <v>0.158476377430478</v>
      </c>
      <c r="D59" s="15" t="n">
        <v>15.8476377430478</v>
      </c>
      <c r="E59" s="15" t="b">
        <v>0</v>
      </c>
      <c r="F59" s="15" t="n">
        <v>25</v>
      </c>
      <c r="G59" s="15" t="n">
        <v>14.25</v>
      </c>
      <c r="H59" s="15" t="n">
        <v>27</v>
      </c>
      <c r="I59" s="15" t="b">
        <v>0</v>
      </c>
    </row>
    <row r="60">
      <c r="A60" s="15" t="inlineStr">
        <is>
          <t>F#5</t>
        </is>
      </c>
      <c r="B60" s="15" t="inlineStr">
        <is>
          <t>note_effective_component_density</t>
        </is>
      </c>
      <c r="C60" s="15" t="n">
        <v>1.298800309363141</v>
      </c>
      <c r="D60" s="15" t="n">
        <v>129.8800309363141</v>
      </c>
      <c r="E60" s="15" t="b">
        <v>1</v>
      </c>
      <c r="F60" s="15" t="n">
        <v>25</v>
      </c>
      <c r="G60" s="15" t="n">
        <v>14.25</v>
      </c>
      <c r="H60" s="15" t="n">
        <v>27</v>
      </c>
      <c r="I60" s="15" t="b">
        <v>0</v>
      </c>
    </row>
    <row r="61">
      <c r="A61" s="15" t="inlineStr">
        <is>
          <t>F#5</t>
        </is>
      </c>
      <c r="B61" s="15" t="inlineStr">
        <is>
          <t>EWSD_score_acoustic_balanced</t>
        </is>
      </c>
      <c r="C61" s="15" t="n">
        <v>0.394519456101559</v>
      </c>
      <c r="D61" s="15" t="n">
        <v>39.4519456101559</v>
      </c>
      <c r="E61" s="15" t="b">
        <v>1</v>
      </c>
      <c r="F61" s="15" t="n">
        <v>25</v>
      </c>
      <c r="G61" s="15" t="n">
        <v>14.25</v>
      </c>
      <c r="H61" s="15" t="n">
        <v>27</v>
      </c>
      <c r="I61" s="15" t="b">
        <v>0</v>
      </c>
    </row>
    <row r="62">
      <c r="A62" s="15" t="inlineStr">
        <is>
          <t>G5</t>
        </is>
      </c>
      <c r="B62" s="15" t="inlineStr">
        <is>
          <t>note_density_final</t>
        </is>
      </c>
      <c r="C62" s="15" t="n">
        <v>0.1589044349299368</v>
      </c>
      <c r="D62" s="15" t="n">
        <v>15.89044349299368</v>
      </c>
      <c r="E62" s="15" t="b">
        <v>0</v>
      </c>
      <c r="F62" s="15" t="n">
        <v>25</v>
      </c>
      <c r="G62" s="15" t="n">
        <v>10.5</v>
      </c>
      <c r="H62" s="15" t="n">
        <v>33</v>
      </c>
      <c r="I62" s="15" t="b">
        <v>0</v>
      </c>
    </row>
    <row r="63">
      <c r="A63" s="15" t="inlineStr">
        <is>
          <t>G5</t>
        </is>
      </c>
      <c r="B63" s="15" t="inlineStr">
        <is>
          <t>note_effective_component_density</t>
        </is>
      </c>
      <c r="C63" s="15" t="n">
        <v>2.061825206586168</v>
      </c>
      <c r="D63" s="15" t="n">
        <v>2.061825206586168</v>
      </c>
      <c r="E63" s="15" t="b">
        <v>0</v>
      </c>
      <c r="F63" s="15" t="n">
        <v>25</v>
      </c>
      <c r="G63" s="15" t="n">
        <v>10.5</v>
      </c>
      <c r="H63" s="15" t="n">
        <v>33</v>
      </c>
      <c r="I63" s="15" t="b">
        <v>0</v>
      </c>
    </row>
    <row r="64">
      <c r="A64" s="15" t="inlineStr">
        <is>
          <t>G5</t>
        </is>
      </c>
      <c r="B64" s="15" t="inlineStr">
        <is>
          <t>EWSD_score_acoustic_balanced</t>
        </is>
      </c>
      <c r="C64" s="15" t="n">
        <v>0.3014956490357473</v>
      </c>
      <c r="D64" s="15" t="n">
        <v>30.14956490357473</v>
      </c>
      <c r="E64" s="15" t="b">
        <v>1</v>
      </c>
      <c r="F64" s="15" t="n">
        <v>25</v>
      </c>
      <c r="G64" s="15" t="n">
        <v>10.5</v>
      </c>
      <c r="H64" s="15" t="n">
        <v>33</v>
      </c>
      <c r="I64" s="15" t="b">
        <v>0</v>
      </c>
    </row>
    <row r="65">
      <c r="A65" s="15" t="inlineStr">
        <is>
          <t>G#5</t>
        </is>
      </c>
      <c r="B65" s="15" t="inlineStr">
        <is>
          <t>note_density_final</t>
        </is>
      </c>
      <c r="C65" s="15" t="n">
        <v>0.1416893081882458</v>
      </c>
      <c r="D65" s="15" t="n">
        <v>14.16893081882458</v>
      </c>
      <c r="E65" s="15" t="b">
        <v>0</v>
      </c>
      <c r="F65" s="15" t="n">
        <v>25</v>
      </c>
      <c r="G65" s="15" t="n">
        <v>16.8125</v>
      </c>
      <c r="H65" s="15" t="n">
        <v>33</v>
      </c>
      <c r="I65" s="15" t="b">
        <v>0</v>
      </c>
    </row>
    <row r="66">
      <c r="A66" s="15" t="inlineStr">
        <is>
          <t>G#5</t>
        </is>
      </c>
      <c r="B66" s="15" t="inlineStr">
        <is>
          <t>note_effective_component_density</t>
        </is>
      </c>
      <c r="C66" s="15" t="n">
        <v>1.974579066679711</v>
      </c>
      <c r="D66" s="15" t="n">
        <v>197.4579066679711</v>
      </c>
      <c r="E66" s="15" t="b">
        <v>1</v>
      </c>
      <c r="F66" s="15" t="n">
        <v>25</v>
      </c>
      <c r="G66" s="15" t="n">
        <v>16.8125</v>
      </c>
      <c r="H66" s="15" t="n">
        <v>33</v>
      </c>
      <c r="I66" s="15" t="b">
        <v>0</v>
      </c>
    </row>
    <row r="67">
      <c r="A67" s="15" t="inlineStr">
        <is>
          <t>G#5</t>
        </is>
      </c>
      <c r="B67" s="15" t="inlineStr">
        <is>
          <t>EWSD_score_acoustic_balanced</t>
        </is>
      </c>
      <c r="C67" s="15" t="n">
        <v>0.3164527013695014</v>
      </c>
      <c r="D67" s="15" t="n">
        <v>31.64527013695014</v>
      </c>
      <c r="E67" s="15" t="b">
        <v>1</v>
      </c>
      <c r="F67" s="15" t="n">
        <v>25</v>
      </c>
      <c r="G67" s="15" t="n">
        <v>16.8125</v>
      </c>
      <c r="H67" s="15" t="n">
        <v>33</v>
      </c>
      <c r="I67" s="15" t="b">
        <v>0</v>
      </c>
    </row>
    <row r="68">
      <c r="A68" s="15" t="inlineStr">
        <is>
          <t>A5</t>
        </is>
      </c>
      <c r="B68" s="15" t="inlineStr">
        <is>
          <t>note_density_final</t>
        </is>
      </c>
      <c r="C68" s="15" t="n">
        <v>0.1895384895259619</v>
      </c>
      <c r="D68" s="15" t="n">
        <v>18.95384895259619</v>
      </c>
      <c r="E68" s="15" t="b">
        <v>0</v>
      </c>
      <c r="F68" s="15" t="n">
        <v>25</v>
      </c>
      <c r="G68" s="15" t="n">
        <v>12.0625</v>
      </c>
      <c r="H68" s="15" t="n">
        <v>28</v>
      </c>
      <c r="I68" s="15" t="b">
        <v>0</v>
      </c>
    </row>
    <row r="69">
      <c r="A69" s="15" t="inlineStr">
        <is>
          <t>A5</t>
        </is>
      </c>
      <c r="B69" s="15" t="inlineStr">
        <is>
          <t>note_effective_component_density</t>
        </is>
      </c>
      <c r="C69" s="15" t="n">
        <v>4.360520676077301</v>
      </c>
      <c r="D69" s="15" t="n">
        <v>4.360520676077301</v>
      </c>
      <c r="E69" s="15" t="b">
        <v>0</v>
      </c>
      <c r="F69" s="15" t="n">
        <v>25</v>
      </c>
      <c r="G69" s="15" t="n">
        <v>12.0625</v>
      </c>
      <c r="H69" s="15" t="n">
        <v>28</v>
      </c>
      <c r="I69" s="15" t="b">
        <v>0</v>
      </c>
    </row>
    <row r="70">
      <c r="A70" s="15" t="inlineStr">
        <is>
          <t>A5</t>
        </is>
      </c>
      <c r="B70" s="15" t="inlineStr">
        <is>
          <t>EWSD_score_acoustic_balanced</t>
        </is>
      </c>
      <c r="C70" s="15" t="n">
        <v>0.3548734300445502</v>
      </c>
      <c r="D70" s="15" t="n">
        <v>35.48734300445502</v>
      </c>
      <c r="E70" s="15" t="b">
        <v>1</v>
      </c>
      <c r="F70" s="15" t="n">
        <v>25</v>
      </c>
      <c r="G70" s="15" t="n">
        <v>12.0625</v>
      </c>
      <c r="H70" s="15" t="n">
        <v>28</v>
      </c>
      <c r="I70" s="15" t="b">
        <v>0</v>
      </c>
    </row>
    <row r="71">
      <c r="A71" s="15" t="inlineStr">
        <is>
          <t>A#5</t>
        </is>
      </c>
      <c r="B71" s="15" t="inlineStr">
        <is>
          <t>note_density_final</t>
        </is>
      </c>
      <c r="C71" s="15" t="n">
        <v>0.2031809927565684</v>
      </c>
      <c r="D71" s="15" t="n">
        <v>20.31809927565684</v>
      </c>
      <c r="E71" s="15" t="b">
        <v>0</v>
      </c>
      <c r="F71" s="15" t="n">
        <v>25</v>
      </c>
      <c r="G71" s="15" t="n">
        <v>14.625</v>
      </c>
      <c r="H71" s="15" t="n">
        <v>32</v>
      </c>
      <c r="I71" s="15" t="b">
        <v>0</v>
      </c>
    </row>
    <row r="72">
      <c r="A72" s="15" t="inlineStr">
        <is>
          <t>A#5</t>
        </is>
      </c>
      <c r="B72" s="15" t="inlineStr">
        <is>
          <t>note_effective_component_density</t>
        </is>
      </c>
      <c r="C72" s="15" t="n">
        <v>3.571115670229435</v>
      </c>
      <c r="D72" s="15" t="n">
        <v>3.571115670229435</v>
      </c>
      <c r="E72" s="15" t="b">
        <v>0</v>
      </c>
      <c r="F72" s="15" t="n">
        <v>25</v>
      </c>
      <c r="G72" s="15" t="n">
        <v>14.625</v>
      </c>
      <c r="H72" s="15" t="n">
        <v>32</v>
      </c>
      <c r="I72" s="15" t="b">
        <v>0</v>
      </c>
    </row>
    <row r="73">
      <c r="A73" s="15" t="inlineStr">
        <is>
          <t>A#5</t>
        </is>
      </c>
      <c r="B73" s="15" t="inlineStr">
        <is>
          <t>EWSD_score_acoustic_balanced</t>
        </is>
      </c>
      <c r="C73" s="15" t="n">
        <v>0.3620079919992796</v>
      </c>
      <c r="D73" s="15" t="n">
        <v>36.20079919992796</v>
      </c>
      <c r="E73" s="15" t="b">
        <v>1</v>
      </c>
      <c r="F73" s="15" t="n">
        <v>25</v>
      </c>
      <c r="G73" s="15" t="n">
        <v>14.625</v>
      </c>
      <c r="H73" s="15" t="n">
        <v>32</v>
      </c>
      <c r="I73" s="15" t="b">
        <v>0</v>
      </c>
    </row>
    <row r="74">
      <c r="A74" s="15" t="inlineStr">
        <is>
          <t>B5</t>
        </is>
      </c>
      <c r="B74" s="15" t="inlineStr">
        <is>
          <t>note_density_final</t>
        </is>
      </c>
      <c r="C74" s="15" t="n">
        <v>0.1969243611659819</v>
      </c>
      <c r="D74" s="15" t="n">
        <v>19.69243611659819</v>
      </c>
      <c r="E74" s="15" t="b">
        <v>0</v>
      </c>
      <c r="F74" s="15" t="n">
        <v>25</v>
      </c>
      <c r="G74" s="15" t="n">
        <v>9.25</v>
      </c>
      <c r="H74" s="15" t="n">
        <v>28</v>
      </c>
      <c r="I74" s="15" t="b">
        <v>1</v>
      </c>
    </row>
    <row r="75">
      <c r="A75" s="15" t="inlineStr">
        <is>
          <t>B5</t>
        </is>
      </c>
      <c r="B75" s="15" t="inlineStr">
        <is>
          <t>note_effective_component_density</t>
        </is>
      </c>
      <c r="C75" s="15" t="n">
        <v>2.390369222238655</v>
      </c>
      <c r="D75" s="15" t="n">
        <v>2.390369222238655</v>
      </c>
      <c r="E75" s="15" t="b">
        <v>0</v>
      </c>
      <c r="F75" s="15" t="n">
        <v>25</v>
      </c>
      <c r="G75" s="15" t="n">
        <v>9.25</v>
      </c>
      <c r="H75" s="15" t="n">
        <v>28</v>
      </c>
      <c r="I75" s="15" t="b">
        <v>1</v>
      </c>
    </row>
    <row r="76">
      <c r="A76" s="15" t="inlineStr">
        <is>
          <t>B5</t>
        </is>
      </c>
      <c r="B76" s="15" t="inlineStr">
        <is>
          <t>EWSD_score_acoustic_balanced</t>
        </is>
      </c>
      <c r="C76" s="15" t="n">
        <v>0.3384961034410598</v>
      </c>
      <c r="D76" s="15" t="n">
        <v>33.84961034410598</v>
      </c>
      <c r="E76" s="15" t="b">
        <v>1</v>
      </c>
      <c r="F76" s="15" t="n">
        <v>25</v>
      </c>
      <c r="G76" s="15" t="n">
        <v>9.25</v>
      </c>
      <c r="H76" s="15" t="n">
        <v>28</v>
      </c>
      <c r="I76" s="15" t="b">
        <v>1</v>
      </c>
    </row>
    <row r="77">
      <c r="A77" s="15" t="inlineStr">
        <is>
          <t>C6</t>
        </is>
      </c>
      <c r="B77" s="15" t="inlineStr">
        <is>
          <t>note_density_final</t>
        </is>
      </c>
      <c r="C77" s="15" t="n">
        <v>0.18632604280766</v>
      </c>
      <c r="D77" s="15" t="n">
        <v>18.632604280766</v>
      </c>
      <c r="E77" s="15" t="b">
        <v>0</v>
      </c>
      <c r="F77" s="15" t="n">
        <v>25</v>
      </c>
      <c r="G77" s="15" t="n">
        <v>11.3125</v>
      </c>
      <c r="H77" s="15" t="n">
        <v>29</v>
      </c>
      <c r="I77" s="15" t="b">
        <v>0</v>
      </c>
    </row>
    <row r="78">
      <c r="A78" s="15" t="inlineStr">
        <is>
          <t>C6</t>
        </is>
      </c>
      <c r="B78" s="15" t="inlineStr">
        <is>
          <t>note_effective_component_density</t>
        </is>
      </c>
      <c r="C78" s="15" t="n">
        <v>3.000042323933404</v>
      </c>
      <c r="D78" s="15" t="n">
        <v>3.000042323933404</v>
      </c>
      <c r="E78" s="15" t="b">
        <v>0</v>
      </c>
      <c r="F78" s="15" t="n">
        <v>25</v>
      </c>
      <c r="G78" s="15" t="n">
        <v>11.3125</v>
      </c>
      <c r="H78" s="15" t="n">
        <v>29</v>
      </c>
      <c r="I78" s="15" t="b">
        <v>0</v>
      </c>
    </row>
    <row r="79">
      <c r="A79" s="15" t="inlineStr">
        <is>
          <t>C6</t>
        </is>
      </c>
      <c r="B79" s="15" t="inlineStr">
        <is>
          <t>EWSD_score_acoustic_balanced</t>
        </is>
      </c>
      <c r="C79" s="15" t="n">
        <v>0.4245553206801752</v>
      </c>
      <c r="D79" s="15" t="n">
        <v>42.45553206801752</v>
      </c>
      <c r="E79" s="15" t="b">
        <v>1</v>
      </c>
      <c r="F79" s="15" t="n">
        <v>25</v>
      </c>
      <c r="G79" s="15" t="n">
        <v>11.3125</v>
      </c>
      <c r="H79" s="15" t="n">
        <v>29</v>
      </c>
      <c r="I79" s="15" t="b">
        <v>0</v>
      </c>
    </row>
    <row r="80">
      <c r="A80" s="15" t="inlineStr">
        <is>
          <t>C#6</t>
        </is>
      </c>
      <c r="B80" s="15" t="inlineStr">
        <is>
          <t>note_density_final</t>
        </is>
      </c>
      <c r="C80" s="15" t="n">
        <v>0.2024209406269991</v>
      </c>
      <c r="D80" s="15" t="n">
        <v>20.24209406269991</v>
      </c>
      <c r="E80" s="15" t="b">
        <v>0</v>
      </c>
      <c r="F80" s="15" t="n">
        <v>25</v>
      </c>
      <c r="G80" s="15" t="n">
        <v>13</v>
      </c>
      <c r="H80" s="15" t="n">
        <v>31</v>
      </c>
      <c r="I80" s="15" t="b">
        <v>0</v>
      </c>
    </row>
    <row r="81">
      <c r="A81" s="15" t="inlineStr">
        <is>
          <t>C#6</t>
        </is>
      </c>
      <c r="B81" s="15" t="inlineStr">
        <is>
          <t>note_effective_component_density</t>
        </is>
      </c>
      <c r="C81" s="15" t="n">
        <v>2.023578813652012</v>
      </c>
      <c r="D81" s="15" t="n">
        <v>2.023578813652012</v>
      </c>
      <c r="E81" s="15" t="b">
        <v>0</v>
      </c>
      <c r="F81" s="15" t="n">
        <v>25</v>
      </c>
      <c r="G81" s="15" t="n">
        <v>13</v>
      </c>
      <c r="H81" s="15" t="n">
        <v>31</v>
      </c>
      <c r="I81" s="15" t="b">
        <v>0</v>
      </c>
    </row>
    <row r="82">
      <c r="A82" s="15" t="inlineStr">
        <is>
          <t>C#6</t>
        </is>
      </c>
      <c r="B82" s="15" t="inlineStr">
        <is>
          <t>EWSD_score_acoustic_balanced</t>
        </is>
      </c>
      <c r="C82" s="15" t="n">
        <v>0.4094678516346805</v>
      </c>
      <c r="D82" s="15" t="n">
        <v>40.94678516346805</v>
      </c>
      <c r="E82" s="15" t="b">
        <v>1</v>
      </c>
      <c r="F82" s="15" t="n">
        <v>25</v>
      </c>
      <c r="G82" s="15" t="n">
        <v>13</v>
      </c>
      <c r="H82" s="15" t="n">
        <v>31</v>
      </c>
      <c r="I82" s="15" t="b">
        <v>0</v>
      </c>
    </row>
    <row r="83">
      <c r="A83" s="15" t="inlineStr">
        <is>
          <t>D6</t>
        </is>
      </c>
      <c r="B83" s="15" t="inlineStr">
        <is>
          <t>note_density_final</t>
        </is>
      </c>
      <c r="C83" s="15" t="n">
        <v>0.1953761123043169</v>
      </c>
      <c r="D83" s="15" t="n">
        <v>19.53761123043169</v>
      </c>
      <c r="E83" s="15" t="b">
        <v>0</v>
      </c>
      <c r="F83" s="15" t="n">
        <v>25</v>
      </c>
      <c r="G83" s="15" t="n">
        <v>15.9375</v>
      </c>
      <c r="H83" s="15" t="n">
        <v>23</v>
      </c>
      <c r="I83" s="15" t="b">
        <v>0</v>
      </c>
    </row>
    <row r="84">
      <c r="A84" s="15" t="inlineStr">
        <is>
          <t>D6</t>
        </is>
      </c>
      <c r="B84" s="15" t="inlineStr">
        <is>
          <t>note_effective_component_density</t>
        </is>
      </c>
      <c r="C84" s="15" t="n">
        <v>1.55662146687103</v>
      </c>
      <c r="D84" s="15" t="n">
        <v>155.662146687103</v>
      </c>
      <c r="E84" s="15" t="b">
        <v>1</v>
      </c>
      <c r="F84" s="15" t="n">
        <v>25</v>
      </c>
      <c r="G84" s="15" t="n">
        <v>15.9375</v>
      </c>
      <c r="H84" s="15" t="n">
        <v>23</v>
      </c>
      <c r="I84" s="15" t="b">
        <v>0</v>
      </c>
    </row>
    <row r="85">
      <c r="A85" s="15" t="inlineStr">
        <is>
          <t>D6</t>
        </is>
      </c>
      <c r="B85" s="15" t="inlineStr">
        <is>
          <t>EWSD_score_acoustic_balanced</t>
        </is>
      </c>
      <c r="C85" s="15" t="n">
        <v>0.5197356835195959</v>
      </c>
      <c r="D85" s="15" t="n">
        <v>51.97356835195959</v>
      </c>
      <c r="E85" s="15" t="b">
        <v>1</v>
      </c>
      <c r="F85" s="15" t="n">
        <v>25</v>
      </c>
      <c r="G85" s="15" t="n">
        <v>15.9375</v>
      </c>
      <c r="H85" s="15" t="n">
        <v>23</v>
      </c>
      <c r="I85" s="15" t="b">
        <v>0</v>
      </c>
    </row>
    <row r="86">
      <c r="A86" s="15" t="inlineStr">
        <is>
          <t>D#6</t>
        </is>
      </c>
      <c r="B86" s="15" t="inlineStr">
        <is>
          <t>note_density_final</t>
        </is>
      </c>
      <c r="C86" s="15" t="n">
        <v>0.2086969585404544</v>
      </c>
      <c r="D86" s="15" t="n">
        <v>20.86969585404544</v>
      </c>
      <c r="E86" s="15" t="b">
        <v>0</v>
      </c>
      <c r="F86" s="15" t="n">
        <v>25</v>
      </c>
      <c r="G86" s="15" t="n">
        <v>4.9375</v>
      </c>
      <c r="H86" s="15" t="n">
        <v>31</v>
      </c>
      <c r="I86" s="15" t="b">
        <v>1</v>
      </c>
    </row>
    <row r="87">
      <c r="A87" s="15" t="inlineStr">
        <is>
          <t>D#6</t>
        </is>
      </c>
      <c r="B87" s="15" t="inlineStr">
        <is>
          <t>note_effective_component_density</t>
        </is>
      </c>
      <c r="C87" s="15" t="n">
        <v>1.484994416049364</v>
      </c>
      <c r="D87" s="15" t="n">
        <v>148.4994416049364</v>
      </c>
      <c r="E87" s="15" t="b">
        <v>1</v>
      </c>
      <c r="F87" s="15" t="n">
        <v>25</v>
      </c>
      <c r="G87" s="15" t="n">
        <v>4.9375</v>
      </c>
      <c r="H87" s="15" t="n">
        <v>31</v>
      </c>
      <c r="I87" s="15" t="b">
        <v>1</v>
      </c>
    </row>
    <row r="88">
      <c r="A88" s="15" t="inlineStr">
        <is>
          <t>D#6</t>
        </is>
      </c>
      <c r="B88" s="15" t="inlineStr">
        <is>
          <t>EWSD_score_acoustic_balanced</t>
        </is>
      </c>
      <c r="C88" s="15" t="n">
        <v>0.4340548072247926</v>
      </c>
      <c r="D88" s="15" t="n">
        <v>43.40548072247925</v>
      </c>
      <c r="E88" s="15" t="b">
        <v>1</v>
      </c>
      <c r="F88" s="15" t="n">
        <v>25</v>
      </c>
      <c r="G88" s="15" t="n">
        <v>4.9375</v>
      </c>
      <c r="H88" s="15" t="n">
        <v>31</v>
      </c>
      <c r="I88" s="15" t="b">
        <v>1</v>
      </c>
    </row>
    <row r="89">
      <c r="A89" s="15" t="inlineStr">
        <is>
          <t>E6</t>
        </is>
      </c>
      <c r="B89" s="15" t="inlineStr">
        <is>
          <t>note_density_final</t>
        </is>
      </c>
      <c r="C89" s="15" t="n">
        <v>0.2355556029436615</v>
      </c>
      <c r="D89" s="15" t="n">
        <v>23.55556029436615</v>
      </c>
      <c r="E89" s="15" t="b">
        <v>0</v>
      </c>
      <c r="F89" s="15" t="n">
        <v>25</v>
      </c>
      <c r="G89" s="15" t="n">
        <v>12.0625</v>
      </c>
      <c r="H89" s="15" t="n">
        <v>33</v>
      </c>
      <c r="I89" s="15" t="b">
        <v>0</v>
      </c>
    </row>
    <row r="90">
      <c r="A90" s="15" t="inlineStr">
        <is>
          <t>E6</t>
        </is>
      </c>
      <c r="B90" s="15" t="inlineStr">
        <is>
          <t>note_effective_component_density</t>
        </is>
      </c>
      <c r="C90" s="15" t="n">
        <v>1.469724265624117</v>
      </c>
      <c r="D90" s="15" t="n">
        <v>146.9724265624117</v>
      </c>
      <c r="E90" s="15" t="b">
        <v>1</v>
      </c>
      <c r="F90" s="15" t="n">
        <v>25</v>
      </c>
      <c r="G90" s="15" t="n">
        <v>12.0625</v>
      </c>
      <c r="H90" s="15" t="n">
        <v>33</v>
      </c>
      <c r="I90" s="15" t="b">
        <v>0</v>
      </c>
    </row>
    <row r="91">
      <c r="A91" s="15" t="inlineStr">
        <is>
          <t>E6</t>
        </is>
      </c>
      <c r="B91" s="15" t="inlineStr">
        <is>
          <t>EWSD_score_acoustic_balanced</t>
        </is>
      </c>
      <c r="C91" s="15" t="n">
        <v>0.4674611546706302</v>
      </c>
      <c r="D91" s="15" t="n">
        <v>46.74611546706302</v>
      </c>
      <c r="E91" s="15" t="b">
        <v>1</v>
      </c>
      <c r="F91" s="15" t="n">
        <v>25</v>
      </c>
      <c r="G91" s="15" t="n">
        <v>12.0625</v>
      </c>
      <c r="H91" s="15" t="n">
        <v>33</v>
      </c>
      <c r="I91" s="15" t="b">
        <v>0</v>
      </c>
    </row>
    <row r="92">
      <c r="A92" s="15" t="inlineStr">
        <is>
          <t>F6</t>
        </is>
      </c>
      <c r="B92" s="15" t="inlineStr">
        <is>
          <t>note_density_final</t>
        </is>
      </c>
      <c r="C92" s="15" t="n">
        <v>0.2007515217134581</v>
      </c>
      <c r="D92" s="15" t="n">
        <v>20.07515217134581</v>
      </c>
      <c r="E92" s="15" t="b">
        <v>0</v>
      </c>
      <c r="F92" s="15" t="n">
        <v>25</v>
      </c>
      <c r="G92" s="15" t="n">
        <v>14</v>
      </c>
      <c r="H92" s="15" t="n">
        <v>28</v>
      </c>
      <c r="I92" s="15" t="b">
        <v>0</v>
      </c>
    </row>
    <row r="93">
      <c r="A93" s="15" t="inlineStr">
        <is>
          <t>F6</t>
        </is>
      </c>
      <c r="B93" s="15" t="inlineStr">
        <is>
          <t>note_effective_component_density</t>
        </is>
      </c>
      <c r="C93" s="15" t="n">
        <v>3.090162165666082</v>
      </c>
      <c r="D93" s="15" t="n">
        <v>3.090162165666082</v>
      </c>
      <c r="E93" s="15" t="b">
        <v>0</v>
      </c>
      <c r="F93" s="15" t="n">
        <v>25</v>
      </c>
      <c r="G93" s="15" t="n">
        <v>14</v>
      </c>
      <c r="H93" s="15" t="n">
        <v>28</v>
      </c>
      <c r="I93" s="15" t="b">
        <v>0</v>
      </c>
    </row>
    <row r="94">
      <c r="A94" s="15" t="inlineStr">
        <is>
          <t>F6</t>
        </is>
      </c>
      <c r="B94" s="15" t="inlineStr">
        <is>
          <t>EWSD_score_acoustic_balanced</t>
        </is>
      </c>
      <c r="C94" s="15" t="n">
        <v>0.5738240487356299</v>
      </c>
      <c r="D94" s="15" t="n">
        <v>57.38240487356299</v>
      </c>
      <c r="E94" s="15" t="b">
        <v>1</v>
      </c>
      <c r="F94" s="15" t="n">
        <v>25</v>
      </c>
      <c r="G94" s="15" t="n">
        <v>14</v>
      </c>
      <c r="H94" s="15" t="n">
        <v>28</v>
      </c>
      <c r="I94" s="15" t="b">
        <v>0</v>
      </c>
    </row>
    <row r="95">
      <c r="A95" s="15" t="inlineStr">
        <is>
          <t>F#6</t>
        </is>
      </c>
      <c r="B95" s="15" t="inlineStr">
        <is>
          <t>note_density_final</t>
        </is>
      </c>
      <c r="C95" s="15" t="n">
        <v>0.2016410482807831</v>
      </c>
      <c r="D95" s="15" t="n">
        <v>20.16410482807831</v>
      </c>
      <c r="E95" s="15" t="b">
        <v>0</v>
      </c>
      <c r="F95" s="15" t="n">
        <v>25</v>
      </c>
      <c r="G95" s="15" t="n">
        <v>18.0625</v>
      </c>
      <c r="H95" s="15" t="n">
        <v>24</v>
      </c>
      <c r="I95" s="15" t="b">
        <v>0</v>
      </c>
    </row>
    <row r="96">
      <c r="A96" s="15" t="inlineStr">
        <is>
          <t>F#6</t>
        </is>
      </c>
      <c r="B96" s="15" t="inlineStr">
        <is>
          <t>note_effective_component_density</t>
        </is>
      </c>
      <c r="C96" s="15" t="n">
        <v>2.343227323278805</v>
      </c>
      <c r="D96" s="15" t="n">
        <v>2.343227323278805</v>
      </c>
      <c r="E96" s="15" t="b">
        <v>0</v>
      </c>
      <c r="F96" s="15" t="n">
        <v>25</v>
      </c>
      <c r="G96" s="15" t="n">
        <v>18.0625</v>
      </c>
      <c r="H96" s="15" t="n">
        <v>24</v>
      </c>
      <c r="I96" s="15" t="b">
        <v>0</v>
      </c>
    </row>
    <row r="97">
      <c r="A97" s="15" t="inlineStr">
        <is>
          <t>F#6</t>
        </is>
      </c>
      <c r="B97" s="15" t="inlineStr">
        <is>
          <t>EWSD_score_acoustic_balanced</t>
        </is>
      </c>
      <c r="C97" s="15" t="n">
        <v>0.3685481547911788</v>
      </c>
      <c r="D97" s="15" t="n">
        <v>36.85481547911788</v>
      </c>
      <c r="E97" s="15" t="b">
        <v>1</v>
      </c>
      <c r="F97" s="15" t="n">
        <v>25</v>
      </c>
      <c r="G97" s="15" t="n">
        <v>18.0625</v>
      </c>
      <c r="H97" s="15" t="n">
        <v>24</v>
      </c>
      <c r="I97" s="15" t="b">
        <v>0</v>
      </c>
    </row>
    <row r="98">
      <c r="A98" s="15" t="inlineStr">
        <is>
          <t>G6</t>
        </is>
      </c>
      <c r="B98" s="15" t="inlineStr">
        <is>
          <t>note_density_final</t>
        </is>
      </c>
      <c r="C98" s="15" t="n">
        <v>0.1580301681936679</v>
      </c>
      <c r="D98" s="15" t="n">
        <v>15.80301681936679</v>
      </c>
      <c r="E98" s="15" t="b">
        <v>0</v>
      </c>
      <c r="F98" s="15" t="n">
        <v>25</v>
      </c>
      <c r="G98" s="15" t="n">
        <v>38.3125</v>
      </c>
      <c r="H98" s="15" t="n">
        <v>22</v>
      </c>
      <c r="I98" s="15" t="b">
        <v>0</v>
      </c>
    </row>
    <row r="99">
      <c r="A99" s="15" t="inlineStr">
        <is>
          <t>G6</t>
        </is>
      </c>
      <c r="B99" s="15" t="inlineStr">
        <is>
          <t>note_effective_component_density</t>
        </is>
      </c>
      <c r="C99" s="15" t="n">
        <v>1.896080382636887</v>
      </c>
      <c r="D99" s="15" t="n">
        <v>189.6080382636887</v>
      </c>
      <c r="E99" s="15" t="b">
        <v>1</v>
      </c>
      <c r="F99" s="15" t="n">
        <v>25</v>
      </c>
      <c r="G99" s="15" t="n">
        <v>38.3125</v>
      </c>
      <c r="H99" s="15" t="n">
        <v>22</v>
      </c>
      <c r="I99" s="15" t="b">
        <v>0</v>
      </c>
    </row>
    <row r="100">
      <c r="A100" s="15" t="inlineStr">
        <is>
          <t>G6</t>
        </is>
      </c>
      <c r="B100" s="15" t="inlineStr">
        <is>
          <t>EWSD_score_acoustic_balanced</t>
        </is>
      </c>
      <c r="C100" s="15" t="n">
        <v>0.2915968904952541</v>
      </c>
      <c r="D100" s="15" t="n">
        <v>29.1596890495254</v>
      </c>
      <c r="E100" s="15" t="b">
        <v>1</v>
      </c>
      <c r="F100" s="15" t="n">
        <v>25</v>
      </c>
      <c r="G100" s="15" t="n">
        <v>38.3125</v>
      </c>
      <c r="H100" s="15" t="n">
        <v>22</v>
      </c>
      <c r="I100" s="15" t="b">
        <v>0</v>
      </c>
    </row>
    <row r="101">
      <c r="A101" s="15" t="inlineStr">
        <is>
          <t>G#6</t>
        </is>
      </c>
      <c r="B101" s="15" t="inlineStr">
        <is>
          <t>note_density_final</t>
        </is>
      </c>
      <c r="C101" s="15" t="n">
        <v>0.244360105933573</v>
      </c>
      <c r="D101" s="15" t="n">
        <v>24.4360105933573</v>
      </c>
      <c r="E101" s="15" t="b">
        <v>0</v>
      </c>
      <c r="F101" s="15" t="n">
        <v>25</v>
      </c>
      <c r="G101" s="15" t="n">
        <v>24.9375</v>
      </c>
      <c r="H101" s="15" t="n">
        <v>18</v>
      </c>
      <c r="I101" s="15" t="b">
        <v>0</v>
      </c>
    </row>
    <row r="102">
      <c r="A102" s="15" t="inlineStr">
        <is>
          <t>G#6</t>
        </is>
      </c>
      <c r="B102" s="15" t="inlineStr">
        <is>
          <t>note_effective_component_density</t>
        </is>
      </c>
      <c r="C102" s="15" t="n">
        <v>2.460969817002316</v>
      </c>
      <c r="D102" s="15" t="n">
        <v>2.460969817002316</v>
      </c>
      <c r="E102" s="15" t="b">
        <v>0</v>
      </c>
      <c r="F102" s="15" t="n">
        <v>25</v>
      </c>
      <c r="G102" s="15" t="n">
        <v>24.9375</v>
      </c>
      <c r="H102" s="15" t="n">
        <v>18</v>
      </c>
      <c r="I102" s="15" t="b">
        <v>0</v>
      </c>
    </row>
    <row r="103">
      <c r="A103" s="15" t="inlineStr">
        <is>
          <t>G#6</t>
        </is>
      </c>
      <c r="B103" s="15" t="inlineStr">
        <is>
          <t>EWSD_score_acoustic_balanced</t>
        </is>
      </c>
      <c r="C103" s="15" t="n">
        <v>0.4850538209001039</v>
      </c>
      <c r="D103" s="15" t="n">
        <v>48.50538209001039</v>
      </c>
      <c r="E103" s="15" t="b">
        <v>1</v>
      </c>
      <c r="F103" s="15" t="n">
        <v>25</v>
      </c>
      <c r="G103" s="15" t="n">
        <v>24.9375</v>
      </c>
      <c r="H103" s="15" t="n">
        <v>18</v>
      </c>
      <c r="I103" s="15" t="b">
        <v>0</v>
      </c>
    </row>
    <row r="104">
      <c r="A104" s="15" t="inlineStr">
        <is>
          <t>A6</t>
        </is>
      </c>
      <c r="B104" s="15" t="inlineStr">
        <is>
          <t>note_density_final</t>
        </is>
      </c>
      <c r="C104" s="15" t="n">
        <v>0.2200661857687601</v>
      </c>
      <c r="D104" s="15" t="n">
        <v>22.00661857687601</v>
      </c>
      <c r="E104" s="15" t="b">
        <v>0</v>
      </c>
      <c r="F104" s="15" t="n">
        <v>25</v>
      </c>
      <c r="G104" s="15" t="n">
        <v>36.8125</v>
      </c>
      <c r="H104" s="15" t="n">
        <v>18</v>
      </c>
      <c r="I104" s="15" t="b">
        <v>0</v>
      </c>
    </row>
    <row r="105">
      <c r="A105" s="15" t="inlineStr">
        <is>
          <t>A6</t>
        </is>
      </c>
      <c r="B105" s="15" t="inlineStr">
        <is>
          <t>note_effective_component_density</t>
        </is>
      </c>
      <c r="C105" s="15" t="n">
        <v>1.538185960709966</v>
      </c>
      <c r="D105" s="15" t="n">
        <v>153.8185960709966</v>
      </c>
      <c r="E105" s="15" t="b">
        <v>1</v>
      </c>
      <c r="F105" s="15" t="n">
        <v>25</v>
      </c>
      <c r="G105" s="15" t="n">
        <v>36.8125</v>
      </c>
      <c r="H105" s="15" t="n">
        <v>18</v>
      </c>
      <c r="I105" s="15" t="b">
        <v>0</v>
      </c>
    </row>
    <row r="106">
      <c r="A106" s="15" t="inlineStr">
        <is>
          <t>A6</t>
        </is>
      </c>
      <c r="B106" s="15" t="inlineStr">
        <is>
          <t>EWSD_score_acoustic_balanced</t>
        </is>
      </c>
      <c r="C106" s="15" t="n">
        <v>0.4610136609278606</v>
      </c>
      <c r="D106" s="15" t="n">
        <v>46.10136609278606</v>
      </c>
      <c r="E106" s="15" t="b">
        <v>1</v>
      </c>
      <c r="F106" s="15" t="n">
        <v>25</v>
      </c>
      <c r="G106" s="15" t="n">
        <v>36.8125</v>
      </c>
      <c r="H106" s="15" t="n">
        <v>18</v>
      </c>
      <c r="I106" s="15" t="b">
        <v>0</v>
      </c>
    </row>
    <row r="107">
      <c r="A107" s="15" t="inlineStr">
        <is>
          <t>A#6</t>
        </is>
      </c>
      <c r="B107" s="15" t="inlineStr">
        <is>
          <t>note_density_final</t>
        </is>
      </c>
      <c r="C107" s="15" t="n">
        <v>0.2111860657812671</v>
      </c>
      <c r="D107" s="15" t="n">
        <v>21.11860657812671</v>
      </c>
      <c r="E107" s="15" t="b">
        <v>0</v>
      </c>
      <c r="F107" s="15" t="n">
        <v>25</v>
      </c>
      <c r="G107" s="15" t="n">
        <v>9.3125</v>
      </c>
      <c r="H107" s="15" t="n">
        <v>14</v>
      </c>
      <c r="I107" s="15" t="b">
        <v>1</v>
      </c>
    </row>
    <row r="108">
      <c r="A108" s="15" t="inlineStr">
        <is>
          <t>A#6</t>
        </is>
      </c>
      <c r="B108" s="15" t="inlineStr">
        <is>
          <t>note_effective_component_density</t>
        </is>
      </c>
      <c r="C108" s="15" t="n">
        <v>1.578040993606077</v>
      </c>
      <c r="D108" s="15" t="n">
        <v>157.8040993606077</v>
      </c>
      <c r="E108" s="15" t="b">
        <v>1</v>
      </c>
      <c r="F108" s="15" t="n">
        <v>25</v>
      </c>
      <c r="G108" s="15" t="n">
        <v>9.3125</v>
      </c>
      <c r="H108" s="15" t="n">
        <v>14</v>
      </c>
      <c r="I108" s="15" t="b">
        <v>1</v>
      </c>
    </row>
    <row r="109">
      <c r="A109" s="15" t="inlineStr">
        <is>
          <t>A#6</t>
        </is>
      </c>
      <c r="B109" s="15" t="inlineStr">
        <is>
          <t>EWSD_score_acoustic_balanced</t>
        </is>
      </c>
      <c r="C109" s="15" t="n">
        <v>0.3953154413129615</v>
      </c>
      <c r="D109" s="15" t="n">
        <v>39.53154413129615</v>
      </c>
      <c r="E109" s="15" t="b">
        <v>1</v>
      </c>
      <c r="F109" s="15" t="n">
        <v>25</v>
      </c>
      <c r="G109" s="15" t="n">
        <v>9.3125</v>
      </c>
      <c r="H109" s="15" t="n">
        <v>14</v>
      </c>
      <c r="I109" s="15" t="b">
        <v>1</v>
      </c>
    </row>
    <row r="110">
      <c r="A110" s="15" t="inlineStr">
        <is>
          <t>B6</t>
        </is>
      </c>
      <c r="B110" s="15" t="inlineStr">
        <is>
          <t>note_density_final</t>
        </is>
      </c>
      <c r="C110" s="15" t="n">
        <v>0.2953666818200327</v>
      </c>
      <c r="D110" s="15" t="n">
        <v>29.53666818200327</v>
      </c>
      <c r="E110" s="15" t="b">
        <v>1</v>
      </c>
      <c r="F110" s="15" t="n">
        <v>25</v>
      </c>
      <c r="G110" s="15" t="n">
        <v>29.125</v>
      </c>
      <c r="H110" s="15" t="n">
        <v>14</v>
      </c>
      <c r="I110" s="15" t="b">
        <v>0</v>
      </c>
    </row>
    <row r="111">
      <c r="A111" s="15" t="inlineStr">
        <is>
          <t>B6</t>
        </is>
      </c>
      <c r="B111" s="15" t="inlineStr">
        <is>
          <t>note_effective_component_density</t>
        </is>
      </c>
      <c r="C111" s="15" t="n">
        <v>1.837443524950745</v>
      </c>
      <c r="D111" s="15" t="n">
        <v>183.7443524950745</v>
      </c>
      <c r="E111" s="15" t="b">
        <v>1</v>
      </c>
      <c r="F111" s="15" t="n">
        <v>25</v>
      </c>
      <c r="G111" s="15" t="n">
        <v>29.125</v>
      </c>
      <c r="H111" s="15" t="n">
        <v>14</v>
      </c>
      <c r="I111" s="15" t="b">
        <v>0</v>
      </c>
    </row>
    <row r="112">
      <c r="A112" s="15" t="inlineStr">
        <is>
          <t>B6</t>
        </is>
      </c>
      <c r="B112" s="15" t="inlineStr">
        <is>
          <t>EWSD_score_acoustic_balanced</t>
        </is>
      </c>
      <c r="C112" s="15" t="n">
        <v>0.5405656937917889</v>
      </c>
      <c r="D112" s="15" t="n">
        <v>54.05656937917889</v>
      </c>
      <c r="E112" s="15" t="b">
        <v>1</v>
      </c>
      <c r="F112" s="15" t="n">
        <v>25</v>
      </c>
      <c r="G112" s="15" t="n">
        <v>29.125</v>
      </c>
      <c r="H112" s="15" t="n">
        <v>14</v>
      </c>
      <c r="I112" s="15" t="b">
        <v>0</v>
      </c>
    </row>
    <row r="113">
      <c r="A113" s="15" t="inlineStr">
        <is>
          <t>C7</t>
        </is>
      </c>
      <c r="B113" s="15" t="inlineStr">
        <is>
          <t>note_density_final</t>
        </is>
      </c>
      <c r="C113" s="15" t="n">
        <v>0.2938571563570814</v>
      </c>
      <c r="D113" s="15" t="n">
        <v>29.38571563570814</v>
      </c>
      <c r="E113" s="15" t="b">
        <v>1</v>
      </c>
      <c r="F113" s="15" t="n">
        <v>25</v>
      </c>
      <c r="G113" s="15" t="n">
        <v>6.375</v>
      </c>
      <c r="H113" s="15" t="n">
        <v>8</v>
      </c>
      <c r="I113" s="15" t="b">
        <v>1</v>
      </c>
    </row>
    <row r="114">
      <c r="A114" s="15" t="inlineStr">
        <is>
          <t>C7</t>
        </is>
      </c>
      <c r="B114" s="15" t="inlineStr">
        <is>
          <t>note_effective_component_density</t>
        </is>
      </c>
      <c r="C114" s="15" t="n">
        <v>1.65025587519841</v>
      </c>
      <c r="D114" s="15" t="n">
        <v>165.025587519841</v>
      </c>
      <c r="E114" s="15" t="b">
        <v>1</v>
      </c>
      <c r="F114" s="15" t="n">
        <v>25</v>
      </c>
      <c r="G114" s="15" t="n">
        <v>6.375</v>
      </c>
      <c r="H114" s="15" t="n">
        <v>8</v>
      </c>
      <c r="I114" s="15" t="b">
        <v>1</v>
      </c>
    </row>
    <row r="115">
      <c r="A115" s="15" t="inlineStr">
        <is>
          <t>C7</t>
        </is>
      </c>
      <c r="B115" s="15" t="inlineStr">
        <is>
          <t>EWSD_score_acoustic_balanced</t>
        </is>
      </c>
      <c r="C115" s="15" t="n">
        <v>0.5494286710341337</v>
      </c>
      <c r="D115" s="15" t="n">
        <v>54.94286710341337</v>
      </c>
      <c r="E115" s="15" t="b">
        <v>1</v>
      </c>
      <c r="F115" s="15" t="n">
        <v>25</v>
      </c>
      <c r="G115" s="15" t="n">
        <v>6.375</v>
      </c>
      <c r="H115" s="15" t="n">
        <v>8</v>
      </c>
      <c r="I115" s="15" t="b">
        <v>1</v>
      </c>
    </row>
  </sheetData>
  <autoFilter ref="A1:I1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primary_statistics_status</t>
        </is>
      </c>
    </row>
    <row r="2">
      <c r="A2" s="15" t="inlineStr">
        <is>
          <t>no rows passed valid_for_primary_statistics + is_primary_comparable_profile filters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2" customWidth="1" min="5" max="5"/>
    <col width="24" customWidth="1" min="6" max="6"/>
    <col width="21" customWidth="1" min="7" max="7"/>
    <col width="19" customWidth="1" min="8" max="8"/>
    <col width="33" customWidth="1" min="9" max="9"/>
    <col width="35" customWidth="1" min="10" max="10"/>
    <col width="32" customWidth="1" min="11" max="11"/>
    <col width="28" customWidth="1" min="12" max="12"/>
    <col width="28" customWidth="1" min="13" max="13"/>
    <col width="27" customWidth="1" min="14" max="14"/>
    <col width="40" customWidth="1" min="15" max="15"/>
    <col width="42" customWidth="1" min="16" max="16"/>
    <col width="39" customWidth="1" min="17" max="17"/>
    <col width="20" customWidth="1" min="18" max="18"/>
    <col width="24" customWidth="1" min="19" max="19"/>
    <col width="26" customWidth="1" min="20" max="20"/>
    <col width="23" customWidth="1" min="21" max="21"/>
    <col width="22" customWidth="1" min="22" max="22"/>
    <col width="22" customWidth="1" min="23" max="23"/>
    <col width="48" customWidth="1" min="24" max="24"/>
    <col width="48" customWidth="1" min="25" max="25"/>
    <col width="28" customWidth="1" min="26" max="26"/>
    <col width="23" customWidth="1" min="27" max="27"/>
    <col width="31" customWidth="1" min="28" max="28"/>
    <col width="31" customWidth="1" min="29" max="29"/>
    <col width="22" customWidth="1" min="30" max="30"/>
    <col width="24" customWidth="1" min="31" max="31"/>
    <col width="26" customWidth="1" min="32" max="3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Dynamic</t>
        </is>
      </c>
      <c r="E1" s="11" t="inlineStr">
        <is>
          <t>harmonic_density_sum</t>
        </is>
      </c>
      <c r="F1" s="11" t="inlineStr">
        <is>
          <t>inharmonic_density_sum</t>
        </is>
      </c>
      <c r="G1" s="11" t="inlineStr">
        <is>
          <t>subbass_density_sum</t>
        </is>
      </c>
      <c r="H1" s="11" t="inlineStr">
        <is>
          <t>Total sum</t>
        </is>
      </c>
      <c r="I1" s="11" t="inlineStr">
        <is>
          <t>component_harmonic_energy_ratio</t>
        </is>
      </c>
      <c r="J1" s="11" t="inlineStr">
        <is>
          <t>component_inharmonic_energy_ratio</t>
        </is>
      </c>
      <c r="K1" s="11" t="inlineStr">
        <is>
          <t>component_subbass_energy_ratio</t>
        </is>
      </c>
      <c r="L1" s="11" t="inlineStr">
        <is>
          <t>core_harmonic_energy_ratio</t>
        </is>
      </c>
      <c r="M1" s="11" t="inlineStr">
        <is>
          <t>core_residual_energy_ratio</t>
        </is>
      </c>
      <c r="N1" s="11" t="inlineStr">
        <is>
          <t>core_subbass_energy_ratio</t>
        </is>
      </c>
      <c r="O1" s="11" t="inlineStr">
        <is>
          <t>weighted_harmonic_density_contribution</t>
        </is>
      </c>
      <c r="P1" s="11" t="inlineStr">
        <is>
          <t>weighted_inharmonic_density_contribution</t>
        </is>
      </c>
      <c r="Q1" s="11" t="inlineStr">
        <is>
          <t>weighted_subbass_density_contribution</t>
        </is>
      </c>
      <c r="R1" s="11" t="inlineStr">
        <is>
          <t>density_metric_raw</t>
        </is>
      </c>
      <c r="S1" s="11" t="inlineStr">
        <is>
          <t>harmonic_amplitude_sum</t>
        </is>
      </c>
      <c r="T1" s="11" t="inlineStr">
        <is>
          <t>inharmonic_amplitude_sum</t>
        </is>
      </c>
      <c r="U1" s="11" t="inlineStr">
        <is>
          <t>subbass_amplitude_sum</t>
        </is>
      </c>
      <c r="V1" s="11" t="inlineStr">
        <is>
          <t>density_weighted_sum</t>
        </is>
      </c>
      <c r="W1" s="11" t="inlineStr">
        <is>
          <t>density_log_weighted</t>
        </is>
      </c>
      <c r="X1" s="11" t="inlineStr">
        <is>
          <t>amplitude_mass_chart_file</t>
        </is>
      </c>
      <c r="Y1" s="11" t="inlineStr">
        <is>
          <t>energy_ratio_chart_file</t>
        </is>
      </c>
      <c r="Z1" s="11" t="inlineStr">
        <is>
          <t>component_energy_ratio_sum</t>
        </is>
      </c>
      <c r="AA1" s="11" t="inlineStr">
        <is>
          <t>core_energy_ratio_sum</t>
        </is>
      </c>
      <c r="AB1" s="11" t="inlineStr">
        <is>
          <t>density_metric_raw_recomputed</t>
        </is>
      </c>
      <c r="AC1" s="11" t="inlineStr">
        <is>
          <t>density_metric_raw_difference</t>
        </is>
      </c>
      <c r="AD1" s="11" t="inlineStr">
        <is>
          <t>total_sum_recomputed</t>
        </is>
      </c>
      <c r="AE1" s="11" t="inlineStr">
        <is>
          <t>total_sum_difference</t>
        </is>
      </c>
      <c r="AF1" s="11" t="inlineStr">
        <is>
          <t>component_balance_status</t>
        </is>
      </c>
    </row>
    <row r="2">
      <c r="A2" t="inlineStr">
        <is>
          <t>B3</t>
        </is>
      </c>
      <c r="B2" t="n">
        <v>59</v>
      </c>
      <c r="C2" t="inlineStr">
        <is>
          <t>Middle</t>
        </is>
      </c>
      <c r="D2" t="inlineStr">
        <is>
          <t>mf</t>
        </is>
      </c>
      <c r="E2" s="15" t="n">
        <v>2.645187558149807</v>
      </c>
      <c r="F2" s="15" t="n">
        <v>1.673558947803316</v>
      </c>
      <c r="G2" s="15" t="n">
        <v>1.567511134476979</v>
      </c>
      <c r="H2" s="15" t="n">
        <v>5.886257640430103</v>
      </c>
      <c r="I2" s="19" t="n">
        <v>1</v>
      </c>
      <c r="J2" s="19" t="n">
        <v>0</v>
      </c>
      <c r="K2" s="19" t="n">
        <v>0</v>
      </c>
      <c r="L2" s="19" t="n">
        <v>0.7782292562044544</v>
      </c>
      <c r="M2" s="19" t="n">
        <v>0.2217707437955457</v>
      </c>
      <c r="N2" s="19" t="n">
        <v>0</v>
      </c>
      <c r="O2" s="15" t="n">
        <v>1.957574574992219</v>
      </c>
      <c r="P2" s="15" t="n">
        <v>0.3450066798735263</v>
      </c>
      <c r="Q2" s="15" t="n">
        <v>0.08432766739701973</v>
      </c>
      <c r="R2" s="15" t="n">
        <v>2.386908922262766</v>
      </c>
      <c r="S2" s="15" t="n">
        <v>220.3805944744097</v>
      </c>
      <c r="T2" s="15" t="n">
        <v>23.07919380861949</v>
      </c>
      <c r="U2" s="15" t="n">
        <v>17.97060576272509</v>
      </c>
      <c r="V2" s="15" t="n">
        <v>325.0203354400017</v>
      </c>
      <c r="W2" s="15" t="n">
        <v>0.5617198792586221</v>
      </c>
      <c r="X2" t="inlineStr">
        <is>
          <t>IOWA_flt_mf.B3_SustainStable/B3/component_amplitude_mass_pie.png</t>
        </is>
      </c>
      <c r="Y2" t="inlineStr">
        <is>
          <t>IOWA_flt_mf.B3_SustainStable/B3/component_energy_ratio_pie.png</t>
        </is>
      </c>
      <c r="Z2" s="19" t="n">
        <v>1</v>
      </c>
      <c r="AA2" s="19" t="n">
        <v>1</v>
      </c>
      <c r="AB2" s="15" t="n">
        <v>2.386908922262765</v>
      </c>
      <c r="AC2" s="15" t="n">
        <v>8.881784197001252e-16</v>
      </c>
      <c r="AD2" s="15" t="n">
        <v>5.886257640430102</v>
      </c>
      <c r="AE2" s="15" t="n">
        <v>8.881784197001252e-16</v>
      </c>
      <c r="AF2" t="inlineStr">
        <is>
          <t>passed</t>
        </is>
      </c>
    </row>
    <row r="3">
      <c r="A3" t="inlineStr">
        <is>
          <t>C4</t>
        </is>
      </c>
      <c r="B3" t="n">
        <v>60</v>
      </c>
      <c r="C3" t="inlineStr">
        <is>
          <t>High</t>
        </is>
      </c>
      <c r="D3" t="inlineStr">
        <is>
          <t>mf</t>
        </is>
      </c>
      <c r="E3" s="15" t="n">
        <v>2.70708766946932</v>
      </c>
      <c r="F3" s="15" t="n">
        <v>1.781614751258453</v>
      </c>
      <c r="G3" s="15" t="n">
        <v>1.465523233687894</v>
      </c>
      <c r="H3" s="15" t="n">
        <v>5.954225654415668</v>
      </c>
      <c r="I3" s="19" t="n">
        <v>1</v>
      </c>
      <c r="J3" s="19" t="n">
        <v>0</v>
      </c>
      <c r="K3" s="19" t="n">
        <v>0</v>
      </c>
      <c r="L3" s="19" t="n">
        <v>0.7839497678447269</v>
      </c>
      <c r="M3" s="19" t="n">
        <v>0.2160502321552731</v>
      </c>
      <c r="N3" s="19" t="n">
        <v>0</v>
      </c>
      <c r="O3" s="15" t="n">
        <v>2.003383834806304</v>
      </c>
      <c r="P3" s="15" t="n">
        <v>0.3672825453517375</v>
      </c>
      <c r="Q3" s="15" t="n">
        <v>0.0788410066728317</v>
      </c>
      <c r="R3" s="15" t="n">
        <v>2.449507386830873</v>
      </c>
      <c r="S3" s="15" t="n">
        <v>254.2168491157894</v>
      </c>
      <c r="T3" s="15" t="n">
        <v>29.74020671634883</v>
      </c>
      <c r="U3" s="15" t="n">
        <v>14.10472009678407</v>
      </c>
      <c r="V3" s="15" t="n">
        <v>467.5001640844405</v>
      </c>
      <c r="W3" s="15" t="n">
        <v>0.569032856846003</v>
      </c>
      <c r="X3" t="inlineStr">
        <is>
          <t>IOWA_flt_mf.C4_SustainStable/C4/component_amplitude_mass_pie.png</t>
        </is>
      </c>
      <c r="Y3" t="inlineStr">
        <is>
          <t>IOWA_flt_mf.C4_SustainStable/C4/component_energy_ratio_pie.png</t>
        </is>
      </c>
      <c r="Z3" s="19" t="n">
        <v>1</v>
      </c>
      <c r="AA3" s="19" t="n">
        <v>1</v>
      </c>
      <c r="AB3" s="15" t="n">
        <v>2.449507386830873</v>
      </c>
      <c r="AC3" s="15" t="n">
        <v>0</v>
      </c>
      <c r="AD3" s="15" t="n">
        <v>5.954225654415667</v>
      </c>
      <c r="AE3" s="15" t="n">
        <v>1.77635683940025e-15</v>
      </c>
      <c r="AF3" t="inlineStr">
        <is>
          <t>passed</t>
        </is>
      </c>
    </row>
    <row r="4">
      <c r="A4" t="inlineStr">
        <is>
          <t>C#4</t>
        </is>
      </c>
      <c r="B4" t="n">
        <v>61</v>
      </c>
      <c r="C4" t="inlineStr">
        <is>
          <t>High</t>
        </is>
      </c>
      <c r="D4" t="inlineStr">
        <is>
          <t>mf</t>
        </is>
      </c>
      <c r="E4" s="15" t="n">
        <v>2.675818022925605</v>
      </c>
      <c r="F4" s="15" t="n">
        <v>1.739229792434843</v>
      </c>
      <c r="G4" s="15" t="n">
        <v>1.407340092642474</v>
      </c>
      <c r="H4" s="15" t="n">
        <v>5.822387908002923</v>
      </c>
      <c r="I4" s="19" t="n">
        <v>1</v>
      </c>
      <c r="J4" s="19" t="n">
        <v>0</v>
      </c>
      <c r="K4" s="19" t="n">
        <v>0</v>
      </c>
      <c r="L4" s="19" t="n">
        <v>0.7865922696710381</v>
      </c>
      <c r="M4" s="19" t="n">
        <v>0.2134077303289618</v>
      </c>
      <c r="N4" s="19" t="n">
        <v>0</v>
      </c>
      <c r="O4" s="15" t="n">
        <v>1.98024269123999</v>
      </c>
      <c r="P4" s="15" t="n">
        <v>0.3585448227041402</v>
      </c>
      <c r="Q4" s="15" t="n">
        <v>0.07571091817886441</v>
      </c>
      <c r="R4" s="15" t="n">
        <v>2.414498432122995</v>
      </c>
      <c r="S4" s="15" t="n">
        <v>236.5216555509115</v>
      </c>
      <c r="T4" s="15" t="n">
        <v>26.92835720730559</v>
      </c>
      <c r="U4" s="15" t="n">
        <v>12.27350543085073</v>
      </c>
      <c r="V4" s="15" t="n">
        <v>479.1179910771286</v>
      </c>
      <c r="W4" s="15" t="n">
        <v>0.5653540028241112</v>
      </c>
      <c r="X4" t="inlineStr">
        <is>
          <t>IOWA_flt_mf.C#4_SustainStable/C#4/component_amplitude_mass_pie.png</t>
        </is>
      </c>
      <c r="Y4" t="inlineStr">
        <is>
          <t>IOWA_flt_mf.C#4_SustainStable/C#4/component_energy_ratio_pie.png</t>
        </is>
      </c>
      <c r="Z4" s="19" t="n">
        <v>1</v>
      </c>
      <c r="AA4" s="19" t="n">
        <v>1</v>
      </c>
      <c r="AB4" s="15" t="n">
        <v>2.414498432122995</v>
      </c>
      <c r="AC4" s="15" t="n">
        <v>4.440892098500626e-16</v>
      </c>
      <c r="AD4" s="15" t="n">
        <v>5.822387908002922</v>
      </c>
      <c r="AE4" s="15" t="n">
        <v>8.881784197001252e-16</v>
      </c>
      <c r="AF4" t="inlineStr">
        <is>
          <t>passed</t>
        </is>
      </c>
    </row>
    <row r="5">
      <c r="A5" t="inlineStr">
        <is>
          <t>D4</t>
        </is>
      </c>
      <c r="B5" t="n">
        <v>62</v>
      </c>
      <c r="C5" t="inlineStr">
        <is>
          <t>High</t>
        </is>
      </c>
      <c r="D5" t="inlineStr">
        <is>
          <t>mf</t>
        </is>
      </c>
      <c r="E5" s="15" t="n">
        <v>2.652998228442981</v>
      </c>
      <c r="F5" s="15" t="n">
        <v>1.843574253717056</v>
      </c>
      <c r="G5" s="15" t="n">
        <v>1.403440151659038</v>
      </c>
      <c r="H5" s="15" t="n">
        <v>5.900012633819076</v>
      </c>
      <c r="I5" s="19" t="n">
        <v>1</v>
      </c>
      <c r="J5" s="19" t="n">
        <v>0</v>
      </c>
      <c r="K5" s="19" t="n">
        <v>0</v>
      </c>
      <c r="L5" s="19" t="n">
        <v>0.7717400211555951</v>
      </c>
      <c r="M5" s="19" t="n">
        <v>0.2282599788444049</v>
      </c>
      <c r="N5" s="19" t="n">
        <v>0</v>
      </c>
      <c r="O5" s="15" t="n">
        <v>1.963354871944114</v>
      </c>
      <c r="P5" s="15" t="n">
        <v>0.380055589443143</v>
      </c>
      <c r="Q5" s="15" t="n">
        <v>0.07550111237979497</v>
      </c>
      <c r="R5" s="15" t="n">
        <v>2.418911573767052</v>
      </c>
      <c r="S5" s="15" t="n">
        <v>224.3890100863424</v>
      </c>
      <c r="T5" s="15" t="n">
        <v>34.37741251744999</v>
      </c>
      <c r="U5" s="15" t="n">
        <v>12.15931352813</v>
      </c>
      <c r="V5" s="15" t="n">
        <v>415.5021450893923</v>
      </c>
      <c r="W5" s="15" t="n">
        <v>0.5626494615966349</v>
      </c>
      <c r="X5" t="inlineStr">
        <is>
          <t>IOWA_flt_mf.D4_SustainStable/D4/component_amplitude_mass_pie.png</t>
        </is>
      </c>
      <c r="Y5" t="inlineStr">
        <is>
          <t>IOWA_flt_mf.D4_SustainStable/D4/component_energy_ratio_pie.png</t>
        </is>
      </c>
      <c r="Z5" s="19" t="n">
        <v>1</v>
      </c>
      <c r="AA5" s="19" t="n">
        <v>1</v>
      </c>
      <c r="AB5" s="15" t="n">
        <v>2.418911573767052</v>
      </c>
      <c r="AC5" s="15" t="n">
        <v>4.440892098500626e-16</v>
      </c>
      <c r="AD5" s="15" t="n">
        <v>5.900012633819075</v>
      </c>
      <c r="AE5" s="15" t="n">
        <v>8.881784197001252e-16</v>
      </c>
      <c r="AF5" t="inlineStr">
        <is>
          <t>passed</t>
        </is>
      </c>
    </row>
    <row r="6">
      <c r="A6" t="inlineStr">
        <is>
          <t>D#4</t>
        </is>
      </c>
      <c r="B6" t="n">
        <v>63</v>
      </c>
      <c r="C6" t="inlineStr">
        <is>
          <t>High</t>
        </is>
      </c>
      <c r="D6" t="inlineStr">
        <is>
          <t>mf</t>
        </is>
      </c>
      <c r="E6" s="15" t="n">
        <v>2.641699790813905</v>
      </c>
      <c r="F6" s="15" t="n">
        <v>1.694045691307733</v>
      </c>
      <c r="G6" s="15" t="n">
        <v>1.320989250561052</v>
      </c>
      <c r="H6" s="15" t="n">
        <v>5.65673473268269</v>
      </c>
      <c r="I6" s="19" t="n">
        <v>1</v>
      </c>
      <c r="J6" s="19" t="n">
        <v>0</v>
      </c>
      <c r="K6" s="19" t="n">
        <v>0</v>
      </c>
      <c r="L6" s="19" t="n">
        <v>0.7755429367662104</v>
      </c>
      <c r="M6" s="19" t="n">
        <v>0.2244570632337896</v>
      </c>
      <c r="N6" s="19" t="n">
        <v>0</v>
      </c>
      <c r="O6" s="15" t="n">
        <v>1.954993448130642</v>
      </c>
      <c r="P6" s="15" t="n">
        <v>0.3492300526845986</v>
      </c>
      <c r="Q6" s="15" t="n">
        <v>0.07106548700435193</v>
      </c>
      <c r="R6" s="15" t="n">
        <v>2.375288987819593</v>
      </c>
      <c r="S6" s="15" t="n">
        <v>218.6138325115175</v>
      </c>
      <c r="T6" s="15" t="n">
        <v>24.21813476113575</v>
      </c>
      <c r="U6" s="15" t="n">
        <v>9.970303120361697</v>
      </c>
      <c r="V6" s="15" t="n">
        <v>413.5535056313784</v>
      </c>
      <c r="W6" s="15" t="n">
        <v>0.5613041411934439</v>
      </c>
      <c r="X6" t="inlineStr">
        <is>
          <t>IOWA_flt_mf.D#4_SustainStable/D#4/component_amplitude_mass_pie.png</t>
        </is>
      </c>
      <c r="Y6" t="inlineStr">
        <is>
          <t>IOWA_flt_mf.D#4_SustainStable/D#4/component_energy_ratio_pie.png</t>
        </is>
      </c>
      <c r="Z6" s="19" t="n">
        <v>1</v>
      </c>
      <c r="AA6" s="19" t="n">
        <v>1</v>
      </c>
      <c r="AB6" s="15" t="n">
        <v>2.375288987819592</v>
      </c>
      <c r="AC6" s="15" t="n">
        <v>8.881784197001252e-16</v>
      </c>
      <c r="AD6" s="15" t="n">
        <v>5.65673473268269</v>
      </c>
      <c r="AE6" s="15" t="n">
        <v>0</v>
      </c>
      <c r="AF6" t="inlineStr">
        <is>
          <t>passed</t>
        </is>
      </c>
    </row>
    <row r="7">
      <c r="A7" t="inlineStr">
        <is>
          <t>E4</t>
        </is>
      </c>
      <c r="B7" t="n">
        <v>64</v>
      </c>
      <c r="C7" t="inlineStr">
        <is>
          <t>High</t>
        </is>
      </c>
      <c r="D7" t="inlineStr">
        <is>
          <t>mf</t>
        </is>
      </c>
      <c r="E7" s="15" t="n">
        <v>2.60544544689841</v>
      </c>
      <c r="F7" s="15" t="n">
        <v>1.661288312200621</v>
      </c>
      <c r="G7" s="15" t="n">
        <v>1.266802965123668</v>
      </c>
      <c r="H7" s="15" t="n">
        <v>5.533536724222699</v>
      </c>
      <c r="I7" s="19" t="n">
        <v>1</v>
      </c>
      <c r="J7" s="19" t="n">
        <v>0</v>
      </c>
      <c r="K7" s="19" t="n">
        <v>0</v>
      </c>
      <c r="L7" s="19" t="n">
        <v>0.7565029460459813</v>
      </c>
      <c r="M7" s="19" t="n">
        <v>0.2434970539540186</v>
      </c>
      <c r="N7" s="19" t="n">
        <v>0</v>
      </c>
      <c r="O7" s="15" t="n">
        <v>1.928163372636246</v>
      </c>
      <c r="P7" s="15" t="n">
        <v>0.3424770699934678</v>
      </c>
      <c r="Q7" s="15" t="n">
        <v>0.06815041804226236</v>
      </c>
      <c r="R7" s="15" t="n">
        <v>2.338790860671976</v>
      </c>
      <c r="S7" s="15" t="n">
        <v>201.0651523960158</v>
      </c>
      <c r="T7" s="15" t="n">
        <v>22.42230656555266</v>
      </c>
      <c r="U7" s="15" t="n">
        <v>8.742149076939498</v>
      </c>
      <c r="V7" s="15" t="n">
        <v>384.5031051641469</v>
      </c>
      <c r="W7" s="15" t="n">
        <v>0.5569589287444729</v>
      </c>
      <c r="X7" t="inlineStr">
        <is>
          <t>IOWA_flt_mf.E4_SustainStable/E4/component_amplitude_mass_pie.png</t>
        </is>
      </c>
      <c r="Y7" t="inlineStr">
        <is>
          <t>IOWA_flt_mf.E4_SustainStable/E4/component_energy_ratio_pie.png</t>
        </is>
      </c>
      <c r="Z7" s="19" t="n">
        <v>1</v>
      </c>
      <c r="AA7" s="19" t="n">
        <v>1</v>
      </c>
      <c r="AB7" s="15" t="n">
        <v>2.338790860671976</v>
      </c>
      <c r="AC7" s="15" t="n">
        <v>0</v>
      </c>
      <c r="AD7" s="15" t="n">
        <v>5.533536724222699</v>
      </c>
      <c r="AE7" s="15" t="n">
        <v>0</v>
      </c>
      <c r="AF7" t="inlineStr">
        <is>
          <t>passed</t>
        </is>
      </c>
    </row>
    <row r="8">
      <c r="A8" t="inlineStr">
        <is>
          <t>F4</t>
        </is>
      </c>
      <c r="B8" t="n">
        <v>65</v>
      </c>
      <c r="C8" t="inlineStr">
        <is>
          <t>High</t>
        </is>
      </c>
      <c r="D8" t="inlineStr">
        <is>
          <t>mf</t>
        </is>
      </c>
      <c r="E8" s="15" t="n">
        <v>2.601063131893429</v>
      </c>
      <c r="F8" s="15" t="n">
        <v>1.735083530600007</v>
      </c>
      <c r="G8" s="15" t="n">
        <v>1.281925417887336</v>
      </c>
      <c r="H8" s="15" t="n">
        <v>5.618072080380774</v>
      </c>
      <c r="I8" s="19" t="n">
        <v>1</v>
      </c>
      <c r="J8" s="19" t="n">
        <v>0</v>
      </c>
      <c r="K8" s="19" t="n">
        <v>0</v>
      </c>
      <c r="L8" s="19" t="n">
        <v>0.7581377824163184</v>
      </c>
      <c r="M8" s="19" t="n">
        <v>0.2418622175836816</v>
      </c>
      <c r="N8" s="19" t="n">
        <v>0</v>
      </c>
      <c r="O8" s="15" t="n">
        <v>1.924920234580902</v>
      </c>
      <c r="P8" s="15" t="n">
        <v>0.3576900646262127</v>
      </c>
      <c r="Q8" s="15" t="n">
        <v>0.06896396324703516</v>
      </c>
      <c r="R8" s="15" t="n">
        <v>2.35157426245415</v>
      </c>
      <c r="S8" s="15" t="n">
        <v>199.0414557272131</v>
      </c>
      <c r="T8" s="15" t="n">
        <v>26.66774141539627</v>
      </c>
      <c r="U8" s="15" t="n">
        <v>9.069636074488077</v>
      </c>
      <c r="V8" s="15" t="n">
        <v>395.8422815043601</v>
      </c>
      <c r="W8" s="15" t="n">
        <v>0.556430735254265</v>
      </c>
      <c r="X8" t="inlineStr">
        <is>
          <t>IOWA_flt_mf.F4_SustainStable/F4/component_amplitude_mass_pie.png</t>
        </is>
      </c>
      <c r="Y8" t="inlineStr">
        <is>
          <t>IOWA_flt_mf.F4_SustainStable/F4/component_energy_ratio_pie.png</t>
        </is>
      </c>
      <c r="Z8" s="19" t="n">
        <v>1</v>
      </c>
      <c r="AA8" s="19" t="n">
        <v>1</v>
      </c>
      <c r="AB8" s="15" t="n">
        <v>2.35157426245415</v>
      </c>
      <c r="AC8" s="15" t="n">
        <v>0</v>
      </c>
      <c r="AD8" s="15" t="n">
        <v>5.618072080380772</v>
      </c>
      <c r="AE8" s="15" t="n">
        <v>1.77635683940025e-15</v>
      </c>
      <c r="AF8" t="inlineStr">
        <is>
          <t>passed</t>
        </is>
      </c>
    </row>
    <row r="9">
      <c r="A9" t="inlineStr">
        <is>
          <t>F#4</t>
        </is>
      </c>
      <c r="B9" t="n">
        <v>66</v>
      </c>
      <c r="C9" t="inlineStr">
        <is>
          <t>High</t>
        </is>
      </c>
      <c r="D9" t="inlineStr">
        <is>
          <t>mf</t>
        </is>
      </c>
      <c r="E9" s="15" t="n">
        <v>2.608935697268858</v>
      </c>
      <c r="F9" s="15" t="n">
        <v>1.639543750596489</v>
      </c>
      <c r="G9" s="15" t="n">
        <v>1.147675885914948</v>
      </c>
      <c r="H9" s="15" t="n">
        <v>5.396155333780294</v>
      </c>
      <c r="I9" s="19" t="n">
        <v>1</v>
      </c>
      <c r="J9" s="19" t="n">
        <v>0</v>
      </c>
      <c r="K9" s="19" t="n">
        <v>0</v>
      </c>
      <c r="L9" s="19" t="n">
        <v>0.8143274161778787</v>
      </c>
      <c r="M9" s="19" t="n">
        <v>0.1856725838221213</v>
      </c>
      <c r="N9" s="19" t="n">
        <v>0</v>
      </c>
      <c r="O9" s="15" t="n">
        <v>1.930746337070845</v>
      </c>
      <c r="P9" s="15" t="n">
        <v>0.3379943961000898</v>
      </c>
      <c r="Q9" s="15" t="n">
        <v>0.06174171797465915</v>
      </c>
      <c r="R9" s="15" t="n">
        <v>2.330482451145594</v>
      </c>
      <c r="S9" s="15" t="n">
        <v>202.6915773002821</v>
      </c>
      <c r="T9" s="15" t="n">
        <v>21.30287449944064</v>
      </c>
      <c r="U9" s="15" t="n">
        <v>6.524992909788668</v>
      </c>
      <c r="V9" s="15" t="n">
        <v>433.492582822151</v>
      </c>
      <c r="W9" s="15" t="n">
        <v>0.5573791440240138</v>
      </c>
      <c r="X9" t="inlineStr">
        <is>
          <t>IOWA_flt_mf.F#4_SustainStable/F#4/component_amplitude_mass_pie.png</t>
        </is>
      </c>
      <c r="Y9" t="inlineStr">
        <is>
          <t>IOWA_flt_mf.F#4_SustainStable/F#4/component_energy_ratio_pie.png</t>
        </is>
      </c>
      <c r="Z9" s="19" t="n">
        <v>1</v>
      </c>
      <c r="AA9" s="19" t="n">
        <v>1</v>
      </c>
      <c r="AB9" s="15" t="n">
        <v>2.330482451145594</v>
      </c>
      <c r="AC9" s="15" t="n">
        <v>0</v>
      </c>
      <c r="AD9" s="15" t="n">
        <v>5.396155333780295</v>
      </c>
      <c r="AE9" s="15" t="n">
        <v>-8.881784197001252e-16</v>
      </c>
      <c r="AF9" t="inlineStr">
        <is>
          <t>passed</t>
        </is>
      </c>
    </row>
    <row r="10">
      <c r="A10" t="inlineStr">
        <is>
          <t>G4</t>
        </is>
      </c>
      <c r="B10" t="n">
        <v>67</v>
      </c>
      <c r="C10" t="inlineStr">
        <is>
          <t>High</t>
        </is>
      </c>
      <c r="D10" t="inlineStr">
        <is>
          <t>mf</t>
        </is>
      </c>
      <c r="E10" s="15" t="n">
        <v>2.647740953814765</v>
      </c>
      <c r="F10" s="15" t="n">
        <v>1.82142192704784</v>
      </c>
      <c r="G10" s="15" t="n">
        <v>1.198192639395568</v>
      </c>
      <c r="H10" s="15" t="n">
        <v>5.667355520258172</v>
      </c>
      <c r="I10" s="19" t="n">
        <v>1</v>
      </c>
      <c r="J10" s="19" t="n">
        <v>0</v>
      </c>
      <c r="K10" s="19" t="n">
        <v>0</v>
      </c>
      <c r="L10" s="19" t="n">
        <v>0.8358014413166163</v>
      </c>
      <c r="M10" s="19" t="n">
        <v>0.1641985586833837</v>
      </c>
      <c r="N10" s="19" t="n">
        <v>0</v>
      </c>
      <c r="O10" s="15" t="n">
        <v>1.959464218854416</v>
      </c>
      <c r="P10" s="15" t="n">
        <v>0.3754888541717911</v>
      </c>
      <c r="Q10" s="15" t="n">
        <v>0.0644593764919062</v>
      </c>
      <c r="R10" s="15" t="n">
        <v>2.399412449518113</v>
      </c>
      <c r="S10" s="15" t="n">
        <v>221.6830673605332</v>
      </c>
      <c r="T10" s="15" t="n">
        <v>32.64300874200978</v>
      </c>
      <c r="U10" s="15" t="n">
        <v>7.391556018726896</v>
      </c>
      <c r="V10" s="15" t="n">
        <v>649.079630458105</v>
      </c>
      <c r="W10" s="15" t="n">
        <v>0.5620239891071965</v>
      </c>
      <c r="X10" t="inlineStr">
        <is>
          <t>IOWA_flt_mf.G4_SustainStable/G4/component_amplitude_mass_pie.png</t>
        </is>
      </c>
      <c r="Y10" t="inlineStr">
        <is>
          <t>IOWA_flt_mf.G4_SustainStable/G4/component_energy_ratio_pie.png</t>
        </is>
      </c>
      <c r="Z10" s="19" t="n">
        <v>1</v>
      </c>
      <c r="AA10" s="19" t="n">
        <v>1</v>
      </c>
      <c r="AB10" s="15" t="n">
        <v>2.399412449518113</v>
      </c>
      <c r="AC10" s="15" t="n">
        <v>-4.440892098500626e-16</v>
      </c>
      <c r="AD10" s="15" t="n">
        <v>5.667355520258173</v>
      </c>
      <c r="AE10" s="15" t="n">
        <v>-8.881784197001252e-16</v>
      </c>
      <c r="AF10" t="inlineStr">
        <is>
          <t>passed</t>
        </is>
      </c>
    </row>
    <row r="11">
      <c r="A11" t="inlineStr">
        <is>
          <t>G#4</t>
        </is>
      </c>
      <c r="B11" t="n">
        <v>68</v>
      </c>
      <c r="C11" t="inlineStr">
        <is>
          <t>High</t>
        </is>
      </c>
      <c r="D11" t="inlineStr">
        <is>
          <t>mf</t>
        </is>
      </c>
      <c r="E11" s="15" t="n">
        <v>2.636671561111994</v>
      </c>
      <c r="F11" s="15" t="n">
        <v>1.730667427273032</v>
      </c>
      <c r="G11" s="15" t="n">
        <v>1.220989517918394</v>
      </c>
      <c r="H11" s="15" t="n">
        <v>5.588328506303421</v>
      </c>
      <c r="I11" s="19" t="n">
        <v>1</v>
      </c>
      <c r="J11" s="19" t="n">
        <v>0</v>
      </c>
      <c r="K11" s="19" t="n">
        <v>0</v>
      </c>
      <c r="L11" s="19" t="n">
        <v>0.8274321058032904</v>
      </c>
      <c r="M11" s="19" t="n">
        <v>0.1725678941967096</v>
      </c>
      <c r="N11" s="19" t="n">
        <v>0</v>
      </c>
      <c r="O11" s="15" t="n">
        <v>1.951272300043674</v>
      </c>
      <c r="P11" s="15" t="n">
        <v>0.3567796783211363</v>
      </c>
      <c r="Q11" s="15" t="n">
        <v>0.06568578410553036</v>
      </c>
      <c r="R11" s="15" t="n">
        <v>2.37373776247034</v>
      </c>
      <c r="S11" s="15" t="n">
        <v>216.0915780216772</v>
      </c>
      <c r="T11" s="15" t="n">
        <v>26.39288728397432</v>
      </c>
      <c r="U11" s="15" t="n">
        <v>7.816862514592419</v>
      </c>
      <c r="V11" s="15" t="n">
        <v>726.7588429202345</v>
      </c>
      <c r="W11" s="15" t="n">
        <v>0.5607040803679922</v>
      </c>
      <c r="X11" t="inlineStr">
        <is>
          <t>IOWA_flt_mf.G#4_SustainStable/G#4/component_amplitude_mass_pie.png</t>
        </is>
      </c>
      <c r="Y11" t="inlineStr">
        <is>
          <t>IOWA_flt_mf.G#4_SustainStable/G#4/component_energy_ratio_pie.png</t>
        </is>
      </c>
      <c r="Z11" s="19" t="n">
        <v>1</v>
      </c>
      <c r="AA11" s="19" t="n">
        <v>1</v>
      </c>
      <c r="AB11" s="15" t="n">
        <v>2.373737762470341</v>
      </c>
      <c r="AC11" s="15" t="n">
        <v>-8.881784197001252e-16</v>
      </c>
      <c r="AD11" s="15" t="n">
        <v>5.588328506303419</v>
      </c>
      <c r="AE11" s="15" t="n">
        <v>1.77635683940025e-15</v>
      </c>
      <c r="AF11" t="inlineStr">
        <is>
          <t>passed</t>
        </is>
      </c>
    </row>
    <row r="12">
      <c r="A12" t="inlineStr">
        <is>
          <t>A4</t>
        </is>
      </c>
      <c r="B12" t="n">
        <v>69</v>
      </c>
      <c r="C12" t="inlineStr">
        <is>
          <t>High</t>
        </is>
      </c>
      <c r="D12" t="inlineStr">
        <is>
          <t>mf</t>
        </is>
      </c>
      <c r="E12" s="15" t="n">
        <v>2.612450590451078</v>
      </c>
      <c r="F12" s="15" t="n">
        <v>1.731507410282937</v>
      </c>
      <c r="G12" s="15" t="n">
        <v>0.9495419873483569</v>
      </c>
      <c r="H12" s="15" t="n">
        <v>5.293499988082371</v>
      </c>
      <c r="I12" s="19" t="n">
        <v>1</v>
      </c>
      <c r="J12" s="19" t="n">
        <v>0</v>
      </c>
      <c r="K12" s="19" t="n">
        <v>0</v>
      </c>
      <c r="L12" s="19" t="n">
        <v>0.8478318197753679</v>
      </c>
      <c r="M12" s="19" t="n">
        <v>0.1521681802246322</v>
      </c>
      <c r="N12" s="19" t="n">
        <v>0</v>
      </c>
      <c r="O12" s="15" t="n">
        <v>1.933347538451114</v>
      </c>
      <c r="P12" s="15" t="n">
        <v>0.3569528420748109</v>
      </c>
      <c r="Q12" s="15" t="n">
        <v>0.05108267439218839</v>
      </c>
      <c r="R12" s="15" t="n">
        <v>2.341383054918113</v>
      </c>
      <c r="S12" s="15" t="n">
        <v>204.3427486848447</v>
      </c>
      <c r="T12" s="15" t="n">
        <v>26.44495202125863</v>
      </c>
      <c r="U12" s="15" t="n">
        <v>3.951557543348756</v>
      </c>
      <c r="V12" s="15" t="n">
        <v>701.0100332694078</v>
      </c>
      <c r="W12" s="15" t="n">
        <v>0.5578019157116775</v>
      </c>
      <c r="X12" t="inlineStr">
        <is>
          <t>IOWA_flt_mf.A4_SustainStable/A4/component_amplitude_mass_pie.png</t>
        </is>
      </c>
      <c r="Y12" t="inlineStr">
        <is>
          <t>IOWA_flt_mf.A4_SustainStable/A4/component_energy_ratio_pie.png</t>
        </is>
      </c>
      <c r="Z12" s="19" t="n">
        <v>1</v>
      </c>
      <c r="AA12" s="19" t="n">
        <v>1</v>
      </c>
      <c r="AB12" s="15" t="n">
        <v>2.341383054918113</v>
      </c>
      <c r="AC12" s="15" t="n">
        <v>0</v>
      </c>
      <c r="AD12" s="15" t="n">
        <v>5.293499988082372</v>
      </c>
      <c r="AE12" s="15" t="n">
        <v>-8.881784197001252e-16</v>
      </c>
      <c r="AF12" t="inlineStr">
        <is>
          <t>passed</t>
        </is>
      </c>
    </row>
    <row r="13">
      <c r="A13" t="inlineStr">
        <is>
          <t>A#4</t>
        </is>
      </c>
      <c r="B13" t="n">
        <v>70</v>
      </c>
      <c r="C13" t="inlineStr">
        <is>
          <t>High</t>
        </is>
      </c>
      <c r="D13" t="inlineStr">
        <is>
          <t>mf</t>
        </is>
      </c>
      <c r="E13" s="15" t="n">
        <v>2.62084318902717</v>
      </c>
      <c r="F13" s="15" t="n">
        <v>1.767746886947359</v>
      </c>
      <c r="G13" s="15" t="n">
        <v>0.8741181429019846</v>
      </c>
      <c r="H13" s="15" t="n">
        <v>5.262708218876513</v>
      </c>
      <c r="I13" s="19" t="n">
        <v>1</v>
      </c>
      <c r="J13" s="19" t="n">
        <v>0</v>
      </c>
      <c r="K13" s="19" t="n">
        <v>0</v>
      </c>
      <c r="L13" s="19" t="n">
        <v>0.8530702870898179</v>
      </c>
      <c r="M13" s="19" t="n">
        <v>0.1469297129101821</v>
      </c>
      <c r="N13" s="19" t="n">
        <v>0</v>
      </c>
      <c r="O13" s="15" t="n">
        <v>1.939558492203733</v>
      </c>
      <c r="P13" s="15" t="n">
        <v>0.3644236643848092</v>
      </c>
      <c r="Q13" s="15" t="n">
        <v>0.0470250847978405</v>
      </c>
      <c r="R13" s="15" t="n">
        <v>2.351007241386383</v>
      </c>
      <c r="S13" s="15" t="n">
        <v>208.3397638076571</v>
      </c>
      <c r="T13" s="15" t="n">
        <v>28.78983271568151</v>
      </c>
      <c r="U13" s="15" t="n">
        <v>3.241865279011745</v>
      </c>
      <c r="V13" s="15" t="n">
        <v>641.2028007281738</v>
      </c>
      <c r="W13" s="15" t="n">
        <v>0.5588097168593039</v>
      </c>
      <c r="X13" t="inlineStr">
        <is>
          <t>IOWA_flt_mf.A#4_SustainStable/A#4/component_amplitude_mass_pie.png</t>
        </is>
      </c>
      <c r="Y13" t="inlineStr">
        <is>
          <t>IOWA_flt_mf.A#4_SustainStable/A#4/component_energy_ratio_pie.png</t>
        </is>
      </c>
      <c r="Z13" s="19" t="n">
        <v>1</v>
      </c>
      <c r="AA13" s="19" t="n">
        <v>1</v>
      </c>
      <c r="AB13" s="15" t="n">
        <v>2.351007241386383</v>
      </c>
      <c r="AC13" s="15" t="n">
        <v>4.440892098500626e-16</v>
      </c>
      <c r="AD13" s="15" t="n">
        <v>5.262708218876513</v>
      </c>
      <c r="AE13" s="15" t="n">
        <v>0</v>
      </c>
      <c r="AF13" t="inlineStr">
        <is>
          <t>passed</t>
        </is>
      </c>
    </row>
    <row r="14">
      <c r="A14" t="inlineStr">
        <is>
          <t>B4</t>
        </is>
      </c>
      <c r="B14" t="n">
        <v>71</v>
      </c>
      <c r="C14" t="inlineStr">
        <is>
          <t>High</t>
        </is>
      </c>
      <c r="D14" t="inlineStr">
        <is>
          <t>mf</t>
        </is>
      </c>
      <c r="E14" s="15" t="n">
        <v>2.589614193641786</v>
      </c>
      <c r="F14" s="15" t="n">
        <v>1.761071994049218</v>
      </c>
      <c r="G14" s="15" t="n">
        <v>0.9840917184238189</v>
      </c>
      <c r="H14" s="15" t="n">
        <v>5.334777906114823</v>
      </c>
      <c r="I14" s="19" t="n">
        <v>1</v>
      </c>
      <c r="J14" s="19" t="n">
        <v>0</v>
      </c>
      <c r="K14" s="19" t="n">
        <v>0</v>
      </c>
      <c r="L14" s="19" t="n">
        <v>0.803779016569153</v>
      </c>
      <c r="M14" s="19" t="n">
        <v>0.1962209834308471</v>
      </c>
      <c r="N14" s="19" t="n">
        <v>0</v>
      </c>
      <c r="O14" s="15" t="n">
        <v>1.916447432581278</v>
      </c>
      <c r="P14" s="15" t="n">
        <v>0.3630476252316491</v>
      </c>
      <c r="Q14" s="15" t="n">
        <v>0.05294135224570179</v>
      </c>
      <c r="R14" s="15" t="n">
        <v>2.332436410058628</v>
      </c>
      <c r="S14" s="15" t="n">
        <v>193.8498447196973</v>
      </c>
      <c r="T14" s="15" t="n">
        <v>28.34310416463089</v>
      </c>
      <c r="U14" s="15" t="n">
        <v>4.320162978326308</v>
      </c>
      <c r="V14" s="15" t="n">
        <v>524.8900546982662</v>
      </c>
      <c r="W14" s="15" t="n">
        <v>0.5550477737659691</v>
      </c>
      <c r="X14" t="inlineStr">
        <is>
          <t>IOWA_flt_mf.B4_SustainStable/B4/component_amplitude_mass_pie.png</t>
        </is>
      </c>
      <c r="Y14" t="inlineStr">
        <is>
          <t>IOWA_flt_mf.B4_SustainStable/B4/component_energy_ratio_pie.png</t>
        </is>
      </c>
      <c r="Z14" s="19" t="n">
        <v>1</v>
      </c>
      <c r="AA14" s="19" t="n">
        <v>1</v>
      </c>
      <c r="AB14" s="15" t="n">
        <v>2.332436410058629</v>
      </c>
      <c r="AC14" s="15" t="n">
        <v>-8.881784197001252e-16</v>
      </c>
      <c r="AD14" s="15" t="n">
        <v>5.334777906114823</v>
      </c>
      <c r="AE14" s="15" t="n">
        <v>0</v>
      </c>
      <c r="AF14" t="inlineStr">
        <is>
          <t>passed</t>
        </is>
      </c>
    </row>
    <row r="15">
      <c r="A15" t="inlineStr">
        <is>
          <t>C5</t>
        </is>
      </c>
      <c r="B15" t="n">
        <v>72</v>
      </c>
      <c r="C15" t="inlineStr">
        <is>
          <t>Very high</t>
        </is>
      </c>
      <c r="D15" t="inlineStr">
        <is>
          <t>mf</t>
        </is>
      </c>
      <c r="E15" s="15" t="n">
        <v>2.572070788200331</v>
      </c>
      <c r="F15" s="15" t="n">
        <v>1.770154046563545</v>
      </c>
      <c r="G15" s="15" t="n">
        <v>0.9346931130292999</v>
      </c>
      <c r="H15" s="15" t="n">
        <v>5.276917947793176</v>
      </c>
      <c r="I15" s="19" t="n">
        <v>1</v>
      </c>
      <c r="J15" s="19" t="n">
        <v>0</v>
      </c>
      <c r="K15" s="19" t="n">
        <v>0</v>
      </c>
      <c r="L15" s="19" t="n">
        <v>0.762795623392715</v>
      </c>
      <c r="M15" s="19" t="n">
        <v>0.2372043766072849</v>
      </c>
      <c r="N15" s="19" t="n">
        <v>0</v>
      </c>
      <c r="O15" s="15" t="n">
        <v>1.903464412021861</v>
      </c>
      <c r="P15" s="15" t="n">
        <v>0.3649199039395593</v>
      </c>
      <c r="Q15" s="15" t="n">
        <v>0.05028384693427984</v>
      </c>
      <c r="R15" s="15" t="n">
        <v>2.3186681628957</v>
      </c>
      <c r="S15" s="15" t="n">
        <v>93.07775024567982</v>
      </c>
      <c r="T15" s="15" t="n">
        <v>14.47631395951516</v>
      </c>
      <c r="U15" s="15" t="n">
        <v>1.900963900457066</v>
      </c>
      <c r="V15" s="15" t="n">
        <v>129.0684716396621</v>
      </c>
      <c r="W15" s="15" t="n">
        <v>0.5529200567731066</v>
      </c>
      <c r="X15" t="inlineStr">
        <is>
          <t>IOWA_flt_mf.C5_SustainStable/C5/component_amplitude_mass_pie.png</t>
        </is>
      </c>
      <c r="Y15" t="inlineStr">
        <is>
          <t>IOWA_flt_mf.C5_SustainStable/C5/component_energy_ratio_pie.png</t>
        </is>
      </c>
      <c r="Z15" s="19" t="n">
        <v>1</v>
      </c>
      <c r="AA15" s="19" t="n">
        <v>0.9999999999999999</v>
      </c>
      <c r="AB15" s="15" t="n">
        <v>2.3186681628957</v>
      </c>
      <c r="AC15" s="15" t="n">
        <v>0</v>
      </c>
      <c r="AD15" s="15" t="n">
        <v>5.276917947793176</v>
      </c>
      <c r="AE15" s="15" t="n">
        <v>0</v>
      </c>
      <c r="AF15" t="inlineStr">
        <is>
          <t>passed</t>
        </is>
      </c>
    </row>
    <row r="16">
      <c r="A16" t="inlineStr">
        <is>
          <t>C#5</t>
        </is>
      </c>
      <c r="B16" t="n">
        <v>73</v>
      </c>
      <c r="C16" t="inlineStr">
        <is>
          <t>Very high</t>
        </is>
      </c>
      <c r="D16" t="inlineStr">
        <is>
          <t>mf</t>
        </is>
      </c>
      <c r="E16" s="15" t="n">
        <v>2.562642949703196</v>
      </c>
      <c r="F16" s="15" t="n">
        <v>1.840066853783331</v>
      </c>
      <c r="G16" s="15" t="n">
        <v>0.9555089891571875</v>
      </c>
      <c r="H16" s="15" t="n">
        <v>5.358218792643714</v>
      </c>
      <c r="I16" s="19" t="n">
        <v>1</v>
      </c>
      <c r="J16" s="19" t="n">
        <v>0</v>
      </c>
      <c r="K16" s="19" t="n">
        <v>0</v>
      </c>
      <c r="L16" s="19" t="n">
        <v>0.7536391519023253</v>
      </c>
      <c r="M16" s="19" t="n">
        <v>0.2463608480976747</v>
      </c>
      <c r="N16" s="19" t="n">
        <v>0</v>
      </c>
      <c r="O16" s="15" t="n">
        <v>1.896487327587049</v>
      </c>
      <c r="P16" s="15" t="n">
        <v>0.3793325337015384</v>
      </c>
      <c r="Q16" s="15" t="n">
        <v>0.05140368221970878</v>
      </c>
      <c r="R16" s="15" t="n">
        <v>2.327223543508296</v>
      </c>
      <c r="S16" s="15" t="n">
        <v>91.07358637771607</v>
      </c>
      <c r="T16" s="15" t="n">
        <v>17.04843692929538</v>
      </c>
      <c r="U16" s="15" t="n">
        <v>2.006570975375589</v>
      </c>
      <c r="V16" s="15" t="n">
        <v>140.0242020269297</v>
      </c>
      <c r="W16" s="15" t="n">
        <v>0.5517722992682879</v>
      </c>
      <c r="X16" t="inlineStr">
        <is>
          <t>IOWA_flt_mf.C#5_SustainStable/C#5/component_amplitude_mass_pie.png</t>
        </is>
      </c>
      <c r="Y16" t="inlineStr">
        <is>
          <t>IOWA_flt_mf.C#5_SustainStable/C#5/component_energy_ratio_pie.png</t>
        </is>
      </c>
      <c r="Z16" s="19" t="n">
        <v>1</v>
      </c>
      <c r="AA16" s="19" t="n">
        <v>1</v>
      </c>
      <c r="AB16" s="15" t="n">
        <v>2.327223543508296</v>
      </c>
      <c r="AC16" s="15" t="n">
        <v>0</v>
      </c>
      <c r="AD16" s="15" t="n">
        <v>5.358218792643714</v>
      </c>
      <c r="AE16" s="15" t="n">
        <v>0</v>
      </c>
      <c r="AF16" t="inlineStr">
        <is>
          <t>passed</t>
        </is>
      </c>
    </row>
    <row r="17">
      <c r="A17" t="inlineStr">
        <is>
          <t>D5</t>
        </is>
      </c>
      <c r="B17" t="n">
        <v>74</v>
      </c>
      <c r="C17" t="inlineStr">
        <is>
          <t>Very high</t>
        </is>
      </c>
      <c r="D17" t="inlineStr">
        <is>
          <t>mf</t>
        </is>
      </c>
      <c r="E17" s="15" t="n">
        <v>2.546515989672216</v>
      </c>
      <c r="F17" s="15" t="n">
        <v>1.713193599339077</v>
      </c>
      <c r="G17" s="15" t="n">
        <v>1.030974672593606</v>
      </c>
      <c r="H17" s="15" t="n">
        <v>5.290684261604898</v>
      </c>
      <c r="I17" s="19" t="n">
        <v>1</v>
      </c>
      <c r="J17" s="19" t="n">
        <v>0</v>
      </c>
      <c r="K17" s="19" t="n">
        <v>0</v>
      </c>
      <c r="L17" s="19" t="n">
        <v>0.7591779013313984</v>
      </c>
      <c r="M17" s="19" t="n">
        <v>0.2408220986686016</v>
      </c>
      <c r="N17" s="19" t="n">
        <v>0</v>
      </c>
      <c r="O17" s="15" t="n">
        <v>1.884552549339928</v>
      </c>
      <c r="P17" s="15" t="n">
        <v>0.3531774225606875</v>
      </c>
      <c r="Q17" s="15" t="n">
        <v>0.05546352263343473</v>
      </c>
      <c r="R17" s="15" t="n">
        <v>2.293193494534051</v>
      </c>
      <c r="S17" s="15" t="n">
        <v>87.74459531968313</v>
      </c>
      <c r="T17" s="15" t="n">
        <v>12.66616570346287</v>
      </c>
      <c r="U17" s="15" t="n">
        <v>2.434816951767452</v>
      </c>
      <c r="V17" s="15" t="n">
        <v>161.0002023840959</v>
      </c>
      <c r="W17" s="15" t="n">
        <v>0.5498019222307239</v>
      </c>
      <c r="X17" t="inlineStr">
        <is>
          <t>IOWA_flt_mf.D5_SustainStable/D5/component_amplitude_mass_pie.png</t>
        </is>
      </c>
      <c r="Y17" t="inlineStr">
        <is>
          <t>IOWA_flt_mf.D5_SustainStable/D5/component_energy_ratio_pie.png</t>
        </is>
      </c>
      <c r="Z17" s="19" t="n">
        <v>1</v>
      </c>
      <c r="AA17" s="19" t="n">
        <v>1</v>
      </c>
      <c r="AB17" s="15" t="n">
        <v>2.29319349453405</v>
      </c>
      <c r="AC17" s="15" t="n">
        <v>8.881784197001252e-16</v>
      </c>
      <c r="AD17" s="15" t="n">
        <v>5.290684261604899</v>
      </c>
      <c r="AE17" s="15" t="n">
        <v>-8.881784197001252e-16</v>
      </c>
      <c r="AF17" t="inlineStr">
        <is>
          <t>passed</t>
        </is>
      </c>
    </row>
    <row r="18">
      <c r="A18" t="inlineStr">
        <is>
          <t>D#5</t>
        </is>
      </c>
      <c r="B18" t="n">
        <v>75</v>
      </c>
      <c r="C18" t="inlineStr">
        <is>
          <t>Very high</t>
        </is>
      </c>
      <c r="D18" t="inlineStr">
        <is>
          <t>mf</t>
        </is>
      </c>
      <c r="E18" s="15" t="n">
        <v>2.528278205312068</v>
      </c>
      <c r="F18" s="15" t="n">
        <v>1.688388512100822</v>
      </c>
      <c r="G18" s="15" t="n">
        <v>1.073558495536417</v>
      </c>
      <c r="H18" s="15" t="n">
        <v>5.290225212949307</v>
      </c>
      <c r="I18" s="19" t="n">
        <v>1</v>
      </c>
      <c r="J18" s="19" t="n">
        <v>0</v>
      </c>
      <c r="K18" s="19" t="n">
        <v>0</v>
      </c>
      <c r="L18" s="19" t="n">
        <v>0.7686568240662739</v>
      </c>
      <c r="M18" s="19" t="n">
        <v>0.2313431759337262</v>
      </c>
      <c r="N18" s="19" t="n">
        <v>0</v>
      </c>
      <c r="O18" s="15" t="n">
        <v>1.871055652737032</v>
      </c>
      <c r="P18" s="15" t="n">
        <v>0.348063816730862</v>
      </c>
      <c r="Q18" s="15" t="n">
        <v>0.05775441191557892</v>
      </c>
      <c r="R18" s="15" t="n">
        <v>2.276873881383473</v>
      </c>
      <c r="S18" s="15" t="n">
        <v>84.12586030713436</v>
      </c>
      <c r="T18" s="15" t="n">
        <v>11.9491204884011</v>
      </c>
      <c r="U18" s="15" t="n">
        <v>2.711409765726851</v>
      </c>
      <c r="V18" s="15" t="n">
        <v>134.4848507021289</v>
      </c>
      <c r="W18" s="15" t="n">
        <v>0.547562822000679</v>
      </c>
      <c r="X18" t="inlineStr">
        <is>
          <t>IOWA_flt_mf.D#5_SustainStable/D#5/component_amplitude_mass_pie.png</t>
        </is>
      </c>
      <c r="Y18" t="inlineStr">
        <is>
          <t>IOWA_flt_mf.D#5_SustainStable/D#5/component_energy_ratio_pie.png</t>
        </is>
      </c>
      <c r="Z18" s="19" t="n">
        <v>1</v>
      </c>
      <c r="AA18" s="19" t="n">
        <v>1</v>
      </c>
      <c r="AB18" s="15" t="n">
        <v>2.276873881383473</v>
      </c>
      <c r="AC18" s="15" t="n">
        <v>0</v>
      </c>
      <c r="AD18" s="15" t="n">
        <v>5.290225212949307</v>
      </c>
      <c r="AE18" s="15" t="n">
        <v>-8.881784197001252e-16</v>
      </c>
      <c r="AF18" t="inlineStr">
        <is>
          <t>passed</t>
        </is>
      </c>
    </row>
    <row r="19">
      <c r="A19" t="inlineStr">
        <is>
          <t>E5</t>
        </is>
      </c>
      <c r="B19" t="n">
        <v>76</v>
      </c>
      <c r="C19" t="inlineStr">
        <is>
          <t>Very high</t>
        </is>
      </c>
      <c r="D19" t="inlineStr">
        <is>
          <t>mf</t>
        </is>
      </c>
      <c r="E19" s="15" t="n">
        <v>2.495582253361777</v>
      </c>
      <c r="F19" s="15" t="n">
        <v>1.568727654381155</v>
      </c>
      <c r="G19" s="15" t="n">
        <v>0.9422947433045006</v>
      </c>
      <c r="H19" s="15" t="n">
        <v>5.006604651047432</v>
      </c>
      <c r="I19" s="19" t="n">
        <v>1</v>
      </c>
      <c r="J19" s="19" t="n">
        <v>0</v>
      </c>
      <c r="K19" s="19" t="n">
        <v>0</v>
      </c>
      <c r="L19" s="19" t="n">
        <v>0.7680594044767624</v>
      </c>
      <c r="M19" s="19" t="n">
        <v>0.2319405955232376</v>
      </c>
      <c r="N19" s="19" t="n">
        <v>0</v>
      </c>
      <c r="O19" s="15" t="n">
        <v>1.846858969955178</v>
      </c>
      <c r="P19" s="15" t="n">
        <v>0.3233955519608226</v>
      </c>
      <c r="Q19" s="15" t="n">
        <v>0.05069279315190025</v>
      </c>
      <c r="R19" s="15" t="n">
        <v>2.220947315067901</v>
      </c>
      <c r="S19" s="15" t="n">
        <v>78.0068318668302</v>
      </c>
      <c r="T19" s="15" t="n">
        <v>9.011208528927932</v>
      </c>
      <c r="U19" s="15" t="n">
        <v>1.938944508412855</v>
      </c>
      <c r="V19" s="15" t="n">
        <v>117.7146751821372</v>
      </c>
      <c r="W19" s="15" t="n">
        <v>0.5435195258215855</v>
      </c>
      <c r="X19" t="inlineStr">
        <is>
          <t>IOWA_flt_mf.E5_SustainStable/E5/component_amplitude_mass_pie.png</t>
        </is>
      </c>
      <c r="Y19" t="inlineStr">
        <is>
          <t>IOWA_flt_mf.E5_SustainStable/E5/component_energy_ratio_pie.png</t>
        </is>
      </c>
      <c r="Z19" s="19" t="n">
        <v>1</v>
      </c>
      <c r="AA19" s="19" t="n">
        <v>1</v>
      </c>
      <c r="AB19" s="15" t="n">
        <v>2.220947315067901</v>
      </c>
      <c r="AC19" s="15" t="n">
        <v>0</v>
      </c>
      <c r="AD19" s="15" t="n">
        <v>5.006604651047432</v>
      </c>
      <c r="AE19" s="15" t="n">
        <v>0</v>
      </c>
      <c r="AF19" t="inlineStr">
        <is>
          <t>passed</t>
        </is>
      </c>
    </row>
    <row r="20">
      <c r="A20" t="inlineStr">
        <is>
          <t>F5</t>
        </is>
      </c>
      <c r="B20" t="n">
        <v>77</v>
      </c>
      <c r="C20" t="inlineStr">
        <is>
          <t>Very high</t>
        </is>
      </c>
      <c r="D20" t="inlineStr">
        <is>
          <t>mf</t>
        </is>
      </c>
      <c r="E20" s="15" t="n">
        <v>2.482383197612368</v>
      </c>
      <c r="F20" s="15" t="n">
        <v>1.861449074389556</v>
      </c>
      <c r="G20" s="15" t="n">
        <v>0.8794147867430884</v>
      </c>
      <c r="H20" s="15" t="n">
        <v>5.223247058745012</v>
      </c>
      <c r="I20" s="19" t="n">
        <v>0.9995370233948241</v>
      </c>
      <c r="J20" s="19" t="n">
        <v>0.0004629766051759524</v>
      </c>
      <c r="K20" s="19" t="n">
        <v>0</v>
      </c>
      <c r="L20" s="19" t="n">
        <v>0.7706752440735937</v>
      </c>
      <c r="M20" s="19" t="n">
        <v>0.2293247559264064</v>
      </c>
      <c r="N20" s="19" t="n">
        <v>0</v>
      </c>
      <c r="O20" s="15" t="n">
        <v>1.837090991170709</v>
      </c>
      <c r="P20" s="15" t="n">
        <v>0.3837405104563218</v>
      </c>
      <c r="Q20" s="15" t="n">
        <v>0.04731002926192057</v>
      </c>
      <c r="R20" s="15" t="n">
        <v>2.268141530888951</v>
      </c>
      <c r="S20" s="15" t="n">
        <v>75.66423261460267</v>
      </c>
      <c r="T20" s="15" t="n">
        <v>17.92142906362638</v>
      </c>
      <c r="U20" s="15" t="n">
        <v>1.643890194043237</v>
      </c>
      <c r="V20" s="15" t="n">
        <v>112.7441958978754</v>
      </c>
      <c r="W20" s="15" t="n">
        <v>0.5418407053051698</v>
      </c>
      <c r="X20" t="inlineStr">
        <is>
          <t>IOWA_flt_mf.F5_SustainStable/F5/component_amplitude_mass_pie.png</t>
        </is>
      </c>
      <c r="Y20" t="inlineStr">
        <is>
          <t>IOWA_flt_mf.F5_SustainStable/F5/component_energy_ratio_pie.png</t>
        </is>
      </c>
      <c r="Z20" s="19" t="n">
        <v>1</v>
      </c>
      <c r="AA20" s="19" t="n">
        <v>1</v>
      </c>
      <c r="AB20" s="15" t="n">
        <v>2.268141530888951</v>
      </c>
      <c r="AC20" s="15" t="n">
        <v>0</v>
      </c>
      <c r="AD20" s="15" t="n">
        <v>5.223247058745012</v>
      </c>
      <c r="AE20" s="15" t="n">
        <v>0</v>
      </c>
      <c r="AF20" t="inlineStr">
        <is>
          <t>passed</t>
        </is>
      </c>
    </row>
    <row r="21">
      <c r="A21" t="inlineStr">
        <is>
          <t>F#5</t>
        </is>
      </c>
      <c r="B21" t="n">
        <v>78</v>
      </c>
      <c r="C21" t="inlineStr">
        <is>
          <t>Very high</t>
        </is>
      </c>
      <c r="D21" t="inlineStr">
        <is>
          <t>mf</t>
        </is>
      </c>
      <c r="E21" s="15" t="n">
        <v>2.47481368104153</v>
      </c>
      <c r="F21" s="15" t="n">
        <v>1.805090792928048</v>
      </c>
      <c r="G21" s="15" t="n">
        <v>0.8842510332604274</v>
      </c>
      <c r="H21" s="15" t="n">
        <v>5.164155507230006</v>
      </c>
      <c r="I21" s="19" t="n">
        <v>0.9995948918819298</v>
      </c>
      <c r="J21" s="19" t="n">
        <v>0.0004051081180701112</v>
      </c>
      <c r="K21" s="19" t="n">
        <v>0</v>
      </c>
      <c r="L21" s="19" t="n">
        <v>0.7673573409356341</v>
      </c>
      <c r="M21" s="19" t="n">
        <v>0.2326426590643657</v>
      </c>
      <c r="N21" s="19" t="n">
        <v>0</v>
      </c>
      <c r="O21" s="15" t="n">
        <v>1.831489160352172</v>
      </c>
      <c r="P21" s="15" t="n">
        <v>0.3721221664500146</v>
      </c>
      <c r="Q21" s="15" t="n">
        <v>0.04757020565160869</v>
      </c>
      <c r="R21" s="15" t="n">
        <v>2.251181532453796</v>
      </c>
      <c r="S21" s="15" t="n">
        <v>74.35255297312915</v>
      </c>
      <c r="T21" s="15" t="n">
        <v>15.70992336274372</v>
      </c>
      <c r="U21" s="15" t="n">
        <v>1.665098172880134</v>
      </c>
      <c r="V21" s="15" t="n">
        <v>123.7033463735193</v>
      </c>
      <c r="W21" s="15" t="n">
        <v>0.5408976121212873</v>
      </c>
      <c r="X21" t="inlineStr">
        <is>
          <t>IOWA_flt_mf.F#5_SustainStable/F#5/component_amplitude_mass_pie.png</t>
        </is>
      </c>
      <c r="Y21" t="inlineStr">
        <is>
          <t>IOWA_flt_mf.F#5_SustainStable/F#5/component_energy_ratio_pie.png</t>
        </is>
      </c>
      <c r="Z21" s="19" t="n">
        <v>1</v>
      </c>
      <c r="AA21" s="19" t="n">
        <v>0.9999999999999999</v>
      </c>
      <c r="AB21" s="15" t="n">
        <v>2.251181532453795</v>
      </c>
      <c r="AC21" s="15" t="n">
        <v>8.881784197001252e-16</v>
      </c>
      <c r="AD21" s="15" t="n">
        <v>5.164155507230006</v>
      </c>
      <c r="AE21" s="15" t="n">
        <v>0</v>
      </c>
      <c r="AF21" t="inlineStr">
        <is>
          <t>passed</t>
        </is>
      </c>
    </row>
    <row r="22">
      <c r="A22" t="inlineStr">
        <is>
          <t>G5</t>
        </is>
      </c>
      <c r="B22" t="n">
        <v>79</v>
      </c>
      <c r="C22" t="inlineStr">
        <is>
          <t>Very high</t>
        </is>
      </c>
      <c r="D22" t="inlineStr">
        <is>
          <t>mf</t>
        </is>
      </c>
      <c r="E22" s="15" t="n">
        <v>2.474613314895403</v>
      </c>
      <c r="F22" s="15" t="n">
        <v>1.97815469809502</v>
      </c>
      <c r="G22" s="15" t="n">
        <v>1.053657793110047</v>
      </c>
      <c r="H22" s="15" t="n">
        <v>5.506425806100471</v>
      </c>
      <c r="I22" s="19" t="n">
        <v>0.996728851543451</v>
      </c>
      <c r="J22" s="19" t="n">
        <v>0.003271148456548966</v>
      </c>
      <c r="K22" s="19" t="n">
        <v>0</v>
      </c>
      <c r="L22" s="19" t="n">
        <v>0.7619099299627379</v>
      </c>
      <c r="M22" s="19" t="n">
        <v>0.2380900700372621</v>
      </c>
      <c r="N22" s="19" t="n">
        <v>0</v>
      </c>
      <c r="O22" s="15" t="n">
        <v>1.831340879118904</v>
      </c>
      <c r="P22" s="15" t="n">
        <v>0.4077995493148224</v>
      </c>
      <c r="Q22" s="15" t="n">
        <v>0.05668381038792983</v>
      </c>
      <c r="R22" s="15" t="n">
        <v>2.295824238821656</v>
      </c>
      <c r="S22" s="15" t="n">
        <v>74.31814227021178</v>
      </c>
      <c r="T22" s="15" t="n">
        <v>23.52358661632293</v>
      </c>
      <c r="U22" s="15" t="n">
        <v>2.578771069872065</v>
      </c>
      <c r="V22" s="15" t="n">
        <v>116.4822924659911</v>
      </c>
      <c r="W22" s="15" t="n">
        <v>0.5407034484199396</v>
      </c>
      <c r="X22" t="inlineStr">
        <is>
          <t>IOWA_flt_mf.G5_SustainStable/G5/component_amplitude_mass_pie.png</t>
        </is>
      </c>
      <c r="Y22" t="inlineStr">
        <is>
          <t>IOWA_flt_mf.G5_SustainStable/G5/component_energy_ratio_pie.png</t>
        </is>
      </c>
      <c r="Z22" s="19" t="n">
        <v>1</v>
      </c>
      <c r="AA22" s="19" t="n">
        <v>1</v>
      </c>
      <c r="AB22" s="15" t="n">
        <v>2.295824238821656</v>
      </c>
      <c r="AC22" s="15" t="n">
        <v>-4.440892098500626e-16</v>
      </c>
      <c r="AD22" s="15" t="n">
        <v>5.50642580610047</v>
      </c>
      <c r="AE22" s="15" t="n">
        <v>8.881784197001252e-16</v>
      </c>
      <c r="AF22" t="inlineStr">
        <is>
          <t>passed</t>
        </is>
      </c>
    </row>
    <row r="23">
      <c r="A23" t="inlineStr">
        <is>
          <t>G#5</t>
        </is>
      </c>
      <c r="B23" t="n">
        <v>80</v>
      </c>
      <c r="C23" t="inlineStr">
        <is>
          <t>Very high</t>
        </is>
      </c>
      <c r="D23" t="inlineStr">
        <is>
          <t>mf</t>
        </is>
      </c>
      <c r="E23" s="15" t="n">
        <v>2.507035811371005</v>
      </c>
      <c r="F23" s="15" t="n">
        <v>2.025103201921561</v>
      </c>
      <c r="G23" s="15" t="n">
        <v>1.018908901011605</v>
      </c>
      <c r="H23" s="15" t="n">
        <v>5.551047914304172</v>
      </c>
      <c r="I23" s="19" t="n">
        <v>1</v>
      </c>
      <c r="J23" s="19" t="n">
        <v>0</v>
      </c>
      <c r="K23" s="19" t="n">
        <v>0</v>
      </c>
      <c r="L23" s="19" t="n">
        <v>0.7746834894028398</v>
      </c>
      <c r="M23" s="19" t="n">
        <v>0.2253165105971601</v>
      </c>
      <c r="N23" s="19" t="n">
        <v>0</v>
      </c>
      <c r="O23" s="15" t="n">
        <v>1.855335190812555</v>
      </c>
      <c r="P23" s="15" t="n">
        <v>0.4174780535894911</v>
      </c>
      <c r="Q23" s="15" t="n">
        <v>0.05481441823444438</v>
      </c>
      <c r="R23" s="15" t="n">
        <v>2.32762766263649</v>
      </c>
      <c r="S23" s="15" t="n">
        <v>80.09813859824331</v>
      </c>
      <c r="T23" s="15" t="n">
        <v>26.23763667068194</v>
      </c>
      <c r="U23" s="15" t="n">
        <v>2.361252745939037</v>
      </c>
      <c r="V23" s="15" t="n">
        <v>158.2411799735956</v>
      </c>
      <c r="W23" s="15" t="n">
        <v>0.5449402006124435</v>
      </c>
      <c r="X23" t="inlineStr">
        <is>
          <t>IOWA_flt_mf.G#5_SustainStable/G#5/component_amplitude_mass_pie.png</t>
        </is>
      </c>
      <c r="Y23" t="inlineStr">
        <is>
          <t>IOWA_flt_mf.G#5_SustainStable/G#5/component_energy_ratio_pie.png</t>
        </is>
      </c>
      <c r="Z23" s="19" t="n">
        <v>1</v>
      </c>
      <c r="AA23" s="19" t="n">
        <v>0.9999999999999999</v>
      </c>
      <c r="AB23" s="15" t="n">
        <v>2.327627662636491</v>
      </c>
      <c r="AC23" s="15" t="n">
        <v>-8.881784197001252e-16</v>
      </c>
      <c r="AD23" s="15" t="n">
        <v>5.551047914304171</v>
      </c>
      <c r="AE23" s="15" t="n">
        <v>1.77635683940025e-15</v>
      </c>
      <c r="AF23" t="inlineStr">
        <is>
          <t>passed</t>
        </is>
      </c>
    </row>
    <row r="24">
      <c r="A24" t="inlineStr">
        <is>
          <t>A5</t>
        </is>
      </c>
      <c r="B24" t="n">
        <v>81</v>
      </c>
      <c r="C24" t="inlineStr">
        <is>
          <t>Very high</t>
        </is>
      </c>
      <c r="D24" t="inlineStr">
        <is>
          <t>mf</t>
        </is>
      </c>
      <c r="E24" s="15" t="n">
        <v>2.383234523251144</v>
      </c>
      <c r="F24" s="15" t="n">
        <v>1.936917748619407</v>
      </c>
      <c r="G24" s="15" t="n">
        <v>0.8094692883555852</v>
      </c>
      <c r="H24" s="15" t="n">
        <v>5.129621560226136</v>
      </c>
      <c r="I24" s="19" t="n">
        <v>1</v>
      </c>
      <c r="J24" s="19" t="n">
        <v>0</v>
      </c>
      <c r="K24" s="19" t="n">
        <v>0</v>
      </c>
      <c r="L24" s="19" t="n">
        <v>0.7613419144186953</v>
      </c>
      <c r="M24" s="19" t="n">
        <v>0.2386580855813046</v>
      </c>
      <c r="N24" s="19" t="n">
        <v>0</v>
      </c>
      <c r="O24" s="15" t="n">
        <v>1.763715882673876</v>
      </c>
      <c r="P24" s="15" t="n">
        <v>0.3992984905111466</v>
      </c>
      <c r="Q24" s="15" t="n">
        <v>0.04354715919726344</v>
      </c>
      <c r="R24" s="15" t="n">
        <v>2.206561532382286</v>
      </c>
      <c r="S24" s="15" t="n">
        <v>60.16913897693416</v>
      </c>
      <c r="T24" s="15" t="n">
        <v>21.37010293297166</v>
      </c>
      <c r="U24" s="15" t="n">
        <v>1.362164289547731</v>
      </c>
      <c r="V24" s="15" t="n">
        <v>120.5919155460156</v>
      </c>
      <c r="W24" s="15" t="n">
        <v>0.5293321037955511</v>
      </c>
      <c r="X24" t="inlineStr">
        <is>
          <t>IOWA_flt_mf.A5_SustainStable/A5/component_amplitude_mass_pie.png</t>
        </is>
      </c>
      <c r="Y24" t="inlineStr">
        <is>
          <t>IOWA_flt_mf.A5_SustainStable/A5/component_energy_ratio_pie.png</t>
        </is>
      </c>
      <c r="Z24" s="19" t="n">
        <v>1</v>
      </c>
      <c r="AA24" s="19" t="n">
        <v>0.9999999999999999</v>
      </c>
      <c r="AB24" s="15" t="n">
        <v>2.206561532382286</v>
      </c>
      <c r="AC24" s="15" t="n">
        <v>0</v>
      </c>
      <c r="AD24" s="15" t="n">
        <v>5.129621560226136</v>
      </c>
      <c r="AE24" s="15" t="n">
        <v>0</v>
      </c>
      <c r="AF24" t="inlineStr">
        <is>
          <t>passed</t>
        </is>
      </c>
    </row>
    <row r="25">
      <c r="A25" t="inlineStr">
        <is>
          <t>A#5</t>
        </is>
      </c>
      <c r="B25" t="n">
        <v>82</v>
      </c>
      <c r="C25" t="inlineStr">
        <is>
          <t>Very high</t>
        </is>
      </c>
      <c r="D25" t="inlineStr">
        <is>
          <t>mf</t>
        </is>
      </c>
      <c r="E25" s="15" t="n">
        <v>2.383878421012653</v>
      </c>
      <c r="F25" s="15" t="n">
        <v>1.863514348627661</v>
      </c>
      <c r="G25" s="15" t="n">
        <v>0.6251786172768334</v>
      </c>
      <c r="H25" s="15" t="n">
        <v>4.872571386917148</v>
      </c>
      <c r="I25" s="19" t="n">
        <v>1</v>
      </c>
      <c r="J25" s="19" t="n">
        <v>0</v>
      </c>
      <c r="K25" s="19" t="n">
        <v>0</v>
      </c>
      <c r="L25" s="19" t="n">
        <v>0.7432240382323383</v>
      </c>
      <c r="M25" s="19" t="n">
        <v>0.2567759617676617</v>
      </c>
      <c r="N25" s="19" t="n">
        <v>0</v>
      </c>
      <c r="O25" s="15" t="n">
        <v>1.764192400069757</v>
      </c>
      <c r="P25" s="15" t="n">
        <v>0.3841662698290959</v>
      </c>
      <c r="Q25" s="15" t="n">
        <v>0.0336328421163274</v>
      </c>
      <c r="R25" s="15" t="n">
        <v>2.18199151201518</v>
      </c>
      <c r="S25" s="15" t="n">
        <v>60.25878460712388</v>
      </c>
      <c r="T25" s="15" t="n">
        <v>18.00804853836928</v>
      </c>
      <c r="U25" s="15" t="n">
        <v>0.8046749376514643</v>
      </c>
      <c r="V25" s="15" t="n">
        <v>121.2064386190238</v>
      </c>
      <c r="W25" s="15" t="n">
        <v>0.5294147509296778</v>
      </c>
      <c r="X25" t="inlineStr">
        <is>
          <t>IOWA_flt_mf.A#5_SustainStable/A#5/component_amplitude_mass_pie.png</t>
        </is>
      </c>
      <c r="Y25" t="inlineStr">
        <is>
          <t>IOWA_flt_mf.A#5_SustainStable/A#5/component_energy_ratio_pie.png</t>
        </is>
      </c>
      <c r="Z25" s="19" t="n">
        <v>1</v>
      </c>
      <c r="AA25" s="19" t="n">
        <v>1</v>
      </c>
      <c r="AB25" s="15" t="n">
        <v>2.18199151201518</v>
      </c>
      <c r="AC25" s="15" t="n">
        <v>0</v>
      </c>
      <c r="AD25" s="15" t="n">
        <v>4.872571386917147</v>
      </c>
      <c r="AE25" s="15" t="n">
        <v>8.881784197001252e-16</v>
      </c>
      <c r="AF25" t="inlineStr">
        <is>
          <t>passed</t>
        </is>
      </c>
    </row>
    <row r="26">
      <c r="A26" t="inlineStr">
        <is>
          <t>B5</t>
        </is>
      </c>
      <c r="B26" t="n">
        <v>83</v>
      </c>
      <c r="C26" t="inlineStr">
        <is>
          <t>Very high</t>
        </is>
      </c>
      <c r="D26" t="inlineStr">
        <is>
          <t>mf</t>
        </is>
      </c>
      <c r="E26" s="15" t="n">
        <v>2.413495926661391</v>
      </c>
      <c r="F26" s="15" t="n">
        <v>1.806558972087707</v>
      </c>
      <c r="G26" s="15" t="n">
        <v>0.5937197406359446</v>
      </c>
      <c r="H26" s="15" t="n">
        <v>4.813774639385043</v>
      </c>
      <c r="I26" s="19" t="n">
        <v>1</v>
      </c>
      <c r="J26" s="19" t="n">
        <v>0</v>
      </c>
      <c r="K26" s="19" t="n">
        <v>0</v>
      </c>
      <c r="L26" s="19" t="n">
        <v>0.7461501543253053</v>
      </c>
      <c r="M26" s="19" t="n">
        <v>0.2538498456746947</v>
      </c>
      <c r="N26" s="19" t="n">
        <v>0</v>
      </c>
      <c r="O26" s="15" t="n">
        <v>1.786110874566594</v>
      </c>
      <c r="P26" s="15" t="n">
        <v>0.3724248337794197</v>
      </c>
      <c r="Q26" s="15" t="n">
        <v>0.03194044349298882</v>
      </c>
      <c r="R26" s="15" t="n">
        <v>2.190476151839002</v>
      </c>
      <c r="S26" s="15" t="n">
        <v>64.52925295288048</v>
      </c>
      <c r="T26" s="15" t="n">
        <v>15.76396890041732</v>
      </c>
      <c r="U26" s="15" t="n">
        <v>0.7309790877568711</v>
      </c>
      <c r="V26" s="15" t="n">
        <v>132.4034543907609</v>
      </c>
      <c r="W26" s="15" t="n">
        <v>0.5331993889426292</v>
      </c>
      <c r="X26" t="inlineStr">
        <is>
          <t>IOWA_flt_mf.B5_SustainStable/B5/component_amplitude_mass_pie.png</t>
        </is>
      </c>
      <c r="Y26" t="inlineStr">
        <is>
          <t>IOWA_flt_mf.B5_SustainStable/B5/component_energy_ratio_pie.png</t>
        </is>
      </c>
      <c r="Z26" s="19" t="n">
        <v>1</v>
      </c>
      <c r="AA26" s="19" t="n">
        <v>1</v>
      </c>
      <c r="AB26" s="15" t="n">
        <v>2.190476151839002</v>
      </c>
      <c r="AC26" s="15" t="n">
        <v>0</v>
      </c>
      <c r="AD26" s="15" t="n">
        <v>4.813774639385042</v>
      </c>
      <c r="AE26" s="15" t="n">
        <v>8.881784197001252e-16</v>
      </c>
      <c r="AF26" t="inlineStr">
        <is>
          <t>passed</t>
        </is>
      </c>
    </row>
    <row r="27">
      <c r="A27" t="inlineStr">
        <is>
          <t>C6</t>
        </is>
      </c>
      <c r="B27" t="n">
        <v>84</v>
      </c>
      <c r="C27" t="inlineStr">
        <is>
          <t>Very high</t>
        </is>
      </c>
      <c r="D27" t="inlineStr">
        <is>
          <t>mf</t>
        </is>
      </c>
      <c r="E27" s="15" t="n">
        <v>2.42955309502202</v>
      </c>
      <c r="F27" s="15" t="n">
        <v>1.795387511817023</v>
      </c>
      <c r="G27" s="15" t="n">
        <v>0.7068067601507706</v>
      </c>
      <c r="H27" s="15" t="n">
        <v>4.931747366989814</v>
      </c>
      <c r="I27" s="19" t="n">
        <v>1</v>
      </c>
      <c r="J27" s="19" t="n">
        <v>0</v>
      </c>
      <c r="K27" s="19" t="n">
        <v>0</v>
      </c>
      <c r="L27" s="19" t="n">
        <v>0.7595082096075247</v>
      </c>
      <c r="M27" s="19" t="n">
        <v>0.2404917903924752</v>
      </c>
      <c r="N27" s="19" t="n">
        <v>0</v>
      </c>
      <c r="O27" s="15" t="n">
        <v>1.79799400339513</v>
      </c>
      <c r="P27" s="15" t="n">
        <v>0.3701218205378564</v>
      </c>
      <c r="Q27" s="15" t="n">
        <v>0.03802420542540307</v>
      </c>
      <c r="R27" s="15" t="n">
        <v>2.20614002935839</v>
      </c>
      <c r="S27" s="15" t="n">
        <v>66.96916350731753</v>
      </c>
      <c r="T27" s="15" t="n">
        <v>15.35729073267012</v>
      </c>
      <c r="U27" s="15" t="n">
        <v>1.022760735221094</v>
      </c>
      <c r="V27" s="15" t="n">
        <v>148.7923741000559</v>
      </c>
      <c r="W27" s="15" t="n">
        <v>0.5352375308266925</v>
      </c>
      <c r="X27" t="inlineStr">
        <is>
          <t>IOWA_flt_mf.C6_SustainStable/C6/component_amplitude_mass_pie.png</t>
        </is>
      </c>
      <c r="Y27" t="inlineStr">
        <is>
          <t>IOWA_flt_mf.C6_SustainStable/C6/component_energy_ratio_pie.png</t>
        </is>
      </c>
      <c r="Z27" s="19" t="n">
        <v>1</v>
      </c>
      <c r="AA27" s="19" t="n">
        <v>1</v>
      </c>
      <c r="AB27" s="15" t="n">
        <v>2.206140029358389</v>
      </c>
      <c r="AC27" s="15" t="n">
        <v>4.440892098500626e-16</v>
      </c>
      <c r="AD27" s="15" t="n">
        <v>4.931747366989814</v>
      </c>
      <c r="AE27" s="15" t="n">
        <v>0</v>
      </c>
      <c r="AF27" t="inlineStr">
        <is>
          <t>passed</t>
        </is>
      </c>
    </row>
    <row r="28">
      <c r="A28" t="inlineStr">
        <is>
          <t>C#6</t>
        </is>
      </c>
      <c r="B28" t="n">
        <v>85</v>
      </c>
      <c r="C28" t="inlineStr">
        <is>
          <t>Very high</t>
        </is>
      </c>
      <c r="D28" t="inlineStr">
        <is>
          <t>mf</t>
        </is>
      </c>
      <c r="E28" s="15" t="n">
        <v>2.390344391258986</v>
      </c>
      <c r="F28" s="15" t="n">
        <v>1.780269485318344</v>
      </c>
      <c r="G28" s="15" t="n">
        <v>0.7213383106232469</v>
      </c>
      <c r="H28" s="15" t="n">
        <v>4.891952187200577</v>
      </c>
      <c r="I28" s="19" t="n">
        <v>1</v>
      </c>
      <c r="J28" s="19" t="n">
        <v>0</v>
      </c>
      <c r="K28" s="19" t="n">
        <v>0</v>
      </c>
      <c r="L28" s="19" t="n">
        <v>0.7630763755639201</v>
      </c>
      <c r="M28" s="19" t="n">
        <v>0.23692362443608</v>
      </c>
      <c r="N28" s="19" t="n">
        <v>0</v>
      </c>
      <c r="O28" s="15" t="n">
        <v>1.768977549961257</v>
      </c>
      <c r="P28" s="15" t="n">
        <v>0.3670052167663576</v>
      </c>
      <c r="Q28" s="15" t="n">
        <v>0.03880596175749756</v>
      </c>
      <c r="R28" s="15" t="n">
        <v>2.174788728485112</v>
      </c>
      <c r="S28" s="15" t="n">
        <v>61.16640619383181</v>
      </c>
      <c r="T28" s="15" t="n">
        <v>14.82333995210473</v>
      </c>
      <c r="U28" s="15" t="n">
        <v>1.066067969238222</v>
      </c>
      <c r="V28" s="15" t="n">
        <v>145.4549070549183</v>
      </c>
      <c r="W28" s="15" t="n">
        <v>0.5302438160870395</v>
      </c>
      <c r="X28" t="inlineStr">
        <is>
          <t>IOWA_flt_mf.C#6_SustainStable/C#6/component_amplitude_mass_pie.png</t>
        </is>
      </c>
      <c r="Y28" t="inlineStr">
        <is>
          <t>IOWA_flt_mf.C#6_SustainStable/C#6/component_energy_ratio_pie.png</t>
        </is>
      </c>
      <c r="Z28" s="19" t="n">
        <v>1</v>
      </c>
      <c r="AA28" s="19" t="n">
        <v>1</v>
      </c>
      <c r="AB28" s="15" t="n">
        <v>2.174788728485112</v>
      </c>
      <c r="AC28" s="15" t="n">
        <v>0</v>
      </c>
      <c r="AD28" s="15" t="n">
        <v>4.891952187200577</v>
      </c>
      <c r="AE28" s="15" t="n">
        <v>0</v>
      </c>
      <c r="AF28" t="inlineStr">
        <is>
          <t>passed</t>
        </is>
      </c>
    </row>
    <row r="29">
      <c r="A29" t="inlineStr">
        <is>
          <t>D6</t>
        </is>
      </c>
      <c r="B29" t="n">
        <v>86</v>
      </c>
      <c r="C29" t="inlineStr">
        <is>
          <t>Very high</t>
        </is>
      </c>
      <c r="D29" t="inlineStr">
        <is>
          <t>mf</t>
        </is>
      </c>
      <c r="E29" s="15" t="n">
        <v>2.444805166380105</v>
      </c>
      <c r="F29" s="15" t="n">
        <v>1.477678518413896</v>
      </c>
      <c r="G29" s="15" t="n">
        <v>0.8081564455693153</v>
      </c>
      <c r="H29" s="15" t="n">
        <v>4.730640130363316</v>
      </c>
      <c r="I29" s="19" t="n">
        <v>1</v>
      </c>
      <c r="J29" s="19" t="n">
        <v>0</v>
      </c>
      <c r="K29" s="19" t="n">
        <v>0</v>
      </c>
      <c r="L29" s="19" t="n">
        <v>0.7744635144341054</v>
      </c>
      <c r="M29" s="19" t="n">
        <v>0.2255364855658945</v>
      </c>
      <c r="N29" s="19" t="n">
        <v>0</v>
      </c>
      <c r="O29" s="15" t="n">
        <v>1.809281319114791</v>
      </c>
      <c r="P29" s="15" t="n">
        <v>0.3046256364184697</v>
      </c>
      <c r="Q29" s="15" t="n">
        <v>0.04347653196700643</v>
      </c>
      <c r="R29" s="15" t="n">
        <v>2.157383487500267</v>
      </c>
      <c r="S29" s="15" t="n">
        <v>69.37178841306952</v>
      </c>
      <c r="T29" s="15" t="n">
        <v>7.259629779954798</v>
      </c>
      <c r="U29" s="15" t="n">
        <v>1.357298184816235</v>
      </c>
      <c r="V29" s="15" t="n">
        <v>192.0797937533328</v>
      </c>
      <c r="W29" s="15" t="n">
        <v>0.5371646638172802</v>
      </c>
      <c r="X29" t="inlineStr">
        <is>
          <t>IOWA_flt_mf.D6_SustainStable/D6/component_amplitude_mass_pie.png</t>
        </is>
      </c>
      <c r="Y29" t="inlineStr">
        <is>
          <t>IOWA_flt_mf.D6_SustainStable/D6/component_energy_ratio_pie.png</t>
        </is>
      </c>
      <c r="Z29" s="19" t="n">
        <v>1</v>
      </c>
      <c r="AA29" s="19" t="n">
        <v>1</v>
      </c>
      <c r="AB29" s="15" t="n">
        <v>2.157383487500267</v>
      </c>
      <c r="AC29" s="15" t="n">
        <v>0</v>
      </c>
      <c r="AD29" s="15" t="n">
        <v>4.730640130363316</v>
      </c>
      <c r="AE29" s="15" t="n">
        <v>0</v>
      </c>
      <c r="AF29" t="inlineStr">
        <is>
          <t>passed</t>
        </is>
      </c>
    </row>
    <row r="30">
      <c r="A30" t="inlineStr">
        <is>
          <t>D#6</t>
        </is>
      </c>
      <c r="B30" t="n">
        <v>87</v>
      </c>
      <c r="C30" t="inlineStr">
        <is>
          <t>Very high</t>
        </is>
      </c>
      <c r="D30" t="inlineStr">
        <is>
          <t>mf</t>
        </is>
      </c>
      <c r="E30" s="15" t="n">
        <v>2.412209375212666</v>
      </c>
      <c r="F30" s="15" t="n">
        <v>1.542342428929393</v>
      </c>
      <c r="G30" s="15" t="n">
        <v>0.7939930941505922</v>
      </c>
      <c r="H30" s="15" t="n">
        <v>4.748544898292652</v>
      </c>
      <c r="I30" s="19" t="n">
        <v>1</v>
      </c>
      <c r="J30" s="19" t="n">
        <v>0</v>
      </c>
      <c r="K30" s="19" t="n">
        <v>0</v>
      </c>
      <c r="L30" s="19" t="n">
        <v>0.7462388168255625</v>
      </c>
      <c r="M30" s="19" t="n">
        <v>0.2537611831744375</v>
      </c>
      <c r="N30" s="19" t="n">
        <v>0</v>
      </c>
      <c r="O30" s="15" t="n">
        <v>1.78515876045367</v>
      </c>
      <c r="P30" s="15" t="n">
        <v>0.3179561982752084</v>
      </c>
      <c r="Q30" s="15" t="n">
        <v>0.04271458370303845</v>
      </c>
      <c r="R30" s="15" t="n">
        <v>2.145829542431917</v>
      </c>
      <c r="S30" s="15" t="n">
        <v>64.33763523422226</v>
      </c>
      <c r="T30" s="15" t="n">
        <v>8.465301936868697</v>
      </c>
      <c r="U30" s="15" t="n">
        <v>1.305725974651593</v>
      </c>
      <c r="V30" s="15" t="n">
        <v>163.9749188526918</v>
      </c>
      <c r="W30" s="15" t="n">
        <v>0.5330356718828465</v>
      </c>
      <c r="X30" t="inlineStr">
        <is>
          <t>IOWA_flt_mf.D#6_SustainStable/D#6/component_amplitude_mass_pie.png</t>
        </is>
      </c>
      <c r="Y30" t="inlineStr">
        <is>
          <t>IOWA_flt_mf.D#6_SustainStable/D#6/component_energy_ratio_pie.png</t>
        </is>
      </c>
      <c r="Z30" s="19" t="n">
        <v>1</v>
      </c>
      <c r="AA30" s="19" t="n">
        <v>1</v>
      </c>
      <c r="AB30" s="15" t="n">
        <v>2.145829542431917</v>
      </c>
      <c r="AC30" s="15" t="n">
        <v>4.440892098500626e-16</v>
      </c>
      <c r="AD30" s="15" t="n">
        <v>4.748544898292652</v>
      </c>
      <c r="AE30" s="15" t="n">
        <v>0</v>
      </c>
      <c r="AF30" t="inlineStr">
        <is>
          <t>passed</t>
        </is>
      </c>
    </row>
    <row r="31">
      <c r="A31" t="inlineStr">
        <is>
          <t>E6</t>
        </is>
      </c>
      <c r="B31" t="n">
        <v>88</v>
      </c>
      <c r="C31" t="inlineStr">
        <is>
          <t>Very high</t>
        </is>
      </c>
      <c r="D31" t="inlineStr">
        <is>
          <t>mf</t>
        </is>
      </c>
      <c r="E31" s="15" t="n">
        <v>2.39426204361413</v>
      </c>
      <c r="F31" s="15" t="n">
        <v>1.557576224490378</v>
      </c>
      <c r="G31" s="15" t="n">
        <v>0.6074598887343973</v>
      </c>
      <c r="H31" s="15" t="n">
        <v>4.559298156838905</v>
      </c>
      <c r="I31" s="19" t="n">
        <v>1</v>
      </c>
      <c r="J31" s="19" t="n">
        <v>0</v>
      </c>
      <c r="K31" s="19" t="n">
        <v>0</v>
      </c>
      <c r="L31" s="19" t="n">
        <v>0.7451823826652911</v>
      </c>
      <c r="M31" s="19" t="n">
        <v>0.2548176173347089</v>
      </c>
      <c r="N31" s="19" t="n">
        <v>0</v>
      </c>
      <c r="O31" s="15" t="n">
        <v>1.771876813803799</v>
      </c>
      <c r="P31" s="15" t="n">
        <v>0.3210966680120323</v>
      </c>
      <c r="Q31" s="15" t="n">
        <v>0.03267962461479866</v>
      </c>
      <c r="R31" s="15" t="n">
        <v>2.12565310643063</v>
      </c>
      <c r="S31" s="15" t="n">
        <v>61.72293324916421</v>
      </c>
      <c r="T31" s="15" t="n">
        <v>8.77643446061793</v>
      </c>
      <c r="U31" s="15" t="n">
        <v>0.7625113433776535</v>
      </c>
      <c r="V31" s="15" t="n">
        <v>174.8221550355792</v>
      </c>
      <c r="W31" s="15" t="n">
        <v>0.530745367652421</v>
      </c>
      <c r="X31" t="inlineStr">
        <is>
          <t>IOWA_flt_mf.E6_SustainStable/E6/component_amplitude_mass_pie.png</t>
        </is>
      </c>
      <c r="Y31" t="inlineStr">
        <is>
          <t>IOWA_flt_mf.E6_SustainStable/E6/component_energy_ratio_pie.png</t>
        </is>
      </c>
      <c r="Z31" s="19" t="n">
        <v>1</v>
      </c>
      <c r="AA31" s="19" t="n">
        <v>1</v>
      </c>
      <c r="AB31" s="15" t="n">
        <v>2.12565310643063</v>
      </c>
      <c r="AC31" s="15" t="n">
        <v>0</v>
      </c>
      <c r="AD31" s="15" t="n">
        <v>4.559298156838905</v>
      </c>
      <c r="AE31" s="15" t="n">
        <v>-8.881784197001252e-16</v>
      </c>
      <c r="AF31" t="inlineStr">
        <is>
          <t>passed</t>
        </is>
      </c>
    </row>
    <row r="32">
      <c r="A32" t="inlineStr">
        <is>
          <t>F6</t>
        </is>
      </c>
      <c r="B32" t="n">
        <v>89</v>
      </c>
      <c r="C32" t="inlineStr">
        <is>
          <t>Very high</t>
        </is>
      </c>
      <c r="D32" t="inlineStr">
        <is>
          <t>mf</t>
        </is>
      </c>
      <c r="E32" s="15" t="n">
        <v>2.355089455314495</v>
      </c>
      <c r="F32" s="15" t="n">
        <v>1.975094734271931</v>
      </c>
      <c r="G32" s="15" t="n">
        <v>0.5328100334583501</v>
      </c>
      <c r="H32" s="15" t="n">
        <v>4.862994223044776</v>
      </c>
      <c r="I32" s="19" t="n">
        <v>0.9995120537770725</v>
      </c>
      <c r="J32" s="19" t="n">
        <v>0.0004879462229274562</v>
      </c>
      <c r="K32" s="19" t="n">
        <v>0</v>
      </c>
      <c r="L32" s="19" t="n">
        <v>0.7644754527125087</v>
      </c>
      <c r="M32" s="19" t="n">
        <v>0.2355245472874912</v>
      </c>
      <c r="N32" s="19" t="n">
        <v>0</v>
      </c>
      <c r="O32" s="15" t="n">
        <v>1.742887087666708</v>
      </c>
      <c r="P32" s="15" t="n">
        <v>0.4071687331965597</v>
      </c>
      <c r="Q32" s="15" t="n">
        <v>0.02866367344960672</v>
      </c>
      <c r="R32" s="15" t="n">
        <v>2.178719494312875</v>
      </c>
      <c r="S32" s="15" t="n">
        <v>28.18888529519204</v>
      </c>
      <c r="T32" s="15" t="n">
        <v>11.67833537826154</v>
      </c>
      <c r="U32" s="15" t="n">
        <v>0.3013046270725187</v>
      </c>
      <c r="V32" s="15" t="n">
        <v>43.71327504216718</v>
      </c>
      <c r="W32" s="15" t="n">
        <v>0.5256801023823044</v>
      </c>
      <c r="X32" t="inlineStr">
        <is>
          <t>IOWA_flt_mf.F6_SustainStable/F6/component_amplitude_mass_pie.png</t>
        </is>
      </c>
      <c r="Y32" t="inlineStr">
        <is>
          <t>IOWA_flt_mf.F6_SustainStable/F6/component_energy_ratio_pie.png</t>
        </is>
      </c>
      <c r="Z32" s="19" t="n">
        <v>1</v>
      </c>
      <c r="AA32" s="19" t="n">
        <v>0.9999999999999999</v>
      </c>
      <c r="AB32" s="15" t="n">
        <v>2.178719494312874</v>
      </c>
      <c r="AC32" s="15" t="n">
        <v>8.881784197001252e-16</v>
      </c>
      <c r="AD32" s="15" t="n">
        <v>4.862994223044776</v>
      </c>
      <c r="AE32" s="15" t="n">
        <v>0</v>
      </c>
      <c r="AF32" t="inlineStr">
        <is>
          <t>passed</t>
        </is>
      </c>
    </row>
    <row r="33">
      <c r="A33" t="inlineStr">
        <is>
          <t>F#6</t>
        </is>
      </c>
      <c r="B33" t="n">
        <v>90</v>
      </c>
      <c r="C33" t="inlineStr">
        <is>
          <t>Very high</t>
        </is>
      </c>
      <c r="D33" t="inlineStr">
        <is>
          <t>mf</t>
        </is>
      </c>
      <c r="E33" s="15" t="n">
        <v>2.39559473361786</v>
      </c>
      <c r="F33" s="15" t="n">
        <v>1.983560857100674</v>
      </c>
      <c r="G33" s="15" t="n">
        <v>0.6094234837574133</v>
      </c>
      <c r="H33" s="15" t="n">
        <v>4.988579074475948</v>
      </c>
      <c r="I33" s="19" t="n">
        <v>1</v>
      </c>
      <c r="J33" s="19" t="n">
        <v>0</v>
      </c>
      <c r="K33" s="19" t="n">
        <v>0</v>
      </c>
      <c r="L33" s="19" t="n">
        <v>0.7578042375477519</v>
      </c>
      <c r="M33" s="19" t="n">
        <v>0.2421957624522479</v>
      </c>
      <c r="N33" s="19" t="n">
        <v>0</v>
      </c>
      <c r="O33" s="15" t="n">
        <v>1.772863072815797</v>
      </c>
      <c r="P33" s="15" t="n">
        <v>0.4089140370786728</v>
      </c>
      <c r="Q33" s="15" t="n">
        <v>0.0327852604755982</v>
      </c>
      <c r="R33" s="15" t="n">
        <v>2.214562370370067</v>
      </c>
      <c r="S33" s="15" t="n">
        <v>30.95669873327785</v>
      </c>
      <c r="T33" s="15" t="n">
        <v>11.91068658855277</v>
      </c>
      <c r="U33" s="15" t="n">
        <v>0.3835498104385388</v>
      </c>
      <c r="V33" s="15" t="n">
        <v>49.36528291813028</v>
      </c>
      <c r="W33" s="15" t="n">
        <v>0.5309158513433526</v>
      </c>
      <c r="X33" t="inlineStr">
        <is>
          <t>IOWA_flt_mf.F#6_SustainStable/F#6/component_amplitude_mass_pie.png</t>
        </is>
      </c>
      <c r="Y33" t="inlineStr">
        <is>
          <t>IOWA_flt_mf.F#6_SustainStable/F#6/component_energy_ratio_pie.png</t>
        </is>
      </c>
      <c r="Z33" s="19" t="n">
        <v>1</v>
      </c>
      <c r="AA33" s="19" t="n">
        <v>0.9999999999999999</v>
      </c>
      <c r="AB33" s="15" t="n">
        <v>2.214562370370068</v>
      </c>
      <c r="AC33" s="15" t="n">
        <v>-8.881784197001252e-16</v>
      </c>
      <c r="AD33" s="15" t="n">
        <v>4.988579074475947</v>
      </c>
      <c r="AE33" s="15" t="n">
        <v>8.881784197001252e-16</v>
      </c>
      <c r="AF33" t="inlineStr">
        <is>
          <t>passed</t>
        </is>
      </c>
    </row>
    <row r="34">
      <c r="A34" t="inlineStr">
        <is>
          <t>G6</t>
        </is>
      </c>
      <c r="B34" t="n">
        <v>91</v>
      </c>
      <c r="C34" t="inlineStr">
        <is>
          <t>Very high</t>
        </is>
      </c>
      <c r="D34" t="inlineStr">
        <is>
          <t>mf</t>
        </is>
      </c>
      <c r="E34" s="15" t="n">
        <v>2.514144989963434</v>
      </c>
      <c r="F34" s="15" t="n">
        <v>1.870862524108638</v>
      </c>
      <c r="G34" s="15" t="n">
        <v>0.9919881742052187</v>
      </c>
      <c r="H34" s="15" t="n">
        <v>5.376995688277291</v>
      </c>
      <c r="I34" s="19" t="n">
        <v>1</v>
      </c>
      <c r="J34" s="19" t="n">
        <v>0</v>
      </c>
      <c r="K34" s="19" t="n">
        <v>0</v>
      </c>
      <c r="L34" s="19" t="n">
        <v>0.7691090235613852</v>
      </c>
      <c r="M34" s="19" t="n">
        <v>0.2308909764386148</v>
      </c>
      <c r="N34" s="19" t="n">
        <v>0</v>
      </c>
      <c r="O34" s="15" t="n">
        <v>1.860596347897141</v>
      </c>
      <c r="P34" s="15" t="n">
        <v>0.3856811071935924</v>
      </c>
      <c r="Q34" s="15" t="n">
        <v>0.05336615924203061</v>
      </c>
      <c r="R34" s="15" t="n">
        <v>2.299643614332764</v>
      </c>
      <c r="S34" s="15" t="n">
        <v>40.71211028585813</v>
      </c>
      <c r="T34" s="15" t="n">
        <v>9.159799655717032</v>
      </c>
      <c r="U34" s="15" t="n">
        <v>1.102151513108545</v>
      </c>
      <c r="V34" s="15" t="n">
        <v>71.62643126231141</v>
      </c>
      <c r="W34" s="15" t="n">
        <v>0.5458196760670818</v>
      </c>
      <c r="X34" t="inlineStr">
        <is>
          <t>IOWA_flt_mf.G6_SustainStable/G6/component_amplitude_mass_pie.png</t>
        </is>
      </c>
      <c r="Y34" t="inlineStr">
        <is>
          <t>IOWA_flt_mf.G6_SustainStable/G6/component_energy_ratio_pie.png</t>
        </is>
      </c>
      <c r="Z34" s="19" t="n">
        <v>1</v>
      </c>
      <c r="AA34" s="19" t="n">
        <v>1</v>
      </c>
      <c r="AB34" s="15" t="n">
        <v>2.299643614332764</v>
      </c>
      <c r="AC34" s="15" t="n">
        <v>0</v>
      </c>
      <c r="AD34" s="15" t="n">
        <v>5.37699568827729</v>
      </c>
      <c r="AE34" s="15" t="n">
        <v>8.881784197001252e-16</v>
      </c>
      <c r="AF34" t="inlineStr">
        <is>
          <t>passed</t>
        </is>
      </c>
    </row>
    <row r="35">
      <c r="A35" t="inlineStr">
        <is>
          <t>G#6</t>
        </is>
      </c>
      <c r="B35" t="n">
        <v>92</v>
      </c>
      <c r="C35" t="inlineStr">
        <is>
          <t>Very high</t>
        </is>
      </c>
      <c r="D35" t="inlineStr">
        <is>
          <t>mf</t>
        </is>
      </c>
      <c r="E35" s="15" t="n">
        <v>2.362124603718762</v>
      </c>
      <c r="F35" s="15" t="n">
        <v>1.802999852246027</v>
      </c>
      <c r="G35" s="15" t="n">
        <v>0.6048067462730075</v>
      </c>
      <c r="H35" s="15" t="n">
        <v>4.769931202237797</v>
      </c>
      <c r="I35" s="19" t="n">
        <v>1</v>
      </c>
      <c r="J35" s="19" t="n">
        <v>0</v>
      </c>
      <c r="K35" s="19" t="n">
        <v>0</v>
      </c>
      <c r="L35" s="19" t="n">
        <v>0.767370809518361</v>
      </c>
      <c r="M35" s="19" t="n">
        <v>0.2326291904816389</v>
      </c>
      <c r="N35" s="19" t="n">
        <v>0</v>
      </c>
      <c r="O35" s="15" t="n">
        <v>1.748093458611959</v>
      </c>
      <c r="P35" s="15" t="n">
        <v>0.3716911159014437</v>
      </c>
      <c r="Q35" s="15" t="n">
        <v>0.03253689305129009</v>
      </c>
      <c r="R35" s="15" t="n">
        <v>2.152321467564693</v>
      </c>
      <c r="S35" s="15" t="n">
        <v>28.65127775431755</v>
      </c>
      <c r="T35" s="15" t="n">
        <v>7.816633946274648</v>
      </c>
      <c r="U35" s="15" t="n">
        <v>0.3781723398695948</v>
      </c>
      <c r="V35" s="15" t="n">
        <v>54.33269892670851</v>
      </c>
      <c r="W35" s="15" t="n">
        <v>0.5266138047919405</v>
      </c>
      <c r="X35" t="inlineStr">
        <is>
          <t>IOWA_flt_mf.G#6_SustainStable/G#6/component_amplitude_mass_pie.png</t>
        </is>
      </c>
      <c r="Y35" t="inlineStr">
        <is>
          <t>IOWA_flt_mf.G#6_SustainStable/G#6/component_energy_ratio_pie.png</t>
        </is>
      </c>
      <c r="Z35" s="19" t="n">
        <v>1</v>
      </c>
      <c r="AA35" s="19" t="n">
        <v>0.9999999999999999</v>
      </c>
      <c r="AB35" s="15" t="n">
        <v>2.152321467564693</v>
      </c>
      <c r="AC35" s="15" t="n">
        <v>0</v>
      </c>
      <c r="AD35" s="15" t="n">
        <v>4.769931202237797</v>
      </c>
      <c r="AE35" s="15" t="n">
        <v>0</v>
      </c>
      <c r="AF35" t="inlineStr">
        <is>
          <t>passed</t>
        </is>
      </c>
    </row>
    <row r="36">
      <c r="A36" t="inlineStr">
        <is>
          <t>A6</t>
        </is>
      </c>
      <c r="B36" t="n">
        <v>93</v>
      </c>
      <c r="C36" t="inlineStr">
        <is>
          <t>Very high</t>
        </is>
      </c>
      <c r="D36" t="inlineStr">
        <is>
          <t>mf</t>
        </is>
      </c>
      <c r="E36" s="15" t="n">
        <v>2.400573124729923</v>
      </c>
      <c r="F36" s="15" t="n">
        <v>1.80724163859375</v>
      </c>
      <c r="G36" s="15" t="n">
        <v>0.7525530395066802</v>
      </c>
      <c r="H36" s="15" t="n">
        <v>4.960367802830354</v>
      </c>
      <c r="I36" s="19" t="n">
        <v>1</v>
      </c>
      <c r="J36" s="19" t="n">
        <v>0</v>
      </c>
      <c r="K36" s="19" t="n">
        <v>0</v>
      </c>
      <c r="L36" s="19" t="n">
        <v>0.7604118015736341</v>
      </c>
      <c r="M36" s="19" t="n">
        <v>0.2395881984263659</v>
      </c>
      <c r="N36" s="19" t="n">
        <v>0</v>
      </c>
      <c r="O36" s="15" t="n">
        <v>1.776547337787978</v>
      </c>
      <c r="P36" s="15" t="n">
        <v>0.3725655665005586</v>
      </c>
      <c r="Q36" s="15" t="n">
        <v>0.04048522592173496</v>
      </c>
      <c r="R36" s="15" t="n">
        <v>2.189598130210272</v>
      </c>
      <c r="S36" s="15" t="n">
        <v>31.31504346282485</v>
      </c>
      <c r="T36" s="15" t="n">
        <v>7.894580508076155</v>
      </c>
      <c r="U36" s="15" t="n">
        <v>0.5820710442451159</v>
      </c>
      <c r="V36" s="15" t="n">
        <v>60.12476857577566</v>
      </c>
      <c r="W36" s="15" t="n">
        <v>0.5315521181985906</v>
      </c>
      <c r="X36" t="inlineStr">
        <is>
          <t>IOWA_flt_mf.A6_SustainStable/A6/component_amplitude_mass_pie.png</t>
        </is>
      </c>
      <c r="Y36" t="inlineStr">
        <is>
          <t>IOWA_flt_mf.A6_SustainStable/A6/component_energy_ratio_pie.png</t>
        </is>
      </c>
      <c r="Z36" s="19" t="n">
        <v>1</v>
      </c>
      <c r="AA36" s="19" t="n">
        <v>1</v>
      </c>
      <c r="AB36" s="15" t="n">
        <v>2.189598130210272</v>
      </c>
      <c r="AC36" s="15" t="n">
        <v>4.440892098500626e-16</v>
      </c>
      <c r="AD36" s="15" t="n">
        <v>4.960367802830353</v>
      </c>
      <c r="AE36" s="15" t="n">
        <v>8.881784197001252e-16</v>
      </c>
      <c r="AF36" t="inlineStr">
        <is>
          <t>passed</t>
        </is>
      </c>
    </row>
    <row r="37">
      <c r="A37" t="inlineStr">
        <is>
          <t>A#6</t>
        </is>
      </c>
      <c r="B37" t="n">
        <v>94</v>
      </c>
      <c r="C37" t="inlineStr">
        <is>
          <t>Very high</t>
        </is>
      </c>
      <c r="D37" t="inlineStr">
        <is>
          <t>mf</t>
        </is>
      </c>
      <c r="E37" s="15" t="n">
        <v>2.382025725008166</v>
      </c>
      <c r="F37" s="15" t="n">
        <v>1.864777542664666</v>
      </c>
      <c r="G37" s="15" t="n">
        <v>0.7205172254543909</v>
      </c>
      <c r="H37" s="15" t="n">
        <v>4.967320493127223</v>
      </c>
      <c r="I37" s="19" t="n">
        <v>1</v>
      </c>
      <c r="J37" s="19" t="n">
        <v>0</v>
      </c>
      <c r="K37" s="19" t="n">
        <v>0</v>
      </c>
      <c r="L37" s="19" t="n">
        <v>0.7476265885653881</v>
      </c>
      <c r="M37" s="19" t="n">
        <v>0.2523734114346119</v>
      </c>
      <c r="N37" s="19" t="n">
        <v>0</v>
      </c>
      <c r="O37" s="15" t="n">
        <v>1.76282130992441</v>
      </c>
      <c r="P37" s="15" t="n">
        <v>0.3844266791689134</v>
      </c>
      <c r="Q37" s="15" t="n">
        <v>0.03876178969676956</v>
      </c>
      <c r="R37" s="15" t="n">
        <v>2.186009778790092</v>
      </c>
      <c r="S37" s="15" t="n">
        <v>30.00060226626989</v>
      </c>
      <c r="T37" s="15" t="n">
        <v>9.030615709865232</v>
      </c>
      <c r="U37" s="15" t="n">
        <v>0.5317910687240779</v>
      </c>
      <c r="V37" s="15" t="n">
        <v>61.70038619527899</v>
      </c>
      <c r="W37" s="15" t="n">
        <v>0.5291769066876848</v>
      </c>
      <c r="X37" t="inlineStr">
        <is>
          <t>IOWA_flt_mf.A#6_SustainStable/A#6/component_amplitude_mass_pie.png</t>
        </is>
      </c>
      <c r="Y37" t="inlineStr">
        <is>
          <t>IOWA_flt_mf.A#6_SustainStable/A#6/component_energy_ratio_pie.png</t>
        </is>
      </c>
      <c r="Z37" s="19" t="n">
        <v>1</v>
      </c>
      <c r="AA37" s="19" t="n">
        <v>1</v>
      </c>
      <c r="AB37" s="15" t="n">
        <v>2.186009778790093</v>
      </c>
      <c r="AC37" s="15" t="n">
        <v>-8.881784197001252e-16</v>
      </c>
      <c r="AD37" s="15" t="n">
        <v>4.967320493127223</v>
      </c>
      <c r="AE37" s="15" t="n">
        <v>-8.881784197001252e-16</v>
      </c>
      <c r="AF37" t="inlineStr">
        <is>
          <t>passed</t>
        </is>
      </c>
    </row>
    <row r="38">
      <c r="A38" t="inlineStr">
        <is>
          <t>B6</t>
        </is>
      </c>
      <c r="B38" t="n">
        <v>95</v>
      </c>
      <c r="C38" t="inlineStr">
        <is>
          <t>Very high</t>
        </is>
      </c>
      <c r="D38" t="inlineStr">
        <is>
          <t>mf</t>
        </is>
      </c>
      <c r="E38" s="15" t="n">
        <v>2.350049811804707</v>
      </c>
      <c r="F38" s="15" t="n">
        <v>1.559156095353522</v>
      </c>
      <c r="G38" s="15" t="n">
        <v>0.6267935310138721</v>
      </c>
      <c r="H38" s="15" t="n">
        <v>4.535999438172101</v>
      </c>
      <c r="I38" s="19" t="n">
        <v>1</v>
      </c>
      <c r="J38" s="19" t="n">
        <v>0</v>
      </c>
      <c r="K38" s="19" t="n">
        <v>0</v>
      </c>
      <c r="L38" s="19" t="n">
        <v>0.7614979793932836</v>
      </c>
      <c r="M38" s="19" t="n">
        <v>0.2385020206067164</v>
      </c>
      <c r="N38" s="19" t="n">
        <v>0</v>
      </c>
      <c r="O38" s="15" t="n">
        <v>1.739157492776021</v>
      </c>
      <c r="P38" s="15" t="n">
        <v>0.3214223607531441</v>
      </c>
      <c r="Q38" s="15" t="n">
        <v>0.0337197199097265</v>
      </c>
      <c r="R38" s="15" t="n">
        <v>2.094299573438892</v>
      </c>
      <c r="S38" s="15" t="n">
        <v>27.86222406840722</v>
      </c>
      <c r="T38" s="15" t="n">
        <v>4.404665252784592</v>
      </c>
      <c r="U38" s="15" t="n">
        <v>0.4043020109923663</v>
      </c>
      <c r="V38" s="15" t="n">
        <v>62.75269864962914</v>
      </c>
      <c r="W38" s="15" t="n">
        <v>0.5250512645983637</v>
      </c>
      <c r="X38" t="inlineStr">
        <is>
          <t>IOWA_flt_mf.B6_SustainStable/B6/component_amplitude_mass_pie.png</t>
        </is>
      </c>
      <c r="Y38" t="inlineStr">
        <is>
          <t>IOWA_flt_mf.B6_SustainStable/B6/component_energy_ratio_pie.png</t>
        </is>
      </c>
      <c r="Z38" s="19" t="n">
        <v>1</v>
      </c>
      <c r="AA38" s="19" t="n">
        <v>0.9999999999999999</v>
      </c>
      <c r="AB38" s="15" t="n">
        <v>2.094299573438892</v>
      </c>
      <c r="AC38" s="15" t="n">
        <v>0</v>
      </c>
      <c r="AD38" s="15" t="n">
        <v>4.535999438172101</v>
      </c>
      <c r="AE38" s="15" t="n">
        <v>0</v>
      </c>
      <c r="AF38" t="inlineStr">
        <is>
          <t>passed</t>
        </is>
      </c>
    </row>
    <row r="39">
      <c r="A39" t="inlineStr">
        <is>
          <t>C7</t>
        </is>
      </c>
      <c r="B39" t="n">
        <v>96</v>
      </c>
      <c r="C39" t="inlineStr">
        <is>
          <t>Very high</t>
        </is>
      </c>
      <c r="D39" t="inlineStr">
        <is>
          <t>mf</t>
        </is>
      </c>
      <c r="E39" s="15" t="n">
        <v>2.343105229648099</v>
      </c>
      <c r="F39" s="15" t="n">
        <v>1.447154080341847</v>
      </c>
      <c r="G39" s="15" t="n">
        <v>0.4264214314188562</v>
      </c>
      <c r="H39" s="15" t="n">
        <v>4.216680741408803</v>
      </c>
      <c r="I39" s="19" t="n">
        <v>1</v>
      </c>
      <c r="J39" s="19" t="n">
        <v>0</v>
      </c>
      <c r="K39" s="19" t="n">
        <v>0</v>
      </c>
      <c r="L39" s="19" t="n">
        <v>0.7683987969691508</v>
      </c>
      <c r="M39" s="19" t="n">
        <v>0.2316012030308491</v>
      </c>
      <c r="N39" s="19" t="n">
        <v>0</v>
      </c>
      <c r="O39" s="15" t="n">
        <v>1.734018145502957</v>
      </c>
      <c r="P39" s="15" t="n">
        <v>0.298332977861049</v>
      </c>
      <c r="Q39" s="15" t="n">
        <v>0.0229402674397261</v>
      </c>
      <c r="R39" s="15" t="n">
        <v>2.055291390803732</v>
      </c>
      <c r="S39" s="15" t="n">
        <v>27.41825371611849</v>
      </c>
      <c r="T39" s="15" t="n">
        <v>3.374968158843881</v>
      </c>
      <c r="U39" s="15" t="n">
        <v>0.2086809739238659</v>
      </c>
      <c r="V39" s="15" t="n">
        <v>70.62303893343321</v>
      </c>
      <c r="W39" s="15" t="n">
        <v>0.5241500469294645</v>
      </c>
      <c r="X39" t="inlineStr">
        <is>
          <t>IOWA_flt_mf.C7_SustainStable/C7/component_amplitude_mass_pie.png</t>
        </is>
      </c>
      <c r="Y39" t="inlineStr">
        <is>
          <t>IOWA_flt_mf.C7_SustainStable/C7/component_energy_ratio_pie.png</t>
        </is>
      </c>
      <c r="Z39" s="19" t="n">
        <v>1</v>
      </c>
      <c r="AA39" s="19" t="n">
        <v>1</v>
      </c>
      <c r="AB39" s="15" t="n">
        <v>2.055291390803732</v>
      </c>
      <c r="AC39" s="15" t="n">
        <v>0</v>
      </c>
      <c r="AD39" s="15" t="n">
        <v>4.216680741408803</v>
      </c>
      <c r="AE39" s="15" t="n">
        <v>0</v>
      </c>
      <c r="AF39" t="inlineStr">
        <is>
          <t>passed</t>
        </is>
      </c>
    </row>
  </sheetData>
  <autoFilter ref="A1:A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9" customWidth="1" min="5" max="5"/>
    <col width="32" customWidth="1" min="6" max="6"/>
    <col width="32" customWidth="1" min="7" max="7"/>
    <col width="17" customWidth="1" min="8" max="8"/>
    <col width="36" customWidth="1" min="9" max="9"/>
    <col width="23" customWidth="1" min="10" max="10"/>
    <col width="24" customWidth="1" min="11" max="11"/>
    <col width="32" customWidth="1" min="12" max="12"/>
    <col width="27" customWidth="1" min="13" max="13"/>
    <col width="35" customWidth="1" min="14" max="14"/>
    <col width="42" customWidth="1" min="15" max="15"/>
    <col width="35" customWidth="1" min="16" max="16"/>
    <col width="34" customWidth="1" min="17" max="17"/>
    <col width="30" customWidth="1" min="18" max="18"/>
    <col width="31" customWidth="1" min="19" max="19"/>
    <col width="30" customWidth="1" min="20" max="20"/>
    <col width="28" customWidth="1" min="21" max="21"/>
    <col width="27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f0_nominal_hz</t>
        </is>
      </c>
      <c r="E1" s="11" t="inlineStr">
        <is>
          <t>f0_final_hz</t>
        </is>
      </c>
      <c r="F1" s="11" t="inlineStr">
        <is>
          <t>f0_source</t>
        </is>
      </c>
      <c r="G1" s="11" t="inlineStr">
        <is>
          <t>f0_final_source</t>
        </is>
      </c>
      <c r="H1" s="11" t="inlineStr">
        <is>
          <t>f0_fit_accepted</t>
        </is>
      </c>
      <c r="I1" s="11" t="inlineStr">
        <is>
          <t>acoustic_f0_status</t>
        </is>
      </c>
      <c r="J1" s="11" t="inlineStr">
        <is>
          <t>f0_fit_quality</t>
        </is>
      </c>
      <c r="K1" s="11" t="inlineStr">
        <is>
          <t>f0_fit_residual_std_hz</t>
        </is>
      </c>
      <c r="L1" s="11" t="inlineStr">
        <is>
          <t>f0_detuning_cents_from_nominal</t>
        </is>
      </c>
      <c r="M1" s="11" t="inlineStr">
        <is>
          <t>harmonic_alignment_status</t>
        </is>
      </c>
      <c r="N1" s="11" t="inlineStr">
        <is>
          <t>harmonic_alignment_coverage_ratio</t>
        </is>
      </c>
      <c r="O1" s="11" t="inlineStr">
        <is>
          <t>harmonic_alignment_energy_coverage_ratio</t>
        </is>
      </c>
      <c r="P1" s="11" t="inlineStr">
        <is>
          <t>mean_abs_harmonic_deviation_cents</t>
        </is>
      </c>
      <c r="Q1" s="11" t="inlineStr">
        <is>
          <t>max_abs_harmonic_deviation_cents</t>
        </is>
      </c>
      <c r="R1" s="11" t="inlineStr">
        <is>
          <t>rms_harmonic_deviation_cents</t>
        </is>
      </c>
      <c r="S1" s="11" t="inlineStr">
        <is>
          <t>debug_counts_invariant_status</t>
        </is>
      </c>
      <c r="T1" s="11" t="inlineStr">
        <is>
          <t>arithmetic_validation_status</t>
        </is>
      </c>
      <c r="U1" s="11" t="inlineStr">
        <is>
          <t>acoustic_validation_status</t>
        </is>
      </c>
      <c r="V1" s="11" t="inlineStr">
        <is>
          <t>validation_summary_status</t>
        </is>
      </c>
    </row>
    <row r="2">
      <c r="A2" t="inlineStr">
        <is>
          <t>B3</t>
        </is>
      </c>
      <c r="B2" t="n">
        <v>59</v>
      </c>
      <c r="C2" t="inlineStr">
        <is>
          <t>Middle</t>
        </is>
      </c>
      <c r="D2" s="15" t="n">
        <v>246.941650628062</v>
      </c>
      <c r="E2" s="15" t="n">
        <v>247.1740794879363</v>
      </c>
      <c r="F2" t="inlineStr">
        <is>
          <t>prior_constrained_harmonic_fit</t>
        </is>
      </c>
      <c r="G2" t="inlineStr">
        <is>
          <t>prior_constrained_harmonic_fit</t>
        </is>
      </c>
      <c r="H2" t="n">
        <v>1</v>
      </c>
      <c r="I2" t="inlineStr">
        <is>
          <t>fit_accepted_acoustically_verified</t>
        </is>
      </c>
      <c r="J2" t="n">
        <v>0.001952216932544283</v>
      </c>
      <c r="K2" s="15" t="n">
        <v>0.4825374232623958</v>
      </c>
      <c r="L2" s="15" t="n">
        <v>1.628722832946228</v>
      </c>
      <c r="M2" t="inlineStr">
        <is>
          <t>excellent</t>
        </is>
      </c>
      <c r="N2" s="19" t="n">
        <v>0.9</v>
      </c>
      <c r="O2" s="19" t="n">
        <v>0.0819206624542399</v>
      </c>
      <c r="P2" s="15" t="n">
        <v>3.397826686744148</v>
      </c>
      <c r="Q2" s="15" t="n">
        <v>15.70314973897821</v>
      </c>
      <c r="R2" s="15" t="n">
        <v>5.720320947098354</v>
      </c>
      <c r="S2" t="inlineStr">
        <is>
          <t>passed</t>
        </is>
      </c>
      <c r="T2" t="inlineStr">
        <is>
          <t>passed</t>
        </is>
      </c>
      <c r="U2" t="inlineStr">
        <is>
          <t>passed</t>
        </is>
      </c>
      <c r="V2" t="inlineStr">
        <is>
          <t>passed</t>
        </is>
      </c>
    </row>
    <row r="3">
      <c r="A3" t="inlineStr">
        <is>
          <t>C4</t>
        </is>
      </c>
      <c r="B3" t="n">
        <v>60</v>
      </c>
      <c r="C3" t="inlineStr">
        <is>
          <t>High</t>
        </is>
      </c>
      <c r="D3" s="15" t="n">
        <v>261.6255653005986</v>
      </c>
      <c r="E3" s="15" t="n">
        <v>261.4995198685824</v>
      </c>
      <c r="F3" t="inlineStr">
        <is>
          <t>prior_constrained_harmonic_fit</t>
        </is>
      </c>
      <c r="G3" t="inlineStr">
        <is>
          <t>prior_constrained_harmonic_fit</t>
        </is>
      </c>
      <c r="H3" t="n">
        <v>1</v>
      </c>
      <c r="I3" t="inlineStr">
        <is>
          <t>fit_accepted_acoustically_verified</t>
        </is>
      </c>
      <c r="J3" t="n">
        <v>0.001470180320264129</v>
      </c>
      <c r="K3" s="15" t="n">
        <v>0.3844514478693082</v>
      </c>
      <c r="L3" s="15" t="n">
        <v>-0.8342713972058434</v>
      </c>
      <c r="M3" t="inlineStr">
        <is>
          <t>excellent</t>
        </is>
      </c>
      <c r="N3" s="19" t="n">
        <v>0.868421052631579</v>
      </c>
      <c r="O3" s="19" t="n">
        <v>0.09098475079235319</v>
      </c>
      <c r="P3" s="15" t="n">
        <v>1.228998182443001</v>
      </c>
      <c r="Q3" s="15" t="n">
        <v>11.82875026950063</v>
      </c>
      <c r="R3" s="15" t="n">
        <v>2.704365868204962</v>
      </c>
      <c r="S3" t="inlineStr">
        <is>
          <t>passed</t>
        </is>
      </c>
      <c r="T3" t="inlineStr">
        <is>
          <t>passed</t>
        </is>
      </c>
      <c r="U3" t="inlineStr">
        <is>
          <t>passed</t>
        </is>
      </c>
      <c r="V3" t="inlineStr">
        <is>
          <t>passed</t>
        </is>
      </c>
    </row>
    <row r="4">
      <c r="A4" t="inlineStr">
        <is>
          <t>C#4</t>
        </is>
      </c>
      <c r="B4" t="n">
        <v>61</v>
      </c>
      <c r="C4" t="inlineStr">
        <is>
          <t>High</t>
        </is>
      </c>
      <c r="D4" s="15" t="n">
        <v>277.182630976872</v>
      </c>
      <c r="E4" s="15" t="n">
        <v>276.8911355062369</v>
      </c>
      <c r="F4" t="inlineStr">
        <is>
          <t>prior_constrained_harmonic_fit</t>
        </is>
      </c>
      <c r="G4" t="inlineStr">
        <is>
          <t>prior_constrained_harmonic_fit</t>
        </is>
      </c>
      <c r="H4" t="n">
        <v>1</v>
      </c>
      <c r="I4" t="inlineStr">
        <is>
          <t>fit_accepted_acoustically_verified</t>
        </is>
      </c>
      <c r="J4" t="n">
        <v>0.001281577492062032</v>
      </c>
      <c r="K4" s="15" t="n">
        <v>0.3548574470162915</v>
      </c>
      <c r="L4" s="15" t="n">
        <v>-1.821587524973183</v>
      </c>
      <c r="M4" t="inlineStr">
        <is>
          <t>excellent</t>
        </is>
      </c>
      <c r="N4" s="19" t="n">
        <v>0.8888888888888888</v>
      </c>
      <c r="O4" s="19" t="n">
        <v>0.08526971179234832</v>
      </c>
      <c r="P4" s="15" t="n">
        <v>3.055967003037989</v>
      </c>
      <c r="Q4" s="15" t="n">
        <v>15.2036596148959</v>
      </c>
      <c r="R4" s="15" t="n">
        <v>4.993717087901357</v>
      </c>
      <c r="S4" t="inlineStr">
        <is>
          <t>passed</t>
        </is>
      </c>
      <c r="T4" t="inlineStr">
        <is>
          <t>passed</t>
        </is>
      </c>
      <c r="U4" t="inlineStr">
        <is>
          <t>passed</t>
        </is>
      </c>
      <c r="V4" t="inlineStr">
        <is>
          <t>passed</t>
        </is>
      </c>
    </row>
    <row r="5">
      <c r="A5" t="inlineStr">
        <is>
          <t>D4</t>
        </is>
      </c>
      <c r="B5" t="n">
        <v>62</v>
      </c>
      <c r="C5" t="inlineStr">
        <is>
          <t>High</t>
        </is>
      </c>
      <c r="D5" s="15" t="n">
        <v>293.6647679174076</v>
      </c>
      <c r="E5" s="15" t="n">
        <v>293.7448969307372</v>
      </c>
      <c r="F5" t="inlineStr">
        <is>
          <t>prior_constrained_harmonic_fit</t>
        </is>
      </c>
      <c r="G5" t="inlineStr">
        <is>
          <t>prior_constrained_harmonic_fit</t>
        </is>
      </c>
      <c r="H5" t="n">
        <v>1</v>
      </c>
      <c r="I5" t="inlineStr">
        <is>
          <t>fit_accepted_acoustically_verified</t>
        </is>
      </c>
      <c r="J5" t="n">
        <v>0.000952425446967702</v>
      </c>
      <c r="K5" s="15" t="n">
        <v>0.279770114753739</v>
      </c>
      <c r="L5" s="15" t="n">
        <v>0.4723179932379959</v>
      </c>
      <c r="M5" t="inlineStr">
        <is>
          <t>excellent</t>
        </is>
      </c>
      <c r="N5" s="19" t="n">
        <v>0.8970588235294118</v>
      </c>
      <c r="O5" s="19" t="n">
        <v>0.1008351684703638</v>
      </c>
      <c r="P5" s="15" t="n">
        <v>2.903977335329525</v>
      </c>
      <c r="Q5" s="15" t="n">
        <v>17.6470828448891</v>
      </c>
      <c r="R5" s="15" t="n">
        <v>4.924200195886494</v>
      </c>
      <c r="S5" t="inlineStr">
        <is>
          <t>passed</t>
        </is>
      </c>
      <c r="T5" t="inlineStr">
        <is>
          <t>passed</t>
        </is>
      </c>
      <c r="U5" t="inlineStr">
        <is>
          <t>passed</t>
        </is>
      </c>
      <c r="V5" t="inlineStr">
        <is>
          <t>passed</t>
        </is>
      </c>
    </row>
    <row r="6">
      <c r="A6" t="inlineStr">
        <is>
          <t>D#4</t>
        </is>
      </c>
      <c r="B6" t="n">
        <v>63</v>
      </c>
      <c r="C6" t="inlineStr">
        <is>
          <t>High</t>
        </is>
      </c>
      <c r="D6" s="15" t="n">
        <v>311.1269837220809</v>
      </c>
      <c r="E6" s="15" t="n">
        <v>311.6134148141428</v>
      </c>
      <c r="F6" t="inlineStr">
        <is>
          <t>prior_constrained_harmonic_fit</t>
        </is>
      </c>
      <c r="G6" t="inlineStr">
        <is>
          <t>prior_constrained_harmonic_fit</t>
        </is>
      </c>
      <c r="H6" t="n">
        <v>1</v>
      </c>
      <c r="I6" t="inlineStr">
        <is>
          <t>fit_accepted_acoustically_verified</t>
        </is>
      </c>
      <c r="J6" t="n">
        <v>0.0006914916134918378</v>
      </c>
      <c r="K6" s="15" t="n">
        <v>0.2154780629955329</v>
      </c>
      <c r="L6" s="15" t="n">
        <v>2.704582013156854</v>
      </c>
      <c r="M6" t="inlineStr">
        <is>
          <t>excellent</t>
        </is>
      </c>
      <c r="N6" s="19" t="n">
        <v>0.890625</v>
      </c>
      <c r="O6" s="19" t="n">
        <v>0.1089191642230659</v>
      </c>
      <c r="P6" s="15" t="n">
        <v>4.378995547034997</v>
      </c>
      <c r="Q6" s="15" t="n">
        <v>15.32658374748442</v>
      </c>
      <c r="R6" s="15" t="n">
        <v>6.015163285422017</v>
      </c>
      <c r="S6" t="inlineStr">
        <is>
          <t>passed</t>
        </is>
      </c>
      <c r="T6" t="inlineStr">
        <is>
          <t>passed</t>
        </is>
      </c>
      <c r="U6" t="inlineStr">
        <is>
          <t>passed</t>
        </is>
      </c>
      <c r="V6" t="inlineStr">
        <is>
          <t>passed</t>
        </is>
      </c>
    </row>
    <row r="7">
      <c r="A7" t="inlineStr">
        <is>
          <t>E4</t>
        </is>
      </c>
      <c r="B7" t="n">
        <v>64</v>
      </c>
      <c r="C7" t="inlineStr">
        <is>
          <t>High</t>
        </is>
      </c>
      <c r="D7" s="15" t="n">
        <v>329.6275569128699</v>
      </c>
      <c r="E7" s="15" t="n">
        <v>330.5511746536122</v>
      </c>
      <c r="F7" t="inlineStr">
        <is>
          <t>prior_constrained_harmonic_fit</t>
        </is>
      </c>
      <c r="G7" t="inlineStr">
        <is>
          <t>prior_constrained_harmonic_fit</t>
        </is>
      </c>
      <c r="H7" t="n">
        <v>1</v>
      </c>
      <c r="I7" t="inlineStr">
        <is>
          <t>fit_accepted_acoustically_verified</t>
        </is>
      </c>
      <c r="J7" t="n">
        <v>0.001623315540676905</v>
      </c>
      <c r="K7" s="15" t="n">
        <v>0.5365888588042146</v>
      </c>
      <c r="L7" s="15" t="n">
        <v>4.844141284442978</v>
      </c>
      <c r="M7" t="inlineStr">
        <is>
          <t>excellent</t>
        </is>
      </c>
      <c r="N7" s="19" t="n">
        <v>0.9</v>
      </c>
      <c r="O7" s="19" t="n">
        <v>0.1129582053070207</v>
      </c>
      <c r="P7" s="15" t="n">
        <v>3.817717878040418</v>
      </c>
      <c r="Q7" s="15" t="n">
        <v>14.20868813438874</v>
      </c>
      <c r="R7" s="15" t="n">
        <v>5.544084581289535</v>
      </c>
      <c r="S7" t="inlineStr">
        <is>
          <t>passed</t>
        </is>
      </c>
      <c r="T7" t="inlineStr">
        <is>
          <t>passed</t>
        </is>
      </c>
      <c r="U7" t="inlineStr">
        <is>
          <t>passed</t>
        </is>
      </c>
      <c r="V7" t="inlineStr">
        <is>
          <t>passed</t>
        </is>
      </c>
    </row>
    <row r="8">
      <c r="A8" t="inlineStr">
        <is>
          <t>F4</t>
        </is>
      </c>
      <c r="B8" t="n">
        <v>65</v>
      </c>
      <c r="C8" t="inlineStr">
        <is>
          <t>High</t>
        </is>
      </c>
      <c r="D8" s="15" t="n">
        <v>349.2282314330039</v>
      </c>
      <c r="E8" s="15" t="n">
        <v>348.8756311851721</v>
      </c>
      <c r="F8" t="inlineStr">
        <is>
          <t>prior_constrained_harmonic_fit</t>
        </is>
      </c>
      <c r="G8" t="inlineStr">
        <is>
          <t>prior_constrained_harmonic_fit</t>
        </is>
      </c>
      <c r="H8" t="n">
        <v>1</v>
      </c>
      <c r="I8" t="inlineStr">
        <is>
          <t>fit_accepted_acoustically_verified</t>
        </is>
      </c>
      <c r="J8" t="n">
        <v>0.0006253564312519115</v>
      </c>
      <c r="K8" s="15" t="n">
        <v>0.2181716196687173</v>
      </c>
      <c r="L8" s="15" t="n">
        <v>-1.748833201911999</v>
      </c>
      <c r="M8" t="inlineStr">
        <is>
          <t>excellent</t>
        </is>
      </c>
      <c r="N8" s="19" t="n">
        <v>0.8947368421052632</v>
      </c>
      <c r="O8" s="19" t="n">
        <v>0.1257380167352022</v>
      </c>
      <c r="P8" s="15" t="n">
        <v>4.114869822702071</v>
      </c>
      <c r="Q8" s="15" t="n">
        <v>13.98205763766601</v>
      </c>
      <c r="R8" s="15" t="n">
        <v>5.584884628412361</v>
      </c>
      <c r="S8" t="inlineStr">
        <is>
          <t>passed</t>
        </is>
      </c>
      <c r="T8" t="inlineStr">
        <is>
          <t>passed</t>
        </is>
      </c>
      <c r="U8" t="inlineStr">
        <is>
          <t>passed</t>
        </is>
      </c>
      <c r="V8" t="inlineStr">
        <is>
          <t>passed</t>
        </is>
      </c>
    </row>
    <row r="9">
      <c r="A9" t="inlineStr">
        <is>
          <t>F#4</t>
        </is>
      </c>
      <c r="B9" t="n">
        <v>66</v>
      </c>
      <c r="C9" t="inlineStr">
        <is>
          <t>High</t>
        </is>
      </c>
      <c r="D9" s="15" t="n">
        <v>369.9944227116344</v>
      </c>
      <c r="E9" s="15" t="n">
        <v>369.5706569799131</v>
      </c>
      <c r="F9" t="inlineStr">
        <is>
          <t>prior_constrained_harmonic_fit</t>
        </is>
      </c>
      <c r="G9" t="inlineStr">
        <is>
          <t>prior_constrained_harmonic_fit</t>
        </is>
      </c>
      <c r="H9" t="n">
        <v>1</v>
      </c>
      <c r="I9" t="inlineStr">
        <is>
          <t>fit_accepted_acoustically_verified</t>
        </is>
      </c>
      <c r="J9" t="n">
        <v>0.001238315207571616</v>
      </c>
      <c r="K9" s="15" t="n">
        <v>0.4576449648104596</v>
      </c>
      <c r="L9" s="15" t="n">
        <v>-1.983970752592285</v>
      </c>
      <c r="M9" t="inlineStr">
        <is>
          <t>excellent</t>
        </is>
      </c>
      <c r="N9" s="19" t="n">
        <v>0.8703703703703703</v>
      </c>
      <c r="O9" s="19" t="n">
        <v>0.1004177980261123</v>
      </c>
      <c r="P9" s="15" t="n">
        <v>2.535645845393609</v>
      </c>
      <c r="Q9" s="15" t="n">
        <v>7.630058853378373</v>
      </c>
      <c r="R9" s="15" t="n">
        <v>3.038084821118546</v>
      </c>
      <c r="S9" t="inlineStr">
        <is>
          <t>passed</t>
        </is>
      </c>
      <c r="T9" t="inlineStr">
        <is>
          <t>passed</t>
        </is>
      </c>
      <c r="U9" t="inlineStr">
        <is>
          <t>passed</t>
        </is>
      </c>
      <c r="V9" t="inlineStr">
        <is>
          <t>passed</t>
        </is>
      </c>
    </row>
    <row r="10">
      <c r="A10" t="inlineStr">
        <is>
          <t>G4</t>
        </is>
      </c>
      <c r="B10" t="n">
        <v>67</v>
      </c>
      <c r="C10" t="inlineStr">
        <is>
          <t>High</t>
        </is>
      </c>
      <c r="D10" s="15" t="n">
        <v>391.9954359817492</v>
      </c>
      <c r="E10" s="15" t="n">
        <v>392.3193885809195</v>
      </c>
      <c r="F10" t="inlineStr">
        <is>
          <t>prior_constrained_harmonic_fit</t>
        </is>
      </c>
      <c r="G10" t="inlineStr">
        <is>
          <t>prior_constrained_harmonic_fit</t>
        </is>
      </c>
      <c r="H10" t="n">
        <v>1</v>
      </c>
      <c r="I10" t="inlineStr">
        <is>
          <t>fit_accepted_acoustically_verified</t>
        </is>
      </c>
      <c r="J10" t="n">
        <v>0.001053802240062777</v>
      </c>
      <c r="K10" s="15" t="n">
        <v>0.4134270505066321</v>
      </c>
      <c r="L10" s="15" t="n">
        <v>1.430134390672228</v>
      </c>
      <c r="M10" t="inlineStr">
        <is>
          <t>excellent</t>
        </is>
      </c>
      <c r="N10" s="19" t="n">
        <v>0.88</v>
      </c>
      <c r="O10" s="19" t="n">
        <v>0.1373435201651587</v>
      </c>
      <c r="P10" s="15" t="n">
        <v>2.107508578234427</v>
      </c>
      <c r="Q10" s="15" t="n">
        <v>13.05100434196014</v>
      </c>
      <c r="R10" s="15" t="n">
        <v>3.880531237510122</v>
      </c>
      <c r="S10" t="inlineStr">
        <is>
          <t>passed</t>
        </is>
      </c>
      <c r="T10" t="inlineStr">
        <is>
          <t>passed</t>
        </is>
      </c>
      <c r="U10" t="inlineStr">
        <is>
          <t>passed</t>
        </is>
      </c>
      <c r="V10" t="inlineStr">
        <is>
          <t>passed</t>
        </is>
      </c>
    </row>
    <row r="11">
      <c r="A11" t="inlineStr">
        <is>
          <t>G#4</t>
        </is>
      </c>
      <c r="B11" t="n">
        <v>68</v>
      </c>
      <c r="C11" t="inlineStr">
        <is>
          <t>High</t>
        </is>
      </c>
      <c r="D11" s="15" t="n">
        <v>415.3046975799452</v>
      </c>
      <c r="E11" s="15" t="n">
        <v>415.7586891234178</v>
      </c>
      <c r="F11" t="inlineStr">
        <is>
          <t>prior_constrained_harmonic_fit</t>
        </is>
      </c>
      <c r="G11" t="inlineStr">
        <is>
          <t>prior_constrained_harmonic_fit</t>
        </is>
      </c>
      <c r="H11" t="n">
        <v>1</v>
      </c>
      <c r="I11" t="inlineStr">
        <is>
          <t>fit_accepted_acoustically_verified</t>
        </is>
      </c>
      <c r="J11" t="n">
        <v>0.0006862182474165617</v>
      </c>
      <c r="K11" s="15" t="n">
        <v>0.2853011989984789</v>
      </c>
      <c r="L11" s="15" t="n">
        <v>1.891469913861612</v>
      </c>
      <c r="M11" t="inlineStr">
        <is>
          <t>excellent</t>
        </is>
      </c>
      <c r="N11" s="19" t="n">
        <v>0.8958333333333334</v>
      </c>
      <c r="O11" s="19" t="n">
        <v>0.1280977042296021</v>
      </c>
      <c r="P11" s="15" t="n">
        <v>4.817761483596446</v>
      </c>
      <c r="Q11" s="15" t="n">
        <v>17.14877888993892</v>
      </c>
      <c r="R11" s="15" t="n">
        <v>7.257963047484948</v>
      </c>
      <c r="S11" t="inlineStr">
        <is>
          <t>passed</t>
        </is>
      </c>
      <c r="T11" t="inlineStr">
        <is>
          <t>passed</t>
        </is>
      </c>
      <c r="U11" t="inlineStr">
        <is>
          <t>passed</t>
        </is>
      </c>
      <c r="V11" t="inlineStr">
        <is>
          <t>passed</t>
        </is>
      </c>
    </row>
    <row r="12">
      <c r="A12" t="inlineStr">
        <is>
          <t>A4</t>
        </is>
      </c>
      <c r="B12" t="n">
        <v>69</v>
      </c>
      <c r="C12" t="inlineStr">
        <is>
          <t>High</t>
        </is>
      </c>
      <c r="D12" s="15" t="n">
        <v>439.9999999999999</v>
      </c>
      <c r="E12" s="15" t="n">
        <v>439.9204243307022</v>
      </c>
      <c r="F12" t="inlineStr">
        <is>
          <t>prior_constrained_harmonic_fit</t>
        </is>
      </c>
      <c r="G12" t="inlineStr">
        <is>
          <t>prior_constrained_harmonic_fit</t>
        </is>
      </c>
      <c r="H12" t="n">
        <v>1</v>
      </c>
      <c r="I12" t="inlineStr">
        <is>
          <t>fit_accepted_acoustically_verified</t>
        </is>
      </c>
      <c r="J12" t="n">
        <v>0.0008929723375557223</v>
      </c>
      <c r="K12" s="15" t="n">
        <v>0.3928367696530924</v>
      </c>
      <c r="L12" s="15" t="n">
        <v>-0.3131285619282324</v>
      </c>
      <c r="M12" t="inlineStr">
        <is>
          <t>excellent</t>
        </is>
      </c>
      <c r="N12" s="19" t="n">
        <v>0.8888888888888888</v>
      </c>
      <c r="O12" s="19" t="n">
        <v>0.1189406402410021</v>
      </c>
      <c r="P12" s="15" t="n">
        <v>2.362982407793022</v>
      </c>
      <c r="Q12" s="15" t="n">
        <v>15.30928180741913</v>
      </c>
      <c r="R12" s="15" t="n">
        <v>3.998067737594492</v>
      </c>
      <c r="S12" t="inlineStr">
        <is>
          <t>passed</t>
        </is>
      </c>
      <c r="T12" t="inlineStr">
        <is>
          <t>passed</t>
        </is>
      </c>
      <c r="U12" t="inlineStr">
        <is>
          <t>passed</t>
        </is>
      </c>
      <c r="V12" t="inlineStr">
        <is>
          <t>passed</t>
        </is>
      </c>
    </row>
    <row r="13">
      <c r="A13" t="inlineStr">
        <is>
          <t>A#4</t>
        </is>
      </c>
      <c r="B13" t="n">
        <v>70</v>
      </c>
      <c r="C13" t="inlineStr">
        <is>
          <t>High</t>
        </is>
      </c>
      <c r="D13" s="15" t="n">
        <v>466.1637615180898</v>
      </c>
      <c r="E13" s="15" t="n">
        <v>466.2034769104477</v>
      </c>
      <c r="F13" t="inlineStr">
        <is>
          <t>prior_constrained_harmonic_fit</t>
        </is>
      </c>
      <c r="G13" t="inlineStr">
        <is>
          <t>prior_constrained_harmonic_fit</t>
        </is>
      </c>
      <c r="H13" t="n">
        <v>1</v>
      </c>
      <c r="I13" t="inlineStr">
        <is>
          <t>fit_accepted_acoustically_verified</t>
        </is>
      </c>
      <c r="J13" t="n">
        <v>0.0006886880576349688</v>
      </c>
      <c r="K13" s="15" t="n">
        <v>0.3210687669761252</v>
      </c>
      <c r="L13" s="15" t="n">
        <v>0.1474883216176563</v>
      </c>
      <c r="M13" t="inlineStr">
        <is>
          <t>excellent</t>
        </is>
      </c>
      <c r="N13" s="19" t="n">
        <v>0.8809523809523809</v>
      </c>
      <c r="O13" s="19" t="n">
        <v>0.1632148035970574</v>
      </c>
      <c r="P13" s="15" t="n">
        <v>1.327262393315751</v>
      </c>
      <c r="Q13" s="15" t="n">
        <v>14.56269882703845</v>
      </c>
      <c r="R13" s="15" t="n">
        <v>2.996108833120305</v>
      </c>
      <c r="S13" t="inlineStr">
        <is>
          <t>passed</t>
        </is>
      </c>
      <c r="T13" t="inlineStr">
        <is>
          <t>passed</t>
        </is>
      </c>
      <c r="U13" t="inlineStr">
        <is>
          <t>passed</t>
        </is>
      </c>
      <c r="V13" t="inlineStr">
        <is>
          <t>passed</t>
        </is>
      </c>
    </row>
    <row r="14">
      <c r="A14" t="inlineStr">
        <is>
          <t>B4</t>
        </is>
      </c>
      <c r="B14" t="n">
        <v>71</v>
      </c>
      <c r="C14" t="inlineStr">
        <is>
          <t>High</t>
        </is>
      </c>
      <c r="D14" s="15" t="n">
        <v>493.8833012561242</v>
      </c>
      <c r="E14" s="15" t="n">
        <v>493.6974218551333</v>
      </c>
      <c r="F14" t="inlineStr">
        <is>
          <t>prior_constrained_harmonic_fit</t>
        </is>
      </c>
      <c r="G14" t="inlineStr">
        <is>
          <t>prior_constrained_harmonic_fit</t>
        </is>
      </c>
      <c r="H14" t="n">
        <v>1</v>
      </c>
      <c r="I14" t="inlineStr">
        <is>
          <t>fit_accepted_acoustically_verified</t>
        </is>
      </c>
      <c r="J14" t="n">
        <v>0.0006520014916199833</v>
      </c>
      <c r="K14" s="15" t="n">
        <v>0.321891455458487</v>
      </c>
      <c r="L14" s="15" t="n">
        <v>-0.6516950853431567</v>
      </c>
      <c r="M14" t="inlineStr">
        <is>
          <t>excellent</t>
        </is>
      </c>
      <c r="N14" s="19" t="n">
        <v>0.875</v>
      </c>
      <c r="O14" s="19" t="n">
        <v>0.1375359384308673</v>
      </c>
      <c r="P14" s="15" t="n">
        <v>2.080948422357619</v>
      </c>
      <c r="Q14" s="15" t="n">
        <v>8.617084670706467</v>
      </c>
      <c r="R14" s="15" t="n">
        <v>2.914529534154811</v>
      </c>
      <c r="S14" t="inlineStr">
        <is>
          <t>passed</t>
        </is>
      </c>
      <c r="T14" t="inlineStr">
        <is>
          <t>passed</t>
        </is>
      </c>
      <c r="U14" t="inlineStr">
        <is>
          <t>passed</t>
        </is>
      </c>
      <c r="V14" t="inlineStr">
        <is>
          <t>passed</t>
        </is>
      </c>
    </row>
    <row r="15">
      <c r="A15" t="inlineStr">
        <is>
          <t>C5</t>
        </is>
      </c>
      <c r="B15" t="n">
        <v>72</v>
      </c>
      <c r="C15" t="inlineStr">
        <is>
          <t>Very high</t>
        </is>
      </c>
      <c r="D15" s="15" t="n">
        <v>523.2511306011972</v>
      </c>
      <c r="E15" s="15" t="n">
        <v>523.1277033567962</v>
      </c>
      <c r="F15" t="inlineStr">
        <is>
          <t>prior_constrained_harmonic_fit</t>
        </is>
      </c>
      <c r="G15" t="inlineStr">
        <is>
          <t>prior_constrained_harmonic_fit</t>
        </is>
      </c>
      <c r="H15" t="n">
        <v>1</v>
      </c>
      <c r="I15" t="inlineStr">
        <is>
          <t>fit_accepted_acoustically_verified</t>
        </is>
      </c>
      <c r="J15" t="n">
        <v>0.0008942846589090498</v>
      </c>
      <c r="K15" s="15" t="n">
        <v>0.4678250797623071</v>
      </c>
      <c r="L15" s="15" t="n">
        <v>-0.4084208169086831</v>
      </c>
      <c r="M15" t="inlineStr">
        <is>
          <t>excellent</t>
        </is>
      </c>
      <c r="N15" s="19" t="n">
        <v>0.868421052631579</v>
      </c>
      <c r="O15" s="19" t="n">
        <v>0.1696413128730223</v>
      </c>
      <c r="P15" s="15" t="n">
        <v>1.018604762317528</v>
      </c>
      <c r="Q15" s="15" t="n">
        <v>3.67950851446297</v>
      </c>
      <c r="R15" s="15" t="n">
        <v>1.33424770310547</v>
      </c>
      <c r="S15" t="inlineStr">
        <is>
          <t>passed</t>
        </is>
      </c>
      <c r="T15" t="inlineStr">
        <is>
          <t>passed</t>
        </is>
      </c>
      <c r="U15" t="inlineStr">
        <is>
          <t>passed</t>
        </is>
      </c>
      <c r="V15" t="inlineStr">
        <is>
          <t>passed</t>
        </is>
      </c>
    </row>
    <row r="16">
      <c r="A16" t="inlineStr">
        <is>
          <t>C#5</t>
        </is>
      </c>
      <c r="B16" t="n">
        <v>73</v>
      </c>
      <c r="C16" t="inlineStr">
        <is>
          <t>Very high</t>
        </is>
      </c>
      <c r="D16" s="15" t="n">
        <v>554.365261953744</v>
      </c>
      <c r="E16" s="15" t="n">
        <v>554.4939286909369</v>
      </c>
      <c r="F16" t="inlineStr">
        <is>
          <t>prior_constrained_harmonic_fit</t>
        </is>
      </c>
      <c r="G16" t="inlineStr">
        <is>
          <t>prior_constrained_harmonic_fit</t>
        </is>
      </c>
      <c r="H16" t="n">
        <v>1</v>
      </c>
      <c r="I16" t="inlineStr">
        <is>
          <t>fit_accepted_acoustically_verified</t>
        </is>
      </c>
      <c r="J16" t="n">
        <v>0.001758228083345811</v>
      </c>
      <c r="K16" s="15" t="n">
        <v>0.9749267974691549</v>
      </c>
      <c r="L16" s="15" t="n">
        <v>0.4017683025754843</v>
      </c>
      <c r="M16" t="inlineStr">
        <is>
          <t>excellent</t>
        </is>
      </c>
      <c r="N16" s="19" t="n">
        <v>0.8611111111111112</v>
      </c>
      <c r="O16" s="19" t="n">
        <v>0.1552901901853312</v>
      </c>
      <c r="P16" s="15" t="n">
        <v>1.551244663173004</v>
      </c>
      <c r="Q16" s="15" t="n">
        <v>11.12574115786328</v>
      </c>
      <c r="R16" s="15" t="n">
        <v>2.462367425038895</v>
      </c>
      <c r="S16" t="inlineStr">
        <is>
          <t>passed</t>
        </is>
      </c>
      <c r="T16" t="inlineStr">
        <is>
          <t>passed</t>
        </is>
      </c>
      <c r="U16" t="inlineStr">
        <is>
          <t>passed</t>
        </is>
      </c>
      <c r="V16" t="inlineStr">
        <is>
          <t>passed</t>
        </is>
      </c>
    </row>
    <row r="17">
      <c r="A17" t="inlineStr">
        <is>
          <t>D5</t>
        </is>
      </c>
      <c r="B17" t="n">
        <v>74</v>
      </c>
      <c r="C17" t="inlineStr">
        <is>
          <t>Very high</t>
        </is>
      </c>
      <c r="D17" s="15" t="n">
        <v>587.3295358348153</v>
      </c>
      <c r="E17" s="15" t="n">
        <v>588.6217133751981</v>
      </c>
      <c r="F17" t="inlineStr">
        <is>
          <t>prior_constrained_harmonic_fit</t>
        </is>
      </c>
      <c r="G17" t="inlineStr">
        <is>
          <t>prior_constrained_harmonic_fit</t>
        </is>
      </c>
      <c r="H17" t="n">
        <v>1</v>
      </c>
      <c r="I17" t="inlineStr">
        <is>
          <t>fit_accepted_acoustically_verified</t>
        </is>
      </c>
      <c r="J17" t="n">
        <v>0.001075847632244874</v>
      </c>
      <c r="K17" s="15" t="n">
        <v>0.6332672766226278</v>
      </c>
      <c r="L17" s="15" t="n">
        <v>3.804686048382717</v>
      </c>
      <c r="M17" t="inlineStr">
        <is>
          <t>good</t>
        </is>
      </c>
      <c r="N17" s="19" t="n">
        <v>0.8484848484848485</v>
      </c>
      <c r="O17" s="19" t="n">
        <v>0.1075000945405767</v>
      </c>
      <c r="P17" s="15" t="n">
        <v>3.756739333149696</v>
      </c>
      <c r="Q17" s="15" t="n">
        <v>17.7751078048421</v>
      </c>
      <c r="R17" s="15" t="n">
        <v>6.242022270687036</v>
      </c>
      <c r="S17" t="inlineStr">
        <is>
          <t>passed</t>
        </is>
      </c>
      <c r="T17" t="inlineStr">
        <is>
          <t>passed</t>
        </is>
      </c>
      <c r="U17" t="inlineStr">
        <is>
          <t>passed</t>
        </is>
      </c>
      <c r="V17" t="inlineStr">
        <is>
          <t>passed</t>
        </is>
      </c>
    </row>
    <row r="18">
      <c r="A18" t="inlineStr">
        <is>
          <t>D#5</t>
        </is>
      </c>
      <c r="B18" t="n">
        <v>75</v>
      </c>
      <c r="C18" t="inlineStr">
        <is>
          <t>Very high</t>
        </is>
      </c>
      <c r="D18" s="15" t="n">
        <v>622.2539674441617</v>
      </c>
      <c r="E18" s="15" t="n">
        <v>623.5925135268327</v>
      </c>
      <c r="F18" t="inlineStr">
        <is>
          <t>prior_constrained_harmonic_fit</t>
        </is>
      </c>
      <c r="G18" t="inlineStr">
        <is>
          <t>prior_constrained_harmonic_fit</t>
        </is>
      </c>
      <c r="H18" t="n">
        <v>1</v>
      </c>
      <c r="I18" t="inlineStr">
        <is>
          <t>fit_accepted_acoustically_verified</t>
        </is>
      </c>
      <c r="J18" t="n">
        <v>0.0007602977342788246</v>
      </c>
      <c r="K18" s="15" t="n">
        <v>0.4741159751476882</v>
      </c>
      <c r="L18" s="15" t="n">
        <v>3.720101122623163</v>
      </c>
      <c r="M18" t="inlineStr">
        <is>
          <t>excellent</t>
        </is>
      </c>
      <c r="N18" s="19" t="n">
        <v>0.875</v>
      </c>
      <c r="O18" s="19" t="n">
        <v>0.1334334964039422</v>
      </c>
      <c r="P18" s="15" t="n">
        <v>1.170103090104616</v>
      </c>
      <c r="Q18" s="15" t="n">
        <v>5.063665254251026</v>
      </c>
      <c r="R18" s="15" t="n">
        <v>1.577754136427435</v>
      </c>
      <c r="S18" t="inlineStr">
        <is>
          <t>passed</t>
        </is>
      </c>
      <c r="T18" t="inlineStr">
        <is>
          <t>passed</t>
        </is>
      </c>
      <c r="U18" t="inlineStr">
        <is>
          <t>passed</t>
        </is>
      </c>
      <c r="V18" t="inlineStr">
        <is>
          <t>passed</t>
        </is>
      </c>
    </row>
    <row r="19">
      <c r="A19" t="inlineStr">
        <is>
          <t>E5</t>
        </is>
      </c>
      <c r="B19" t="n">
        <v>76</v>
      </c>
      <c r="C19" t="inlineStr">
        <is>
          <t>Very high</t>
        </is>
      </c>
      <c r="D19" s="15" t="n">
        <v>659.2551138257397</v>
      </c>
      <c r="E19" s="15" t="n">
        <v>658.3477864435087</v>
      </c>
      <c r="F19" t="inlineStr">
        <is>
          <t>prior_constrained_harmonic_fit</t>
        </is>
      </c>
      <c r="G19" t="inlineStr">
        <is>
          <t>prior_constrained_harmonic_fit</t>
        </is>
      </c>
      <c r="H19" t="n">
        <v>1</v>
      </c>
      <c r="I19" t="inlineStr">
        <is>
          <t>fit_accepted_acoustically_verified</t>
        </is>
      </c>
      <c r="J19" t="n">
        <v>0.001628849292348588</v>
      </c>
      <c r="K19" s="15" t="n">
        <v>1.072349326067769</v>
      </c>
      <c r="L19" s="15" t="n">
        <v>-2.384324299433717</v>
      </c>
      <c r="M19" t="inlineStr">
        <is>
          <t>excellent</t>
        </is>
      </c>
      <c r="N19" s="19" t="n">
        <v>0.9</v>
      </c>
      <c r="O19" s="19" t="n">
        <v>0.1872080622639477</v>
      </c>
      <c r="P19" s="15" t="n">
        <v>1.828981374408007</v>
      </c>
      <c r="Q19" s="15" t="n">
        <v>11.28308520452613</v>
      </c>
      <c r="R19" s="15" t="n">
        <v>3.221584837542959</v>
      </c>
      <c r="S19" t="inlineStr">
        <is>
          <t>passed</t>
        </is>
      </c>
      <c r="T19" t="inlineStr">
        <is>
          <t>passed</t>
        </is>
      </c>
      <c r="U19" t="inlineStr">
        <is>
          <t>passed</t>
        </is>
      </c>
      <c r="V19" t="inlineStr">
        <is>
          <t>passed</t>
        </is>
      </c>
    </row>
    <row r="20">
      <c r="A20" t="inlineStr">
        <is>
          <t>F5</t>
        </is>
      </c>
      <c r="B20" t="n">
        <v>77</v>
      </c>
      <c r="C20" t="inlineStr">
        <is>
          <t>Very high</t>
        </is>
      </c>
      <c r="D20" s="15" t="n">
        <v>698.4564628660079</v>
      </c>
      <c r="E20" s="15" t="n">
        <v>699.1446682452327</v>
      </c>
      <c r="F20" t="inlineStr">
        <is>
          <t>prior_constrained_harmonic_fit</t>
        </is>
      </c>
      <c r="G20" t="inlineStr">
        <is>
          <t>prior_constrained_harmonic_fit</t>
        </is>
      </c>
      <c r="H20" t="n">
        <v>1</v>
      </c>
      <c r="I20" t="inlineStr">
        <is>
          <t>fit_accepted_acoustically_verified</t>
        </is>
      </c>
      <c r="J20" t="n">
        <v>0.0007128649607883604</v>
      </c>
      <c r="K20" s="15" t="n">
        <v>0.498395736514029</v>
      </c>
      <c r="L20" s="15" t="n">
        <v>1.704985285203022</v>
      </c>
      <c r="M20" t="inlineStr">
        <is>
          <t>excellent</t>
        </is>
      </c>
      <c r="N20" s="19" t="n">
        <v>0.8571428571428571</v>
      </c>
      <c r="O20" s="19" t="n">
        <v>0.1195276273333768</v>
      </c>
      <c r="P20" s="15" t="n">
        <v>0.65695262902246</v>
      </c>
      <c r="Q20" s="15" t="n">
        <v>1.693976518044769</v>
      </c>
      <c r="R20" s="15" t="n">
        <v>0.869420891415312</v>
      </c>
      <c r="S20" t="inlineStr">
        <is>
          <t>passed</t>
        </is>
      </c>
      <c r="T20" t="inlineStr">
        <is>
          <t>passed</t>
        </is>
      </c>
      <c r="U20" t="inlineStr">
        <is>
          <t>passed</t>
        </is>
      </c>
      <c r="V20" t="inlineStr">
        <is>
          <t>passed</t>
        </is>
      </c>
    </row>
    <row r="21">
      <c r="A21" t="inlineStr">
        <is>
          <t>F#5</t>
        </is>
      </c>
      <c r="B21" t="n">
        <v>78</v>
      </c>
      <c r="C21" t="inlineStr">
        <is>
          <t>Very high</t>
        </is>
      </c>
      <c r="D21" s="15" t="n">
        <v>739.9888454232688</v>
      </c>
      <c r="E21" s="15" t="n">
        <v>741.0656240635196</v>
      </c>
      <c r="F21" t="inlineStr">
        <is>
          <t>prior_constrained_harmonic_fit</t>
        </is>
      </c>
      <c r="G21" t="inlineStr">
        <is>
          <t>prior_constrained_harmonic_fit</t>
        </is>
      </c>
      <c r="H21" t="n">
        <v>1</v>
      </c>
      <c r="I21" t="inlineStr">
        <is>
          <t>fit_accepted_acoustically_verified</t>
        </is>
      </c>
      <c r="J21" t="n">
        <v>0.0003724731271764159</v>
      </c>
      <c r="K21" s="15" t="n">
        <v>0.2760270304378814</v>
      </c>
      <c r="L21" s="15" t="n">
        <v>2.517336414248105</v>
      </c>
      <c r="M21" t="inlineStr">
        <is>
          <t>excellent</t>
        </is>
      </c>
      <c r="N21" s="19" t="n">
        <v>0.8846153846153846</v>
      </c>
      <c r="O21" s="19" t="n">
        <v>0.1720561910697893</v>
      </c>
      <c r="P21" s="15" t="n">
        <v>2.663250503140914</v>
      </c>
      <c r="Q21" s="15" t="n">
        <v>16.76953702306369</v>
      </c>
      <c r="R21" s="15" t="n">
        <v>4.629573138155753</v>
      </c>
      <c r="S21" t="inlineStr">
        <is>
          <t>passed</t>
        </is>
      </c>
      <c r="T21" t="inlineStr">
        <is>
          <t>passed</t>
        </is>
      </c>
      <c r="U21" t="inlineStr">
        <is>
          <t>passed</t>
        </is>
      </c>
      <c r="V21" t="inlineStr">
        <is>
          <t>passed</t>
        </is>
      </c>
    </row>
    <row r="22">
      <c r="A22" t="inlineStr">
        <is>
          <t>G5</t>
        </is>
      </c>
      <c r="B22" t="n">
        <v>79</v>
      </c>
      <c r="C22" t="inlineStr">
        <is>
          <t>Very high</t>
        </is>
      </c>
      <c r="D22" s="15" t="n">
        <v>783.9908719634984</v>
      </c>
      <c r="E22" s="15" t="n">
        <v>783.2380881716907</v>
      </c>
      <c r="F22" t="inlineStr">
        <is>
          <t>prior_constrained_harmonic_fit</t>
        </is>
      </c>
      <c r="G22" t="inlineStr">
        <is>
          <t>prior_constrained_harmonic_fit</t>
        </is>
      </c>
      <c r="H22" t="n">
        <v>1</v>
      </c>
      <c r="I22" t="inlineStr">
        <is>
          <t>fit_accepted_acoustically_verified</t>
        </is>
      </c>
      <c r="J22" t="n">
        <v>0.001236287188711017</v>
      </c>
      <c r="K22" s="15" t="n">
        <v>0.9683072141171709</v>
      </c>
      <c r="L22" s="15" t="n">
        <v>-1.66312015071062</v>
      </c>
      <c r="M22" t="inlineStr">
        <is>
          <t>good</t>
        </is>
      </c>
      <c r="N22" s="19" t="n">
        <v>0.84</v>
      </c>
      <c r="O22" s="19" t="n">
        <v>0.1269561696125342</v>
      </c>
      <c r="P22" s="15" t="n">
        <v>1.372085196312066</v>
      </c>
      <c r="Q22" s="15" t="n">
        <v>10.87035758682566</v>
      </c>
      <c r="R22" s="15" t="n">
        <v>2.828847497040336</v>
      </c>
      <c r="S22" t="inlineStr">
        <is>
          <t>passed</t>
        </is>
      </c>
      <c r="T22" t="inlineStr">
        <is>
          <t>passed</t>
        </is>
      </c>
      <c r="U22" t="inlineStr">
        <is>
          <t>passed</t>
        </is>
      </c>
      <c r="V22" t="inlineStr">
        <is>
          <t>passed</t>
        </is>
      </c>
    </row>
    <row r="23">
      <c r="A23" t="inlineStr">
        <is>
          <t>G#5</t>
        </is>
      </c>
      <c r="B23" t="n">
        <v>80</v>
      </c>
      <c r="C23" t="inlineStr">
        <is>
          <t>Very high</t>
        </is>
      </c>
      <c r="D23" s="15" t="n">
        <v>830.6093951598904</v>
      </c>
      <c r="E23" s="15" t="n">
        <v>829.725465876038</v>
      </c>
      <c r="F23" t="inlineStr">
        <is>
          <t>prior_constrained_harmonic_fit</t>
        </is>
      </c>
      <c r="G23" t="inlineStr">
        <is>
          <t>prior_constrained_harmonic_fit</t>
        </is>
      </c>
      <c r="H23" t="n">
        <v>1</v>
      </c>
      <c r="I23" t="inlineStr">
        <is>
          <t>fit_accepted_acoustically_verified</t>
        </is>
      </c>
      <c r="J23" t="n">
        <v>0.0006636972518275637</v>
      </c>
      <c r="K23" s="15" t="n">
        <v>0.5506865114732714</v>
      </c>
      <c r="L23" s="15" t="n">
        <v>-1.843349379285476</v>
      </c>
      <c r="M23" t="inlineStr">
        <is>
          <t>excellent</t>
        </is>
      </c>
      <c r="N23" s="19" t="n">
        <v>0.875</v>
      </c>
      <c r="O23" s="19" t="n">
        <v>0.1315420424264482</v>
      </c>
      <c r="P23" s="15" t="n">
        <v>2.825836197014469</v>
      </c>
      <c r="Q23" s="15" t="n">
        <v>15.32585970511093</v>
      </c>
      <c r="R23" s="15" t="n">
        <v>5.262071576551897</v>
      </c>
      <c r="S23" t="inlineStr">
        <is>
          <t>passed</t>
        </is>
      </c>
      <c r="T23" t="inlineStr">
        <is>
          <t>passed</t>
        </is>
      </c>
      <c r="U23" t="inlineStr">
        <is>
          <t>passed</t>
        </is>
      </c>
      <c r="V23" t="inlineStr">
        <is>
          <t>passed</t>
        </is>
      </c>
    </row>
    <row r="24">
      <c r="A24" t="inlineStr">
        <is>
          <t>A5</t>
        </is>
      </c>
      <c r="B24" t="n">
        <v>81</v>
      </c>
      <c r="C24" t="inlineStr">
        <is>
          <t>Very high</t>
        </is>
      </c>
      <c r="D24" s="15" t="n">
        <v>879.9999999999999</v>
      </c>
      <c r="E24" s="15" t="n">
        <v>880.450466025311</v>
      </c>
      <c r="F24" t="inlineStr">
        <is>
          <t>prior_constrained_harmonic_fit</t>
        </is>
      </c>
      <c r="G24" t="inlineStr">
        <is>
          <t>prior_constrained_harmonic_fit</t>
        </is>
      </c>
      <c r="H24" t="n">
        <v>1</v>
      </c>
      <c r="I24" t="inlineStr">
        <is>
          <t>fit_accepted_acoustically_verified</t>
        </is>
      </c>
      <c r="J24" t="n">
        <v>0.001682656577197991</v>
      </c>
      <c r="K24" s="15" t="n">
        <v>1.481495767554526</v>
      </c>
      <c r="L24" s="15" t="n">
        <v>0.8859802113575704</v>
      </c>
      <c r="M24" t="inlineStr">
        <is>
          <t>excellent</t>
        </is>
      </c>
      <c r="N24" s="19" t="n">
        <v>0.9090909090909091</v>
      </c>
      <c r="O24" s="19" t="n">
        <v>0.127694120252878</v>
      </c>
      <c r="P24" s="15" t="n">
        <v>1.91621612201247</v>
      </c>
      <c r="Q24" s="15" t="n">
        <v>16.50839058070493</v>
      </c>
      <c r="R24" s="15" t="n">
        <v>4.286103900279302</v>
      </c>
      <c r="S24" t="inlineStr">
        <is>
          <t>passed</t>
        </is>
      </c>
      <c r="T24" t="inlineStr">
        <is>
          <t>passed</t>
        </is>
      </c>
      <c r="U24" t="inlineStr">
        <is>
          <t>passed</t>
        </is>
      </c>
      <c r="V24" t="inlineStr">
        <is>
          <t>passed</t>
        </is>
      </c>
    </row>
    <row r="25">
      <c r="A25" t="inlineStr">
        <is>
          <t>A#5</t>
        </is>
      </c>
      <c r="B25" t="n">
        <v>82</v>
      </c>
      <c r="C25" t="inlineStr">
        <is>
          <t>Very high</t>
        </is>
      </c>
      <c r="D25" s="15" t="n">
        <v>932.3275230361796</v>
      </c>
      <c r="E25" s="15" t="n">
        <v>932.0535057917408</v>
      </c>
      <c r="F25" t="inlineStr">
        <is>
          <t>prior_constrained_harmonic_fit</t>
        </is>
      </c>
      <c r="G25" t="inlineStr">
        <is>
          <t>prior_constrained_harmonic_fit</t>
        </is>
      </c>
      <c r="H25" t="n">
        <v>1</v>
      </c>
      <c r="I25" t="inlineStr">
        <is>
          <t>fit_accepted_acoustically_verified</t>
        </is>
      </c>
      <c r="J25" t="n">
        <v>0.001096879555847051</v>
      </c>
      <c r="K25" s="15" t="n">
        <v>1.022350435458531</v>
      </c>
      <c r="L25" s="15" t="n">
        <v>-0.5088959603048794</v>
      </c>
      <c r="M25" t="inlineStr">
        <is>
          <t>excellent</t>
        </is>
      </c>
      <c r="N25" s="19" t="n">
        <v>0.8571428571428571</v>
      </c>
      <c r="O25" s="19" t="n">
        <v>0.1233861833785166</v>
      </c>
      <c r="P25" s="15" t="n">
        <v>0.9931547696775724</v>
      </c>
      <c r="Q25" s="15" t="n">
        <v>8.598677147881901</v>
      </c>
      <c r="R25" s="15" t="n">
        <v>2.131853561527626</v>
      </c>
      <c r="S25" t="inlineStr">
        <is>
          <t>passed</t>
        </is>
      </c>
      <c r="T25" t="inlineStr">
        <is>
          <t>passed</t>
        </is>
      </c>
      <c r="U25" t="inlineStr">
        <is>
          <t>passed</t>
        </is>
      </c>
      <c r="V25" t="inlineStr">
        <is>
          <t>passed</t>
        </is>
      </c>
    </row>
    <row r="26">
      <c r="A26" t="inlineStr">
        <is>
          <t>B5</t>
        </is>
      </c>
      <c r="B26" t="n">
        <v>83</v>
      </c>
      <c r="C26" t="inlineStr">
        <is>
          <t>Very high</t>
        </is>
      </c>
      <c r="D26" s="15" t="n">
        <v>987.7666025122484</v>
      </c>
      <c r="E26" s="15" t="n">
        <v>986.0696881437477</v>
      </c>
      <c r="F26" t="inlineStr">
        <is>
          <t>prior_constrained_harmonic_fit</t>
        </is>
      </c>
      <c r="G26" t="inlineStr">
        <is>
          <t>prior_constrained_harmonic_fit</t>
        </is>
      </c>
      <c r="H26" t="n">
        <v>1</v>
      </c>
      <c r="I26" t="inlineStr">
        <is>
          <t>fit_accepted_acoustically_verified</t>
        </is>
      </c>
      <c r="J26" t="n">
        <v>0.0007329980896529038</v>
      </c>
      <c r="K26" s="15" t="n">
        <v>0.7227871976740017</v>
      </c>
      <c r="L26" s="15" t="n">
        <v>-2.976697379374595</v>
      </c>
      <c r="M26" t="inlineStr">
        <is>
          <t>excellent</t>
        </is>
      </c>
      <c r="N26" s="19" t="n">
        <v>0.85</v>
      </c>
      <c r="O26" s="19" t="n">
        <v>0.1359476801228462</v>
      </c>
      <c r="P26" s="15" t="n">
        <v>1.288010739920006</v>
      </c>
      <c r="Q26" s="15" t="n">
        <v>12.50669082095245</v>
      </c>
      <c r="R26" s="15" t="n">
        <v>3.122618481634577</v>
      </c>
      <c r="S26" t="inlineStr">
        <is>
          <t>passed</t>
        </is>
      </c>
      <c r="T26" t="inlineStr">
        <is>
          <t>passed</t>
        </is>
      </c>
      <c r="U26" t="inlineStr">
        <is>
          <t>passed</t>
        </is>
      </c>
      <c r="V26" t="inlineStr">
        <is>
          <t>passed</t>
        </is>
      </c>
    </row>
    <row r="27">
      <c r="A27" t="inlineStr">
        <is>
          <t>C6</t>
        </is>
      </c>
      <c r="B27" t="n">
        <v>84</v>
      </c>
      <c r="C27" t="inlineStr">
        <is>
          <t>Very high</t>
        </is>
      </c>
      <c r="D27" s="15" t="n">
        <v>1046.502261202394</v>
      </c>
      <c r="E27" s="15" t="n">
        <v>1047.589166064006</v>
      </c>
      <c r="F27" t="inlineStr">
        <is>
          <t>prior_constrained_harmonic_fit</t>
        </is>
      </c>
      <c r="G27" t="inlineStr">
        <is>
          <t>prior_constrained_harmonic_fit</t>
        </is>
      </c>
      <c r="H27" t="n">
        <v>1</v>
      </c>
      <c r="I27" t="inlineStr">
        <is>
          <t>fit_accepted_acoustically_verified</t>
        </is>
      </c>
      <c r="J27" t="n">
        <v>0.000175592500975792</v>
      </c>
      <c r="K27" s="15" t="n">
        <v>0.183948801664323</v>
      </c>
      <c r="L27" s="15" t="n">
        <v>1.797139178347141</v>
      </c>
      <c r="M27" t="inlineStr">
        <is>
          <t>good</t>
        </is>
      </c>
      <c r="N27" s="19" t="n">
        <v>0.8421052631578947</v>
      </c>
      <c r="O27" s="19" t="n">
        <v>0.1132916622454833</v>
      </c>
      <c r="P27" s="15" t="n">
        <v>1.974293317527355</v>
      </c>
      <c r="Q27" s="15" t="n">
        <v>14.29110828754787</v>
      </c>
      <c r="R27" s="15" t="n">
        <v>3.803538155255907</v>
      </c>
      <c r="S27" t="inlineStr">
        <is>
          <t>passed</t>
        </is>
      </c>
      <c r="T27" t="inlineStr">
        <is>
          <t>passed</t>
        </is>
      </c>
      <c r="U27" t="inlineStr">
        <is>
          <t>passed</t>
        </is>
      </c>
      <c r="V27" t="inlineStr">
        <is>
          <t>passed</t>
        </is>
      </c>
    </row>
    <row r="28">
      <c r="A28" t="inlineStr">
        <is>
          <t>C#6</t>
        </is>
      </c>
      <c r="B28" t="n">
        <v>85</v>
      </c>
      <c r="C28" t="inlineStr">
        <is>
          <t>Very high</t>
        </is>
      </c>
      <c r="D28" s="15" t="n">
        <v>1108.730523907488</v>
      </c>
      <c r="E28" s="15" t="n">
        <v>1109.289337247893</v>
      </c>
      <c r="F28" t="inlineStr">
        <is>
          <t>prior_constrained_harmonic_fit</t>
        </is>
      </c>
      <c r="G28" t="inlineStr">
        <is>
          <t>prior_constrained_harmonic_fit</t>
        </is>
      </c>
      <c r="H28" t="n">
        <v>1</v>
      </c>
      <c r="I28" t="inlineStr">
        <is>
          <t>fit_accepted_acoustically_verified</t>
        </is>
      </c>
      <c r="J28" t="n">
        <v>0.001020539577821763</v>
      </c>
      <c r="K28" s="15" t="n">
        <v>1.132073671917148</v>
      </c>
      <c r="L28" s="15" t="n">
        <v>0.8723426867304757</v>
      </c>
      <c r="M28" t="inlineStr">
        <is>
          <t>excellent</t>
        </is>
      </c>
      <c r="N28" s="19" t="n">
        <v>0.8888888888888888</v>
      </c>
      <c r="O28" s="19" t="n">
        <v>0.1598229875795693</v>
      </c>
      <c r="P28" s="15" t="n">
        <v>0.9654322635799605</v>
      </c>
      <c r="Q28" s="15" t="n">
        <v>7.869592481562851</v>
      </c>
      <c r="R28" s="15" t="n">
        <v>2.027429995836001</v>
      </c>
      <c r="S28" t="inlineStr">
        <is>
          <t>passed</t>
        </is>
      </c>
      <c r="T28" t="inlineStr">
        <is>
          <t>passed</t>
        </is>
      </c>
      <c r="U28" t="inlineStr">
        <is>
          <t>passed</t>
        </is>
      </c>
      <c r="V28" t="inlineStr">
        <is>
          <t>passed</t>
        </is>
      </c>
    </row>
    <row r="29">
      <c r="A29" t="inlineStr">
        <is>
          <t>D6</t>
        </is>
      </c>
      <c r="B29" t="n">
        <v>86</v>
      </c>
      <c r="C29" t="inlineStr">
        <is>
          <t>Very high</t>
        </is>
      </c>
      <c r="D29" s="15" t="n">
        <v>1174.659071669631</v>
      </c>
      <c r="E29" s="15" t="n">
        <v>1175.634277223944</v>
      </c>
      <c r="F29" t="inlineStr">
        <is>
          <t>prior_constrained_harmonic_fit</t>
        </is>
      </c>
      <c r="G29" t="inlineStr">
        <is>
          <t>prior_constrained_harmonic_fit</t>
        </is>
      </c>
      <c r="H29" t="n">
        <v>1</v>
      </c>
      <c r="I29" t="inlineStr">
        <is>
          <t>fit_accepted_acoustically_verified</t>
        </is>
      </c>
      <c r="J29" t="n">
        <v>0.001593730753153098</v>
      </c>
      <c r="K29" s="15" t="n">
        <v>1.874000867418682</v>
      </c>
      <c r="L29" s="15" t="n">
        <v>1.436679517602264</v>
      </c>
      <c r="M29" t="inlineStr">
        <is>
          <t>excellent</t>
        </is>
      </c>
      <c r="N29" s="19" t="n">
        <v>0.8823529411764706</v>
      </c>
      <c r="O29" s="19" t="n">
        <v>0.2207224954839345</v>
      </c>
      <c r="P29" s="15" t="n">
        <v>4.947376775407792</v>
      </c>
      <c r="Q29" s="15" t="n">
        <v>17.12924130206586</v>
      </c>
      <c r="R29" s="15" t="n">
        <v>8.094092641458815</v>
      </c>
      <c r="S29" t="inlineStr">
        <is>
          <t>passed</t>
        </is>
      </c>
      <c r="T29" t="inlineStr">
        <is>
          <t>passed</t>
        </is>
      </c>
      <c r="U29" t="inlineStr">
        <is>
          <t>passed</t>
        </is>
      </c>
      <c r="V29" t="inlineStr">
        <is>
          <t>passed</t>
        </is>
      </c>
    </row>
    <row r="30">
      <c r="A30" t="inlineStr">
        <is>
          <t>D#6</t>
        </is>
      </c>
      <c r="B30" t="n">
        <v>87</v>
      </c>
      <c r="C30" t="inlineStr">
        <is>
          <t>Very high</t>
        </is>
      </c>
      <c r="D30" s="15" t="n">
        <v>1244.507934888323</v>
      </c>
      <c r="E30" s="15" t="n">
        <v>1244.241540376175</v>
      </c>
      <c r="F30" t="inlineStr">
        <is>
          <t>prior_constrained_harmonic_fit</t>
        </is>
      </c>
      <c r="G30" t="inlineStr">
        <is>
          <t>prior_constrained_harmonic_fit</t>
        </is>
      </c>
      <c r="H30" t="n">
        <v>1</v>
      </c>
      <c r="I30" t="inlineStr">
        <is>
          <t>fit_accepted_acoustically_verified</t>
        </is>
      </c>
      <c r="J30" t="n">
        <v>0.000453713425531518</v>
      </c>
      <c r="K30" s="15" t="n">
        <v>0.5645290914726869</v>
      </c>
      <c r="L30" s="15" t="n">
        <v>-0.3706208730615905</v>
      </c>
      <c r="M30" t="inlineStr">
        <is>
          <t>good</t>
        </is>
      </c>
      <c r="N30" s="19" t="n">
        <v>0.8125</v>
      </c>
      <c r="O30" s="19" t="n">
        <v>0.1555296284242818</v>
      </c>
      <c r="P30" s="15" t="n">
        <v>1.121913610703924</v>
      </c>
      <c r="Q30" s="15" t="n">
        <v>8.483731824585083</v>
      </c>
      <c r="R30" s="15" t="n">
        <v>2.42360895503312</v>
      </c>
      <c r="S30" t="inlineStr">
        <is>
          <t>passed</t>
        </is>
      </c>
      <c r="T30" t="inlineStr">
        <is>
          <t>passed</t>
        </is>
      </c>
      <c r="U30" t="inlineStr">
        <is>
          <t>passed</t>
        </is>
      </c>
      <c r="V30" t="inlineStr">
        <is>
          <t>passed</t>
        </is>
      </c>
    </row>
    <row r="31">
      <c r="A31" t="inlineStr">
        <is>
          <t>E6</t>
        </is>
      </c>
      <c r="B31" t="n">
        <v>88</v>
      </c>
      <c r="C31" t="inlineStr">
        <is>
          <t>Very high</t>
        </is>
      </c>
      <c r="D31" s="15" t="n">
        <v>1318.510227651479</v>
      </c>
      <c r="E31" s="15" t="n">
        <v>1319.185589335618</v>
      </c>
      <c r="F31" t="inlineStr">
        <is>
          <t>prior_constrained_harmonic_fit</t>
        </is>
      </c>
      <c r="G31" t="inlineStr">
        <is>
          <t>prior_constrained_harmonic_fit</t>
        </is>
      </c>
      <c r="H31" t="n">
        <v>1</v>
      </c>
      <c r="I31" t="inlineStr">
        <is>
          <t>fit_accepted_acoustically_verified</t>
        </is>
      </c>
      <c r="J31" t="n">
        <v>0.0002375025997877985</v>
      </c>
      <c r="K31" s="15" t="n">
        <v>0.3133100070698084</v>
      </c>
      <c r="L31" s="15" t="n">
        <v>0.8865382892413499</v>
      </c>
      <c r="M31" t="inlineStr">
        <is>
          <t>good</t>
        </is>
      </c>
      <c r="N31" s="19" t="n">
        <v>0.8</v>
      </c>
      <c r="O31" s="19" t="n">
        <v>0.1464646190803468</v>
      </c>
      <c r="P31" s="15" t="n">
        <v>0.4658791671852735</v>
      </c>
      <c r="Q31" s="15" t="n">
        <v>1.049250443964761</v>
      </c>
      <c r="R31" s="15" t="n">
        <v>0.5239878821370423</v>
      </c>
      <c r="S31" t="inlineStr">
        <is>
          <t>passed</t>
        </is>
      </c>
      <c r="T31" t="inlineStr">
        <is>
          <t>passed</t>
        </is>
      </c>
      <c r="U31" t="inlineStr">
        <is>
          <t>passed</t>
        </is>
      </c>
      <c r="V31" t="inlineStr">
        <is>
          <t>passed</t>
        </is>
      </c>
    </row>
    <row r="32">
      <c r="A32" t="inlineStr">
        <is>
          <t>F6</t>
        </is>
      </c>
      <c r="B32" t="n">
        <v>89</v>
      </c>
      <c r="C32" t="inlineStr">
        <is>
          <t>Very high</t>
        </is>
      </c>
      <c r="D32" s="15" t="n">
        <v>1396.912925732016</v>
      </c>
      <c r="E32" s="15" t="n">
        <v>1397.814070436934</v>
      </c>
      <c r="F32" t="inlineStr">
        <is>
          <t>prior_constrained_harmonic_fit</t>
        </is>
      </c>
      <c r="G32" t="inlineStr">
        <is>
          <t>prior_constrained_harmonic_fit</t>
        </is>
      </c>
      <c r="H32" t="n">
        <v>1</v>
      </c>
      <c r="I32" t="inlineStr">
        <is>
          <t>fit_accepted_acoustically_verified</t>
        </is>
      </c>
      <c r="J32" t="n">
        <v>0.003533483714428453</v>
      </c>
      <c r="K32" s="15" t="n">
        <v>4.939153253687854</v>
      </c>
      <c r="L32" s="15" t="n">
        <v>1.116454274422984</v>
      </c>
      <c r="M32" t="inlineStr">
        <is>
          <t>excellent</t>
        </is>
      </c>
      <c r="N32" s="19" t="n">
        <v>0.8571428571428571</v>
      </c>
      <c r="O32" s="19" t="n">
        <v>0.1814927839868796</v>
      </c>
      <c r="P32" s="15" t="n">
        <v>2.985839796857727</v>
      </c>
      <c r="Q32" s="15" t="n">
        <v>11.08616159741559</v>
      </c>
      <c r="R32" s="15" t="n">
        <v>3.97028863596561</v>
      </c>
      <c r="S32" t="inlineStr">
        <is>
          <t>passed</t>
        </is>
      </c>
      <c r="T32" t="inlineStr">
        <is>
          <t>passed</t>
        </is>
      </c>
      <c r="U32" t="inlineStr">
        <is>
          <t>passed</t>
        </is>
      </c>
      <c r="V32" t="inlineStr">
        <is>
          <t>passed</t>
        </is>
      </c>
    </row>
    <row r="33">
      <c r="A33" t="inlineStr">
        <is>
          <t>F#6</t>
        </is>
      </c>
      <c r="B33" t="n">
        <v>90</v>
      </c>
      <c r="C33" t="inlineStr">
        <is>
          <t>Very high</t>
        </is>
      </c>
      <c r="D33" s="15" t="n">
        <v>1479.977690846538</v>
      </c>
      <c r="E33" s="15" t="n">
        <v>1479.328786620015</v>
      </c>
      <c r="F33" t="inlineStr">
        <is>
          <t>prior_constrained_harmonic_fit</t>
        </is>
      </c>
      <c r="G33" t="inlineStr">
        <is>
          <t>prior_constrained_harmonic_fit</t>
        </is>
      </c>
      <c r="H33" t="n">
        <v>1</v>
      </c>
      <c r="I33" t="inlineStr">
        <is>
          <t>fit_accepted_acoustically_verified</t>
        </is>
      </c>
      <c r="J33" t="n">
        <v>0.0004467964047016668</v>
      </c>
      <c r="K33" s="15" t="n">
        <v>0.6609587832335018</v>
      </c>
      <c r="L33" s="15" t="n">
        <v>-0.7592353938999155</v>
      </c>
      <c r="M33" t="inlineStr">
        <is>
          <t>good</t>
        </is>
      </c>
      <c r="N33" s="19" t="n">
        <v>0.7692307692307693</v>
      </c>
      <c r="O33" s="19" t="n">
        <v>0.0586758905423801</v>
      </c>
      <c r="P33" s="15" t="n">
        <v>1.495937466417527</v>
      </c>
      <c r="Q33" s="15" t="n">
        <v>2.939834796433954</v>
      </c>
      <c r="R33" s="15" t="n">
        <v>1.750162601680527</v>
      </c>
      <c r="S33" t="inlineStr">
        <is>
          <t>passed</t>
        </is>
      </c>
      <c r="T33" t="inlineStr">
        <is>
          <t>passed</t>
        </is>
      </c>
      <c r="U33" t="inlineStr">
        <is>
          <t>passed</t>
        </is>
      </c>
      <c r="V33" t="inlineStr">
        <is>
          <t>passed</t>
        </is>
      </c>
    </row>
    <row r="34">
      <c r="A34" t="inlineStr">
        <is>
          <t>G6</t>
        </is>
      </c>
      <c r="B34" t="n">
        <v>91</v>
      </c>
      <c r="C34" t="inlineStr">
        <is>
          <t>Very high</t>
        </is>
      </c>
      <c r="D34" s="15" t="n">
        <v>1567.981743926997</v>
      </c>
      <c r="E34" s="15" t="n">
        <v>1569.059053072746</v>
      </c>
      <c r="F34" t="inlineStr">
        <is>
          <t>prior_constrained_harmonic_fit</t>
        </is>
      </c>
      <c r="G34" t="inlineStr">
        <is>
          <t>prior_constrained_harmonic_fit</t>
        </is>
      </c>
      <c r="H34" t="n">
        <v>1</v>
      </c>
      <c r="I34" t="inlineStr">
        <is>
          <t>fit_accepted_acoustically_verified</t>
        </is>
      </c>
      <c r="J34" t="n">
        <v>0.003758654997624197</v>
      </c>
      <c r="K34" s="15" t="n">
        <v>5.897551651399368</v>
      </c>
      <c r="L34" s="15" t="n">
        <v>1.189066045679091</v>
      </c>
      <c r="M34" t="inlineStr">
        <is>
          <t>good</t>
        </is>
      </c>
      <c r="N34" s="19" t="n">
        <v>0.75</v>
      </c>
      <c r="O34" s="19" t="n">
        <v>0.1976188000592041</v>
      </c>
      <c r="P34" s="15" t="n">
        <v>4.155795541710415</v>
      </c>
      <c r="Q34" s="15" t="n">
        <v>9.076745430121555</v>
      </c>
      <c r="R34" s="15" t="n">
        <v>5.037475705641696</v>
      </c>
      <c r="S34" t="inlineStr">
        <is>
          <t>passed</t>
        </is>
      </c>
      <c r="T34" t="inlineStr">
        <is>
          <t>passed</t>
        </is>
      </c>
      <c r="U34" t="inlineStr">
        <is>
          <t>passed</t>
        </is>
      </c>
      <c r="V34" t="inlineStr">
        <is>
          <t>passed</t>
        </is>
      </c>
    </row>
    <row r="35">
      <c r="A35" t="inlineStr">
        <is>
          <t>G#6</t>
        </is>
      </c>
      <c r="B35" t="n">
        <v>92</v>
      </c>
      <c r="C35" t="inlineStr">
        <is>
          <t>Very high</t>
        </is>
      </c>
      <c r="D35" s="15" t="n">
        <v>1661.218790319781</v>
      </c>
      <c r="E35" s="15" t="n">
        <v>1658.887154543974</v>
      </c>
      <c r="F35" t="inlineStr">
        <is>
          <t>prior_constrained_harmonic_fit</t>
        </is>
      </c>
      <c r="G35" t="inlineStr">
        <is>
          <t>prior_constrained_harmonic_fit</t>
        </is>
      </c>
      <c r="H35" t="n">
        <v>1</v>
      </c>
      <c r="I35" t="inlineStr">
        <is>
          <t>fit_accepted_acoustically_verified</t>
        </is>
      </c>
      <c r="J35" t="n">
        <v>0.002757702415746427</v>
      </c>
      <c r="K35" s="15" t="n">
        <v>4.574717113536632</v>
      </c>
      <c r="L35" s="15" t="n">
        <v>-2.431613915787151</v>
      </c>
      <c r="M35" t="inlineStr">
        <is>
          <t>excellent</t>
        </is>
      </c>
      <c r="N35" s="19" t="n">
        <v>0.9166666666666666</v>
      </c>
      <c r="O35" s="19" t="n">
        <v>0.2889349234808513</v>
      </c>
      <c r="P35" s="15" t="n">
        <v>3.579563112635078</v>
      </c>
      <c r="Q35" s="15" t="n">
        <v>21.47186271958758</v>
      </c>
      <c r="R35" s="15" t="n">
        <v>7.01905570792122</v>
      </c>
      <c r="S35" t="inlineStr">
        <is>
          <t>passed</t>
        </is>
      </c>
      <c r="T35" t="inlineStr">
        <is>
          <t>passed</t>
        </is>
      </c>
      <c r="U35" t="inlineStr">
        <is>
          <t>passed</t>
        </is>
      </c>
      <c r="V35" t="inlineStr">
        <is>
          <t>passed</t>
        </is>
      </c>
    </row>
    <row r="36">
      <c r="A36" t="inlineStr">
        <is>
          <t>A6</t>
        </is>
      </c>
      <c r="B36" t="n">
        <v>93</v>
      </c>
      <c r="C36" t="inlineStr">
        <is>
          <t>Very high</t>
        </is>
      </c>
      <c r="D36" s="15" t="n">
        <v>1760</v>
      </c>
      <c r="E36" s="15" t="n">
        <v>1760.573617924108</v>
      </c>
      <c r="F36" t="inlineStr">
        <is>
          <t>prior_constrained_harmonic_fit</t>
        </is>
      </c>
      <c r="G36" t="inlineStr">
        <is>
          <t>prior_constrained_harmonic_fit</t>
        </is>
      </c>
      <c r="H36" t="n">
        <v>1</v>
      </c>
      <c r="I36" t="inlineStr">
        <is>
          <t>fit_accepted_acoustically_verified</t>
        </is>
      </c>
      <c r="J36" t="n">
        <v>0.0009836808096519557</v>
      </c>
      <c r="K36" s="15" t="n">
        <v>1.731842481931459</v>
      </c>
      <c r="L36" s="15" t="n">
        <v>0.5641506174461886</v>
      </c>
      <c r="M36" t="inlineStr">
        <is>
          <t>good</t>
        </is>
      </c>
      <c r="N36" s="19" t="n">
        <v>0.8181818181818182</v>
      </c>
      <c r="O36" s="19" t="n">
        <v>0.1942396108254452</v>
      </c>
      <c r="P36" s="15" t="n">
        <v>1.298525903225678</v>
      </c>
      <c r="Q36" s="15" t="n">
        <v>5.055841093357489</v>
      </c>
      <c r="R36" s="15" t="n">
        <v>1.932446280653977</v>
      </c>
      <c r="S36" t="inlineStr">
        <is>
          <t>passed</t>
        </is>
      </c>
      <c r="T36" t="inlineStr">
        <is>
          <t>passed</t>
        </is>
      </c>
      <c r="U36" t="inlineStr">
        <is>
          <t>passed</t>
        </is>
      </c>
      <c r="V36" t="inlineStr">
        <is>
          <t>passed</t>
        </is>
      </c>
    </row>
    <row r="37">
      <c r="A37" t="inlineStr">
        <is>
          <t>A#6</t>
        </is>
      </c>
      <c r="B37" t="n">
        <v>94</v>
      </c>
      <c r="C37" t="inlineStr">
        <is>
          <t>Very high</t>
        </is>
      </c>
      <c r="D37" s="15" t="n">
        <v>1864.655046072359</v>
      </c>
      <c r="E37" s="15" t="n">
        <v>1862.196033739299</v>
      </c>
      <c r="F37" t="inlineStr">
        <is>
          <t>prior_constrained_harmonic_fit</t>
        </is>
      </c>
      <c r="G37" t="inlineStr">
        <is>
          <t>prior_constrained_harmonic_fit</t>
        </is>
      </c>
      <c r="H37" t="n">
        <v>1</v>
      </c>
      <c r="I37" t="inlineStr">
        <is>
          <t>fit_accepted_acoustically_verified</t>
        </is>
      </c>
      <c r="J37" t="n">
        <v>0.00106250010309328</v>
      </c>
      <c r="K37" s="15" t="n">
        <v>1.978583477827903</v>
      </c>
      <c r="L37" s="15" t="n">
        <v>-2.284570220102213</v>
      </c>
      <c r="M37" t="inlineStr">
        <is>
          <t>good</t>
        </is>
      </c>
      <c r="N37" s="19" t="n">
        <v>0.8</v>
      </c>
      <c r="O37" s="19" t="n">
        <v>0.1505430550401788</v>
      </c>
      <c r="P37" s="15" t="n">
        <v>1.235014052554173</v>
      </c>
      <c r="Q37" s="15" t="n">
        <v>3.728531157963566</v>
      </c>
      <c r="R37" s="15" t="n">
        <v>1.62469061024235</v>
      </c>
      <c r="S37" t="inlineStr">
        <is>
          <t>passed</t>
        </is>
      </c>
      <c r="T37" t="inlineStr">
        <is>
          <t>passed</t>
        </is>
      </c>
      <c r="U37" t="inlineStr">
        <is>
          <t>passed</t>
        </is>
      </c>
      <c r="V37" t="inlineStr">
        <is>
          <t>passed</t>
        </is>
      </c>
    </row>
    <row r="38">
      <c r="A38" t="inlineStr">
        <is>
          <t>B6</t>
        </is>
      </c>
      <c r="B38" t="n">
        <v>95</v>
      </c>
      <c r="C38" t="inlineStr">
        <is>
          <t>Very high</t>
        </is>
      </c>
      <c r="D38" s="15" t="n">
        <v>1975.533205024497</v>
      </c>
      <c r="E38" s="15" t="n">
        <v>1976.424083138403</v>
      </c>
      <c r="F38" t="inlineStr">
        <is>
          <t>prior_constrained_harmonic_fit</t>
        </is>
      </c>
      <c r="G38" t="inlineStr">
        <is>
          <t>prior_constrained_harmonic_fit</t>
        </is>
      </c>
      <c r="H38" t="n">
        <v>1</v>
      </c>
      <c r="I38" t="inlineStr">
        <is>
          <t>fit_accepted_acoustically_verified</t>
        </is>
      </c>
      <c r="J38" t="n">
        <v>0.0002793753783456627</v>
      </c>
      <c r="K38" s="15" t="n">
        <v>0.5521642259982709</v>
      </c>
      <c r="L38" s="15" t="n">
        <v>0.7805340179703337</v>
      </c>
      <c r="M38" t="inlineStr">
        <is>
          <t>good</t>
        </is>
      </c>
      <c r="N38" s="19" t="n">
        <v>0.8</v>
      </c>
      <c r="O38" s="19" t="n">
        <v>0.1160000568053446</v>
      </c>
      <c r="P38" s="15" t="n">
        <v>1.243033742858078</v>
      </c>
      <c r="Q38" s="15" t="n">
        <v>2.232578619828898</v>
      </c>
      <c r="R38" s="15" t="n">
        <v>1.421876619516009</v>
      </c>
      <c r="S38" t="inlineStr">
        <is>
          <t>passed</t>
        </is>
      </c>
      <c r="T38" t="inlineStr">
        <is>
          <t>passed</t>
        </is>
      </c>
      <c r="U38" t="inlineStr">
        <is>
          <t>passed</t>
        </is>
      </c>
      <c r="V38" t="inlineStr">
        <is>
          <t>passed</t>
        </is>
      </c>
    </row>
    <row r="39">
      <c r="A39" t="inlineStr">
        <is>
          <t>C7</t>
        </is>
      </c>
      <c r="B39" t="n">
        <v>96</v>
      </c>
      <c r="C39" t="inlineStr">
        <is>
          <t>Very high</t>
        </is>
      </c>
      <c r="D39" s="15" t="n">
        <v>2093.004522404789</v>
      </c>
      <c r="E39" s="15" t="n">
        <v>2089.836958761173</v>
      </c>
      <c r="F39" t="inlineStr">
        <is>
          <t>prior_constrained_harmonic_fit</t>
        </is>
      </c>
      <c r="G39" t="inlineStr">
        <is>
          <t>prior_constrained_harmonic_fit</t>
        </is>
      </c>
      <c r="H39" t="n">
        <v>1</v>
      </c>
      <c r="I39" t="inlineStr">
        <is>
          <t>fit_accepted_acoustically_verified</t>
        </is>
      </c>
      <c r="J39" t="n">
        <v>0.0006772521022778287</v>
      </c>
      <c r="K39" s="15" t="n">
        <v>1.415346473738909</v>
      </c>
      <c r="L39" s="15" t="n">
        <v>-2.622042984589581</v>
      </c>
      <c r="M39" t="inlineStr">
        <is>
          <t>good</t>
        </is>
      </c>
      <c r="N39" s="19" t="n">
        <v>0.7777777777777778</v>
      </c>
      <c r="O39" s="19" t="n">
        <v>0.1237076197898015</v>
      </c>
      <c r="P39" s="15" t="n">
        <v>6.252810402753852</v>
      </c>
      <c r="Q39" s="15" t="n">
        <v>16.83144209194221</v>
      </c>
      <c r="R39" s="15" t="n">
        <v>9.12826603622271</v>
      </c>
      <c r="S39" t="inlineStr">
        <is>
          <t>passed</t>
        </is>
      </c>
      <c r="T39" t="inlineStr">
        <is>
          <t>passed</t>
        </is>
      </c>
      <c r="U39" t="inlineStr">
        <is>
          <t>passed</t>
        </is>
      </c>
      <c r="V39" t="inlineStr">
        <is>
          <t>passed</t>
        </is>
      </c>
    </row>
  </sheetData>
  <autoFilter ref="A1:V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33" customWidth="1" min="4" max="4"/>
    <col width="22" customWidth="1" min="5" max="5"/>
    <col width="34" customWidth="1" min="6" max="6"/>
    <col width="28" customWidth="1" min="7" max="7"/>
    <col width="21" customWidth="1" min="8" max="8"/>
    <col width="48" customWidth="1" min="9" max="9"/>
    <col width="48" customWidth="1" min="10" max="10"/>
    <col width="46" customWidth="1" min="11" max="11"/>
    <col width="48" customWidth="1" min="12" max="12"/>
    <col width="48" customWidth="1" min="13" max="13"/>
    <col width="48" customWidth="1" min="14" max="14"/>
    <col width="48" customWidth="1" min="15" max="15"/>
    <col width="32" customWidth="1" min="16" max="16"/>
    <col width="32" customWidth="1" min="17" max="17"/>
    <col width="38" customWidth="1" min="18" max="18"/>
    <col width="48" customWidth="1" min="19" max="19"/>
    <col width="28" customWidth="1" min="20" max="20"/>
    <col width="30" customWidth="1" min="21" max="21"/>
    <col width="27" customWidth="1" min="22" max="22"/>
    <col width="25" customWidth="1" min="23" max="23"/>
    <col width="27" customWidth="1" min="24" max="24"/>
    <col width="24" customWidth="1" min="25" max="25"/>
    <col width="24" customWidth="1" min="26" max="26"/>
    <col width="31" customWidth="1" min="27" max="27"/>
    <col width="30" customWidth="1" min="28" max="28"/>
    <col width="26" customWidth="1" min="29" max="29"/>
    <col width="34" customWidth="1" min="30" max="30"/>
    <col width="34" customWidth="1" min="31" max="31"/>
    <col width="27" customWidth="1" min="32" max="32"/>
    <col width="46" customWidth="1" min="33" max="33"/>
    <col width="48" customWidth="1" min="34" max="34"/>
    <col width="37" customWidth="1" min="35" max="35"/>
    <col width="48" customWidth="1" min="36" max="36"/>
    <col width="43" customWidth="1" min="37" max="37"/>
    <col width="33" customWidth="1" min="38" max="38"/>
    <col width="41" customWidth="1" min="39" max="39"/>
    <col width="48" customWidth="1" min="40" max="40"/>
    <col width="42" customWidth="1" min="41" max="41"/>
    <col width="20" customWidth="1" min="42" max="42"/>
    <col width="35" customWidth="1" min="43" max="43"/>
    <col width="22" customWidth="1" min="44" max="44"/>
    <col width="37" customWidth="1" min="45" max="45"/>
    <col width="40" customWidth="1" min="46" max="46"/>
    <col width="42" customWidth="1" min="47" max="47"/>
    <col width="39" customWidth="1" min="48" max="48"/>
    <col width="28" customWidth="1" min="49" max="49"/>
    <col width="27" customWidth="1" min="50" max="50"/>
    <col width="33" customWidth="1" min="51" max="51"/>
    <col width="35" customWidth="1" min="52" max="52"/>
    <col width="32" customWidth="1" min="53" max="53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spectral_body_thickness_index</t>
        </is>
      </c>
      <c r="D1" s="11" t="inlineStr">
        <is>
          <t>body_weighted_effective_density</t>
        </is>
      </c>
      <c r="E1" s="11" t="inlineStr">
        <is>
          <t>low_mid_energy_ratio</t>
        </is>
      </c>
      <c r="F1" s="11" t="inlineStr">
        <is>
          <t>harmonic_body_density_normalized</t>
        </is>
      </c>
      <c r="G1" s="11" t="inlineStr">
        <is>
          <t>core_residual_energy_ratio</t>
        </is>
      </c>
      <c r="H1" s="11" t="inlineStr">
        <is>
          <t>spectral_entropy</t>
        </is>
      </c>
      <c r="I1" s="11" t="inlineStr">
        <is>
          <t>salient_harmonic_order_count_up_to_body_ceiling</t>
        </is>
      </c>
      <c r="J1" s="11" t="inlineStr">
        <is>
          <t>expected_harmonic_order_count_up_to_body_ceiling</t>
        </is>
      </c>
      <c r="K1" s="11" t="inlineStr">
        <is>
          <t>salient_harmonic_coverage_up_to_body_ceiling</t>
        </is>
      </c>
      <c r="L1" s="11" t="inlineStr">
        <is>
          <t>salient_harmonic_order_count_up_to_density_ceiling_hz</t>
        </is>
      </c>
      <c r="M1" s="11" t="inlineStr">
        <is>
          <t>expected_harmonic_order_count_up_to_density_ceiling_hz</t>
        </is>
      </c>
      <c r="N1" s="11" t="inlineStr">
        <is>
          <t>salient_harmonic_coverage_up_to_density_ceiling_hz</t>
        </is>
      </c>
      <c r="O1" s="11" t="inlineStr">
        <is>
          <t>salient_inharmonic_log_bin_count_up_to_body_ceiling</t>
        </is>
      </c>
      <c r="P1" s="11" t="inlineStr">
        <is>
          <t>salient_subbass_particle_count</t>
        </is>
      </c>
      <c r="Q1" s="11" t="inlineStr">
        <is>
          <t>final_note_density_count_based</t>
        </is>
      </c>
      <c r="R1" s="11" t="inlineStr">
        <is>
          <t>final_note_density_salience_weighted</t>
        </is>
      </c>
      <c r="S1" s="11" t="inlineStr">
        <is>
          <t>final_note_density_salience_weighted_norm_for_chart</t>
        </is>
      </c>
      <c r="T1" s="11" t="inlineStr">
        <is>
          <t>harmonic_density_component</t>
        </is>
      </c>
      <c r="U1" s="11" t="inlineStr">
        <is>
          <t>inharmonic_density_component</t>
        </is>
      </c>
      <c r="V1" s="11" t="inlineStr">
        <is>
          <t>subbass_density_component</t>
        </is>
      </c>
      <c r="W1" s="11" t="inlineStr">
        <is>
          <t>harmonic_density_weight</t>
        </is>
      </c>
      <c r="X1" s="11" t="inlineStr">
        <is>
          <t>inharmonic_density_weight</t>
        </is>
      </c>
      <c r="Y1" s="11" t="inlineStr">
        <is>
          <t>subbass_density_weight</t>
        </is>
      </c>
      <c r="Z1" s="11" t="inlineStr">
        <is>
          <t>density_summation_mode</t>
        </is>
      </c>
      <c r="AA1" s="11" t="inlineStr">
        <is>
          <t>density_salience_threshold_db</t>
        </is>
      </c>
      <c r="AB1" s="11" t="inlineStr">
        <is>
          <t>density_frequency_ceiling_hz</t>
        </is>
      </c>
      <c r="AC1" s="11" t="inlineStr">
        <is>
          <t>harmonic_occupancy_ratio</t>
        </is>
      </c>
      <c r="AD1" s="11" t="inlineStr">
        <is>
          <t>residual_log_frequency_occupancy</t>
        </is>
      </c>
      <c r="AE1" s="11" t="inlineStr">
        <is>
          <t>note_effective_component_density</t>
        </is>
      </c>
      <c r="AF1" s="11" t="inlineStr">
        <is>
          <t>effective_partial_density</t>
        </is>
      </c>
      <c r="AG1" s="11" t="inlineStr">
        <is>
          <t>spectral_body_thickness_index_norm_for_chart</t>
        </is>
      </c>
      <c r="AH1" s="11" t="inlineStr">
        <is>
          <t>body_weighted_effective_density_norm_for_chart</t>
        </is>
      </c>
      <c r="AI1" s="11" t="inlineStr">
        <is>
          <t>low_mid_energy_ratio_norm_for_chart</t>
        </is>
      </c>
      <c r="AJ1" s="11" t="inlineStr">
        <is>
          <t>harmonic_body_density_normalized_norm_for_chart</t>
        </is>
      </c>
      <c r="AK1" s="11" t="inlineStr">
        <is>
          <t>core_residual_energy_ratio_norm_for_chart</t>
        </is>
      </c>
      <c r="AL1" s="11" t="inlineStr">
        <is>
          <t>spectral_entropy_norm_for_chart</t>
        </is>
      </c>
      <c r="AM1" s="11" t="inlineStr">
        <is>
          <t>harmonic_occupancy_ratio_norm_for_chart</t>
        </is>
      </c>
      <c r="AN1" s="11" t="inlineStr">
        <is>
          <t>residual_log_frequency_occupancy_norm_for_chart</t>
        </is>
      </c>
      <c r="AO1" s="11" t="inlineStr">
        <is>
          <t>effective_partial_density_norm_for_chart</t>
        </is>
      </c>
      <c r="AP1" s="11" t="inlineStr">
        <is>
          <t>density_metric_raw</t>
        </is>
      </c>
      <c r="AQ1" s="11" t="inlineStr">
        <is>
          <t>density_metric_raw_norm_for_chart</t>
        </is>
      </c>
      <c r="AR1" s="11" t="inlineStr">
        <is>
          <t>density_weighted_sum</t>
        </is>
      </c>
      <c r="AS1" s="11" t="inlineStr">
        <is>
          <t>density_weighted_sum_norm_for_chart</t>
        </is>
      </c>
      <c r="AT1" s="11" t="inlineStr">
        <is>
          <t>weighted_harmonic_density_contribution</t>
        </is>
      </c>
      <c r="AU1" s="11" t="inlineStr">
        <is>
          <t>weighted_inharmonic_density_contribution</t>
        </is>
      </c>
      <c r="AV1" s="11" t="inlineStr">
        <is>
          <t>weighted_subbass_density_contribution</t>
        </is>
      </c>
      <c r="AW1" s="11" t="inlineStr">
        <is>
          <t>core_harmonic_energy_ratio</t>
        </is>
      </c>
      <c r="AX1" s="11" t="inlineStr">
        <is>
          <t>core_subbass_energy_ratio</t>
        </is>
      </c>
      <c r="AY1" s="11" t="inlineStr">
        <is>
          <t>component_harmonic_energy_ratio</t>
        </is>
      </c>
      <c r="AZ1" s="11" t="inlineStr">
        <is>
          <t>component_inharmonic_energy_ratio</t>
        </is>
      </c>
      <c r="BA1" s="11" t="inlineStr">
        <is>
          <t>component_subbass_energy_ratio</t>
        </is>
      </c>
    </row>
    <row r="2">
      <c r="A2" t="inlineStr">
        <is>
          <t>B3</t>
        </is>
      </c>
      <c r="B2" t="n">
        <v>59</v>
      </c>
      <c r="C2" s="15" t="n">
        <v>0.9689630166112151</v>
      </c>
      <c r="D2" s="15" t="n">
        <v>36.3346770876898</v>
      </c>
      <c r="E2" s="15" t="n">
        <v>0.9198345629787595</v>
      </c>
      <c r="F2" s="15" t="n">
        <v>0.261742091298197</v>
      </c>
      <c r="G2" s="19" t="n">
        <v>0.2217707437955457</v>
      </c>
      <c r="H2" s="15" t="n">
        <v>0.4948720815703075</v>
      </c>
      <c r="I2" s="15" t="n">
        <v>28</v>
      </c>
      <c r="J2" s="15" t="n">
        <v>80</v>
      </c>
      <c r="K2" s="15" t="n">
        <v>0.35</v>
      </c>
      <c r="L2" t="n">
        <v>28</v>
      </c>
      <c r="M2" t="n">
        <v>80</v>
      </c>
      <c r="N2" t="n">
        <v>0.35</v>
      </c>
      <c r="O2" t="n">
        <v>62</v>
      </c>
      <c r="P2" t="n">
        <v>0</v>
      </c>
      <c r="Q2" s="15" t="n">
        <v>41.95104898821363</v>
      </c>
      <c r="R2" s="15" t="n">
        <v>22.48647607095869</v>
      </c>
      <c r="S2" s="15" t="n">
        <v>0.8109736704197371</v>
      </c>
      <c r="T2" s="15" t="n">
        <v>16.49325219918358</v>
      </c>
      <c r="U2" s="15" t="n">
        <v>31.09929449840465</v>
      </c>
      <c r="V2" s="15" t="n">
        <v>0</v>
      </c>
      <c r="W2" t="n">
        <v>1</v>
      </c>
      <c r="X2" t="n">
        <v>0.5</v>
      </c>
      <c r="Y2" t="n">
        <v>0.25</v>
      </c>
      <c r="Z2" t="inlineStr">
        <is>
          <t>his_note_adaptive</t>
        </is>
      </c>
      <c r="AA2" t="n">
        <v>-90</v>
      </c>
      <c r="AB2" t="n">
        <v>20000</v>
      </c>
      <c r="AC2" s="15" t="n">
        <v>0.35</v>
      </c>
      <c r="AD2" s="15" t="n">
        <v>0.5166666666666667</v>
      </c>
      <c r="AE2" t="n">
        <v>2.78695481303585</v>
      </c>
      <c r="AF2" s="15" t="n">
        <v>2.738079102659237</v>
      </c>
      <c r="AG2" s="15" t="n">
        <v>0.8467188009085669</v>
      </c>
      <c r="AH2" s="15" t="n">
        <v>0.8160358250944468</v>
      </c>
      <c r="AI2" s="15" t="n">
        <v>0.9921772967903646</v>
      </c>
      <c r="AJ2" s="15" t="n">
        <v>0.2848031248976672</v>
      </c>
      <c r="AK2" s="15" t="n">
        <v>0.6813253221096913</v>
      </c>
      <c r="AL2" s="15" t="n">
        <v>0.8852748609674962</v>
      </c>
      <c r="AM2" s="15" t="n">
        <v>0.1333333333333333</v>
      </c>
      <c r="AN2" s="15" t="n">
        <v>0.9375000000000002</v>
      </c>
      <c r="AO2" s="15" t="n">
        <v>0.6090050192910577</v>
      </c>
      <c r="AP2" s="15" t="n">
        <v>2.386908922262766</v>
      </c>
      <c r="AQ2" s="15" t="n">
        <v>0.8412077003496398</v>
      </c>
      <c r="AR2" s="15" t="n">
        <v>325.0203354400017</v>
      </c>
      <c r="AS2" s="15" t="n">
        <v>0.4118423039794199</v>
      </c>
      <c r="AT2" s="15" t="n">
        <v>1.957574574992219</v>
      </c>
      <c r="AU2" s="15" t="n">
        <v>0.3450066798735263</v>
      </c>
      <c r="AV2" s="15" t="n">
        <v>0.08432766739701973</v>
      </c>
      <c r="AW2" s="19" t="n">
        <v>0.7782292562044544</v>
      </c>
      <c r="AX2" s="19" t="n">
        <v>0</v>
      </c>
      <c r="AY2" s="19" t="n">
        <v>1</v>
      </c>
      <c r="AZ2" s="19" t="n">
        <v>0</v>
      </c>
      <c r="BA2" s="19" t="n">
        <v>0</v>
      </c>
    </row>
    <row r="3">
      <c r="A3" t="inlineStr">
        <is>
          <t>C4</t>
        </is>
      </c>
      <c r="B3" t="n">
        <v>60</v>
      </c>
      <c r="C3" s="15" t="n">
        <v>1.337642721496353</v>
      </c>
      <c r="D3" s="15" t="n">
        <v>42.55503990397145</v>
      </c>
      <c r="E3" s="15" t="n">
        <v>0.8326845842977757</v>
      </c>
      <c r="F3" s="15" t="n">
        <v>0.3540749789582759</v>
      </c>
      <c r="G3" s="19" t="n">
        <v>0.2160502321552731</v>
      </c>
      <c r="H3" s="15" t="n">
        <v>0.5372279939181692</v>
      </c>
      <c r="I3" s="15" t="n">
        <v>43</v>
      </c>
      <c r="J3" s="15" t="n">
        <v>76</v>
      </c>
      <c r="K3" s="15" t="n">
        <v>0.5657894736842105</v>
      </c>
      <c r="L3" t="n">
        <v>43</v>
      </c>
      <c r="M3" t="n">
        <v>76</v>
      </c>
      <c r="N3" t="n">
        <v>0.5657894736842105</v>
      </c>
      <c r="O3" t="n">
        <v>65</v>
      </c>
      <c r="P3" t="n">
        <v>0</v>
      </c>
      <c r="Q3" s="15" t="n">
        <v>49.66776927814645</v>
      </c>
      <c r="R3" s="15" t="n">
        <v>26.33424576061304</v>
      </c>
      <c r="S3" s="15" t="n">
        <v>1</v>
      </c>
      <c r="T3" s="15" t="n">
        <v>24.00716686180695</v>
      </c>
      <c r="U3" s="15" t="n">
        <v>31.6852573352622</v>
      </c>
      <c r="V3" s="15" t="n">
        <v>0</v>
      </c>
      <c r="W3" t="n">
        <v>1</v>
      </c>
      <c r="X3" t="n">
        <v>0.5</v>
      </c>
      <c r="Y3" t="n">
        <v>0.25</v>
      </c>
      <c r="Z3" t="inlineStr">
        <is>
          <t>his_note_adaptive</t>
        </is>
      </c>
      <c r="AA3" t="n">
        <v>-90</v>
      </c>
      <c r="AB3" t="n">
        <v>20000</v>
      </c>
      <c r="AC3" s="15" t="n">
        <v>0.5657894736842105</v>
      </c>
      <c r="AD3" s="15" t="n">
        <v>0.5416666666666666</v>
      </c>
      <c r="AE3" t="n">
        <v>3.793934545896793</v>
      </c>
      <c r="AF3" s="15" t="n">
        <v>3.735406966691377</v>
      </c>
      <c r="AG3" s="15" t="n">
        <v>0.9837194804126509</v>
      </c>
      <c r="AH3" s="15" t="n">
        <v>1</v>
      </c>
      <c r="AI3" s="15" t="n">
        <v>0.8940939614821444</v>
      </c>
      <c r="AJ3" s="15" t="n">
        <v>0.5827968971512254</v>
      </c>
      <c r="AK3" s="15" t="n">
        <v>0.6292478802327753</v>
      </c>
      <c r="AL3" s="15" t="n">
        <v>0.9675735346323738</v>
      </c>
      <c r="AM3" s="15" t="n">
        <v>0.4210526315789473</v>
      </c>
      <c r="AN3" s="15" t="n">
        <v>1</v>
      </c>
      <c r="AO3" s="15" t="n">
        <v>0.9602443192928113</v>
      </c>
      <c r="AP3" s="15" t="n">
        <v>2.449507386830873</v>
      </c>
      <c r="AQ3" s="15" t="n">
        <v>1</v>
      </c>
      <c r="AR3" s="15" t="n">
        <v>467.5001640844405</v>
      </c>
      <c r="AS3" s="15" t="n">
        <v>0.6204372138140055</v>
      </c>
      <c r="AT3" s="15" t="n">
        <v>2.003383834806304</v>
      </c>
      <c r="AU3" s="15" t="n">
        <v>0.3672825453517375</v>
      </c>
      <c r="AV3" s="15" t="n">
        <v>0.0788410066728317</v>
      </c>
      <c r="AW3" s="19" t="n">
        <v>0.7839497678447269</v>
      </c>
      <c r="AX3" s="19" t="n">
        <v>0</v>
      </c>
      <c r="AY3" s="19" t="n">
        <v>1</v>
      </c>
      <c r="AZ3" s="19" t="n">
        <v>0</v>
      </c>
      <c r="BA3" s="19" t="n">
        <v>0</v>
      </c>
    </row>
    <row r="4">
      <c r="A4" t="inlineStr">
        <is>
          <t>C#4</t>
        </is>
      </c>
      <c r="B4" t="n">
        <v>61</v>
      </c>
      <c r="C4" s="15" t="n">
        <v>1.381454892199212</v>
      </c>
      <c r="D4" s="15" t="n">
        <v>41.36881373963837</v>
      </c>
      <c r="E4" s="15" t="n">
        <v>0.9070512395594728</v>
      </c>
      <c r="F4" s="15" t="n">
        <v>0.3550546923528409</v>
      </c>
      <c r="G4" s="19" t="n">
        <v>0.2134077303289618</v>
      </c>
      <c r="H4" s="15" t="n">
        <v>0.55391662890705</v>
      </c>
      <c r="I4" s="15" t="n">
        <v>29</v>
      </c>
      <c r="J4" s="15" t="n">
        <v>72</v>
      </c>
      <c r="K4" s="15" t="n">
        <v>0.4027777777777778</v>
      </c>
      <c r="L4" t="n">
        <v>29</v>
      </c>
      <c r="M4" t="n">
        <v>72</v>
      </c>
      <c r="N4" t="n">
        <v>0.4027777777777778</v>
      </c>
      <c r="O4" t="n">
        <v>62</v>
      </c>
      <c r="P4" t="n">
        <v>0</v>
      </c>
      <c r="Q4" s="15" t="n">
        <v>40.80860257799546</v>
      </c>
      <c r="R4" s="15" t="n">
        <v>22.16938033275376</v>
      </c>
      <c r="S4" s="15" t="n">
        <v>0.7953959596020695</v>
      </c>
      <c r="T4" s="15" t="n">
        <v>17.45360566911702</v>
      </c>
      <c r="U4" s="15" t="n">
        <v>30.63218144657617</v>
      </c>
      <c r="V4" s="15" t="n">
        <v>0</v>
      </c>
      <c r="W4" t="n">
        <v>1</v>
      </c>
      <c r="X4" t="n">
        <v>0.5</v>
      </c>
      <c r="Y4" t="n">
        <v>0.25</v>
      </c>
      <c r="Z4" t="inlineStr">
        <is>
          <t>his_note_adaptive</t>
        </is>
      </c>
      <c r="AA4" t="n">
        <v>-90</v>
      </c>
      <c r="AB4" t="n">
        <v>20000</v>
      </c>
      <c r="AC4" s="15" t="n">
        <v>0.4027777777777778</v>
      </c>
      <c r="AD4" s="15" t="n">
        <v>0.5166666666666667</v>
      </c>
      <c r="AE4" t="n">
        <v>3.903903282793239</v>
      </c>
      <c r="AF4" s="15" t="n">
        <v>3.848291396544888</v>
      </c>
      <c r="AG4" s="15" t="n">
        <v>1</v>
      </c>
      <c r="AH4" s="15" t="n">
        <v>0.9649179438534163</v>
      </c>
      <c r="AI4" s="15" t="n">
        <v>0.9777902479779141</v>
      </c>
      <c r="AJ4" s="15" t="n">
        <v>0.5859588094185917</v>
      </c>
      <c r="AK4" s="15" t="n">
        <v>0.6051915118652058</v>
      </c>
      <c r="AL4" s="15" t="n">
        <v>1</v>
      </c>
      <c r="AM4" s="15" t="n">
        <v>0.2037037037037037</v>
      </c>
      <c r="AN4" s="15" t="n">
        <v>0.9375000000000002</v>
      </c>
      <c r="AO4" s="15" t="n">
        <v>1</v>
      </c>
      <c r="AP4" s="15" t="n">
        <v>2.414498432122995</v>
      </c>
      <c r="AQ4" s="15" t="n">
        <v>0.9111934699233571</v>
      </c>
      <c r="AR4" s="15" t="n">
        <v>479.1179910771286</v>
      </c>
      <c r="AS4" s="15" t="n">
        <v>0.6374460746265861</v>
      </c>
      <c r="AT4" s="15" t="n">
        <v>1.98024269123999</v>
      </c>
      <c r="AU4" s="15" t="n">
        <v>0.3585448227041402</v>
      </c>
      <c r="AV4" s="15" t="n">
        <v>0.07571091817886441</v>
      </c>
      <c r="AW4" s="19" t="n">
        <v>0.7865922696710381</v>
      </c>
      <c r="AX4" s="19" t="n">
        <v>0</v>
      </c>
      <c r="AY4" s="19" t="n">
        <v>1</v>
      </c>
      <c r="AZ4" s="19" t="n">
        <v>0</v>
      </c>
      <c r="BA4" s="19" t="n">
        <v>0</v>
      </c>
    </row>
    <row r="5">
      <c r="A5" t="inlineStr">
        <is>
          <t>D4</t>
        </is>
      </c>
      <c r="B5" t="n">
        <v>62</v>
      </c>
      <c r="C5" s="15" t="n">
        <v>0.7485922242321339</v>
      </c>
      <c r="D5" s="15" t="n">
        <v>32.75518440567829</v>
      </c>
      <c r="E5" s="15" t="n">
        <v>0.8713689252054538</v>
      </c>
      <c r="F5" s="15" t="n">
        <v>0.2972931876779591</v>
      </c>
      <c r="G5" s="19" t="n">
        <v>0.2282599788444049</v>
      </c>
      <c r="H5" s="15" t="n">
        <v>0.4217990239406408</v>
      </c>
      <c r="I5" s="15" t="n">
        <v>36</v>
      </c>
      <c r="J5" s="15" t="n">
        <v>68</v>
      </c>
      <c r="K5" s="15" t="n">
        <v>0.5294117647058824</v>
      </c>
      <c r="L5" t="n">
        <v>36</v>
      </c>
      <c r="M5" t="n">
        <v>68</v>
      </c>
      <c r="N5" t="n">
        <v>0.5294117647058824</v>
      </c>
      <c r="O5" t="n">
        <v>50</v>
      </c>
      <c r="P5" t="n">
        <v>0</v>
      </c>
      <c r="Q5" s="15" t="n">
        <v>39.99354056926806</v>
      </c>
      <c r="R5" s="15" t="n">
        <v>21.17740523425789</v>
      </c>
      <c r="S5" s="15" t="n">
        <v>0.7466639857503449</v>
      </c>
      <c r="T5" s="15" t="n">
        <v>19.75666146226336</v>
      </c>
      <c r="U5" s="15" t="n">
        <v>24.73730769908597</v>
      </c>
      <c r="V5" s="15" t="n">
        <v>0</v>
      </c>
      <c r="W5" t="n">
        <v>1</v>
      </c>
      <c r="X5" t="n">
        <v>0.5</v>
      </c>
      <c r="Y5" t="n">
        <v>0.25</v>
      </c>
      <c r="Z5" t="inlineStr">
        <is>
          <t>his_note_adaptive</t>
        </is>
      </c>
      <c r="AA5" t="n">
        <v>-90</v>
      </c>
      <c r="AB5" t="n">
        <v>20000</v>
      </c>
      <c r="AC5" s="15" t="n">
        <v>0.5294117647058824</v>
      </c>
      <c r="AD5" s="15" t="n">
        <v>0.4166666666666667</v>
      </c>
      <c r="AE5" t="n">
        <v>2.860672044804724</v>
      </c>
      <c r="AF5" s="15" t="n">
        <v>2.813254222017775</v>
      </c>
      <c r="AG5" s="15" t="n">
        <v>0.7648294321726515</v>
      </c>
      <c r="AH5" s="15" t="n">
        <v>0.7101740872383995</v>
      </c>
      <c r="AI5" s="15" t="n">
        <v>0.9376314268705691</v>
      </c>
      <c r="AJ5" s="15" t="n">
        <v>0.3995401983980291</v>
      </c>
      <c r="AK5" s="15" t="n">
        <v>0.7404009402245959</v>
      </c>
      <c r="AL5" s="15" t="n">
        <v>0.7432919501953632</v>
      </c>
      <c r="AM5" s="15" t="n">
        <v>0.3725490196078431</v>
      </c>
      <c r="AN5" s="15" t="n">
        <v>0.6875000000000002</v>
      </c>
      <c r="AO5" s="15" t="n">
        <v>0.6354802209306564</v>
      </c>
      <c r="AP5" s="15" t="n">
        <v>2.418911573767052</v>
      </c>
      <c r="AQ5" s="15" t="n">
        <v>0.9223881999407385</v>
      </c>
      <c r="AR5" s="15" t="n">
        <v>415.5021450893923</v>
      </c>
      <c r="AS5" s="15" t="n">
        <v>0.544310493371936</v>
      </c>
      <c r="AT5" s="15" t="n">
        <v>1.963354871944114</v>
      </c>
      <c r="AU5" s="15" t="n">
        <v>0.380055589443143</v>
      </c>
      <c r="AV5" s="15" t="n">
        <v>0.07550111237979497</v>
      </c>
      <c r="AW5" s="19" t="n">
        <v>0.7717400211555951</v>
      </c>
      <c r="AX5" s="19" t="n">
        <v>0</v>
      </c>
      <c r="AY5" s="19" t="n">
        <v>1</v>
      </c>
      <c r="AZ5" s="19" t="n">
        <v>0</v>
      </c>
      <c r="BA5" s="19" t="n">
        <v>0</v>
      </c>
    </row>
    <row r="6">
      <c r="A6" t="inlineStr">
        <is>
          <t>D#4</t>
        </is>
      </c>
      <c r="B6" t="n">
        <v>63</v>
      </c>
      <c r="C6" s="15" t="n">
        <v>0.8058077250718031</v>
      </c>
      <c r="D6" s="15" t="n">
        <v>31.42075129032246</v>
      </c>
      <c r="E6" s="15" t="n">
        <v>0.8985941728365276</v>
      </c>
      <c r="F6" s="15" t="n">
        <v>0.3053303583508803</v>
      </c>
      <c r="G6" s="19" t="n">
        <v>0.2244570632337896</v>
      </c>
      <c r="H6" s="15" t="n">
        <v>0.4398185872164959</v>
      </c>
      <c r="I6" s="15" t="n">
        <v>16</v>
      </c>
      <c r="J6" s="15" t="n">
        <v>64</v>
      </c>
      <c r="K6" s="15" t="n">
        <v>0.25</v>
      </c>
      <c r="L6" t="n">
        <v>16</v>
      </c>
      <c r="M6" t="n">
        <v>64</v>
      </c>
      <c r="N6" t="n">
        <v>0.25</v>
      </c>
      <c r="O6" t="n">
        <v>59</v>
      </c>
      <c r="P6" t="n">
        <v>0</v>
      </c>
      <c r="Q6" s="15" t="n">
        <v>36.35994191355761</v>
      </c>
      <c r="R6" s="15" t="n">
        <v>19.67146626100801</v>
      </c>
      <c r="S6" s="15" t="n">
        <v>0.6726829162880336</v>
      </c>
      <c r="T6" s="15" t="n">
        <v>10.75774550310658</v>
      </c>
      <c r="U6" s="15" t="n">
        <v>29.58343735513147</v>
      </c>
      <c r="V6" s="15" t="n">
        <v>0</v>
      </c>
      <c r="W6" t="n">
        <v>1</v>
      </c>
      <c r="X6" t="n">
        <v>0.5</v>
      </c>
      <c r="Y6" t="n">
        <v>0.25</v>
      </c>
      <c r="Z6" t="inlineStr">
        <is>
          <t>his_note_adaptive</t>
        </is>
      </c>
      <c r="AA6" t="n">
        <v>-90</v>
      </c>
      <c r="AB6" t="n">
        <v>20000</v>
      </c>
      <c r="AC6" s="15" t="n">
        <v>0.25</v>
      </c>
      <c r="AD6" s="15" t="n">
        <v>0.4916666666666666</v>
      </c>
      <c r="AE6" t="n">
        <v>2.725541030087707</v>
      </c>
      <c r="AF6" s="15" t="n">
        <v>2.697714750789539</v>
      </c>
      <c r="AG6" s="15" t="n">
        <v>0.7860906038328688</v>
      </c>
      <c r="AH6" s="15" t="n">
        <v>0.6707088833132322</v>
      </c>
      <c r="AI6" s="15" t="n">
        <v>0.9682722042139905</v>
      </c>
      <c r="AJ6" s="15" t="n">
        <v>0.4254792420883627</v>
      </c>
      <c r="AK6" s="15" t="n">
        <v>0.705780589960752</v>
      </c>
      <c r="AL6" s="15" t="n">
        <v>0.778304444919682</v>
      </c>
      <c r="AM6" s="15" t="n">
        <v>0</v>
      </c>
      <c r="AN6" s="15" t="n">
        <v>0.8749999999999999</v>
      </c>
      <c r="AO6" s="15" t="n">
        <v>0.5947894867595407</v>
      </c>
      <c r="AP6" s="15" t="n">
        <v>2.375288987819593</v>
      </c>
      <c r="AQ6" s="15" t="n">
        <v>0.8117316401179969</v>
      </c>
      <c r="AR6" s="15" t="n">
        <v>413.5535056313784</v>
      </c>
      <c r="AS6" s="15" t="n">
        <v>0.5414576244717433</v>
      </c>
      <c r="AT6" s="15" t="n">
        <v>1.954993448130642</v>
      </c>
      <c r="AU6" s="15" t="n">
        <v>0.3492300526845986</v>
      </c>
      <c r="AV6" s="15" t="n">
        <v>0.07106548700435193</v>
      </c>
      <c r="AW6" s="19" t="n">
        <v>0.7755429367662104</v>
      </c>
      <c r="AX6" s="19" t="n">
        <v>0</v>
      </c>
      <c r="AY6" s="19" t="n">
        <v>1</v>
      </c>
      <c r="AZ6" s="19" t="n">
        <v>0</v>
      </c>
      <c r="BA6" s="19" t="n">
        <v>0</v>
      </c>
    </row>
    <row r="7">
      <c r="A7" t="inlineStr">
        <is>
          <t>E4</t>
        </is>
      </c>
      <c r="B7" t="n">
        <v>64</v>
      </c>
      <c r="C7" s="15" t="n">
        <v>0.526935862512194</v>
      </c>
      <c r="D7" s="15" t="n">
        <v>28.63237155725119</v>
      </c>
      <c r="E7" s="15" t="n">
        <v>0.9267852688841516</v>
      </c>
      <c r="F7" s="15" t="n">
        <v>0.2731939220701345</v>
      </c>
      <c r="G7" s="19" t="n">
        <v>0.2434970539540186</v>
      </c>
      <c r="H7" s="15" t="n">
        <v>0.4128044797504785</v>
      </c>
      <c r="I7" s="15" t="n">
        <v>22</v>
      </c>
      <c r="J7" s="15" t="n">
        <v>60</v>
      </c>
      <c r="K7" s="15" t="n">
        <v>0.3666666666666666</v>
      </c>
      <c r="L7" t="n">
        <v>22</v>
      </c>
      <c r="M7" t="n">
        <v>60</v>
      </c>
      <c r="N7" t="n">
        <v>0.3666666666666666</v>
      </c>
      <c r="O7" t="n">
        <v>37</v>
      </c>
      <c r="P7" t="n">
        <v>0</v>
      </c>
      <c r="Q7" s="15" t="n">
        <v>26.82607163732176</v>
      </c>
      <c r="R7" s="15" t="n">
        <v>14.77764031060438</v>
      </c>
      <c r="S7" s="15" t="n">
        <v>0.4322678104939704</v>
      </c>
      <c r="T7" s="15" t="n">
        <v>12.88649517328379</v>
      </c>
      <c r="U7" s="15" t="n">
        <v>18.7643973661222</v>
      </c>
      <c r="V7" s="15" t="n">
        <v>0</v>
      </c>
      <c r="W7" t="n">
        <v>1</v>
      </c>
      <c r="X7" t="n">
        <v>0.5</v>
      </c>
      <c r="Y7" t="n">
        <v>0.25</v>
      </c>
      <c r="Z7" t="inlineStr">
        <is>
          <t>his_note_adaptive</t>
        </is>
      </c>
      <c r="AA7" t="n">
        <v>-90</v>
      </c>
      <c r="AB7" t="n">
        <v>20000</v>
      </c>
      <c r="AC7" s="15" t="n">
        <v>0.3666666666666666</v>
      </c>
      <c r="AD7" s="15" t="n">
        <v>0.3083333333333333</v>
      </c>
      <c r="AE7" t="n">
        <v>2.409374111542631</v>
      </c>
      <c r="AF7" s="15" t="n">
        <v>2.401443549518539</v>
      </c>
      <c r="AG7" s="15" t="n">
        <v>0.6824623483064656</v>
      </c>
      <c r="AH7" s="15" t="n">
        <v>0.5882439223345644</v>
      </c>
      <c r="AI7" s="15" t="n">
        <v>1</v>
      </c>
      <c r="AJ7" s="15" t="n">
        <v>0.3217625912094145</v>
      </c>
      <c r="AK7" s="15" t="n">
        <v>0.8791136888900791</v>
      </c>
      <c r="AL7" s="15" t="n">
        <v>0.7258153096028757</v>
      </c>
      <c r="AM7" s="15" t="n">
        <v>0.1555555555555554</v>
      </c>
      <c r="AN7" s="15" t="n">
        <v>0.4166666666666666</v>
      </c>
      <c r="AO7" s="15" t="n">
        <v>0.4904485843361516</v>
      </c>
      <c r="AP7" s="15" t="n">
        <v>2.338790860671976</v>
      </c>
      <c r="AQ7" s="15" t="n">
        <v>0.7191475554653173</v>
      </c>
      <c r="AR7" s="15" t="n">
        <v>384.5031051641469</v>
      </c>
      <c r="AS7" s="15" t="n">
        <v>0.4989269327677055</v>
      </c>
      <c r="AT7" s="15" t="n">
        <v>1.928163372636246</v>
      </c>
      <c r="AU7" s="15" t="n">
        <v>0.3424770699934678</v>
      </c>
      <c r="AV7" s="15" t="n">
        <v>0.06815041804226236</v>
      </c>
      <c r="AW7" s="19" t="n">
        <v>0.7565029460459813</v>
      </c>
      <c r="AX7" s="19" t="n">
        <v>0</v>
      </c>
      <c r="AY7" s="19" t="n">
        <v>1</v>
      </c>
      <c r="AZ7" s="19" t="n">
        <v>0</v>
      </c>
      <c r="BA7" s="19" t="n">
        <v>0</v>
      </c>
    </row>
    <row r="8">
      <c r="A8" t="inlineStr">
        <is>
          <t>F4</t>
        </is>
      </c>
      <c r="B8" t="n">
        <v>65</v>
      </c>
      <c r="C8" s="15" t="n">
        <v>0.2359909999662678</v>
      </c>
      <c r="D8" s="15" t="n">
        <v>25.22262185052533</v>
      </c>
      <c r="E8" s="15" t="n">
        <v>0.8745122994682879</v>
      </c>
      <c r="F8" s="15" t="n">
        <v>0.2615845611091387</v>
      </c>
      <c r="G8" s="19" t="n">
        <v>0.2418622175836816</v>
      </c>
      <c r="H8" s="15" t="n">
        <v>0.3256378141518155</v>
      </c>
      <c r="I8" s="15" t="n">
        <v>21</v>
      </c>
      <c r="J8" s="15" t="n">
        <v>57</v>
      </c>
      <c r="K8" s="15" t="n">
        <v>0.3684210526315789</v>
      </c>
      <c r="L8" t="n">
        <v>21</v>
      </c>
      <c r="M8" t="n">
        <v>57</v>
      </c>
      <c r="N8" t="n">
        <v>0.3684210526315789</v>
      </c>
      <c r="O8" t="n">
        <v>34</v>
      </c>
      <c r="P8" t="n">
        <v>0</v>
      </c>
      <c r="Q8" s="15" t="n">
        <v>24.86326746438355</v>
      </c>
      <c r="R8" s="15" t="n">
        <v>13.72025124259835</v>
      </c>
      <c r="S8" s="15" t="n">
        <v>0.3803222964469927</v>
      </c>
      <c r="T8" s="15" t="n">
        <v>12.42189035525733</v>
      </c>
      <c r="U8" s="15" t="n">
        <v>16.79091002346365</v>
      </c>
      <c r="V8" s="15" t="n">
        <v>0</v>
      </c>
      <c r="W8" t="n">
        <v>1</v>
      </c>
      <c r="X8" t="n">
        <v>0.5</v>
      </c>
      <c r="Y8" t="n">
        <v>0.25</v>
      </c>
      <c r="Z8" t="inlineStr">
        <is>
          <t>his_note_adaptive</t>
        </is>
      </c>
      <c r="AA8" t="n">
        <v>-90</v>
      </c>
      <c r="AB8" t="n">
        <v>20000</v>
      </c>
      <c r="AC8" s="15" t="n">
        <v>0.3684210526315789</v>
      </c>
      <c r="AD8" s="15" t="n">
        <v>0.2833333333333333</v>
      </c>
      <c r="AE8" t="n">
        <v>2.180455444494234</v>
      </c>
      <c r="AF8" s="15" t="n">
        <v>2.158157555975846</v>
      </c>
      <c r="AG8" s="15" t="n">
        <v>0.5743477888694809</v>
      </c>
      <c r="AH8" s="15" t="n">
        <v>0.4874022495963752</v>
      </c>
      <c r="AI8" s="15" t="n">
        <v>0.9411691515663992</v>
      </c>
      <c r="AJ8" s="15" t="n">
        <v>0.2842947143359385</v>
      </c>
      <c r="AK8" s="15" t="n">
        <v>0.8642307376073443</v>
      </c>
      <c r="AL8" s="15" t="n">
        <v>0.5564481405606053</v>
      </c>
      <c r="AM8" s="15" t="n">
        <v>0.1578947368421052</v>
      </c>
      <c r="AN8" s="15" t="n">
        <v>0.3541666666666667</v>
      </c>
      <c r="AO8" s="15" t="n">
        <v>0.4047680321788192</v>
      </c>
      <c r="AP8" s="15" t="n">
        <v>2.35157426245415</v>
      </c>
      <c r="AQ8" s="15" t="n">
        <v>0.7515749605199155</v>
      </c>
      <c r="AR8" s="15" t="n">
        <v>395.8422815043601</v>
      </c>
      <c r="AS8" s="15" t="n">
        <v>0.5155278403402985</v>
      </c>
      <c r="AT8" s="15" t="n">
        <v>1.924920234580902</v>
      </c>
      <c r="AU8" s="15" t="n">
        <v>0.3576900646262127</v>
      </c>
      <c r="AV8" s="15" t="n">
        <v>0.06896396324703516</v>
      </c>
      <c r="AW8" s="19" t="n">
        <v>0.7581377824163184</v>
      </c>
      <c r="AX8" s="19" t="n">
        <v>0</v>
      </c>
      <c r="AY8" s="19" t="n">
        <v>1</v>
      </c>
      <c r="AZ8" s="19" t="n">
        <v>0</v>
      </c>
      <c r="BA8" s="19" t="n">
        <v>0</v>
      </c>
    </row>
    <row r="9">
      <c r="A9" t="inlineStr">
        <is>
          <t>F#4</t>
        </is>
      </c>
      <c r="B9" t="n">
        <v>66</v>
      </c>
      <c r="C9" s="15" t="n">
        <v>0.4734321405134889</v>
      </c>
      <c r="D9" s="15" t="n">
        <v>28.0954237758746</v>
      </c>
      <c r="E9" s="15" t="n">
        <v>0.8788487373457707</v>
      </c>
      <c r="F9" s="15" t="n">
        <v>0.3419033427228828</v>
      </c>
      <c r="G9" s="19" t="n">
        <v>0.1856725838221213</v>
      </c>
      <c r="H9" s="15" t="n">
        <v>0.4100282782832637</v>
      </c>
      <c r="I9" s="15" t="n">
        <v>27</v>
      </c>
      <c r="J9" s="15" t="n">
        <v>54</v>
      </c>
      <c r="K9" s="15" t="n">
        <v>0.5</v>
      </c>
      <c r="L9" t="n">
        <v>27</v>
      </c>
      <c r="M9" t="n">
        <v>54</v>
      </c>
      <c r="N9" t="n">
        <v>0.5</v>
      </c>
      <c r="O9" t="n">
        <v>30</v>
      </c>
      <c r="P9" t="n">
        <v>0</v>
      </c>
      <c r="Q9" s="15" t="n">
        <v>27.456008619299</v>
      </c>
      <c r="R9" s="15" t="n">
        <v>14.80841563445551</v>
      </c>
      <c r="S9" s="15" t="n">
        <v>0.4337796854185181</v>
      </c>
      <c r="T9" s="15" t="n">
        <v>14.76439150642235</v>
      </c>
      <c r="U9" s="15" t="n">
        <v>15.0540184531728</v>
      </c>
      <c r="V9" s="15" t="n">
        <v>0</v>
      </c>
      <c r="W9" t="n">
        <v>1</v>
      </c>
      <c r="X9" t="n">
        <v>0.5</v>
      </c>
      <c r="Y9" t="n">
        <v>0.25</v>
      </c>
      <c r="Z9" t="inlineStr">
        <is>
          <t>his_note_adaptive</t>
        </is>
      </c>
      <c r="AA9" t="n">
        <v>-90</v>
      </c>
      <c r="AB9" t="n">
        <v>20000</v>
      </c>
      <c r="AC9" s="15" t="n">
        <v>0.5</v>
      </c>
      <c r="AD9" s="15" t="n">
        <v>0.25</v>
      </c>
      <c r="AE9" t="n">
        <v>2.367396324875041</v>
      </c>
      <c r="AF9" s="15" t="n">
        <v>2.347613078667856</v>
      </c>
      <c r="AG9" s="15" t="n">
        <v>0.6625804666278853</v>
      </c>
      <c r="AH9" s="15" t="n">
        <v>0.5723639554442473</v>
      </c>
      <c r="AI9" s="15" t="n">
        <v>0.946049615071013</v>
      </c>
      <c r="AJ9" s="15" t="n">
        <v>0.5435143415180056</v>
      </c>
      <c r="AK9" s="15" t="n">
        <v>0.3527009007126519</v>
      </c>
      <c r="AL9" s="15" t="n">
        <v>0.720421075695179</v>
      </c>
      <c r="AM9" s="15" t="n">
        <v>0.3333333333333333</v>
      </c>
      <c r="AN9" s="15" t="n">
        <v>0.2708333333333333</v>
      </c>
      <c r="AO9" s="15" t="n">
        <v>0.4714905489876582</v>
      </c>
      <c r="AP9" s="15" t="n">
        <v>2.330482451145594</v>
      </c>
      <c r="AQ9" s="15" t="n">
        <v>0.6980717756641098</v>
      </c>
      <c r="AR9" s="15" t="n">
        <v>433.492582822151</v>
      </c>
      <c r="AS9" s="15" t="n">
        <v>0.5706490549244946</v>
      </c>
      <c r="AT9" s="15" t="n">
        <v>1.930746337070845</v>
      </c>
      <c r="AU9" s="15" t="n">
        <v>0.3379943961000898</v>
      </c>
      <c r="AV9" s="15" t="n">
        <v>0.06174171797465915</v>
      </c>
      <c r="AW9" s="19" t="n">
        <v>0.8143274161778787</v>
      </c>
      <c r="AX9" s="19" t="n">
        <v>0</v>
      </c>
      <c r="AY9" s="19" t="n">
        <v>1</v>
      </c>
      <c r="AZ9" s="19" t="n">
        <v>0</v>
      </c>
      <c r="BA9" s="19" t="n">
        <v>0</v>
      </c>
    </row>
    <row r="10">
      <c r="A10" t="inlineStr">
        <is>
          <t>G4</t>
        </is>
      </c>
      <c r="B10" t="n">
        <v>67</v>
      </c>
      <c r="C10" s="15" t="n">
        <v>0.8491924913978777</v>
      </c>
      <c r="D10" s="15" t="n">
        <v>32.16712735078939</v>
      </c>
      <c r="E10" s="15" t="n">
        <v>0.8417595944994456</v>
      </c>
      <c r="F10" s="15" t="n">
        <v>0.4360995703886203</v>
      </c>
      <c r="G10" s="19" t="n">
        <v>0.1641985586833837</v>
      </c>
      <c r="H10" s="15" t="n">
        <v>0.4225071010426581</v>
      </c>
      <c r="I10" s="15" t="n">
        <v>18</v>
      </c>
      <c r="J10" s="15" t="n">
        <v>50</v>
      </c>
      <c r="K10" s="15" t="n">
        <v>0.36</v>
      </c>
      <c r="L10" t="n">
        <v>18</v>
      </c>
      <c r="M10" t="n">
        <v>50</v>
      </c>
      <c r="N10" t="n">
        <v>0.36</v>
      </c>
      <c r="O10" t="n">
        <v>40</v>
      </c>
      <c r="P10" t="n">
        <v>0</v>
      </c>
      <c r="Q10" s="15" t="n">
        <v>22.45156899868786</v>
      </c>
      <c r="R10" s="15" t="n">
        <v>13.36010213249841</v>
      </c>
      <c r="S10" s="15" t="n">
        <v>0.3626295367771942</v>
      </c>
      <c r="T10" s="15" t="n">
        <v>11.82666458975301</v>
      </c>
      <c r="U10" s="15" t="n">
        <v>19.40503211597639</v>
      </c>
      <c r="V10" s="15" t="n">
        <v>0</v>
      </c>
      <c r="W10" t="n">
        <v>1</v>
      </c>
      <c r="X10" t="n">
        <v>0.5</v>
      </c>
      <c r="Y10" t="n">
        <v>0.25</v>
      </c>
      <c r="Z10" t="inlineStr">
        <is>
          <t>his_note_adaptive</t>
        </is>
      </c>
      <c r="AA10" t="n">
        <v>-90</v>
      </c>
      <c r="AB10" t="n">
        <v>20000</v>
      </c>
      <c r="AC10" s="15" t="n">
        <v>0.36</v>
      </c>
      <c r="AD10" s="15" t="n">
        <v>0.3333333333333333</v>
      </c>
      <c r="AE10" t="n">
        <v>3.161915028156128</v>
      </c>
      <c r="AF10" s="15" t="n">
        <v>3.124488167479294</v>
      </c>
      <c r="AG10" s="15" t="n">
        <v>0.8022123007639486</v>
      </c>
      <c r="AH10" s="15" t="n">
        <v>0.6927825886883689</v>
      </c>
      <c r="AI10" s="15" t="n">
        <v>0.9043074725122983</v>
      </c>
      <c r="AJ10" s="15" t="n">
        <v>0.8475218292671882</v>
      </c>
      <c r="AK10" s="15" t="n">
        <v>0.1572092443102647</v>
      </c>
      <c r="AL10" s="15" t="n">
        <v>0.7446677629950004</v>
      </c>
      <c r="AM10" s="15" t="n">
        <v>0.1466666666666666</v>
      </c>
      <c r="AN10" s="15" t="n">
        <v>0.4791666666666667</v>
      </c>
      <c r="AO10" s="15" t="n">
        <v>0.7450907081968229</v>
      </c>
      <c r="AP10" s="15" t="n">
        <v>2.399412449518113</v>
      </c>
      <c r="AQ10" s="15" t="n">
        <v>0.8729251531708231</v>
      </c>
      <c r="AR10" s="15" t="n">
        <v>649.079630458105</v>
      </c>
      <c r="AS10" s="15" t="n">
        <v>0.886275211910904</v>
      </c>
      <c r="AT10" s="15" t="n">
        <v>1.959464218854416</v>
      </c>
      <c r="AU10" s="15" t="n">
        <v>0.3754888541717911</v>
      </c>
      <c r="AV10" s="15" t="n">
        <v>0.0644593764919062</v>
      </c>
      <c r="AW10" s="19" t="n">
        <v>0.8358014413166163</v>
      </c>
      <c r="AX10" s="19" t="n">
        <v>0</v>
      </c>
      <c r="AY10" s="19" t="n">
        <v>1</v>
      </c>
      <c r="AZ10" s="19" t="n">
        <v>0</v>
      </c>
      <c r="BA10" s="19" t="n">
        <v>0</v>
      </c>
    </row>
    <row r="11">
      <c r="A11" t="inlineStr">
        <is>
          <t>G#4</t>
        </is>
      </c>
      <c r="B11" t="n">
        <v>68</v>
      </c>
      <c r="C11" s="15" t="n">
        <v>0.7854863042193517</v>
      </c>
      <c r="D11" s="15" t="n">
        <v>32.03272441438115</v>
      </c>
      <c r="E11" s="15" t="n">
        <v>0.7670000170113817</v>
      </c>
      <c r="F11" s="15" t="n">
        <v>0.4413947500391375</v>
      </c>
      <c r="G11" s="19" t="n">
        <v>0.1725678941967096</v>
      </c>
      <c r="H11" s="15" t="n">
        <v>0.4743714784231534</v>
      </c>
      <c r="I11" s="15" t="n">
        <v>27</v>
      </c>
      <c r="J11" s="15" t="n">
        <v>48</v>
      </c>
      <c r="K11" s="15" t="n">
        <v>0.5625</v>
      </c>
      <c r="L11" t="n">
        <v>27</v>
      </c>
      <c r="M11" t="n">
        <v>48</v>
      </c>
      <c r="N11" t="n">
        <v>0.5625</v>
      </c>
      <c r="O11" t="n">
        <v>48</v>
      </c>
      <c r="P11" t="n">
        <v>0</v>
      </c>
      <c r="Q11" s="15" t="n">
        <v>30.74964142211417</v>
      </c>
      <c r="R11" s="15" t="n">
        <v>16.70657767358739</v>
      </c>
      <c r="S11" s="15" t="n">
        <v>0.5270291863360012</v>
      </c>
      <c r="T11" s="15" t="n">
        <v>15.52605081333238</v>
      </c>
      <c r="U11" s="15" t="n">
        <v>22.1376334353787</v>
      </c>
      <c r="V11" s="15" t="n">
        <v>0</v>
      </c>
      <c r="W11" t="n">
        <v>1</v>
      </c>
      <c r="X11" t="n">
        <v>0.5</v>
      </c>
      <c r="Y11" t="n">
        <v>0.25</v>
      </c>
      <c r="Z11" t="inlineStr">
        <is>
          <t>his_note_adaptive</t>
        </is>
      </c>
      <c r="AA11" t="n">
        <v>-90</v>
      </c>
      <c r="AB11" t="n">
        <v>20000</v>
      </c>
      <c r="AC11" s="15" t="n">
        <v>0.5625</v>
      </c>
      <c r="AD11" s="15" t="n">
        <v>0.4</v>
      </c>
      <c r="AE11" t="n">
        <v>3.515114524228677</v>
      </c>
      <c r="AF11" s="15" t="n">
        <v>3.47862091829183</v>
      </c>
      <c r="AG11" s="15" t="n">
        <v>0.7785392023632878</v>
      </c>
      <c r="AH11" s="15" t="n">
        <v>0.6888076878616024</v>
      </c>
      <c r="AI11" s="15" t="n">
        <v>0.8201689699303965</v>
      </c>
      <c r="AJ11" s="15" t="n">
        <v>0.8646114123919683</v>
      </c>
      <c r="AK11" s="15" t="n">
        <v>0.2334006081517799</v>
      </c>
      <c r="AL11" s="15" t="n">
        <v>0.8454416392324916</v>
      </c>
      <c r="AM11" s="15" t="n">
        <v>0.4166666666666667</v>
      </c>
      <c r="AN11" s="15" t="n">
        <v>0.6458333333333334</v>
      </c>
      <c r="AO11" s="15" t="n">
        <v>0.869809312769052</v>
      </c>
      <c r="AP11" s="15" t="n">
        <v>2.37373776247034</v>
      </c>
      <c r="AQ11" s="15" t="n">
        <v>0.807796677141136</v>
      </c>
      <c r="AR11" s="15" t="n">
        <v>726.7588429202345</v>
      </c>
      <c r="AS11" s="15" t="n">
        <v>1</v>
      </c>
      <c r="AT11" s="15" t="n">
        <v>1.951272300043674</v>
      </c>
      <c r="AU11" s="15" t="n">
        <v>0.3567796783211363</v>
      </c>
      <c r="AV11" s="15" t="n">
        <v>0.06568578410553036</v>
      </c>
      <c r="AW11" s="19" t="n">
        <v>0.8274321058032904</v>
      </c>
      <c r="AX11" s="19" t="n">
        <v>0</v>
      </c>
      <c r="AY11" s="19" t="n">
        <v>1</v>
      </c>
      <c r="AZ11" s="19" t="n">
        <v>0</v>
      </c>
      <c r="BA11" s="19" t="n">
        <v>0</v>
      </c>
    </row>
    <row r="12">
      <c r="A12" t="inlineStr">
        <is>
          <t>A4</t>
        </is>
      </c>
      <c r="B12" t="n">
        <v>69</v>
      </c>
      <c r="C12" s="15" t="n">
        <v>0.7864441246273934</v>
      </c>
      <c r="D12" s="15" t="n">
        <v>29.72515226953593</v>
      </c>
      <c r="E12" s="15" t="n">
        <v>0.901078883742552</v>
      </c>
      <c r="F12" s="15" t="n">
        <v>0.4484469426967139</v>
      </c>
      <c r="G12" s="19" t="n">
        <v>0.1521681802246322</v>
      </c>
      <c r="H12" s="15" t="n">
        <v>0.4425726569856173</v>
      </c>
      <c r="I12" s="15" t="n">
        <v>17</v>
      </c>
      <c r="J12" s="15" t="n">
        <v>45</v>
      </c>
      <c r="K12" s="15" t="n">
        <v>0.3777777777777778</v>
      </c>
      <c r="L12" t="n">
        <v>17</v>
      </c>
      <c r="M12" t="n">
        <v>45</v>
      </c>
      <c r="N12" t="n">
        <v>0.3777777777777778</v>
      </c>
      <c r="O12" t="n">
        <v>25</v>
      </c>
      <c r="P12" t="n">
        <v>0</v>
      </c>
      <c r="Q12" s="15" t="n">
        <v>17.98264696647929</v>
      </c>
      <c r="R12" s="15" t="n">
        <v>11.04782036741415</v>
      </c>
      <c r="S12" s="15" t="n">
        <v>0.2490359045531946</v>
      </c>
      <c r="T12" s="15" t="n">
        <v>10.78275243765484</v>
      </c>
      <c r="U12" s="15" t="n">
        <v>12.94074356815425</v>
      </c>
      <c r="V12" s="15" t="n">
        <v>0</v>
      </c>
      <c r="W12" t="n">
        <v>1</v>
      </c>
      <c r="X12" t="n">
        <v>0.5</v>
      </c>
      <c r="Y12" t="n">
        <v>0.25</v>
      </c>
      <c r="Z12" t="inlineStr">
        <is>
          <t>his_note_adaptive</t>
        </is>
      </c>
      <c r="AA12" t="n">
        <v>-90</v>
      </c>
      <c r="AB12" t="n">
        <v>20000</v>
      </c>
      <c r="AC12" s="15" t="n">
        <v>0.3777777777777778</v>
      </c>
      <c r="AD12" s="15" t="n">
        <v>0.2083333333333333</v>
      </c>
      <c r="AE12" t="n">
        <v>3.122787800580719</v>
      </c>
      <c r="AF12" s="15" t="n">
        <v>3.09234227154249</v>
      </c>
      <c r="AG12" s="15" t="n">
        <v>0.7788951266113706</v>
      </c>
      <c r="AH12" s="15" t="n">
        <v>0.6205623751363795</v>
      </c>
      <c r="AI12" s="15" t="n">
        <v>0.9710686332737345</v>
      </c>
      <c r="AJ12" s="15" t="n">
        <v>0.8873715528570505</v>
      </c>
      <c r="AK12" s="15" t="n">
        <v>0.0476890869641511</v>
      </c>
      <c r="AL12" s="15" t="n">
        <v>0.7836556763444176</v>
      </c>
      <c r="AM12" s="15" t="n">
        <v>0.1703703703703704</v>
      </c>
      <c r="AN12" s="15" t="n">
        <v>0.1666666666666665</v>
      </c>
      <c r="AO12" s="15" t="n">
        <v>0.7337695545481885</v>
      </c>
      <c r="AP12" s="15" t="n">
        <v>2.341383054918113</v>
      </c>
      <c r="AQ12" s="15" t="n">
        <v>0.7257231238650299</v>
      </c>
      <c r="AR12" s="15" t="n">
        <v>701.0100332694078</v>
      </c>
      <c r="AS12" s="15" t="n">
        <v>0.9623029401525621</v>
      </c>
      <c r="AT12" s="15" t="n">
        <v>1.933347538451114</v>
      </c>
      <c r="AU12" s="15" t="n">
        <v>0.3569528420748109</v>
      </c>
      <c r="AV12" s="15" t="n">
        <v>0.05108267439218839</v>
      </c>
      <c r="AW12" s="19" t="n">
        <v>0.8478318197753679</v>
      </c>
      <c r="AX12" s="19" t="n">
        <v>0</v>
      </c>
      <c r="AY12" s="19" t="n">
        <v>1</v>
      </c>
      <c r="AZ12" s="19" t="n">
        <v>0</v>
      </c>
      <c r="BA12" s="19" t="n">
        <v>0</v>
      </c>
    </row>
    <row r="13">
      <c r="A13" t="inlineStr">
        <is>
          <t>A#4</t>
        </is>
      </c>
      <c r="B13" t="n">
        <v>70</v>
      </c>
      <c r="C13" s="15" t="n">
        <v>0.6351814559973663</v>
      </c>
      <c r="D13" s="15" t="n">
        <v>27.53000231607261</v>
      </c>
      <c r="E13" s="15" t="n">
        <v>0.8259685198873965</v>
      </c>
      <c r="F13" s="15" t="n">
        <v>0.4802183865850435</v>
      </c>
      <c r="G13" s="19" t="n">
        <v>0.1469297129101821</v>
      </c>
      <c r="H13" s="15" t="n">
        <v>0.3611558623096275</v>
      </c>
      <c r="I13" s="15" t="n">
        <v>29</v>
      </c>
      <c r="J13" s="15" t="n">
        <v>42</v>
      </c>
      <c r="K13" s="15" t="n">
        <v>0.6904761904761905</v>
      </c>
      <c r="L13" t="n">
        <v>29</v>
      </c>
      <c r="M13" t="n">
        <v>42</v>
      </c>
      <c r="N13" t="n">
        <v>0.6904761904761905</v>
      </c>
      <c r="O13" t="n">
        <v>24</v>
      </c>
      <c r="P13" t="n">
        <v>0</v>
      </c>
      <c r="Q13" s="15" t="n">
        <v>28.65811246952407</v>
      </c>
      <c r="R13" s="15" t="n">
        <v>15.54377711713318</v>
      </c>
      <c r="S13" s="15" t="n">
        <v>0.4699052057060244</v>
      </c>
      <c r="T13" s="15" t="n">
        <v>15.79541582377343</v>
      </c>
      <c r="U13" s="15" t="n">
        <v>12.11527712011912</v>
      </c>
      <c r="V13" s="15" t="n">
        <v>0</v>
      </c>
      <c r="W13" t="n">
        <v>1</v>
      </c>
      <c r="X13" t="n">
        <v>0.5</v>
      </c>
      <c r="Y13" t="n">
        <v>0.25</v>
      </c>
      <c r="Z13" t="inlineStr">
        <is>
          <t>his_note_adaptive</t>
        </is>
      </c>
      <c r="AA13" t="n">
        <v>-90</v>
      </c>
      <c r="AB13" t="n">
        <v>20000</v>
      </c>
      <c r="AC13" s="15" t="n">
        <v>0.6904761904761905</v>
      </c>
      <c r="AD13" s="15" t="n">
        <v>0.2</v>
      </c>
      <c r="AE13" t="n">
        <v>2.513986136821564</v>
      </c>
      <c r="AF13" s="15" t="n">
        <v>2.492042699940593</v>
      </c>
      <c r="AG13" s="15" t="n">
        <v>0.7226862056663701</v>
      </c>
      <c r="AH13" s="15" t="n">
        <v>0.5556418935005126</v>
      </c>
      <c r="AI13" s="15" t="n">
        <v>0.886535336597953</v>
      </c>
      <c r="AJ13" s="15" t="n">
        <v>0.9899102327809434</v>
      </c>
      <c r="AK13" s="15" t="n">
        <v>0</v>
      </c>
      <c r="AL13" s="15" t="n">
        <v>0.6254606607147307</v>
      </c>
      <c r="AM13" s="15" t="n">
        <v>0.5873015873015873</v>
      </c>
      <c r="AN13" s="15" t="n">
        <v>0.1458333333333333</v>
      </c>
      <c r="AO13" s="15" t="n">
        <v>0.5223558270019099</v>
      </c>
      <c r="AP13" s="15" t="n">
        <v>2.351007241386383</v>
      </c>
      <c r="AQ13" s="15" t="n">
        <v>0.7501366092772433</v>
      </c>
      <c r="AR13" s="15" t="n">
        <v>641.2028007281738</v>
      </c>
      <c r="AS13" s="15" t="n">
        <v>0.8747432876874568</v>
      </c>
      <c r="AT13" s="15" t="n">
        <v>1.939558492203733</v>
      </c>
      <c r="AU13" s="15" t="n">
        <v>0.3644236643848092</v>
      </c>
      <c r="AV13" s="15" t="n">
        <v>0.0470250847978405</v>
      </c>
      <c r="AW13" s="19" t="n">
        <v>0.8530702870898179</v>
      </c>
      <c r="AX13" s="19" t="n">
        <v>0</v>
      </c>
      <c r="AY13" s="19" t="n">
        <v>1</v>
      </c>
      <c r="AZ13" s="19" t="n">
        <v>0</v>
      </c>
      <c r="BA13" s="19" t="n">
        <v>0</v>
      </c>
    </row>
    <row r="14">
      <c r="A14" t="inlineStr">
        <is>
          <t>B4</t>
        </is>
      </c>
      <c r="B14" t="n">
        <v>71</v>
      </c>
      <c r="C14" s="15" t="n">
        <v>0.3629064179115546</v>
      </c>
      <c r="D14" s="15" t="n">
        <v>23.18656886297832</v>
      </c>
      <c r="E14" s="15" t="n">
        <v>0.8732515915706586</v>
      </c>
      <c r="F14" s="15" t="n">
        <v>0.4168645431293365</v>
      </c>
      <c r="G14" s="19" t="n">
        <v>0.1962209834308471</v>
      </c>
      <c r="H14" s="15" t="n">
        <v>0.3319382863152758</v>
      </c>
      <c r="I14" s="15" t="n">
        <v>24</v>
      </c>
      <c r="J14" s="15" t="n">
        <v>40</v>
      </c>
      <c r="K14" s="15" t="n">
        <v>0.6</v>
      </c>
      <c r="L14" t="n">
        <v>24</v>
      </c>
      <c r="M14" t="n">
        <v>40</v>
      </c>
      <c r="N14" t="n">
        <v>0.6</v>
      </c>
      <c r="O14" t="n">
        <v>17</v>
      </c>
      <c r="P14" t="n">
        <v>0</v>
      </c>
      <c r="Q14" s="15" t="n">
        <v>23.39589396536771</v>
      </c>
      <c r="R14" s="15" t="n">
        <v>12.99995836868613</v>
      </c>
      <c r="S14" s="15" t="n">
        <v>0.344937039750229</v>
      </c>
      <c r="T14" s="15" t="n">
        <v>13.35716701268037</v>
      </c>
      <c r="U14" s="15" t="n">
        <v>9.21805837179139</v>
      </c>
      <c r="V14" s="15" t="n">
        <v>0</v>
      </c>
      <c r="W14" t="n">
        <v>1</v>
      </c>
      <c r="X14" t="n">
        <v>0.5</v>
      </c>
      <c r="Y14" t="n">
        <v>0.25</v>
      </c>
      <c r="Z14" t="inlineStr">
        <is>
          <t>his_note_adaptive</t>
        </is>
      </c>
      <c r="AA14" t="n">
        <v>-90</v>
      </c>
      <c r="AB14" t="n">
        <v>20000</v>
      </c>
      <c r="AC14" s="15" t="n">
        <v>0.6</v>
      </c>
      <c r="AD14" s="15" t="n">
        <v>0.1416666666666667</v>
      </c>
      <c r="AE14" t="n">
        <v>2.105547877688738</v>
      </c>
      <c r="AF14" s="15" t="n">
        <v>2.085005338729588</v>
      </c>
      <c r="AG14" s="15" t="n">
        <v>0.6215093176101698</v>
      </c>
      <c r="AH14" s="15" t="n">
        <v>0.4271869825804917</v>
      </c>
      <c r="AI14" s="15" t="n">
        <v>0.9397502821952255</v>
      </c>
      <c r="AJ14" s="15" t="n">
        <v>0.7854429917299512</v>
      </c>
      <c r="AK14" s="15" t="n">
        <v>0.44872966563126</v>
      </c>
      <c r="AL14" s="15" t="n">
        <v>0.5686901269509997</v>
      </c>
      <c r="AM14" s="15" t="n">
        <v>0.4666666666666666</v>
      </c>
      <c r="AN14" s="15" t="n">
        <v>0</v>
      </c>
      <c r="AO14" s="15" t="n">
        <v>0.379005256961377</v>
      </c>
      <c r="AP14" s="15" t="n">
        <v>2.332436410058628</v>
      </c>
      <c r="AQ14" s="15" t="n">
        <v>0.7030283449883521</v>
      </c>
      <c r="AR14" s="15" t="n">
        <v>524.8900546982662</v>
      </c>
      <c r="AS14" s="15" t="n">
        <v>0.704457802355575</v>
      </c>
      <c r="AT14" s="15" t="n">
        <v>1.916447432581278</v>
      </c>
      <c r="AU14" s="15" t="n">
        <v>0.3630476252316491</v>
      </c>
      <c r="AV14" s="15" t="n">
        <v>0.05294135224570179</v>
      </c>
      <c r="AW14" s="19" t="n">
        <v>0.803779016569153</v>
      </c>
      <c r="AX14" s="19" t="n">
        <v>0</v>
      </c>
      <c r="AY14" s="19" t="n">
        <v>1</v>
      </c>
      <c r="AZ14" s="19" t="n">
        <v>0</v>
      </c>
      <c r="BA14" s="19" t="n">
        <v>0</v>
      </c>
    </row>
    <row r="15">
      <c r="A15" t="inlineStr">
        <is>
          <t>C5</t>
        </is>
      </c>
      <c r="B15" t="n">
        <v>72</v>
      </c>
      <c r="C15" s="15" t="n">
        <v>-0.09929333812193548</v>
      </c>
      <c r="D15" s="15" t="n">
        <v>20.59095835545673</v>
      </c>
      <c r="E15" s="15" t="n">
        <v>0.8498790649313351</v>
      </c>
      <c r="F15" s="15" t="n">
        <v>0.267297767866146</v>
      </c>
      <c r="G15" s="19" t="n">
        <v>0.2372043766072849</v>
      </c>
      <c r="H15" s="15" t="n">
        <v>0.3505438503864222</v>
      </c>
      <c r="I15" s="15" t="n">
        <v>19</v>
      </c>
      <c r="J15" s="15" t="n">
        <v>38</v>
      </c>
      <c r="K15" s="15" t="n">
        <v>0.5</v>
      </c>
      <c r="L15" t="n">
        <v>19</v>
      </c>
      <c r="M15" t="n">
        <v>38</v>
      </c>
      <c r="N15" t="n">
        <v>0.5</v>
      </c>
      <c r="O15" t="n">
        <v>21</v>
      </c>
      <c r="P15" t="n">
        <v>0</v>
      </c>
      <c r="Q15" s="15" t="n">
        <v>19.3339946563757</v>
      </c>
      <c r="R15" s="15" t="n">
        <v>11.32075798895205</v>
      </c>
      <c r="S15" s="15" t="n">
        <v>0.2624442945985745</v>
      </c>
      <c r="T15" s="15" t="n">
        <v>11.04207691586387</v>
      </c>
      <c r="U15" s="15" t="n">
        <v>12.71085255504475</v>
      </c>
      <c r="V15" s="15" t="n">
        <v>0</v>
      </c>
      <c r="W15" t="n">
        <v>1</v>
      </c>
      <c r="X15" t="n">
        <v>0.5</v>
      </c>
      <c r="Y15" t="n">
        <v>0.25</v>
      </c>
      <c r="Z15" t="inlineStr">
        <is>
          <t>his_note_adaptive</t>
        </is>
      </c>
      <c r="AA15" t="n">
        <v>-90</v>
      </c>
      <c r="AB15" t="n">
        <v>20000</v>
      </c>
      <c r="AC15" s="15" t="n">
        <v>0.5</v>
      </c>
      <c r="AD15" s="15" t="n">
        <v>0.175</v>
      </c>
      <c r="AE15" t="n">
        <v>2.012611056367703</v>
      </c>
      <c r="AF15" s="15" t="n">
        <v>1.983746121951479</v>
      </c>
      <c r="AG15" s="15" t="n">
        <v>0.4497567643663239</v>
      </c>
      <c r="AH15" s="15" t="n">
        <v>0.3504230767609549</v>
      </c>
      <c r="AI15" s="15" t="n">
        <v>0.9134455670127157</v>
      </c>
      <c r="AJ15" s="15" t="n">
        <v>0.3027334318539353</v>
      </c>
      <c r="AK15" s="15" t="n">
        <v>0.8218274600731245</v>
      </c>
      <c r="AL15" s="15" t="n">
        <v>0.6048412369369367</v>
      </c>
      <c r="AM15" s="15" t="n">
        <v>0.3333333333333333</v>
      </c>
      <c r="AN15" s="15" t="n">
        <v>0.08333333333333326</v>
      </c>
      <c r="AO15" s="15" t="n">
        <v>0.3433437481411213</v>
      </c>
      <c r="AP15" s="15" t="n">
        <v>2.3186681628957</v>
      </c>
      <c r="AQ15" s="15" t="n">
        <v>0.6681027019356036</v>
      </c>
      <c r="AR15" s="15" t="n">
        <v>129.0684716396621</v>
      </c>
      <c r="AS15" s="15" t="n">
        <v>0.1249626681023014</v>
      </c>
      <c r="AT15" s="15" t="n">
        <v>1.903464412021861</v>
      </c>
      <c r="AU15" s="15" t="n">
        <v>0.3649199039395593</v>
      </c>
      <c r="AV15" s="15" t="n">
        <v>0.05028384693427984</v>
      </c>
      <c r="AW15" s="19" t="n">
        <v>0.762795623392715</v>
      </c>
      <c r="AX15" s="19" t="n">
        <v>0</v>
      </c>
      <c r="AY15" s="19" t="n">
        <v>1</v>
      </c>
      <c r="AZ15" s="19" t="n">
        <v>0</v>
      </c>
      <c r="BA15" s="19" t="n">
        <v>0</v>
      </c>
    </row>
    <row r="16">
      <c r="A16" t="inlineStr">
        <is>
          <t>C#5</t>
        </is>
      </c>
      <c r="B16" t="n">
        <v>73</v>
      </c>
      <c r="C16" s="15" t="n">
        <v>-0.0866308593337511</v>
      </c>
      <c r="D16" s="15" t="n">
        <v>19.55319907832017</v>
      </c>
      <c r="E16" s="15" t="n">
        <v>0.865573221705867</v>
      </c>
      <c r="F16" s="15" t="n">
        <v>0.2717186029194231</v>
      </c>
      <c r="G16" s="19" t="n">
        <v>0.2463608480976747</v>
      </c>
      <c r="H16" s="15" t="n">
        <v>0.2998658852641272</v>
      </c>
      <c r="I16" s="15" t="n">
        <v>23</v>
      </c>
      <c r="J16" s="15" t="n">
        <v>36</v>
      </c>
      <c r="K16" s="15" t="n">
        <v>0.6388888888888888</v>
      </c>
      <c r="L16" t="n">
        <v>23</v>
      </c>
      <c r="M16" t="n">
        <v>36</v>
      </c>
      <c r="N16" t="n">
        <v>0.6388888888888888</v>
      </c>
      <c r="O16" t="n">
        <v>23</v>
      </c>
      <c r="P16" t="n">
        <v>0</v>
      </c>
      <c r="Q16" s="15" t="n">
        <v>23</v>
      </c>
      <c r="R16" s="15" t="n">
        <v>12.90827212674877</v>
      </c>
      <c r="S16" s="15" t="n">
        <v>0.3404328424660137</v>
      </c>
      <c r="T16" s="15" t="n">
        <v>12.83281140670261</v>
      </c>
      <c r="U16" s="15" t="n">
        <v>13.31706070446543</v>
      </c>
      <c r="V16" s="15" t="n">
        <v>0</v>
      </c>
      <c r="W16" t="n">
        <v>1</v>
      </c>
      <c r="X16" t="n">
        <v>0.5</v>
      </c>
      <c r="Y16" t="n">
        <v>0.25</v>
      </c>
      <c r="Z16" t="inlineStr">
        <is>
          <t>his_note_adaptive</t>
        </is>
      </c>
      <c r="AA16" t="n">
        <v>-90</v>
      </c>
      <c r="AB16" t="n">
        <v>20000</v>
      </c>
      <c r="AC16" s="15" t="n">
        <v>0.6388888888888888</v>
      </c>
      <c r="AD16" s="15" t="n">
        <v>0.1916666666666667</v>
      </c>
      <c r="AE16" t="n">
        <v>2.031392871001278</v>
      </c>
      <c r="AF16" s="15" t="n">
        <v>2.00198005168289</v>
      </c>
      <c r="AG16" s="15" t="n">
        <v>0.4544621174823241</v>
      </c>
      <c r="AH16" s="15" t="n">
        <v>0.3197318558776155</v>
      </c>
      <c r="AI16" s="15" t="n">
        <v>0.931108626311112</v>
      </c>
      <c r="AJ16" s="15" t="n">
        <v>0.3170011683822969</v>
      </c>
      <c r="AK16" s="15" t="n">
        <v>0.9051846214293571</v>
      </c>
      <c r="AL16" s="15" t="n">
        <v>0.5063725915363529</v>
      </c>
      <c r="AM16" s="15" t="n">
        <v>0.5185185185185185</v>
      </c>
      <c r="AN16" s="15" t="n">
        <v>0.1250000000000001</v>
      </c>
      <c r="AO16" s="15" t="n">
        <v>0.3497653803306093</v>
      </c>
      <c r="AP16" s="15" t="n">
        <v>2.327223543508296</v>
      </c>
      <c r="AQ16" s="15" t="n">
        <v>0.6898049684565363</v>
      </c>
      <c r="AR16" s="15" t="n">
        <v>140.0242020269297</v>
      </c>
      <c r="AS16" s="15" t="n">
        <v>0.1410021988488406</v>
      </c>
      <c r="AT16" s="15" t="n">
        <v>1.896487327587049</v>
      </c>
      <c r="AU16" s="15" t="n">
        <v>0.3793325337015384</v>
      </c>
      <c r="AV16" s="15" t="n">
        <v>0.05140368221970878</v>
      </c>
      <c r="AW16" s="19" t="n">
        <v>0.7536391519023253</v>
      </c>
      <c r="AX16" s="19" t="n">
        <v>0</v>
      </c>
      <c r="AY16" s="19" t="n">
        <v>1</v>
      </c>
      <c r="AZ16" s="19" t="n">
        <v>0</v>
      </c>
      <c r="BA16" s="19" t="n">
        <v>0</v>
      </c>
    </row>
    <row r="17">
      <c r="A17" t="inlineStr">
        <is>
          <t>D5</t>
        </is>
      </c>
      <c r="B17" t="n">
        <v>74</v>
      </c>
      <c r="C17" s="15" t="n">
        <v>0.09704361736657252</v>
      </c>
      <c r="D17" s="15" t="n">
        <v>20.34328343438273</v>
      </c>
      <c r="E17" s="15" t="n">
        <v>0.8544312437494008</v>
      </c>
      <c r="F17" s="15" t="n">
        <v>0.2780164748086394</v>
      </c>
      <c r="G17" s="19" t="n">
        <v>0.2408220986686016</v>
      </c>
      <c r="H17" s="15" t="n">
        <v>0.3676409914246052</v>
      </c>
      <c r="I17" s="15" t="n">
        <v>14</v>
      </c>
      <c r="J17" s="15" t="n">
        <v>33</v>
      </c>
      <c r="K17" s="15" t="n">
        <v>0.4242424242424243</v>
      </c>
      <c r="L17" t="n">
        <v>14</v>
      </c>
      <c r="M17" t="n">
        <v>33</v>
      </c>
      <c r="N17" t="n">
        <v>0.4242424242424243</v>
      </c>
      <c r="O17" t="n">
        <v>44</v>
      </c>
      <c r="P17" t="n">
        <v>0</v>
      </c>
      <c r="Q17" s="15" t="n">
        <v>23.41406548598362</v>
      </c>
      <c r="R17" s="15" t="n">
        <v>12.91185259266201</v>
      </c>
      <c r="S17" s="15" t="n">
        <v>0.3406087371749893</v>
      </c>
      <c r="T17" s="15" t="n">
        <v>8.923272646203493</v>
      </c>
      <c r="U17" s="15" t="n">
        <v>21.63376404568552</v>
      </c>
      <c r="V17" s="15" t="n">
        <v>0</v>
      </c>
      <c r="W17" t="n">
        <v>1</v>
      </c>
      <c r="X17" t="n">
        <v>0.5</v>
      </c>
      <c r="Y17" t="n">
        <v>0.25</v>
      </c>
      <c r="Z17" t="inlineStr">
        <is>
          <t>his_note_adaptive</t>
        </is>
      </c>
      <c r="AA17" t="n">
        <v>-90</v>
      </c>
      <c r="AB17" t="n">
        <v>20000</v>
      </c>
      <c r="AC17" s="15" t="n">
        <v>0.4242424242424243</v>
      </c>
      <c r="AD17" s="15" t="n">
        <v>0.3666666666666666</v>
      </c>
      <c r="AE17" t="n">
        <v>2.231811483879336</v>
      </c>
      <c r="AF17" s="15" t="n">
        <v>2.198876349394125</v>
      </c>
      <c r="AG17" s="15" t="n">
        <v>0.5227152048697654</v>
      </c>
      <c r="AH17" s="15" t="n">
        <v>0.3430982126258733</v>
      </c>
      <c r="AI17" s="15" t="n">
        <v>0.918568837128819</v>
      </c>
      <c r="AJ17" s="15" t="n">
        <v>0.337326825350227</v>
      </c>
      <c r="AK17" s="15" t="n">
        <v>0.8547618761223292</v>
      </c>
      <c r="AL17" s="15" t="n">
        <v>0.6380614405143682</v>
      </c>
      <c r="AM17" s="15" t="n">
        <v>0.2323232323232324</v>
      </c>
      <c r="AN17" s="15" t="n">
        <v>0.5624999999999999</v>
      </c>
      <c r="AO17" s="15" t="n">
        <v>0.419108392067422</v>
      </c>
      <c r="AP17" s="15" t="n">
        <v>2.293193494534051</v>
      </c>
      <c r="AQ17" s="15" t="n">
        <v>0.6034816093914663</v>
      </c>
      <c r="AR17" s="15" t="n">
        <v>161.0002023840959</v>
      </c>
      <c r="AS17" s="15" t="n">
        <v>0.171711717135197</v>
      </c>
      <c r="AT17" s="15" t="n">
        <v>1.884552549339928</v>
      </c>
      <c r="AU17" s="15" t="n">
        <v>0.3531774225606875</v>
      </c>
      <c r="AV17" s="15" t="n">
        <v>0.05546352263343473</v>
      </c>
      <c r="AW17" s="19" t="n">
        <v>0.7591779013313984</v>
      </c>
      <c r="AX17" s="19" t="n">
        <v>0</v>
      </c>
      <c r="AY17" s="19" t="n">
        <v>1</v>
      </c>
      <c r="AZ17" s="19" t="n">
        <v>0</v>
      </c>
      <c r="BA17" s="19" t="n">
        <v>0</v>
      </c>
    </row>
    <row r="18">
      <c r="A18" t="inlineStr">
        <is>
          <t>D#5</t>
        </is>
      </c>
      <c r="B18" t="n">
        <v>75</v>
      </c>
      <c r="C18" s="15" t="n">
        <v>0.02477097372682526</v>
      </c>
      <c r="D18" s="15" t="n">
        <v>17.9819541061814</v>
      </c>
      <c r="E18" s="15" t="n">
        <v>0.8834786931052473</v>
      </c>
      <c r="F18" s="15" t="n">
        <v>0.2911027632837576</v>
      </c>
      <c r="G18" s="19" t="n">
        <v>0.2313431759337262</v>
      </c>
      <c r="H18" s="15" t="n">
        <v>0.3846432075528133</v>
      </c>
      <c r="I18" s="15" t="n">
        <v>19</v>
      </c>
      <c r="J18" s="15" t="n">
        <v>32</v>
      </c>
      <c r="K18" s="15" t="n">
        <v>0.59375</v>
      </c>
      <c r="L18" t="n">
        <v>19</v>
      </c>
      <c r="M18" t="n">
        <v>32</v>
      </c>
      <c r="N18" t="n">
        <v>0.59375</v>
      </c>
      <c r="O18" t="n">
        <v>40</v>
      </c>
      <c r="P18" t="n">
        <v>0</v>
      </c>
      <c r="Q18" s="15" t="n">
        <v>23.74497605969702</v>
      </c>
      <c r="R18" s="15" t="n">
        <v>12.68166096494178</v>
      </c>
      <c r="S18" s="15" t="n">
        <v>0.3293002956627402</v>
      </c>
      <c r="T18" s="15" t="n">
        <v>10.53011238223716</v>
      </c>
      <c r="U18" s="15" t="n">
        <v>20.05229324645044</v>
      </c>
      <c r="V18" s="15" t="n">
        <v>0</v>
      </c>
      <c r="W18" t="n">
        <v>1</v>
      </c>
      <c r="X18" t="n">
        <v>0.5</v>
      </c>
      <c r="Y18" t="n">
        <v>0.25</v>
      </c>
      <c r="Z18" t="inlineStr">
        <is>
          <t>his_note_adaptive</t>
        </is>
      </c>
      <c r="AA18" t="n">
        <v>-90</v>
      </c>
      <c r="AB18" t="n">
        <v>20000</v>
      </c>
      <c r="AC18" s="15" t="n">
        <v>0.59375</v>
      </c>
      <c r="AD18" s="15" t="n">
        <v>0.3333333333333333</v>
      </c>
      <c r="AE18" t="n">
        <v>1.783672103705316</v>
      </c>
      <c r="AF18" s="15" t="n">
        <v>1.751447466444207</v>
      </c>
      <c r="AG18" s="15" t="n">
        <v>0.4958588274858065</v>
      </c>
      <c r="AH18" s="15" t="n">
        <v>0.2732630576079361</v>
      </c>
      <c r="AI18" s="15" t="n">
        <v>0.9512604195954903</v>
      </c>
      <c r="AJ18" s="15" t="n">
        <v>0.3795613158586917</v>
      </c>
      <c r="AK18" s="15" t="n">
        <v>0.7684692367881097</v>
      </c>
      <c r="AL18" s="15" t="n">
        <v>0.6710972024458605</v>
      </c>
      <c r="AM18" s="15" t="n">
        <v>0.4583333333333333</v>
      </c>
      <c r="AN18" s="15" t="n">
        <v>0.4791666666666667</v>
      </c>
      <c r="AO18" s="15" t="n">
        <v>0.2615327208006747</v>
      </c>
      <c r="AP18" s="15" t="n">
        <v>2.276873881383473</v>
      </c>
      <c r="AQ18" s="15" t="n">
        <v>0.5620839661830601</v>
      </c>
      <c r="AR18" s="15" t="n">
        <v>134.4848507021289</v>
      </c>
      <c r="AS18" s="15" t="n">
        <v>0.1328924158631912</v>
      </c>
      <c r="AT18" s="15" t="n">
        <v>1.871055652737032</v>
      </c>
      <c r="AU18" s="15" t="n">
        <v>0.348063816730862</v>
      </c>
      <c r="AV18" s="15" t="n">
        <v>0.05775441191557892</v>
      </c>
      <c r="AW18" s="19" t="n">
        <v>0.7686568240662739</v>
      </c>
      <c r="AX18" s="19" t="n">
        <v>0</v>
      </c>
      <c r="AY18" s="19" t="n">
        <v>1</v>
      </c>
      <c r="AZ18" s="19" t="n">
        <v>0</v>
      </c>
      <c r="BA18" s="19" t="n">
        <v>0</v>
      </c>
    </row>
    <row r="19">
      <c r="A19" t="inlineStr">
        <is>
          <t>E5</t>
        </is>
      </c>
      <c r="B19" t="n">
        <v>76</v>
      </c>
      <c r="C19" s="15" t="n">
        <v>-0.2667637604488123</v>
      </c>
      <c r="D19" s="15" t="n">
        <v>14.77090865220667</v>
      </c>
      <c r="E19" s="15" t="n">
        <v>0.9191096534132798</v>
      </c>
      <c r="F19" s="15" t="n">
        <v>0.2471764296264122</v>
      </c>
      <c r="G19" s="19" t="n">
        <v>0.2319405955232376</v>
      </c>
      <c r="H19" s="15" t="n">
        <v>0.2857001247312771</v>
      </c>
      <c r="I19" s="15" t="n">
        <v>18</v>
      </c>
      <c r="J19" s="15" t="n">
        <v>30</v>
      </c>
      <c r="K19" s="15" t="n">
        <v>0.6</v>
      </c>
      <c r="L19" t="n">
        <v>18</v>
      </c>
      <c r="M19" t="n">
        <v>30</v>
      </c>
      <c r="N19" t="n">
        <v>0.6</v>
      </c>
      <c r="O19" t="n">
        <v>26</v>
      </c>
      <c r="P19" t="n">
        <v>0</v>
      </c>
      <c r="Q19" s="15" t="n">
        <v>19.30899240330435</v>
      </c>
      <c r="R19" s="15" t="n">
        <v>10.16537083217308</v>
      </c>
      <c r="S19" s="15" t="n">
        <v>0.2056845061743033</v>
      </c>
      <c r="T19" s="15" t="n">
        <v>9.465865892383649</v>
      </c>
      <c r="U19" s="15" t="n">
        <v>13.74093999074291</v>
      </c>
      <c r="V19" s="15" t="n">
        <v>0</v>
      </c>
      <c r="W19" t="n">
        <v>1</v>
      </c>
      <c r="X19" t="n">
        <v>0.5</v>
      </c>
      <c r="Y19" t="n">
        <v>0.25</v>
      </c>
      <c r="Z19" t="inlineStr">
        <is>
          <t>his_note_adaptive</t>
        </is>
      </c>
      <c r="AA19" t="n">
        <v>-90</v>
      </c>
      <c r="AB19" t="n">
        <v>20000</v>
      </c>
      <c r="AC19" s="15" t="n">
        <v>0.6</v>
      </c>
      <c r="AD19" s="15" t="n">
        <v>0.2166666666666667</v>
      </c>
      <c r="AE19" t="n">
        <v>1.388099935804525</v>
      </c>
      <c r="AF19" s="15" t="n">
        <v>1.374232266230498</v>
      </c>
      <c r="AG19" s="15" t="n">
        <v>0.3875250728693208</v>
      </c>
      <c r="AH19" s="15" t="n">
        <v>0.1782979655431291</v>
      </c>
      <c r="AI19" s="15" t="n">
        <v>0.9913614440609065</v>
      </c>
      <c r="AJ19" s="15" t="n">
        <v>0.2377941275951723</v>
      </c>
      <c r="AK19" s="15" t="n">
        <v>0.7739079258259713</v>
      </c>
      <c r="AL19" s="15" t="n">
        <v>0.4788481388995373</v>
      </c>
      <c r="AM19" s="15" t="n">
        <v>0.4666666666666666</v>
      </c>
      <c r="AN19" s="15" t="n">
        <v>0.1875000000000001</v>
      </c>
      <c r="AO19" s="15" t="n">
        <v>0.1286849305690616</v>
      </c>
      <c r="AP19" s="15" t="n">
        <v>2.220947315067901</v>
      </c>
      <c r="AQ19" s="15" t="n">
        <v>0.4202161402216761</v>
      </c>
      <c r="AR19" s="15" t="n">
        <v>117.7146751821372</v>
      </c>
      <c r="AS19" s="15" t="n">
        <v>0.1083403562222956</v>
      </c>
      <c r="AT19" s="15" t="n">
        <v>1.846858969955178</v>
      </c>
      <c r="AU19" s="15" t="n">
        <v>0.3233955519608226</v>
      </c>
      <c r="AV19" s="15" t="n">
        <v>0.05069279315190025</v>
      </c>
      <c r="AW19" s="19" t="n">
        <v>0.7680594044767624</v>
      </c>
      <c r="AX19" s="19" t="n">
        <v>0</v>
      </c>
      <c r="AY19" s="19" t="n">
        <v>1</v>
      </c>
      <c r="AZ19" s="19" t="n">
        <v>0</v>
      </c>
      <c r="BA19" s="19" t="n">
        <v>0</v>
      </c>
    </row>
    <row r="20">
      <c r="A20" t="inlineStr">
        <is>
          <t>F5</t>
        </is>
      </c>
      <c r="B20" t="n">
        <v>77</v>
      </c>
      <c r="C20" s="15" t="n">
        <v>-0.5893888790132257</v>
      </c>
      <c r="D20" s="15" t="n">
        <v>13.13863241866366</v>
      </c>
      <c r="E20" s="15" t="n">
        <v>0.7956439689361463</v>
      </c>
      <c r="F20" s="15" t="n">
        <v>0.2250959155177525</v>
      </c>
      <c r="G20" s="19" t="n">
        <v>0.2293247559264064</v>
      </c>
      <c r="H20" s="15" t="n">
        <v>0.1542256640190726</v>
      </c>
      <c r="I20" s="15" t="n">
        <v>16</v>
      </c>
      <c r="J20" s="15" t="n">
        <v>28</v>
      </c>
      <c r="K20" s="15" t="n">
        <v>0.5714285714285714</v>
      </c>
      <c r="L20" t="n">
        <v>16</v>
      </c>
      <c r="M20" t="n">
        <v>28</v>
      </c>
      <c r="N20" t="n">
        <v>0.5714285714285714</v>
      </c>
      <c r="O20" t="n">
        <v>27</v>
      </c>
      <c r="P20" t="n">
        <v>0</v>
      </c>
      <c r="Q20" s="15" t="n">
        <v>17.85284718265569</v>
      </c>
      <c r="R20" s="15" t="n">
        <v>9.689451397676809</v>
      </c>
      <c r="S20" s="15" t="n">
        <v>0.1823043896042739</v>
      </c>
      <c r="T20" s="15" t="n">
        <v>8.860456058809964</v>
      </c>
      <c r="U20" s="15" t="n">
        <v>13.78204312378589</v>
      </c>
      <c r="V20" s="15" t="n">
        <v>0</v>
      </c>
      <c r="W20" t="n">
        <v>1</v>
      </c>
      <c r="X20" t="n">
        <v>0.5</v>
      </c>
      <c r="Y20" t="n">
        <v>0.25</v>
      </c>
      <c r="Z20" t="inlineStr">
        <is>
          <t>his_note_adaptive</t>
        </is>
      </c>
      <c r="AA20" t="n">
        <v>-90</v>
      </c>
      <c r="AB20" t="n">
        <v>20000</v>
      </c>
      <c r="AC20" s="15" t="n">
        <v>0.5714285714285714</v>
      </c>
      <c r="AD20" s="15" t="n">
        <v>0.225</v>
      </c>
      <c r="AE20" t="n">
        <v>1.233304061650036</v>
      </c>
      <c r="AF20" s="15" t="n">
        <v>1.204632186284099</v>
      </c>
      <c r="AG20" s="15" t="n">
        <v>0.267638190345693</v>
      </c>
      <c r="AH20" s="15" t="n">
        <v>0.1300241976954229</v>
      </c>
      <c r="AI20" s="15" t="n">
        <v>0.8524064343992462</v>
      </c>
      <c r="AJ20" s="15" t="n">
        <v>0.1665318086177676</v>
      </c>
      <c r="AK20" s="15" t="n">
        <v>0.7500942806260781</v>
      </c>
      <c r="AL20" s="15" t="n">
        <v>0.2233897356297578</v>
      </c>
      <c r="AM20" s="15" t="n">
        <v>0.4285714285714285</v>
      </c>
      <c r="AN20" s="15" t="n">
        <v>0.2083333333333333</v>
      </c>
      <c r="AO20" s="15" t="n">
        <v>0.06895511100924745</v>
      </c>
      <c r="AP20" s="15" t="n">
        <v>2.268141530888951</v>
      </c>
      <c r="AQ20" s="15" t="n">
        <v>0.5399327836269854</v>
      </c>
      <c r="AR20" s="15" t="n">
        <v>112.7441958978754</v>
      </c>
      <c r="AS20" s="15" t="n">
        <v>0.1010634196341512</v>
      </c>
      <c r="AT20" s="15" t="n">
        <v>1.837090991170709</v>
      </c>
      <c r="AU20" s="15" t="n">
        <v>0.3837405104563218</v>
      </c>
      <c r="AV20" s="15" t="n">
        <v>0.04731002926192057</v>
      </c>
      <c r="AW20" s="19" t="n">
        <v>0.7706752440735937</v>
      </c>
      <c r="AX20" s="19" t="n">
        <v>0</v>
      </c>
      <c r="AY20" s="19" t="n">
        <v>0.9995370233948241</v>
      </c>
      <c r="AZ20" s="19" t="n">
        <v>0.0004629766051759524</v>
      </c>
      <c r="BA20" s="19" t="n">
        <v>0</v>
      </c>
    </row>
    <row r="21">
      <c r="A21" t="inlineStr">
        <is>
          <t>F#5</t>
        </is>
      </c>
      <c r="B21" t="n">
        <v>78</v>
      </c>
      <c r="C21" s="15" t="n">
        <v>-0.3750840850696713</v>
      </c>
      <c r="D21" s="15" t="n">
        <v>14.00810851943164</v>
      </c>
      <c r="E21" s="15" t="n">
        <v>0.8358672232924295</v>
      </c>
      <c r="F21" s="15" t="n">
        <v>0.2660263949581995</v>
      </c>
      <c r="G21" s="19" t="n">
        <v>0.2326426590643657</v>
      </c>
      <c r="H21" s="15" t="n">
        <v>0.1965288739210378</v>
      </c>
      <c r="I21" s="15" t="n">
        <v>15</v>
      </c>
      <c r="J21" s="15" t="n">
        <v>26</v>
      </c>
      <c r="K21" s="15" t="n">
        <v>0.5769230769230769</v>
      </c>
      <c r="L21" t="n">
        <v>15</v>
      </c>
      <c r="M21" t="n">
        <v>26</v>
      </c>
      <c r="N21" t="n">
        <v>0.5769230769230769</v>
      </c>
      <c r="O21" t="n">
        <v>28</v>
      </c>
      <c r="P21" t="n">
        <v>0</v>
      </c>
      <c r="Q21" s="15" t="n">
        <v>17.28041914811443</v>
      </c>
      <c r="R21" s="15" t="n">
        <v>9.304790031181151</v>
      </c>
      <c r="S21" s="15" t="n">
        <v>0.1634074357570871</v>
      </c>
      <c r="T21" s="15" t="n">
        <v>8.290900525528873</v>
      </c>
      <c r="U21" s="15" t="n">
        <v>14.07078690491576</v>
      </c>
      <c r="V21" s="15" t="n">
        <v>0</v>
      </c>
      <c r="W21" t="n">
        <v>1</v>
      </c>
      <c r="X21" t="n">
        <v>0.5</v>
      </c>
      <c r="Y21" t="n">
        <v>0.25</v>
      </c>
      <c r="Z21" t="inlineStr">
        <is>
          <t>his_note_adaptive</t>
        </is>
      </c>
      <c r="AA21" t="n">
        <v>-90</v>
      </c>
      <c r="AB21" t="n">
        <v>20000</v>
      </c>
      <c r="AC21" s="15" t="n">
        <v>0.5769230769230769</v>
      </c>
      <c r="AD21" s="15" t="n">
        <v>0.2333333333333333</v>
      </c>
      <c r="AE21" t="n">
        <v>1.328553768817619</v>
      </c>
      <c r="AF21" s="15" t="n">
        <v>1.2991378204488</v>
      </c>
      <c r="AG21" s="15" t="n">
        <v>0.3472734455610478</v>
      </c>
      <c r="AH21" s="15" t="n">
        <v>0.1557385262968363</v>
      </c>
      <c r="AI21" s="15" t="n">
        <v>0.8976758768469241</v>
      </c>
      <c r="AJ21" s="15" t="n">
        <v>0.2986302220618327</v>
      </c>
      <c r="AK21" s="15" t="n">
        <v>0.7802992550559664</v>
      </c>
      <c r="AL21" s="15" t="n">
        <v>0.3055860070287946</v>
      </c>
      <c r="AM21" s="15" t="n">
        <v>0.4358974358974358</v>
      </c>
      <c r="AN21" s="15" t="n">
        <v>0.2291666666666666</v>
      </c>
      <c r="AO21" s="15" t="n">
        <v>0.102238140579914</v>
      </c>
      <c r="AP21" s="15" t="n">
        <v>2.251181532453796</v>
      </c>
      <c r="AQ21" s="15" t="n">
        <v>0.4969106876032937</v>
      </c>
      <c r="AR21" s="15" t="n">
        <v>123.7033463735193</v>
      </c>
      <c r="AS21" s="15" t="n">
        <v>0.1171079574966679</v>
      </c>
      <c r="AT21" s="15" t="n">
        <v>1.831489160352172</v>
      </c>
      <c r="AU21" s="15" t="n">
        <v>0.3721221664500146</v>
      </c>
      <c r="AV21" s="15" t="n">
        <v>0.04757020565160869</v>
      </c>
      <c r="AW21" s="19" t="n">
        <v>0.7673573409356341</v>
      </c>
      <c r="AX21" s="19" t="n">
        <v>0</v>
      </c>
      <c r="AY21" s="19" t="n">
        <v>0.9995948918819298</v>
      </c>
      <c r="AZ21" s="19" t="n">
        <v>0.0004051081180701112</v>
      </c>
      <c r="BA21" s="19" t="n">
        <v>0</v>
      </c>
    </row>
    <row r="22">
      <c r="A22" t="inlineStr">
        <is>
          <t>G5</t>
        </is>
      </c>
      <c r="B22" t="n">
        <v>79</v>
      </c>
      <c r="C22" s="15" t="n">
        <v>-0.5117557766713768</v>
      </c>
      <c r="D22" s="15" t="n">
        <v>13.11353099697203</v>
      </c>
      <c r="E22" s="15" t="n">
        <v>0.7737534935156463</v>
      </c>
      <c r="F22" s="15" t="n">
        <v>0.238389482685701</v>
      </c>
      <c r="G22" s="19" t="n">
        <v>0.2380900700372621</v>
      </c>
      <c r="H22" s="15" t="n">
        <v>0.1350823810187109</v>
      </c>
      <c r="I22" s="15" t="n">
        <v>16</v>
      </c>
      <c r="J22" s="15" t="n">
        <v>25</v>
      </c>
      <c r="K22" s="15" t="n">
        <v>0.64</v>
      </c>
      <c r="L22" t="n">
        <v>16</v>
      </c>
      <c r="M22" t="n">
        <v>25</v>
      </c>
      <c r="N22" t="n">
        <v>0.64</v>
      </c>
      <c r="O22" t="n">
        <v>37</v>
      </c>
      <c r="P22" t="n">
        <v>0</v>
      </c>
      <c r="Q22" s="15" t="n">
        <v>20.26968214189338</v>
      </c>
      <c r="R22" s="15" t="n">
        <v>11.00386487797049</v>
      </c>
      <c r="S22" s="15" t="n">
        <v>0.2468765380877901</v>
      </c>
      <c r="T22" s="15" t="n">
        <v>9.280223744884452</v>
      </c>
      <c r="U22" s="15" t="n">
        <v>17.75777841801886</v>
      </c>
      <c r="V22" s="15" t="n">
        <v>0</v>
      </c>
      <c r="W22" t="n">
        <v>1</v>
      </c>
      <c r="X22" t="n">
        <v>0.5</v>
      </c>
      <c r="Y22" t="n">
        <v>0.25</v>
      </c>
      <c r="Z22" t="inlineStr">
        <is>
          <t>his_note_adaptive</t>
        </is>
      </c>
      <c r="AA22" t="n">
        <v>-90</v>
      </c>
      <c r="AB22" t="n">
        <v>20000</v>
      </c>
      <c r="AC22" s="15" t="n">
        <v>0.64</v>
      </c>
      <c r="AD22" s="15" t="n">
        <v>0.3083333333333333</v>
      </c>
      <c r="AE22" t="n">
        <v>1.187835920566318</v>
      </c>
      <c r="AF22" s="15" t="n">
        <v>1.149260206756391</v>
      </c>
      <c r="AG22" s="15" t="n">
        <v>0.2964865040226202</v>
      </c>
      <c r="AH22" s="15" t="n">
        <v>0.1292818354784844</v>
      </c>
      <c r="AI22" s="15" t="n">
        <v>0.8277697004238453</v>
      </c>
      <c r="AJ22" s="15" t="n">
        <v>0.2094352672604434</v>
      </c>
      <c r="AK22" s="15" t="n">
        <v>0.8298904885259791</v>
      </c>
      <c r="AL22" s="15" t="n">
        <v>0.1861938233428938</v>
      </c>
      <c r="AM22" s="15" t="n">
        <v>0.52</v>
      </c>
      <c r="AN22" s="15" t="n">
        <v>0.4166666666666666</v>
      </c>
      <c r="AO22" s="15" t="n">
        <v>0.04945418655859279</v>
      </c>
      <c r="AP22" s="15" t="n">
        <v>2.295824238821656</v>
      </c>
      <c r="AQ22" s="15" t="n">
        <v>0.6101549669267188</v>
      </c>
      <c r="AR22" s="15" t="n">
        <v>116.4822924659911</v>
      </c>
      <c r="AS22" s="15" t="n">
        <v>0.1065361095159235</v>
      </c>
      <c r="AT22" s="15" t="n">
        <v>1.831340879118904</v>
      </c>
      <c r="AU22" s="15" t="n">
        <v>0.4077995493148224</v>
      </c>
      <c r="AV22" s="15" t="n">
        <v>0.05668381038792983</v>
      </c>
      <c r="AW22" s="19" t="n">
        <v>0.7619099299627379</v>
      </c>
      <c r="AX22" s="19" t="n">
        <v>0</v>
      </c>
      <c r="AY22" s="19" t="n">
        <v>0.996728851543451</v>
      </c>
      <c r="AZ22" s="19" t="n">
        <v>0.003271148456548966</v>
      </c>
      <c r="BA22" s="19" t="n">
        <v>0</v>
      </c>
    </row>
    <row r="23">
      <c r="A23" t="inlineStr">
        <is>
          <t>G#5</t>
        </is>
      </c>
      <c r="B23" t="n">
        <v>80</v>
      </c>
      <c r="C23" s="15" t="n">
        <v>-0.2130689983181651</v>
      </c>
      <c r="D23" s="15" t="n">
        <v>15.28350461248532</v>
      </c>
      <c r="E23" s="15" t="n">
        <v>0.8022251351594181</v>
      </c>
      <c r="F23" s="15" t="n">
        <v>0.3011453977511343</v>
      </c>
      <c r="G23" s="19" t="n">
        <v>0.2253165105971601</v>
      </c>
      <c r="H23" s="15" t="n">
        <v>0.2221284073724185</v>
      </c>
      <c r="I23" s="15" t="n">
        <v>15</v>
      </c>
      <c r="J23" s="15" t="n">
        <v>24</v>
      </c>
      <c r="K23" s="15" t="n">
        <v>0.625</v>
      </c>
      <c r="L23" t="n">
        <v>15</v>
      </c>
      <c r="M23" t="n">
        <v>24</v>
      </c>
      <c r="N23" t="n">
        <v>0.625</v>
      </c>
      <c r="O23" t="n">
        <v>40</v>
      </c>
      <c r="P23" t="n">
        <v>0</v>
      </c>
      <c r="Q23" s="15" t="n">
        <v>20.03008450704841</v>
      </c>
      <c r="R23" s="15" t="n">
        <v>11.03177660088135</v>
      </c>
      <c r="S23" s="15" t="n">
        <v>0.2482477351602884</v>
      </c>
      <c r="T23" s="15" t="n">
        <v>9.022866466820163</v>
      </c>
      <c r="U23" s="15" t="n">
        <v>19.00734153501336</v>
      </c>
      <c r="V23" s="15" t="n">
        <v>0</v>
      </c>
      <c r="W23" t="n">
        <v>1</v>
      </c>
      <c r="X23" t="n">
        <v>0.5</v>
      </c>
      <c r="Y23" t="n">
        <v>0.25</v>
      </c>
      <c r="Z23" t="inlineStr">
        <is>
          <t>his_note_adaptive</t>
        </is>
      </c>
      <c r="AA23" t="n">
        <v>-90</v>
      </c>
      <c r="AB23" t="n">
        <v>20000</v>
      </c>
      <c r="AC23" s="15" t="n">
        <v>0.625</v>
      </c>
      <c r="AD23" s="15" t="n">
        <v>0.3333333333333333</v>
      </c>
      <c r="AE23" t="n">
        <v>1.51636878816489</v>
      </c>
      <c r="AF23" s="15" t="n">
        <v>1.457091985495994</v>
      </c>
      <c r="AG23" s="15" t="n">
        <v>0.4074779446988148</v>
      </c>
      <c r="AH23" s="15" t="n">
        <v>0.1934577392858689</v>
      </c>
      <c r="AI23" s="15" t="n">
        <v>0.8598132375122933</v>
      </c>
      <c r="AJ23" s="15" t="n">
        <v>0.411972763222003</v>
      </c>
      <c r="AK23" s="15" t="n">
        <v>0.7136046838402392</v>
      </c>
      <c r="AL23" s="15" t="n">
        <v>0.3553265870967071</v>
      </c>
      <c r="AM23" s="15" t="n">
        <v>0.5</v>
      </c>
      <c r="AN23" s="15" t="n">
        <v>0.4791666666666667</v>
      </c>
      <c r="AO23" s="15" t="n">
        <v>0.1578664974767488</v>
      </c>
      <c r="AP23" s="15" t="n">
        <v>2.32762766263649</v>
      </c>
      <c r="AQ23" s="15" t="n">
        <v>0.6908300895380405</v>
      </c>
      <c r="AR23" s="15" t="n">
        <v>158.2411799735956</v>
      </c>
      <c r="AS23" s="15" t="n">
        <v>0.1676724223351862</v>
      </c>
      <c r="AT23" s="15" t="n">
        <v>1.855335190812555</v>
      </c>
      <c r="AU23" s="15" t="n">
        <v>0.4174780535894911</v>
      </c>
      <c r="AV23" s="15" t="n">
        <v>0.05481441823444438</v>
      </c>
      <c r="AW23" s="19" t="n">
        <v>0.7746834894028398</v>
      </c>
      <c r="AX23" s="19" t="n">
        <v>0</v>
      </c>
      <c r="AY23" s="19" t="n">
        <v>1</v>
      </c>
      <c r="AZ23" s="19" t="n">
        <v>0</v>
      </c>
      <c r="BA23" s="19" t="n">
        <v>0</v>
      </c>
    </row>
    <row r="24">
      <c r="A24" t="inlineStr">
        <is>
          <t>A5</t>
        </is>
      </c>
      <c r="B24" t="n">
        <v>81</v>
      </c>
      <c r="C24" s="15" t="n">
        <v>-0.6776886975156792</v>
      </c>
      <c r="D24" s="15" t="n">
        <v>10.05484664995718</v>
      </c>
      <c r="E24" s="15" t="n">
        <v>0.888864640222389</v>
      </c>
      <c r="F24" s="15" t="n">
        <v>0.1734963043559105</v>
      </c>
      <c r="G24" s="19" t="n">
        <v>0.2386580855813046</v>
      </c>
      <c r="H24" s="15" t="n">
        <v>0.03925569378267441</v>
      </c>
      <c r="I24" s="15" t="n">
        <v>13</v>
      </c>
      <c r="J24" s="15" t="n">
        <v>22</v>
      </c>
      <c r="K24" s="15" t="n">
        <v>0.5909090909090909</v>
      </c>
      <c r="L24" t="n">
        <v>13</v>
      </c>
      <c r="M24" t="n">
        <v>22</v>
      </c>
      <c r="N24" t="n">
        <v>0.5909090909090909</v>
      </c>
      <c r="O24" t="n">
        <v>29</v>
      </c>
      <c r="P24" t="n">
        <v>0</v>
      </c>
      <c r="Q24" s="15" t="n">
        <v>15.87896602683437</v>
      </c>
      <c r="R24" s="15" t="n">
        <v>8.407016204633395</v>
      </c>
      <c r="S24" s="15" t="n">
        <v>0.1193032130740516</v>
      </c>
      <c r="T24" s="15" t="n">
        <v>7.282952197710664</v>
      </c>
      <c r="U24" s="15" t="n">
        <v>13.52999503987283</v>
      </c>
      <c r="V24" s="15" t="n">
        <v>0</v>
      </c>
      <c r="W24" t="n">
        <v>1</v>
      </c>
      <c r="X24" t="n">
        <v>0.5</v>
      </c>
      <c r="Y24" t="n">
        <v>0.25</v>
      </c>
      <c r="Z24" t="inlineStr">
        <is>
          <t>his_note_adaptive</t>
        </is>
      </c>
      <c r="AA24" t="n">
        <v>-90</v>
      </c>
      <c r="AB24" t="n">
        <v>20000</v>
      </c>
      <c r="AC24" s="15" t="n">
        <v>0.5909090909090909</v>
      </c>
      <c r="AD24" s="15" t="n">
        <v>0.2416666666666667</v>
      </c>
      <c r="AE24" t="n">
        <v>1.050680693530364</v>
      </c>
      <c r="AF24" s="15" t="n">
        <v>1.017251417550246</v>
      </c>
      <c r="AG24" s="15" t="n">
        <v>0.2348261451622124</v>
      </c>
      <c r="AH24" s="15" t="n">
        <v>0.03882274831361763</v>
      </c>
      <c r="AI24" s="15" t="n">
        <v>0.9573220579921755</v>
      </c>
      <c r="AJ24" s="15" t="n">
        <v>0</v>
      </c>
      <c r="AK24" s="15" t="n">
        <v>0.8350614939080514</v>
      </c>
      <c r="AL24" s="15" t="n">
        <v>0</v>
      </c>
      <c r="AM24" s="15" t="n">
        <v>0.4545454545454546</v>
      </c>
      <c r="AN24" s="15" t="n">
        <v>0.2500000000000001</v>
      </c>
      <c r="AO24" s="15" t="n">
        <v>0.002963281825030476</v>
      </c>
      <c r="AP24" s="15" t="n">
        <v>2.206561532382286</v>
      </c>
      <c r="AQ24" s="15" t="n">
        <v>0.3837240068973236</v>
      </c>
      <c r="AR24" s="15" t="n">
        <v>120.5919155460156</v>
      </c>
      <c r="AS24" s="15" t="n">
        <v>0.1125527257905761</v>
      </c>
      <c r="AT24" s="15" t="n">
        <v>1.763715882673876</v>
      </c>
      <c r="AU24" s="15" t="n">
        <v>0.3992984905111466</v>
      </c>
      <c r="AV24" s="15" t="n">
        <v>0.04354715919726344</v>
      </c>
      <c r="AW24" s="19" t="n">
        <v>0.7613419144186953</v>
      </c>
      <c r="AX24" s="19" t="n">
        <v>0</v>
      </c>
      <c r="AY24" s="19" t="n">
        <v>1</v>
      </c>
      <c r="AZ24" s="19" t="n">
        <v>0</v>
      </c>
      <c r="BA24" s="19" t="n">
        <v>0</v>
      </c>
    </row>
    <row r="25">
      <c r="A25" t="inlineStr">
        <is>
          <t>A#5</t>
        </is>
      </c>
      <c r="B25" t="n">
        <v>82</v>
      </c>
      <c r="C25" s="15" t="n">
        <v>-0.5678356260615532</v>
      </c>
      <c r="D25" s="15" t="n">
        <v>9.829488176409868</v>
      </c>
      <c r="E25" s="15" t="n">
        <v>0.8913893631397065</v>
      </c>
      <c r="F25" s="15" t="n">
        <v>0.2355479745456515</v>
      </c>
      <c r="G25" s="19" t="n">
        <v>0.2567759617676617</v>
      </c>
      <c r="H25" s="15" t="n">
        <v>0.04416879150290052</v>
      </c>
      <c r="I25" s="15" t="n">
        <v>15</v>
      </c>
      <c r="J25" s="15" t="n">
        <v>21</v>
      </c>
      <c r="K25" s="15" t="n">
        <v>0.7142857142857143</v>
      </c>
      <c r="L25" t="n">
        <v>15</v>
      </c>
      <c r="M25" t="n">
        <v>21</v>
      </c>
      <c r="N25" t="n">
        <v>0.7142857142857143</v>
      </c>
      <c r="O25" t="n">
        <v>22</v>
      </c>
      <c r="P25" t="n">
        <v>0</v>
      </c>
      <c r="Q25" s="15" t="n">
        <v>15.97322216702793</v>
      </c>
      <c r="R25" s="15" t="n">
        <v>8.566250145032765</v>
      </c>
      <c r="S25" s="15" t="n">
        <v>0.1271257725633123</v>
      </c>
      <c r="T25" s="15" t="n">
        <v>8.25133206529024</v>
      </c>
      <c r="U25" s="15" t="n">
        <v>10.5164125709364</v>
      </c>
      <c r="V25" s="15" t="n">
        <v>0</v>
      </c>
      <c r="W25" t="n">
        <v>1</v>
      </c>
      <c r="X25" t="n">
        <v>0.5</v>
      </c>
      <c r="Y25" t="n">
        <v>0.25</v>
      </c>
      <c r="Z25" t="inlineStr">
        <is>
          <t>his_note_adaptive</t>
        </is>
      </c>
      <c r="AA25" t="n">
        <v>-90</v>
      </c>
      <c r="AB25" t="n">
        <v>20000</v>
      </c>
      <c r="AC25" s="15" t="n">
        <v>0.7142857142857143</v>
      </c>
      <c r="AD25" s="15" t="n">
        <v>0.1833333333333333</v>
      </c>
      <c r="AE25" t="n">
        <v>1.050691492532239</v>
      </c>
      <c r="AF25" s="15" t="n">
        <v>1.022648384410537</v>
      </c>
      <c r="AG25" s="15" t="n">
        <v>0.2756473382884106</v>
      </c>
      <c r="AH25" s="15" t="n">
        <v>0.03215788215250062</v>
      </c>
      <c r="AI25" s="15" t="n">
        <v>0.9601635187499122</v>
      </c>
      <c r="AJ25" s="15" t="n">
        <v>0.2002646266468861</v>
      </c>
      <c r="AK25" s="15" t="n">
        <v>1</v>
      </c>
      <c r="AL25" s="15" t="n">
        <v>0.009546280638220156</v>
      </c>
      <c r="AM25" s="15" t="n">
        <v>0.6190476190476191</v>
      </c>
      <c r="AN25" s="15" t="n">
        <v>0.1041666666666665</v>
      </c>
      <c r="AO25" s="15" t="n">
        <v>0.004863987631521557</v>
      </c>
      <c r="AP25" s="15" t="n">
        <v>2.18199151201518</v>
      </c>
      <c r="AQ25" s="15" t="n">
        <v>0.3213977172116702</v>
      </c>
      <c r="AR25" s="15" t="n">
        <v>121.2064386190238</v>
      </c>
      <c r="AS25" s="15" t="n">
        <v>0.1134524067224314</v>
      </c>
      <c r="AT25" s="15" t="n">
        <v>1.764192400069757</v>
      </c>
      <c r="AU25" s="15" t="n">
        <v>0.3841662698290959</v>
      </c>
      <c r="AV25" s="15" t="n">
        <v>0.0336328421163274</v>
      </c>
      <c r="AW25" s="19" t="n">
        <v>0.7432240382323383</v>
      </c>
      <c r="AX25" s="19" t="n">
        <v>0</v>
      </c>
      <c r="AY25" s="19" t="n">
        <v>1</v>
      </c>
      <c r="AZ25" s="19" t="n">
        <v>0</v>
      </c>
      <c r="BA25" s="19" t="n">
        <v>0</v>
      </c>
    </row>
    <row r="26">
      <c r="A26" t="inlineStr">
        <is>
          <t>B5</t>
        </is>
      </c>
      <c r="B26" t="n">
        <v>83</v>
      </c>
      <c r="C26" s="15" t="n">
        <v>-0.5236370558909272</v>
      </c>
      <c r="D26" s="15" t="n">
        <v>10.5505877558388</v>
      </c>
      <c r="E26" s="15" t="n">
        <v>0.8407577055566321</v>
      </c>
      <c r="F26" s="15" t="n">
        <v>0.2686703801509485</v>
      </c>
      <c r="G26" s="19" t="n">
        <v>0.2538498456746947</v>
      </c>
      <c r="H26" s="15" t="n">
        <v>0.06744404519089819</v>
      </c>
      <c r="I26" s="15" t="n">
        <v>13</v>
      </c>
      <c r="J26" s="15" t="n">
        <v>20</v>
      </c>
      <c r="K26" s="15" t="n">
        <v>0.65</v>
      </c>
      <c r="L26" t="n">
        <v>13</v>
      </c>
      <c r="M26" t="n">
        <v>20</v>
      </c>
      <c r="N26" t="n">
        <v>0.65</v>
      </c>
      <c r="O26" t="n">
        <v>24</v>
      </c>
      <c r="P26" t="n">
        <v>0</v>
      </c>
      <c r="Q26" s="15" t="n">
        <v>14.73114038728296</v>
      </c>
      <c r="R26" s="15" t="n">
        <v>8.179431481344992</v>
      </c>
      <c r="S26" s="15" t="n">
        <v>0.1081228388880875</v>
      </c>
      <c r="T26" s="15" t="n">
        <v>7.524855242884674</v>
      </c>
      <c r="U26" s="15" t="n">
        <v>11.68415894578337</v>
      </c>
      <c r="V26" s="15" t="n">
        <v>0</v>
      </c>
      <c r="W26" t="n">
        <v>1</v>
      </c>
      <c r="X26" t="n">
        <v>0.5</v>
      </c>
      <c r="Y26" t="n">
        <v>0.25</v>
      </c>
      <c r="Z26" t="inlineStr">
        <is>
          <t>his_note_adaptive</t>
        </is>
      </c>
      <c r="AA26" t="n">
        <v>-90</v>
      </c>
      <c r="AB26" t="n">
        <v>20000</v>
      </c>
      <c r="AC26" s="15" t="n">
        <v>0.65</v>
      </c>
      <c r="AD26" s="15" t="n">
        <v>0.2</v>
      </c>
      <c r="AE26" t="n">
        <v>1.072071299300946</v>
      </c>
      <c r="AF26" s="15" t="n">
        <v>1.048383893054687</v>
      </c>
      <c r="AG26" s="15" t="n">
        <v>0.292071443185563</v>
      </c>
      <c r="AH26" s="15" t="n">
        <v>0.05348404801651738</v>
      </c>
      <c r="AI26" s="15" t="n">
        <v>0.9031798920973989</v>
      </c>
      <c r="AJ26" s="15" t="n">
        <v>0.307163380087502</v>
      </c>
      <c r="AK26" s="15" t="n">
        <v>0.9733617112700539</v>
      </c>
      <c r="AL26" s="15" t="n">
        <v>0.05477072278938686</v>
      </c>
      <c r="AM26" s="15" t="n">
        <v>0.5333333333333333</v>
      </c>
      <c r="AN26" s="15" t="n">
        <v>0.1458333333333333</v>
      </c>
      <c r="AO26" s="15" t="n">
        <v>0.01392752868693221</v>
      </c>
      <c r="AP26" s="15" t="n">
        <v>2.190476151839002</v>
      </c>
      <c r="AQ26" s="15" t="n">
        <v>0.3429205369585329</v>
      </c>
      <c r="AR26" s="15" t="n">
        <v>132.4034543907609</v>
      </c>
      <c r="AS26" s="15" t="n">
        <v>0.1298451867920269</v>
      </c>
      <c r="AT26" s="15" t="n">
        <v>1.786110874566594</v>
      </c>
      <c r="AU26" s="15" t="n">
        <v>0.3724248337794197</v>
      </c>
      <c r="AV26" s="15" t="n">
        <v>0.03194044349298882</v>
      </c>
      <c r="AW26" s="19" t="n">
        <v>0.7461501543253053</v>
      </c>
      <c r="AX26" s="19" t="n">
        <v>0</v>
      </c>
      <c r="AY26" s="19" t="n">
        <v>1</v>
      </c>
      <c r="AZ26" s="19" t="n">
        <v>0</v>
      </c>
      <c r="BA26" s="19" t="n">
        <v>0</v>
      </c>
    </row>
    <row r="27">
      <c r="A27" t="inlineStr">
        <is>
          <t>C6</t>
        </is>
      </c>
      <c r="B27" t="n">
        <v>84</v>
      </c>
      <c r="C27" s="15" t="n">
        <v>-0.5725731749746953</v>
      </c>
      <c r="D27" s="15" t="n">
        <v>11.4039611322078</v>
      </c>
      <c r="E27" s="15" t="n">
        <v>0.7189241090336416</v>
      </c>
      <c r="F27" s="15" t="n">
        <v>0.3193310720581939</v>
      </c>
      <c r="G27" s="19" t="n">
        <v>0.2404917903924752</v>
      </c>
      <c r="H27" s="15" t="n">
        <v>0.1096782647848834</v>
      </c>
      <c r="I27" s="15" t="n">
        <v>14</v>
      </c>
      <c r="J27" s="15" t="n">
        <v>19</v>
      </c>
      <c r="K27" s="15" t="n">
        <v>0.7368421052631579</v>
      </c>
      <c r="L27" t="n">
        <v>14</v>
      </c>
      <c r="M27" t="n">
        <v>19</v>
      </c>
      <c r="N27" t="n">
        <v>0.7368421052631579</v>
      </c>
      <c r="O27" t="n">
        <v>24</v>
      </c>
      <c r="P27" t="n">
        <v>0</v>
      </c>
      <c r="Q27" s="15" t="n">
        <v>15.30407296033944</v>
      </c>
      <c r="R27" s="15" t="n">
        <v>8.271522642184729</v>
      </c>
      <c r="S27" s="15" t="n">
        <v>0.1126469283020475</v>
      </c>
      <c r="T27" s="15" t="n">
        <v>7.77209215849812</v>
      </c>
      <c r="U27" s="15" t="n">
        <v>11.60186624994626</v>
      </c>
      <c r="V27" s="15" t="n">
        <v>0</v>
      </c>
      <c r="W27" t="n">
        <v>1</v>
      </c>
      <c r="X27" t="n">
        <v>0.5</v>
      </c>
      <c r="Y27" t="n">
        <v>0.25</v>
      </c>
      <c r="Z27" t="inlineStr">
        <is>
          <t>his_note_adaptive</t>
        </is>
      </c>
      <c r="AA27" t="n">
        <v>-90</v>
      </c>
      <c r="AB27" t="n">
        <v>20000</v>
      </c>
      <c r="AC27" s="15" t="n">
        <v>0.7368421052631579</v>
      </c>
      <c r="AD27" s="15" t="n">
        <v>0.2</v>
      </c>
      <c r="AE27" t="n">
        <v>1.145944823677208</v>
      </c>
      <c r="AF27" s="15" t="n">
        <v>1.124046763672762</v>
      </c>
      <c r="AG27" s="15" t="n">
        <v>0.2738868740922962</v>
      </c>
      <c r="AH27" s="15" t="n">
        <v>0.07872214645334348</v>
      </c>
      <c r="AI27" s="15" t="n">
        <v>0.7660617231611355</v>
      </c>
      <c r="AJ27" s="15" t="n">
        <v>0.4706649348313868</v>
      </c>
      <c r="AK27" s="15" t="n">
        <v>0.8517548706072389</v>
      </c>
      <c r="AL27" s="15" t="n">
        <v>0.1368329441697189</v>
      </c>
      <c r="AM27" s="15" t="n">
        <v>0.6491228070175438</v>
      </c>
      <c r="AN27" s="15" t="n">
        <v>0.1458333333333333</v>
      </c>
      <c r="AO27" s="15" t="n">
        <v>0.04057450674745845</v>
      </c>
      <c r="AP27" s="15" t="n">
        <v>2.20614002935839</v>
      </c>
      <c r="AQ27" s="15" t="n">
        <v>0.3826547884278957</v>
      </c>
      <c r="AR27" s="15" t="n">
        <v>148.7923741000559</v>
      </c>
      <c r="AS27" s="15" t="n">
        <v>0.1538390760433815</v>
      </c>
      <c r="AT27" s="15" t="n">
        <v>1.79799400339513</v>
      </c>
      <c r="AU27" s="15" t="n">
        <v>0.3701218205378564</v>
      </c>
      <c r="AV27" s="15" t="n">
        <v>0.03802420542540307</v>
      </c>
      <c r="AW27" s="19" t="n">
        <v>0.7595082096075247</v>
      </c>
      <c r="AX27" s="19" t="n">
        <v>0</v>
      </c>
      <c r="AY27" s="19" t="n">
        <v>1</v>
      </c>
      <c r="AZ27" s="19" t="n">
        <v>0</v>
      </c>
      <c r="BA27" s="19" t="n">
        <v>0</v>
      </c>
    </row>
    <row r="28">
      <c r="A28" t="inlineStr">
        <is>
          <t>C#6</t>
        </is>
      </c>
      <c r="B28" t="n">
        <v>85</v>
      </c>
      <c r="C28" s="15" t="n">
        <v>-0.4784989416481742</v>
      </c>
      <c r="D28" s="15" t="n">
        <v>10.06366148625331</v>
      </c>
      <c r="E28" s="15" t="n">
        <v>0.7918834581833128</v>
      </c>
      <c r="F28" s="15" t="n">
        <v>0.3476435501960314</v>
      </c>
      <c r="G28" s="19" t="n">
        <v>0.23692362443608</v>
      </c>
      <c r="H28" s="15" t="n">
        <v>0.06445634019611386</v>
      </c>
      <c r="I28" s="15" t="n">
        <v>14</v>
      </c>
      <c r="J28" s="15" t="n">
        <v>18</v>
      </c>
      <c r="K28" s="15" t="n">
        <v>0.7777777777777778</v>
      </c>
      <c r="L28" t="n">
        <v>14</v>
      </c>
      <c r="M28" t="n">
        <v>18</v>
      </c>
      <c r="N28" t="n">
        <v>0.7777777777777778</v>
      </c>
      <c r="O28" t="n">
        <v>20</v>
      </c>
      <c r="P28" t="n">
        <v>0</v>
      </c>
      <c r="Q28" s="15" t="n">
        <v>14.62456104192448</v>
      </c>
      <c r="R28" s="15" t="n">
        <v>7.82289270998082</v>
      </c>
      <c r="S28" s="15" t="n">
        <v>0.09060744146572253</v>
      </c>
      <c r="T28" s="15" t="n">
        <v>7.601744155215377</v>
      </c>
      <c r="U28" s="15" t="n">
        <v>9.726262400067913</v>
      </c>
      <c r="V28" s="15" t="n">
        <v>0</v>
      </c>
      <c r="W28" t="n">
        <v>1</v>
      </c>
      <c r="X28" t="n">
        <v>0.5</v>
      </c>
      <c r="Y28" t="n">
        <v>0.25</v>
      </c>
      <c r="Z28" t="inlineStr">
        <is>
          <t>his_note_adaptive</t>
        </is>
      </c>
      <c r="AA28" t="n">
        <v>-90</v>
      </c>
      <c r="AB28" t="n">
        <v>20000</v>
      </c>
      <c r="AC28" s="15" t="n">
        <v>0.7777777777777778</v>
      </c>
      <c r="AD28" s="15" t="n">
        <v>0.1666666666666667</v>
      </c>
      <c r="AE28" t="n">
        <v>1.076252706419055</v>
      </c>
      <c r="AF28" s="15" t="n">
        <v>1.056877381650577</v>
      </c>
      <c r="AG28" s="15" t="n">
        <v>0.308844680879015</v>
      </c>
      <c r="AH28" s="15" t="n">
        <v>0.03908344276730778</v>
      </c>
      <c r="AI28" s="15" t="n">
        <v>0.8481741506662749</v>
      </c>
      <c r="AJ28" s="15" t="n">
        <v>0.562040200740983</v>
      </c>
      <c r="AK28" s="15" t="n">
        <v>0.8192715951790105</v>
      </c>
      <c r="AL28" s="15" t="n">
        <v>0.04896553185516079</v>
      </c>
      <c r="AM28" s="15" t="n">
        <v>0.7037037037037037</v>
      </c>
      <c r="AN28" s="15" t="n">
        <v>0.06250000000000007</v>
      </c>
      <c r="AO28" s="15" t="n">
        <v>0.0169187686758885</v>
      </c>
      <c r="AP28" s="15" t="n">
        <v>2.174788728485112</v>
      </c>
      <c r="AQ28" s="15" t="n">
        <v>0.3031265572317186</v>
      </c>
      <c r="AR28" s="15" t="n">
        <v>145.4549070549183</v>
      </c>
      <c r="AS28" s="15" t="n">
        <v>0.1489529202697547</v>
      </c>
      <c r="AT28" s="15" t="n">
        <v>1.768977549961257</v>
      </c>
      <c r="AU28" s="15" t="n">
        <v>0.3670052167663576</v>
      </c>
      <c r="AV28" s="15" t="n">
        <v>0.03880596175749756</v>
      </c>
      <c r="AW28" s="19" t="n">
        <v>0.7630763755639201</v>
      </c>
      <c r="AX28" s="19" t="n">
        <v>0</v>
      </c>
      <c r="AY28" s="19" t="n">
        <v>1</v>
      </c>
      <c r="AZ28" s="19" t="n">
        <v>0</v>
      </c>
      <c r="BA28" s="19" t="n">
        <v>0</v>
      </c>
    </row>
    <row r="29">
      <c r="A29" t="inlineStr">
        <is>
          <t>D6</t>
        </is>
      </c>
      <c r="B29" t="n">
        <v>86</v>
      </c>
      <c r="C29" s="15" t="n">
        <v>-0.4535914713419694</v>
      </c>
      <c r="D29" s="15" t="n">
        <v>11.82244705394015</v>
      </c>
      <c r="E29" s="15" t="n">
        <v>0.6758434497291068</v>
      </c>
      <c r="F29" s="15" t="n">
        <v>0.3866928331016862</v>
      </c>
      <c r="G29" s="19" t="n">
        <v>0.2255364855658945</v>
      </c>
      <c r="H29" s="15" t="n">
        <v>0.1974575115819895</v>
      </c>
      <c r="I29" s="15" t="n">
        <v>10</v>
      </c>
      <c r="J29" s="15" t="n">
        <v>17</v>
      </c>
      <c r="K29" s="15" t="n">
        <v>0.5882352941176471</v>
      </c>
      <c r="L29" t="n">
        <v>10</v>
      </c>
      <c r="M29" t="n">
        <v>17</v>
      </c>
      <c r="N29" t="n">
        <v>0.5882352941176471</v>
      </c>
      <c r="O29" t="n">
        <v>27</v>
      </c>
      <c r="P29" t="n">
        <v>0</v>
      </c>
      <c r="Q29" s="15" t="n">
        <v>12.59481427645707</v>
      </c>
      <c r="R29" s="15" t="n">
        <v>7.063428919843023</v>
      </c>
      <c r="S29" s="15" t="n">
        <v>0.05329786623702453</v>
      </c>
      <c r="T29" s="15" t="n">
        <v>6.044442630879336</v>
      </c>
      <c r="U29" s="15" t="n">
        <v>12.72036046806458</v>
      </c>
      <c r="V29" s="15" t="n">
        <v>0</v>
      </c>
      <c r="W29" t="n">
        <v>1</v>
      </c>
      <c r="X29" t="n">
        <v>0.5</v>
      </c>
      <c r="Y29" t="n">
        <v>0.25</v>
      </c>
      <c r="Z29" t="inlineStr">
        <is>
          <t>his_note_adaptive</t>
        </is>
      </c>
      <c r="AA29" t="n">
        <v>-90</v>
      </c>
      <c r="AB29" t="n">
        <v>20000</v>
      </c>
      <c r="AC29" s="15" t="n">
        <v>0.5882352941176471</v>
      </c>
      <c r="AD29" s="15" t="n">
        <v>0.225</v>
      </c>
      <c r="AE29" t="n">
        <v>1.275679930721124</v>
      </c>
      <c r="AF29" s="15" t="n">
        <v>1.271571803092926</v>
      </c>
      <c r="AG29" s="15" t="n">
        <v>0.3181002496327682</v>
      </c>
      <c r="AH29" s="15" t="n">
        <v>0.09109866203207657</v>
      </c>
      <c r="AI29" s="15" t="n">
        <v>0.7175764014683618</v>
      </c>
      <c r="AJ29" s="15" t="n">
        <v>0.6880672687959941</v>
      </c>
      <c r="AK29" s="15" t="n">
        <v>0.7156072553528985</v>
      </c>
      <c r="AL29" s="15" t="n">
        <v>0.3073903749098098</v>
      </c>
      <c r="AM29" s="15" t="n">
        <v>0.4509803921568628</v>
      </c>
      <c r="AN29" s="15" t="n">
        <v>0.2083333333333333</v>
      </c>
      <c r="AO29" s="15" t="n">
        <v>0.09252993028208019</v>
      </c>
      <c r="AP29" s="15" t="n">
        <v>2.157383487500267</v>
      </c>
      <c r="AQ29" s="15" t="n">
        <v>0.2589750231482392</v>
      </c>
      <c r="AR29" s="15" t="n">
        <v>192.0797937533328</v>
      </c>
      <c r="AS29" s="15" t="n">
        <v>0.2172132075639952</v>
      </c>
      <c r="AT29" s="15" t="n">
        <v>1.809281319114791</v>
      </c>
      <c r="AU29" s="15" t="n">
        <v>0.3046256364184697</v>
      </c>
      <c r="AV29" s="15" t="n">
        <v>0.04347653196700643</v>
      </c>
      <c r="AW29" s="19" t="n">
        <v>0.7744635144341054</v>
      </c>
      <c r="AX29" s="19" t="n">
        <v>0</v>
      </c>
      <c r="AY29" s="19" t="n">
        <v>1</v>
      </c>
      <c r="AZ29" s="19" t="n">
        <v>0</v>
      </c>
      <c r="BA29" s="19" t="n">
        <v>0</v>
      </c>
    </row>
    <row r="30">
      <c r="A30" t="inlineStr">
        <is>
          <t>D#6</t>
        </is>
      </c>
      <c r="B30" t="n">
        <v>87</v>
      </c>
      <c r="C30" s="15" t="n">
        <v>-0.4502739708240819</v>
      </c>
      <c r="D30" s="15" t="n">
        <v>10.45884648013663</v>
      </c>
      <c r="E30" s="15" t="n">
        <v>0.7441939254122475</v>
      </c>
      <c r="F30" s="15" t="n">
        <v>0.3386538912314679</v>
      </c>
      <c r="G30" s="19" t="n">
        <v>0.2537611831744375</v>
      </c>
      <c r="H30" s="15" t="n">
        <v>0.08515675389533836</v>
      </c>
      <c r="I30" s="15" t="n">
        <v>13</v>
      </c>
      <c r="J30" s="15" t="n">
        <v>16</v>
      </c>
      <c r="K30" s="15" t="n">
        <v>0.8125</v>
      </c>
      <c r="L30" t="n">
        <v>13</v>
      </c>
      <c r="M30" t="n">
        <v>16</v>
      </c>
      <c r="N30" t="n">
        <v>0.8125</v>
      </c>
      <c r="O30" t="n">
        <v>32</v>
      </c>
      <c r="P30" t="n">
        <v>0</v>
      </c>
      <c r="Q30" s="15" t="n">
        <v>16.10166817760027</v>
      </c>
      <c r="R30" s="15" t="n">
        <v>8.612626294156536</v>
      </c>
      <c r="S30" s="15" t="n">
        <v>0.1294040568568093</v>
      </c>
      <c r="T30" s="15" t="n">
        <v>7.465821828358592</v>
      </c>
      <c r="U30" s="15" t="n">
        <v>14.49084307580199</v>
      </c>
      <c r="V30" s="15" t="n">
        <v>0</v>
      </c>
      <c r="W30" t="n">
        <v>1</v>
      </c>
      <c r="X30" t="n">
        <v>0.5</v>
      </c>
      <c r="Y30" t="n">
        <v>0.25</v>
      </c>
      <c r="Z30" t="inlineStr">
        <is>
          <t>his_note_adaptive</t>
        </is>
      </c>
      <c r="AA30" t="n">
        <v>-90</v>
      </c>
      <c r="AB30" t="n">
        <v>20000</v>
      </c>
      <c r="AC30" s="15" t="n">
        <v>0.8125</v>
      </c>
      <c r="AD30" s="15" t="n">
        <v>0.2666666666666667</v>
      </c>
      <c r="AE30" t="n">
        <v>1.077208483858992</v>
      </c>
      <c r="AF30" s="15" t="n">
        <v>1.077275741798638</v>
      </c>
      <c r="AG30" s="15" t="n">
        <v>0.3193330265369033</v>
      </c>
      <c r="AH30" s="15" t="n">
        <v>0.0507708448501109</v>
      </c>
      <c r="AI30" s="15" t="n">
        <v>0.7945017516103999</v>
      </c>
      <c r="AJ30" s="15" t="n">
        <v>0.5330271106707856</v>
      </c>
      <c r="AK30" s="15" t="n">
        <v>0.9725545603552131</v>
      </c>
      <c r="AL30" s="15" t="n">
        <v>0.08918699085169787</v>
      </c>
      <c r="AM30" s="15" t="n">
        <v>0.75</v>
      </c>
      <c r="AN30" s="15" t="n">
        <v>0.3125000000000002</v>
      </c>
      <c r="AO30" s="15" t="n">
        <v>0.02410267077867558</v>
      </c>
      <c r="AP30" s="15" t="n">
        <v>2.145829542431917</v>
      </c>
      <c r="AQ30" s="15" t="n">
        <v>0.2296663568719107</v>
      </c>
      <c r="AR30" s="15" t="n">
        <v>163.9749188526918</v>
      </c>
      <c r="AS30" s="15" t="n">
        <v>0.1760667947588423</v>
      </c>
      <c r="AT30" s="15" t="n">
        <v>1.78515876045367</v>
      </c>
      <c r="AU30" s="15" t="n">
        <v>0.3179561982752084</v>
      </c>
      <c r="AV30" s="15" t="n">
        <v>0.04271458370303845</v>
      </c>
      <c r="AW30" s="19" t="n">
        <v>0.7462388168255625</v>
      </c>
      <c r="AX30" s="19" t="n">
        <v>0</v>
      </c>
      <c r="AY30" s="19" t="n">
        <v>1</v>
      </c>
      <c r="AZ30" s="19" t="n">
        <v>0</v>
      </c>
      <c r="BA30" s="19" t="n">
        <v>0</v>
      </c>
    </row>
    <row r="31">
      <c r="A31" t="inlineStr">
        <is>
          <t>E6</t>
        </is>
      </c>
      <c r="B31" t="n">
        <v>88</v>
      </c>
      <c r="C31" s="15" t="n">
        <v>-0.3911391408257255</v>
      </c>
      <c r="D31" s="15" t="n">
        <v>9.467589004361431</v>
      </c>
      <c r="E31" s="15" t="n">
        <v>0.8033706474344374</v>
      </c>
      <c r="F31" s="15" t="n">
        <v>0.3907850354416195</v>
      </c>
      <c r="G31" s="19" t="n">
        <v>0.2548176173347089</v>
      </c>
      <c r="H31" s="15" t="n">
        <v>0.04785782771898282</v>
      </c>
      <c r="I31" s="15" t="n">
        <v>12</v>
      </c>
      <c r="J31" s="15" t="n">
        <v>15</v>
      </c>
      <c r="K31" s="15" t="n">
        <v>0.8</v>
      </c>
      <c r="L31" t="n">
        <v>12</v>
      </c>
      <c r="M31" t="n">
        <v>15</v>
      </c>
      <c r="N31" t="n">
        <v>0.8</v>
      </c>
      <c r="O31" t="n">
        <v>17</v>
      </c>
      <c r="P31" t="n">
        <v>0</v>
      </c>
      <c r="Q31" s="15" t="n">
        <v>12.4897328421171</v>
      </c>
      <c r="R31" s="15" t="n">
        <v>7.001427879859353</v>
      </c>
      <c r="S31" s="15" t="n">
        <v>0.05025199032356124</v>
      </c>
      <c r="T31" s="15" t="n">
        <v>6.867861741710267</v>
      </c>
      <c r="U31" s="15" t="n">
        <v>8.231525015462569</v>
      </c>
      <c r="V31" s="15" t="n">
        <v>0</v>
      </c>
      <c r="W31" t="n">
        <v>1</v>
      </c>
      <c r="X31" t="n">
        <v>0.5</v>
      </c>
      <c r="Y31" t="n">
        <v>0.25</v>
      </c>
      <c r="Z31" t="inlineStr">
        <is>
          <t>his_note_adaptive</t>
        </is>
      </c>
      <c r="AA31" t="n">
        <v>-90</v>
      </c>
      <c r="AB31" t="n">
        <v>20000</v>
      </c>
      <c r="AC31" s="15" t="n">
        <v>0.8</v>
      </c>
      <c r="AD31" s="15" t="n">
        <v>0.1416666666666667</v>
      </c>
      <c r="AE31" t="n">
        <v>1.043136355329637</v>
      </c>
      <c r="AF31" s="15" t="n">
        <v>1.036051148469079</v>
      </c>
      <c r="AG31" s="15" t="n">
        <v>0.3413074172744063</v>
      </c>
      <c r="AH31" s="15" t="n">
        <v>0.02145489190076944</v>
      </c>
      <c r="AI31" s="15" t="n">
        <v>0.8611024594521137</v>
      </c>
      <c r="AJ31" s="15" t="n">
        <v>0.7012743810504158</v>
      </c>
      <c r="AK31" s="15" t="n">
        <v>0.9821719498542582</v>
      </c>
      <c r="AL31" s="15" t="n">
        <v>0.01671417694492312</v>
      </c>
      <c r="AM31" s="15" t="n">
        <v>0.7333333333333334</v>
      </c>
      <c r="AN31" s="15" t="n">
        <v>0</v>
      </c>
      <c r="AO31" s="15" t="n">
        <v>0.009584178088227067</v>
      </c>
      <c r="AP31" s="15" t="n">
        <v>2.12565310643063</v>
      </c>
      <c r="AQ31" s="15" t="n">
        <v>0.1784851866387825</v>
      </c>
      <c r="AR31" s="15" t="n">
        <v>174.8221550355792</v>
      </c>
      <c r="AS31" s="15" t="n">
        <v>0.191947486608707</v>
      </c>
      <c r="AT31" s="15" t="n">
        <v>1.771876813803799</v>
      </c>
      <c r="AU31" s="15" t="n">
        <v>0.3210966680120323</v>
      </c>
      <c r="AV31" s="15" t="n">
        <v>0.03267962461479866</v>
      </c>
      <c r="AW31" s="19" t="n">
        <v>0.7451823826652911</v>
      </c>
      <c r="AX31" s="19" t="n">
        <v>0</v>
      </c>
      <c r="AY31" s="19" t="n">
        <v>1</v>
      </c>
      <c r="AZ31" s="19" t="n">
        <v>0</v>
      </c>
      <c r="BA31" s="19" t="n">
        <v>0</v>
      </c>
    </row>
    <row r="32">
      <c r="A32" t="inlineStr">
        <is>
          <t>F6</t>
        </is>
      </c>
      <c r="B32" t="n">
        <v>89</v>
      </c>
      <c r="C32" s="15" t="n">
        <v>-0.6492006536979323</v>
      </c>
      <c r="D32" s="15" t="n">
        <v>8.742136823927902</v>
      </c>
      <c r="E32" s="15" t="n">
        <v>0.8648637761359399</v>
      </c>
      <c r="F32" s="15" t="n">
        <v>0.2418659833536008</v>
      </c>
      <c r="G32" s="19" t="n">
        <v>0.2355245472874912</v>
      </c>
      <c r="H32" s="15" t="n">
        <v>0.05565831195858106</v>
      </c>
      <c r="I32" s="15" t="n">
        <v>14</v>
      </c>
      <c r="J32" s="15" t="n">
        <v>14</v>
      </c>
      <c r="K32" s="15" t="n">
        <v>1</v>
      </c>
      <c r="L32" t="n">
        <v>14</v>
      </c>
      <c r="M32" t="n">
        <v>14</v>
      </c>
      <c r="N32" t="n">
        <v>1</v>
      </c>
      <c r="O32" t="n">
        <v>24</v>
      </c>
      <c r="P32" t="n">
        <v>0</v>
      </c>
      <c r="Q32" s="15" t="n">
        <v>14.98580140348252</v>
      </c>
      <c r="R32" s="15" t="n">
        <v>7.668759679371654</v>
      </c>
      <c r="S32" s="15" t="n">
        <v>0.08303547032579957</v>
      </c>
      <c r="T32" s="15" t="n">
        <v>7.220897227758338</v>
      </c>
      <c r="U32" s="15" t="n">
        <v>11.76402782212715</v>
      </c>
      <c r="V32" s="15" t="n">
        <v>0</v>
      </c>
      <c r="W32" t="n">
        <v>1</v>
      </c>
      <c r="X32" t="n">
        <v>0.5</v>
      </c>
      <c r="Y32" t="n">
        <v>0.25</v>
      </c>
      <c r="Z32" t="inlineStr">
        <is>
          <t>his_note_adaptive</t>
        </is>
      </c>
      <c r="AA32" t="n">
        <v>-90</v>
      </c>
      <c r="AB32" t="n">
        <v>20000</v>
      </c>
      <c r="AC32" s="15" t="n">
        <v>1</v>
      </c>
      <c r="AD32" s="15" t="n">
        <v>0.2</v>
      </c>
      <c r="AE32" t="n">
        <v>1.06065630926047</v>
      </c>
      <c r="AF32" s="15" t="n">
        <v>1.010955859002098</v>
      </c>
      <c r="AG32" s="15" t="n">
        <v>0.2454122482458888</v>
      </c>
      <c r="AH32" s="15" t="n">
        <v>0</v>
      </c>
      <c r="AI32" s="15" t="n">
        <v>0.9303101776049705</v>
      </c>
      <c r="AJ32" s="15" t="n">
        <v>0.2206552732033247</v>
      </c>
      <c r="AK32" s="15" t="n">
        <v>0.8065349094647444</v>
      </c>
      <c r="AL32" s="15" t="n">
        <v>0.03187072702913173</v>
      </c>
      <c r="AM32" s="15" t="n">
        <v>1</v>
      </c>
      <c r="AN32" s="15" t="n">
        <v>0.1458333333333333</v>
      </c>
      <c r="AO32" s="15" t="n">
        <v>0.0007461096619750376</v>
      </c>
      <c r="AP32" s="15" t="n">
        <v>2.178719494312875</v>
      </c>
      <c r="AQ32" s="15" t="n">
        <v>0.3130976539588345</v>
      </c>
      <c r="AR32" s="15" t="n">
        <v>43.71327504216718</v>
      </c>
      <c r="AS32" s="15" t="n">
        <v>0</v>
      </c>
      <c r="AT32" s="15" t="n">
        <v>1.742887087666708</v>
      </c>
      <c r="AU32" s="15" t="n">
        <v>0.4071687331965597</v>
      </c>
      <c r="AV32" s="15" t="n">
        <v>0.02866367344960672</v>
      </c>
      <c r="AW32" s="19" t="n">
        <v>0.7644754527125087</v>
      </c>
      <c r="AX32" s="19" t="n">
        <v>0</v>
      </c>
      <c r="AY32" s="19" t="n">
        <v>0.9995120537770725</v>
      </c>
      <c r="AZ32" s="19" t="n">
        <v>0.0004879462229274562</v>
      </c>
      <c r="BA32" s="19" t="n">
        <v>0</v>
      </c>
    </row>
    <row r="33">
      <c r="A33" t="inlineStr">
        <is>
          <t>F#6</t>
        </is>
      </c>
      <c r="B33" t="n">
        <v>90</v>
      </c>
      <c r="C33" s="15" t="n">
        <v>-0.5064821657876922</v>
      </c>
      <c r="D33" s="15" t="n">
        <v>9.817800345089159</v>
      </c>
      <c r="E33" s="15" t="n">
        <v>0.7723936657599084</v>
      </c>
      <c r="F33" s="15" t="n">
        <v>0.2933427413262696</v>
      </c>
      <c r="G33" s="19" t="n">
        <v>0.2421957624522479</v>
      </c>
      <c r="H33" s="15" t="n">
        <v>0.06017309057449115</v>
      </c>
      <c r="I33" s="15" t="n">
        <v>12</v>
      </c>
      <c r="J33" s="15" t="n">
        <v>13</v>
      </c>
      <c r="K33" s="15" t="n">
        <v>0.9230769230769231</v>
      </c>
      <c r="L33" t="n">
        <v>12</v>
      </c>
      <c r="M33" t="n">
        <v>13</v>
      </c>
      <c r="N33" t="n">
        <v>0.9230769230769231</v>
      </c>
      <c r="O33" t="n">
        <v>39</v>
      </c>
      <c r="P33" t="n">
        <v>0</v>
      </c>
      <c r="Q33" s="15" t="n">
        <v>16.33977693452621</v>
      </c>
      <c r="R33" s="15" t="n">
        <v>8.917130530894289</v>
      </c>
      <c r="S33" s="15" t="n">
        <v>0.1443631949691914</v>
      </c>
      <c r="T33" s="15" t="n">
        <v>7.087897064393855</v>
      </c>
      <c r="U33" s="15" t="n">
        <v>18.46850587001759</v>
      </c>
      <c r="V33" s="15" t="n">
        <v>0</v>
      </c>
      <c r="W33" t="n">
        <v>1</v>
      </c>
      <c r="X33" t="n">
        <v>0.5</v>
      </c>
      <c r="Y33" t="n">
        <v>0.25</v>
      </c>
      <c r="Z33" t="inlineStr">
        <is>
          <t>his_note_adaptive</t>
        </is>
      </c>
      <c r="AA33" t="n">
        <v>-90</v>
      </c>
      <c r="AB33" t="n">
        <v>20000</v>
      </c>
      <c r="AC33" s="15" t="n">
        <v>0.9230769230769231</v>
      </c>
      <c r="AD33" s="15" t="n">
        <v>0.325</v>
      </c>
      <c r="AE33" t="n">
        <v>1.105694517551371</v>
      </c>
      <c r="AF33" s="15" t="n">
        <v>1.040081131160165</v>
      </c>
      <c r="AG33" s="15" t="n">
        <v>0.2984461678308843</v>
      </c>
      <c r="AH33" s="15" t="n">
        <v>0.03181222028214773</v>
      </c>
      <c r="AI33" s="15" t="n">
        <v>0.8262392761627484</v>
      </c>
      <c r="AJ33" s="15" t="n">
        <v>0.3867905872869901</v>
      </c>
      <c r="AK33" s="15" t="n">
        <v>0.8672672078740632</v>
      </c>
      <c r="AL33" s="15" t="n">
        <v>0.04064306296486585</v>
      </c>
      <c r="AM33" s="15" t="n">
        <v>0.8974358974358975</v>
      </c>
      <c r="AN33" s="15" t="n">
        <v>0.4583333333333334</v>
      </c>
      <c r="AO33" s="15" t="n">
        <v>0.01100345889896613</v>
      </c>
      <c r="AP33" s="15" t="n">
        <v>2.214562370370067</v>
      </c>
      <c r="AQ33" s="15" t="n">
        <v>0.4040195759975437</v>
      </c>
      <c r="AR33" s="15" t="n">
        <v>49.36528291813028</v>
      </c>
      <c r="AS33" s="15" t="n">
        <v>0.008274715687741727</v>
      </c>
      <c r="AT33" s="15" t="n">
        <v>1.772863072815797</v>
      </c>
      <c r="AU33" s="15" t="n">
        <v>0.4089140370786728</v>
      </c>
      <c r="AV33" s="15" t="n">
        <v>0.0327852604755982</v>
      </c>
      <c r="AW33" s="19" t="n">
        <v>0.7578042375477519</v>
      </c>
      <c r="AX33" s="19" t="n">
        <v>0</v>
      </c>
      <c r="AY33" s="19" t="n">
        <v>1</v>
      </c>
      <c r="AZ33" s="19" t="n">
        <v>0</v>
      </c>
      <c r="BA33" s="19" t="n">
        <v>0</v>
      </c>
    </row>
    <row r="34">
      <c r="A34" t="inlineStr">
        <is>
          <t>G6</t>
        </is>
      </c>
      <c r="B34" t="n">
        <v>91</v>
      </c>
      <c r="C34" s="15" t="n">
        <v>-0.1152020734228077</v>
      </c>
      <c r="D34" s="15" t="n">
        <v>14.92949297682763</v>
      </c>
      <c r="E34" s="15" t="n">
        <v>0.5239040590820903</v>
      </c>
      <c r="F34" s="15" t="n">
        <v>0.4659845545221666</v>
      </c>
      <c r="G34" s="19" t="n">
        <v>0.2308909764386148</v>
      </c>
      <c r="H34" s="15" t="n">
        <v>0.3131215172964777</v>
      </c>
      <c r="I34" s="15" t="n">
        <v>12</v>
      </c>
      <c r="J34" s="15" t="n">
        <v>12</v>
      </c>
      <c r="K34" s="15" t="n">
        <v>1</v>
      </c>
      <c r="L34" t="n">
        <v>12</v>
      </c>
      <c r="M34" t="n">
        <v>12</v>
      </c>
      <c r="N34" t="n">
        <v>1</v>
      </c>
      <c r="O34" t="n">
        <v>62</v>
      </c>
      <c r="P34" t="n">
        <v>0</v>
      </c>
      <c r="Q34" s="15" t="n">
        <v>21.92168804948685</v>
      </c>
      <c r="R34" s="15" t="n">
        <v>12.8290281408047</v>
      </c>
      <c r="S34" s="15" t="n">
        <v>0.3365398860230663</v>
      </c>
      <c r="T34" s="15" t="n">
        <v>8.234244431218338</v>
      </c>
      <c r="U34" s="15" t="n">
        <v>31.38949627278377</v>
      </c>
      <c r="V34" s="15" t="n">
        <v>0</v>
      </c>
      <c r="W34" t="n">
        <v>1</v>
      </c>
      <c r="X34" t="n">
        <v>0.5</v>
      </c>
      <c r="Y34" t="n">
        <v>0.25</v>
      </c>
      <c r="Z34" t="inlineStr">
        <is>
          <t>his_note_adaptive</t>
        </is>
      </c>
      <c r="AA34" t="n">
        <v>-90</v>
      </c>
      <c r="AB34" t="n">
        <v>20000</v>
      </c>
      <c r="AC34" s="15" t="n">
        <v>1</v>
      </c>
      <c r="AD34" s="15" t="n">
        <v>0.5166666666666667</v>
      </c>
      <c r="AE34" t="n">
        <v>1.443403475788122</v>
      </c>
      <c r="AF34" s="15" t="n">
        <v>1.397641781062638</v>
      </c>
      <c r="AG34" s="15" t="n">
        <v>0.4438451084834781</v>
      </c>
      <c r="AH34" s="15" t="n">
        <v>0.1829880190486075</v>
      </c>
      <c r="AI34" s="15" t="n">
        <v>0.54657553118806</v>
      </c>
      <c r="AJ34" s="15" t="n">
        <v>0.9439721773650264</v>
      </c>
      <c r="AK34" s="15" t="n">
        <v>0.7643525782784676</v>
      </c>
      <c r="AL34" s="15" t="n">
        <v>0.5321286400873219</v>
      </c>
      <c r="AM34" s="15" t="n">
        <v>1</v>
      </c>
      <c r="AN34" s="15" t="n">
        <v>0.9375000000000002</v>
      </c>
      <c r="AO34" s="15" t="n">
        <v>0.1369293022541954</v>
      </c>
      <c r="AP34" s="15" t="n">
        <v>2.299643614332764</v>
      </c>
      <c r="AQ34" s="15" t="n">
        <v>0.6198435020181388</v>
      </c>
      <c r="AR34" s="15" t="n">
        <v>71.62643126231141</v>
      </c>
      <c r="AS34" s="15" t="n">
        <v>0.04086573068156867</v>
      </c>
      <c r="AT34" s="15" t="n">
        <v>1.860596347897141</v>
      </c>
      <c r="AU34" s="15" t="n">
        <v>0.3856811071935924</v>
      </c>
      <c r="AV34" s="15" t="n">
        <v>0.05336615924203061</v>
      </c>
      <c r="AW34" s="19" t="n">
        <v>0.7691090235613852</v>
      </c>
      <c r="AX34" s="19" t="n">
        <v>0</v>
      </c>
      <c r="AY34" s="19" t="n">
        <v>1</v>
      </c>
      <c r="AZ34" s="19" t="n">
        <v>0</v>
      </c>
      <c r="BA34" s="19" t="n">
        <v>0</v>
      </c>
    </row>
    <row r="35">
      <c r="A35" t="inlineStr">
        <is>
          <t>G#6</t>
        </is>
      </c>
      <c r="B35" t="n">
        <v>92</v>
      </c>
      <c r="C35" s="15" t="n">
        <v>-0.5047046131725432</v>
      </c>
      <c r="D35" s="15" t="n">
        <v>8.831102623203174</v>
      </c>
      <c r="E35" s="15" t="n">
        <v>0.8704325742892074</v>
      </c>
      <c r="F35" s="15" t="n">
        <v>0.2795357777167399</v>
      </c>
      <c r="G35" s="19" t="n">
        <v>0.2326291904816389</v>
      </c>
      <c r="H35" s="15" t="n">
        <v>0.06227796250227594</v>
      </c>
      <c r="I35" s="15" t="n">
        <v>11</v>
      </c>
      <c r="J35" s="15" t="n">
        <v>12</v>
      </c>
      <c r="K35" s="15" t="n">
        <v>0.9166666666666666</v>
      </c>
      <c r="L35" t="n">
        <v>11</v>
      </c>
      <c r="M35" t="n">
        <v>12</v>
      </c>
      <c r="N35" t="n">
        <v>0.9166666666666666</v>
      </c>
      <c r="O35" t="n">
        <v>30</v>
      </c>
      <c r="P35" t="n">
        <v>0</v>
      </c>
      <c r="Q35" s="15" t="n">
        <v>13.31394953900531</v>
      </c>
      <c r="R35" s="15" t="n">
        <v>7.000115973540878</v>
      </c>
      <c r="S35" s="15" t="n">
        <v>0.05018754134242778</v>
      </c>
      <c r="T35" s="15" t="n">
        <v>6.088132506833472</v>
      </c>
      <c r="U35" s="15" t="n">
        <v>13.57649194395814</v>
      </c>
      <c r="V35" s="15" t="n">
        <v>0</v>
      </c>
      <c r="W35" t="n">
        <v>1</v>
      </c>
      <c r="X35" t="n">
        <v>0.5</v>
      </c>
      <c r="Y35" t="n">
        <v>0.25</v>
      </c>
      <c r="Z35" t="inlineStr">
        <is>
          <t>his_note_adaptive</t>
        </is>
      </c>
      <c r="AA35" t="n">
        <v>-90</v>
      </c>
      <c r="AB35" t="n">
        <v>20000</v>
      </c>
      <c r="AC35" s="15" t="n">
        <v>0.9166666666666666</v>
      </c>
      <c r="AD35" s="15" t="n">
        <v>0.25</v>
      </c>
      <c r="AE35" t="n">
        <v>1.042466403467372</v>
      </c>
      <c r="AF35" s="15" t="n">
        <v>1.008837314877031</v>
      </c>
      <c r="AG35" s="15" t="n">
        <v>0.2991067030133283</v>
      </c>
      <c r="AH35" s="15" t="n">
        <v>0.002631119814369903</v>
      </c>
      <c r="AI35" s="15" t="n">
        <v>0.9365776065223101</v>
      </c>
      <c r="AJ35" s="15" t="n">
        <v>0.3422302006940961</v>
      </c>
      <c r="AK35" s="15" t="n">
        <v>0.7801766420139471</v>
      </c>
      <c r="AL35" s="15" t="n">
        <v>0.04473288557259131</v>
      </c>
      <c r="AM35" s="15" t="n">
        <v>0.8888888888888888</v>
      </c>
      <c r="AN35" s="15" t="n">
        <v>0.2708333333333333</v>
      </c>
      <c r="AO35" s="15" t="n">
        <v>0</v>
      </c>
      <c r="AP35" s="15" t="n">
        <v>2.152321467564693</v>
      </c>
      <c r="AQ35" s="15" t="n">
        <v>0.2461342962711247</v>
      </c>
      <c r="AR35" s="15" t="n">
        <v>54.33269892670851</v>
      </c>
      <c r="AS35" s="15" t="n">
        <v>0.01554716754481164</v>
      </c>
      <c r="AT35" s="15" t="n">
        <v>1.748093458611959</v>
      </c>
      <c r="AU35" s="15" t="n">
        <v>0.3716911159014437</v>
      </c>
      <c r="AV35" s="15" t="n">
        <v>0.03253689305129009</v>
      </c>
      <c r="AW35" s="19" t="n">
        <v>0.767370809518361</v>
      </c>
      <c r="AX35" s="19" t="n">
        <v>0</v>
      </c>
      <c r="AY35" s="19" t="n">
        <v>1</v>
      </c>
      <c r="AZ35" s="19" t="n">
        <v>0</v>
      </c>
      <c r="BA35" s="19" t="n">
        <v>0</v>
      </c>
    </row>
    <row r="36">
      <c r="A36" t="inlineStr">
        <is>
          <t>A6</t>
        </is>
      </c>
      <c r="B36" t="n">
        <v>93</v>
      </c>
      <c r="C36" s="15" t="n">
        <v>-0.3178682851090348</v>
      </c>
      <c r="D36" s="15" t="n">
        <v>10.54943014785548</v>
      </c>
      <c r="E36" s="15" t="n">
        <v>0.7600545108043817</v>
      </c>
      <c r="F36" s="15" t="n">
        <v>0.3582235484800538</v>
      </c>
      <c r="G36" s="19" t="n">
        <v>0.2395881984263659</v>
      </c>
      <c r="H36" s="15" t="n">
        <v>0.1214868989597053</v>
      </c>
      <c r="I36" s="15" t="n">
        <v>10</v>
      </c>
      <c r="J36" s="15" t="n">
        <v>11</v>
      </c>
      <c r="K36" s="15" t="n">
        <v>0.9090909090909091</v>
      </c>
      <c r="L36" t="n">
        <v>10</v>
      </c>
      <c r="M36" t="n">
        <v>11</v>
      </c>
      <c r="N36" t="n">
        <v>0.9090909090909091</v>
      </c>
      <c r="O36" t="n">
        <v>42</v>
      </c>
      <c r="P36" t="n">
        <v>0</v>
      </c>
      <c r="Q36" s="15" t="n">
        <v>15.41645721963036</v>
      </c>
      <c r="R36" s="15" t="n">
        <v>8.399947951523684</v>
      </c>
      <c r="S36" s="15" t="n">
        <v>0.1189559766099084</v>
      </c>
      <c r="T36" s="15" t="n">
        <v>6.038176372074304</v>
      </c>
      <c r="U36" s="15" t="n">
        <v>19.9913356933507</v>
      </c>
      <c r="V36" s="15" t="n">
        <v>0</v>
      </c>
      <c r="W36" t="n">
        <v>1</v>
      </c>
      <c r="X36" t="n">
        <v>0.5</v>
      </c>
      <c r="Y36" t="n">
        <v>0.25</v>
      </c>
      <c r="Z36" t="inlineStr">
        <is>
          <t>his_note_adaptive</t>
        </is>
      </c>
      <c r="AA36" t="n">
        <v>-90</v>
      </c>
      <c r="AB36" t="n">
        <v>20000</v>
      </c>
      <c r="AC36" s="15" t="n">
        <v>0.9090909090909091</v>
      </c>
      <c r="AD36" s="15" t="n">
        <v>0.35</v>
      </c>
      <c r="AE36" t="n">
        <v>1.110432571582308</v>
      </c>
      <c r="AF36" s="15" t="n">
        <v>1.072601801875223</v>
      </c>
      <c r="AG36" s="15" t="n">
        <v>0.3685347283740496</v>
      </c>
      <c r="AH36" s="15" t="n">
        <v>0.05344981232901727</v>
      </c>
      <c r="AI36" s="15" t="n">
        <v>0.8123521187446927</v>
      </c>
      <c r="AJ36" s="15" t="n">
        <v>0.5961859280001461</v>
      </c>
      <c r="AK36" s="15" t="n">
        <v>0.8435289004397767</v>
      </c>
      <c r="AL36" s="15" t="n">
        <v>0.1597774370754572</v>
      </c>
      <c r="AM36" s="15" t="n">
        <v>0.8787878787878788</v>
      </c>
      <c r="AN36" s="15" t="n">
        <v>0.5208333333333334</v>
      </c>
      <c r="AO36" s="15" t="n">
        <v>0.02245660086911408</v>
      </c>
      <c r="AP36" s="15" t="n">
        <v>2.189598130210272</v>
      </c>
      <c r="AQ36" s="15" t="n">
        <v>0.3406932766809727</v>
      </c>
      <c r="AR36" s="15" t="n">
        <v>60.12476857577566</v>
      </c>
      <c r="AS36" s="15" t="n">
        <v>0.02402693803371278</v>
      </c>
      <c r="AT36" s="15" t="n">
        <v>1.776547337787978</v>
      </c>
      <c r="AU36" s="15" t="n">
        <v>0.3725655665005586</v>
      </c>
      <c r="AV36" s="15" t="n">
        <v>0.04048522592173496</v>
      </c>
      <c r="AW36" s="19" t="n">
        <v>0.7604118015736341</v>
      </c>
      <c r="AX36" s="19" t="n">
        <v>0</v>
      </c>
      <c r="AY36" s="19" t="n">
        <v>1</v>
      </c>
      <c r="AZ36" s="19" t="n">
        <v>0</v>
      </c>
      <c r="BA36" s="19" t="n">
        <v>0</v>
      </c>
    </row>
    <row r="37">
      <c r="A37" t="inlineStr">
        <is>
          <t>A#6</t>
        </is>
      </c>
      <c r="B37" t="n">
        <v>94</v>
      </c>
      <c r="C37" s="15" t="n">
        <v>0.1340836647546416</v>
      </c>
      <c r="D37" s="15" t="n">
        <v>11.18843231858079</v>
      </c>
      <c r="E37" s="15" t="n">
        <v>0.7271193027959961</v>
      </c>
      <c r="F37" s="15" t="n">
        <v>0.4833446846150601</v>
      </c>
      <c r="G37" s="19" t="n">
        <v>0.2523734114346119</v>
      </c>
      <c r="H37" s="15" t="n">
        <v>0.1330860141914789</v>
      </c>
      <c r="I37" s="15" t="n">
        <v>10</v>
      </c>
      <c r="J37" s="15" t="n">
        <v>10</v>
      </c>
      <c r="K37" s="15" t="n">
        <v>1</v>
      </c>
      <c r="L37" t="n">
        <v>10</v>
      </c>
      <c r="M37" t="n">
        <v>10</v>
      </c>
      <c r="N37" t="n">
        <v>1</v>
      </c>
      <c r="O37" t="n">
        <v>61</v>
      </c>
      <c r="P37" t="n">
        <v>0</v>
      </c>
      <c r="Q37" s="15" t="n">
        <v>21.68491138254631</v>
      </c>
      <c r="R37" s="15" t="n">
        <v>11.25192927324985</v>
      </c>
      <c r="S37" s="15" t="n">
        <v>0.2590630008756441</v>
      </c>
      <c r="T37" s="15" t="n">
        <v>6.038129909689635</v>
      </c>
      <c r="U37" s="15" t="n">
        <v>28.79429457677903</v>
      </c>
      <c r="V37" s="15" t="n">
        <v>0</v>
      </c>
      <c r="W37" t="n">
        <v>1</v>
      </c>
      <c r="X37" t="n">
        <v>0.5</v>
      </c>
      <c r="Y37" t="n">
        <v>0.25</v>
      </c>
      <c r="Z37" t="inlineStr">
        <is>
          <t>his_note_adaptive</t>
        </is>
      </c>
      <c r="AA37" t="n">
        <v>-90</v>
      </c>
      <c r="AB37" t="n">
        <v>20000</v>
      </c>
      <c r="AC37" s="15" t="n">
        <v>1</v>
      </c>
      <c r="AD37" s="15" t="n">
        <v>0.5083333333333333</v>
      </c>
      <c r="AE37" t="n">
        <v>1.116664261663978</v>
      </c>
      <c r="AF37" s="15" t="n">
        <v>1.05566330988927</v>
      </c>
      <c r="AG37" s="15" t="n">
        <v>0.5364792162698773</v>
      </c>
      <c r="AH37" s="15" t="n">
        <v>0.07234798765612935</v>
      </c>
      <c r="AI37" s="15" t="n">
        <v>0.7752850408242556</v>
      </c>
      <c r="AJ37" s="15" t="n">
        <v>1</v>
      </c>
      <c r="AK37" s="15" t="n">
        <v>0.9599207949398262</v>
      </c>
      <c r="AL37" s="15" t="n">
        <v>0.1823148290556169</v>
      </c>
      <c r="AM37" s="15" t="n">
        <v>1</v>
      </c>
      <c r="AN37" s="15" t="n">
        <v>0.9166666666666666</v>
      </c>
      <c r="AO37" s="15" t="n">
        <v>0.01649119642911569</v>
      </c>
      <c r="AP37" s="15" t="n">
        <v>2.186009778790092</v>
      </c>
      <c r="AQ37" s="15" t="n">
        <v>0.3315907758785112</v>
      </c>
      <c r="AR37" s="15" t="n">
        <v>61.70038619527899</v>
      </c>
      <c r="AS37" s="15" t="n">
        <v>0.02633369133627515</v>
      </c>
      <c r="AT37" s="15" t="n">
        <v>1.76282130992441</v>
      </c>
      <c r="AU37" s="15" t="n">
        <v>0.3844266791689134</v>
      </c>
      <c r="AV37" s="15" t="n">
        <v>0.03876178969676956</v>
      </c>
      <c r="AW37" s="19" t="n">
        <v>0.7476265885653881</v>
      </c>
      <c r="AX37" s="19" t="n">
        <v>0</v>
      </c>
      <c r="AY37" s="19" t="n">
        <v>1</v>
      </c>
      <c r="AZ37" s="19" t="n">
        <v>0</v>
      </c>
      <c r="BA37" s="19" t="n">
        <v>0</v>
      </c>
    </row>
    <row r="38">
      <c r="A38" t="inlineStr">
        <is>
          <t>B6</t>
        </is>
      </c>
      <c r="B38" t="n">
        <v>95</v>
      </c>
      <c r="C38" s="15" t="n">
        <v>-0.4936225686069707</v>
      </c>
      <c r="D38" s="15" t="n">
        <v>9.576202115642783</v>
      </c>
      <c r="E38" s="15" t="n">
        <v>0.5372183892902068</v>
      </c>
      <c r="F38" s="15" t="n">
        <v>0.4318968799725675</v>
      </c>
      <c r="G38" s="19" t="n">
        <v>0.2385020206067164</v>
      </c>
      <c r="H38" s="15" t="n">
        <v>0.04726352415565104</v>
      </c>
      <c r="I38" s="15" t="n">
        <v>10</v>
      </c>
      <c r="J38" s="15" t="n">
        <v>10</v>
      </c>
      <c r="K38" s="15" t="n">
        <v>1</v>
      </c>
      <c r="L38" t="n">
        <v>10</v>
      </c>
      <c r="M38" t="n">
        <v>10</v>
      </c>
      <c r="N38" t="n">
        <v>1</v>
      </c>
      <c r="O38" t="n">
        <v>49</v>
      </c>
      <c r="P38" t="n">
        <v>0</v>
      </c>
      <c r="Q38" s="15" t="n">
        <v>16.90750341559951</v>
      </c>
      <c r="R38" s="15" t="n">
        <v>8.385681002349708</v>
      </c>
      <c r="S38" s="15" t="n">
        <v>0.118255095514058</v>
      </c>
      <c r="T38" s="15" t="n">
        <v>5.561498258467557</v>
      </c>
      <c r="U38" s="15" t="n">
        <v>21.50693040442395</v>
      </c>
      <c r="V38" s="15" t="n">
        <v>0</v>
      </c>
      <c r="W38" t="n">
        <v>1</v>
      </c>
      <c r="X38" t="n">
        <v>0.5</v>
      </c>
      <c r="Y38" t="n">
        <v>0.25</v>
      </c>
      <c r="Z38" t="inlineStr">
        <is>
          <t>his_note_adaptive</t>
        </is>
      </c>
      <c r="AA38" t="n">
        <v>-90</v>
      </c>
      <c r="AB38" t="n">
        <v>20000</v>
      </c>
      <c r="AC38" s="15" t="n">
        <v>1</v>
      </c>
      <c r="AD38" s="15" t="n">
        <v>0.4083333333333333</v>
      </c>
      <c r="AE38" t="n">
        <v>1.024560343488023</v>
      </c>
      <c r="AF38" s="15" t="n">
        <v>1.008879729387848</v>
      </c>
      <c r="AG38" s="15" t="n">
        <v>0.303224769767914</v>
      </c>
      <c r="AH38" s="15" t="n">
        <v>0.02466707131713715</v>
      </c>
      <c r="AI38" s="15" t="n">
        <v>0.5615602039782556</v>
      </c>
      <c r="AJ38" s="15" t="n">
        <v>0.8339581294584696</v>
      </c>
      <c r="AK38" s="15" t="n">
        <v>0.8336407355643528</v>
      </c>
      <c r="AL38" s="15" t="n">
        <v>0.01555942918232451</v>
      </c>
      <c r="AM38" s="15" t="n">
        <v>1</v>
      </c>
      <c r="AN38" s="15" t="n">
        <v>0.6666666666666666</v>
      </c>
      <c r="AO38" s="15" t="n">
        <v>1.493755827597877e-05</v>
      </c>
      <c r="AP38" s="15" t="n">
        <v>2.094299573438892</v>
      </c>
      <c r="AQ38" s="15" t="n">
        <v>0.09895129327140281</v>
      </c>
      <c r="AR38" s="15" t="n">
        <v>62.75269864962914</v>
      </c>
      <c r="AS38" s="15" t="n">
        <v>0.02787430956708989</v>
      </c>
      <c r="AT38" s="15" t="n">
        <v>1.739157492776021</v>
      </c>
      <c r="AU38" s="15" t="n">
        <v>0.3214223607531441</v>
      </c>
      <c r="AV38" s="15" t="n">
        <v>0.0337197199097265</v>
      </c>
      <c r="AW38" s="19" t="n">
        <v>0.7614979793932836</v>
      </c>
      <c r="AX38" s="19" t="n">
        <v>0</v>
      </c>
      <c r="AY38" s="19" t="n">
        <v>1</v>
      </c>
      <c r="AZ38" s="19" t="n">
        <v>0</v>
      </c>
      <c r="BA38" s="19" t="n">
        <v>0</v>
      </c>
    </row>
    <row r="39">
      <c r="A39" t="inlineStr">
        <is>
          <t>C7</t>
        </is>
      </c>
      <c r="B39" t="n">
        <v>96</v>
      </c>
      <c r="C39" s="15" t="n">
        <v>-1.309624496747523</v>
      </c>
      <c r="D39" s="15" t="n">
        <v>9.102793786424305</v>
      </c>
      <c r="E39" s="15" t="n">
        <v>0.03825534270330779</v>
      </c>
      <c r="F39" s="15" t="n">
        <v>0.477576266410425</v>
      </c>
      <c r="G39" s="19" t="n">
        <v>0.2316012030308491</v>
      </c>
      <c r="H39" s="15" t="n">
        <v>0.05757172784855183</v>
      </c>
      <c r="I39" s="15" t="n">
        <v>7</v>
      </c>
      <c r="J39" s="15" t="n">
        <v>9</v>
      </c>
      <c r="K39" s="15" t="n">
        <v>0.7777777777777778</v>
      </c>
      <c r="L39" t="n">
        <v>7</v>
      </c>
      <c r="M39" t="n">
        <v>9</v>
      </c>
      <c r="N39" t="n">
        <v>0.7777777777777778</v>
      </c>
      <c r="O39" t="n">
        <v>37</v>
      </c>
      <c r="P39" t="n">
        <v>0</v>
      </c>
      <c r="Q39" s="15" t="n">
        <v>11.87673726381561</v>
      </c>
      <c r="R39" s="15" t="n">
        <v>5.978511730341143</v>
      </c>
      <c r="S39" s="15" t="n">
        <v>0</v>
      </c>
      <c r="T39" s="15" t="n">
        <v>4.038429946310895</v>
      </c>
      <c r="U39" s="15" t="n">
        <v>15.97314169565154</v>
      </c>
      <c r="V39" s="15" t="n">
        <v>0</v>
      </c>
      <c r="W39" t="n">
        <v>1</v>
      </c>
      <c r="X39" t="n">
        <v>0.5</v>
      </c>
      <c r="Y39" t="n">
        <v>0.25</v>
      </c>
      <c r="Z39" t="inlineStr">
        <is>
          <t>his_note_adaptive</t>
        </is>
      </c>
      <c r="AA39" t="n">
        <v>-90</v>
      </c>
      <c r="AB39" t="n">
        <v>20000</v>
      </c>
      <c r="AC39" s="15" t="n">
        <v>0.7777777777777778</v>
      </c>
      <c r="AD39" s="15" t="n">
        <v>0.3083333333333333</v>
      </c>
      <c r="AE39" t="n">
        <v>1.023215728998165</v>
      </c>
      <c r="AF39" s="15" t="n">
        <v>1.010826951874749</v>
      </c>
      <c r="AG39" s="15" t="n">
        <v>0</v>
      </c>
      <c r="AH39" s="15" t="n">
        <v>0.01066625251439187</v>
      </c>
      <c r="AI39" s="15" t="n">
        <v>0</v>
      </c>
      <c r="AJ39" s="15" t="n">
        <v>0.9813830938867245</v>
      </c>
      <c r="AK39" s="15" t="n">
        <v>0.7708182209346479</v>
      </c>
      <c r="AL39" s="15" t="n">
        <v>0.0355885454205905</v>
      </c>
      <c r="AM39" s="15" t="n">
        <v>0.7037037037037037</v>
      </c>
      <c r="AN39" s="15" t="n">
        <v>0.4166666666666666</v>
      </c>
      <c r="AO39" s="15" t="n">
        <v>0.0007007111016738961</v>
      </c>
      <c r="AP39" s="15" t="n">
        <v>2.055291390803732</v>
      </c>
      <c r="AQ39" s="15" t="n">
        <v>0</v>
      </c>
      <c r="AR39" s="15" t="n">
        <v>70.62303893343321</v>
      </c>
      <c r="AS39" s="15" t="n">
        <v>0.03939673303914882</v>
      </c>
      <c r="AT39" s="15" t="n">
        <v>1.734018145502957</v>
      </c>
      <c r="AU39" s="15" t="n">
        <v>0.298332977861049</v>
      </c>
      <c r="AV39" s="15" t="n">
        <v>0.0229402674397261</v>
      </c>
      <c r="AW39" s="19" t="n">
        <v>0.7683987969691508</v>
      </c>
      <c r="AX39" s="19" t="n">
        <v>0</v>
      </c>
      <c r="AY39" s="19" t="n">
        <v>1</v>
      </c>
      <c r="AZ39" s="19" t="n">
        <v>0</v>
      </c>
      <c r="BA39" s="19" t="n">
        <v>0</v>
      </c>
    </row>
  </sheetData>
  <autoFilter ref="A1:BA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Combined Density Metric</t>
        </is>
      </c>
      <c r="D1" s="11" t="inlineStr">
        <is>
          <t>Weighted Combined Metric</t>
        </is>
      </c>
    </row>
    <row r="2">
      <c r="A2" t="inlineStr">
        <is>
          <t>B3</t>
        </is>
      </c>
      <c r="B2" t="n">
        <v>59</v>
      </c>
      <c r="C2" s="15" t="n">
        <v>12.81326718065909</v>
      </c>
      <c r="D2" s="15" t="n">
        <v>4.098575606948989</v>
      </c>
    </row>
    <row r="3">
      <c r="A3" t="inlineStr">
        <is>
          <t>C4</t>
        </is>
      </c>
      <c r="B3" t="n">
        <v>60</v>
      </c>
      <c r="C3" s="15" t="n">
        <v>23.76748538913947</v>
      </c>
      <c r="D3" s="15" t="n">
        <v>4.105663847693513</v>
      </c>
    </row>
    <row r="4">
      <c r="A4" t="inlineStr">
        <is>
          <t>C#4</t>
        </is>
      </c>
      <c r="B4" t="n">
        <v>61</v>
      </c>
      <c r="C4" s="15" t="n">
        <v>19.26289320477255</v>
      </c>
      <c r="D4" s="15" t="n">
        <v>4.121914776369076</v>
      </c>
    </row>
    <row r="5">
      <c r="A5" t="inlineStr">
        <is>
          <t>D4</t>
        </is>
      </c>
      <c r="B5" t="n">
        <v>62</v>
      </c>
      <c r="C5" s="15" t="n">
        <v>18.67046677869547</v>
      </c>
      <c r="D5" s="15" t="n">
        <v>4.017699514700566</v>
      </c>
    </row>
    <row r="6">
      <c r="A6" t="inlineStr">
        <is>
          <t>D#4</t>
        </is>
      </c>
      <c r="B6" t="n">
        <v>63</v>
      </c>
      <c r="C6" s="15" t="n">
        <v>13.76190424871699</v>
      </c>
      <c r="D6" s="15" t="n">
        <v>3.917887050438787</v>
      </c>
    </row>
    <row r="7">
      <c r="A7" t="inlineStr">
        <is>
          <t>E4</t>
        </is>
      </c>
      <c r="B7" t="n">
        <v>64</v>
      </c>
      <c r="C7" s="15" t="n">
        <v>11.02451135646856</v>
      </c>
      <c r="D7" s="15" t="n">
        <v>3.772167655043448</v>
      </c>
    </row>
    <row r="8">
      <c r="A8" t="inlineStr">
        <is>
          <t>F4</t>
        </is>
      </c>
      <c r="B8" t="n">
        <v>65</v>
      </c>
      <c r="C8" s="15" t="n">
        <v>11.18525506266218</v>
      </c>
      <c r="D8" s="15" t="n">
        <v>3.71203391704055</v>
      </c>
    </row>
    <row r="9">
      <c r="A9" t="inlineStr">
        <is>
          <t>F#4</t>
        </is>
      </c>
      <c r="B9" t="n">
        <v>66</v>
      </c>
      <c r="C9" s="15" t="n">
        <v>10.60401565488807</v>
      </c>
      <c r="D9" s="15" t="n">
        <v>3.809555949117521</v>
      </c>
    </row>
    <row r="10">
      <c r="A10" t="inlineStr">
        <is>
          <t>G4</t>
        </is>
      </c>
      <c r="B10" t="n">
        <v>67</v>
      </c>
      <c r="C10" s="15" t="n">
        <v>15.18568679738213</v>
      </c>
      <c r="D10" s="15" t="n">
        <v>3.739200213999344</v>
      </c>
    </row>
    <row r="11">
      <c r="A11" t="inlineStr">
        <is>
          <t>G#4</t>
        </is>
      </c>
      <c r="B11" t="n">
        <v>68</v>
      </c>
      <c r="C11" s="15" t="n">
        <v>13.22943502284431</v>
      </c>
      <c r="D11" s="15" t="n">
        <v>3.91241006379002</v>
      </c>
    </row>
    <row r="12">
      <c r="A12" t="inlineStr">
        <is>
          <t>A4</t>
        </is>
      </c>
      <c r="B12" t="n">
        <v>69</v>
      </c>
      <c r="C12" s="15" t="n">
        <v>11.10130625579912</v>
      </c>
      <c r="D12" s="15" t="n">
        <v>3.59501129991728</v>
      </c>
    </row>
    <row r="13">
      <c r="A13" t="inlineStr">
        <is>
          <t>A#4</t>
        </is>
      </c>
      <c r="B13" t="n">
        <v>70</v>
      </c>
      <c r="C13" s="15" t="n">
        <v>14.2802004403958</v>
      </c>
      <c r="D13" s="15" t="n">
        <v>3.685311385032065</v>
      </c>
    </row>
    <row r="14">
      <c r="A14" t="inlineStr">
        <is>
          <t>B4</t>
        </is>
      </c>
      <c r="B14" t="n">
        <v>71</v>
      </c>
      <c r="C14" s="15" t="n">
        <v>11.27532532052726</v>
      </c>
      <c r="D14" s="15" t="n">
        <v>3.743423646851246</v>
      </c>
    </row>
    <row r="15">
      <c r="A15" t="inlineStr">
        <is>
          <t>C5</t>
        </is>
      </c>
      <c r="B15" t="n">
        <v>72</v>
      </c>
      <c r="C15" s="15" t="n">
        <v>9.365044728258713</v>
      </c>
      <c r="D15" s="15" t="n">
        <v>2.669232358126727</v>
      </c>
    </row>
    <row r="16">
      <c r="A16" t="inlineStr">
        <is>
          <t>C#5</t>
        </is>
      </c>
      <c r="B16" t="n">
        <v>73</v>
      </c>
      <c r="C16" s="15" t="n">
        <v>11.69447110206514</v>
      </c>
      <c r="D16" s="15" t="n">
        <v>2.78650683997846</v>
      </c>
    </row>
    <row r="17">
      <c r="A17" t="inlineStr">
        <is>
          <t>D5</t>
        </is>
      </c>
      <c r="B17" t="n">
        <v>74</v>
      </c>
      <c r="C17" s="15" t="n">
        <v>7.399689193008712</v>
      </c>
      <c r="D17" s="15" t="n">
        <v>3.047738209856372</v>
      </c>
    </row>
    <row r="18">
      <c r="A18" t="inlineStr">
        <is>
          <t>D#5</t>
        </is>
      </c>
      <c r="B18" t="n">
        <v>75</v>
      </c>
      <c r="C18" s="15" t="n">
        <v>5.201073259550296</v>
      </c>
      <c r="D18" s="15" t="n">
        <v>3.1048072411887</v>
      </c>
    </row>
    <row r="19">
      <c r="A19" t="inlineStr">
        <is>
          <t>E5</t>
        </is>
      </c>
      <c r="B19" t="n">
        <v>76</v>
      </c>
      <c r="C19" s="15" t="n">
        <v>3.533057435826426</v>
      </c>
      <c r="D19" s="15" t="n">
        <v>2.672172447256282</v>
      </c>
    </row>
    <row r="20">
      <c r="A20" t="inlineStr">
        <is>
          <t>F5</t>
        </is>
      </c>
      <c r="B20" t="n">
        <v>77</v>
      </c>
      <c r="C20" s="15" t="n">
        <v>5.09307511322318</v>
      </c>
      <c r="D20" s="15" t="n">
        <v>2.754616744093767</v>
      </c>
    </row>
    <row r="21">
      <c r="A21" t="inlineStr">
        <is>
          <t>F#5</t>
        </is>
      </c>
      <c r="B21" t="n">
        <v>78</v>
      </c>
      <c r="C21" s="15" t="n">
        <v>4.330971144388912</v>
      </c>
      <c r="D21" s="15" t="n">
        <v>2.767724848856956</v>
      </c>
    </row>
    <row r="22">
      <c r="A22" t="inlineStr">
        <is>
          <t>G5</t>
        </is>
      </c>
      <c r="B22" t="n">
        <v>79</v>
      </c>
      <c r="C22" s="15" t="n">
        <v>5.989698277259853</v>
      </c>
      <c r="D22" s="15" t="n">
        <v>3.01516761987925</v>
      </c>
    </row>
    <row r="23">
      <c r="A23" t="inlineStr">
        <is>
          <t>G#5</t>
        </is>
      </c>
      <c r="B23" t="n">
        <v>80</v>
      </c>
      <c r="C23" s="15" t="n">
        <v>6.375465045785884</v>
      </c>
      <c r="D23" s="15" t="n">
        <v>3.197194225688498</v>
      </c>
    </row>
    <row r="24">
      <c r="A24" t="inlineStr">
        <is>
          <t>A5</t>
        </is>
      </c>
      <c r="B24" t="n">
        <v>81</v>
      </c>
      <c r="C24" s="15" t="n">
        <v>3.365281787794841</v>
      </c>
      <c r="D24" s="15" t="n">
        <v>3.042734196467505</v>
      </c>
    </row>
    <row r="25">
      <c r="A25" t="inlineStr">
        <is>
          <t>A#5</t>
        </is>
      </c>
      <c r="B25" t="n">
        <v>82</v>
      </c>
      <c r="C25" s="15" t="n">
        <v>2.955821842255836</v>
      </c>
      <c r="D25" s="15" t="n">
        <v>2.747104091347183</v>
      </c>
    </row>
    <row r="26">
      <c r="A26" t="inlineStr">
        <is>
          <t>B5</t>
        </is>
      </c>
      <c r="B26" t="n">
        <v>83</v>
      </c>
      <c r="C26" s="15" t="n">
        <v>2.794186230839205</v>
      </c>
      <c r="D26" s="15" t="n">
        <v>2.815210125592752</v>
      </c>
    </row>
    <row r="27">
      <c r="A27" t="inlineStr">
        <is>
          <t>C6</t>
        </is>
      </c>
      <c r="B27" t="n">
        <v>84</v>
      </c>
      <c r="C27" s="15" t="n">
        <v>3.232564257106479</v>
      </c>
      <c r="D27" s="15" t="n">
        <v>2.835154737942241</v>
      </c>
    </row>
    <row r="28">
      <c r="A28" t="inlineStr">
        <is>
          <t>C#6</t>
        </is>
      </c>
      <c r="B28" t="n">
        <v>85</v>
      </c>
      <c r="C28" s="15" t="n">
        <v>3.985054566525861</v>
      </c>
      <c r="D28" s="15" t="n">
        <v>2.715116710901003</v>
      </c>
    </row>
    <row r="29">
      <c r="A29" t="inlineStr">
        <is>
          <t>D6</t>
        </is>
      </c>
      <c r="B29" t="n">
        <v>86</v>
      </c>
      <c r="C29" s="15" t="n">
        <v>2.933213386617123</v>
      </c>
      <c r="D29" s="15" t="n">
        <v>2.764514572862873</v>
      </c>
    </row>
    <row r="30">
      <c r="A30" t="inlineStr">
        <is>
          <t>D#6</t>
        </is>
      </c>
      <c r="B30" t="n">
        <v>87</v>
      </c>
      <c r="C30" s="15" t="n">
        <v>3.138623370952534</v>
      </c>
      <c r="D30" s="15" t="n">
        <v>2.848623577690724</v>
      </c>
    </row>
    <row r="31">
      <c r="A31" t="inlineStr">
        <is>
          <t>E6</t>
        </is>
      </c>
      <c r="B31" t="n">
        <v>88</v>
      </c>
      <c r="C31" s="15" t="n">
        <v>3.769812192369168</v>
      </c>
      <c r="D31" s="15" t="n">
        <v>2.992953779783374</v>
      </c>
    </row>
    <row r="32">
      <c r="A32" t="inlineStr">
        <is>
          <t>F6</t>
        </is>
      </c>
      <c r="B32" t="n">
        <v>89</v>
      </c>
      <c r="C32" s="15" t="n">
        <v>3.451761855668915</v>
      </c>
      <c r="D32" s="15" t="n">
        <v>1.862330637001585</v>
      </c>
    </row>
    <row r="33">
      <c r="A33" t="inlineStr">
        <is>
          <t>F#6</t>
        </is>
      </c>
      <c r="B33" t="n">
        <v>90</v>
      </c>
      <c r="C33" s="15" t="n">
        <v>3.801184044007831</v>
      </c>
      <c r="D33" s="15" t="n">
        <v>2.246186251584287</v>
      </c>
    </row>
    <row r="34">
      <c r="A34" t="inlineStr">
        <is>
          <t>G6</t>
        </is>
      </c>
      <c r="B34" t="n">
        <v>91</v>
      </c>
      <c r="C34" s="15" t="n">
        <v>7.804470326058858</v>
      </c>
      <c r="D34" s="15" t="n">
        <v>2.844965951839126</v>
      </c>
    </row>
    <row r="35">
      <c r="A35" t="inlineStr">
        <is>
          <t>G#6</t>
        </is>
      </c>
      <c r="B35" t="n">
        <v>92</v>
      </c>
      <c r="C35" s="15" t="n">
        <v>2.622514921382364</v>
      </c>
      <c r="D35" s="15" t="n">
        <v>2.024505922331198</v>
      </c>
    </row>
    <row r="36">
      <c r="A36" t="inlineStr">
        <is>
          <t>A6</t>
        </is>
      </c>
      <c r="B36" t="n">
        <v>93</v>
      </c>
      <c r="C36" s="15" t="n">
        <v>3.259140705642095</v>
      </c>
      <c r="D36" s="15" t="n">
        <v>2.187869550818108</v>
      </c>
    </row>
    <row r="37">
      <c r="A37" t="inlineStr">
        <is>
          <t>A#6</t>
        </is>
      </c>
      <c r="B37" t="n">
        <v>94</v>
      </c>
      <c r="C37" s="15" t="n">
        <v>2.848933565158194</v>
      </c>
      <c r="D37" s="15" t="n">
        <v>2.550673224201263</v>
      </c>
    </row>
    <row r="38">
      <c r="A38" t="inlineStr">
        <is>
          <t>B6</t>
        </is>
      </c>
      <c r="B38" t="n">
        <v>95</v>
      </c>
      <c r="C38" s="15" t="n">
        <v>2.091792470558067</v>
      </c>
      <c r="D38" s="15" t="n">
        <v>2.425010371150975</v>
      </c>
    </row>
    <row r="39">
      <c r="A39" t="inlineStr">
        <is>
          <t>C7</t>
        </is>
      </c>
      <c r="B39" t="n">
        <v>96</v>
      </c>
      <c r="C39" s="15" t="n">
        <v>1.197651345894431</v>
      </c>
      <c r="D39" s="15" t="n">
        <v>2.109050736615795</v>
      </c>
    </row>
  </sheetData>
  <autoFilter ref="A1:D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2" customWidth="1" min="4" max="4"/>
    <col width="36" customWidth="1" min="5" max="5"/>
    <col width="11" customWidth="1" min="6" max="6"/>
    <col width="15" customWidth="1" min="7" max="7"/>
    <col width="10" customWidth="1" min="8" max="8"/>
    <col width="12" customWidth="1" min="9" max="9"/>
    <col width="14" customWidth="1" min="10" max="10"/>
    <col width="16" customWidth="1" min="11" max="11"/>
    <col width="23" customWidth="1" min="12" max="12"/>
    <col width="19" customWidth="1" min="13" max="13"/>
    <col width="18" customWidth="1" min="14" max="14"/>
    <col width="18" customWidth="1" min="15" max="15"/>
    <col width="18" customWidth="1" min="16" max="16"/>
    <col width="24" customWidth="1" min="17" max="17"/>
    <col width="25" customWidth="1" min="18" max="18"/>
    <col width="27" customWidth="1" min="19" max="19"/>
    <col width="24" customWidth="1" min="20" max="20"/>
    <col width="31" customWidth="1" min="21" max="21"/>
    <col width="30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f0_used_for_density_hz</t>
        </is>
      </c>
      <c r="D1" s="11" t="inlineStr">
        <is>
          <t>f0_used_for_density_source</t>
        </is>
      </c>
      <c r="E1" s="11" t="inlineStr">
        <is>
          <t>acoustic_f0_status</t>
        </is>
      </c>
      <c r="F1" s="11" t="inlineStr">
        <is>
          <t>tier_name</t>
        </is>
      </c>
      <c r="G1" s="11" t="inlineStr">
        <is>
          <t>fft_policy</t>
        </is>
      </c>
      <c r="H1" s="11" t="inlineStr">
        <is>
          <t>n_fft</t>
        </is>
      </c>
      <c r="I1" s="11" t="inlineStr">
        <is>
          <t>hop_length</t>
        </is>
      </c>
      <c r="J1" s="11" t="inlineStr">
        <is>
          <t>zero_padding</t>
        </is>
      </c>
      <c r="K1" s="11" t="inlineStr">
        <is>
          <t>window_type</t>
        </is>
      </c>
      <c r="L1" s="11" t="inlineStr">
        <is>
          <t>harmonic_tolerance_hz</t>
        </is>
      </c>
      <c r="M1" s="11" t="inlineStr">
        <is>
          <t>frequency_min_hz</t>
        </is>
      </c>
      <c r="N1" s="11" t="inlineStr">
        <is>
          <t>frequency_max_hz</t>
        </is>
      </c>
      <c r="O1" s="11" t="inlineStr">
        <is>
          <t>magnitude_min_db</t>
        </is>
      </c>
      <c r="P1" s="11" t="inlineStr">
        <is>
          <t>magnitude_max_db</t>
        </is>
      </c>
      <c r="Q1" s="11" t="inlineStr">
        <is>
          <t>density_summation_mode</t>
        </is>
      </c>
      <c r="R1" s="11" t="inlineStr">
        <is>
          <t>harmonic_density_weight</t>
        </is>
      </c>
      <c r="S1" s="11" t="inlineStr">
        <is>
          <t>inharmonic_density_weight</t>
        </is>
      </c>
      <c r="T1" s="11" t="inlineStr">
        <is>
          <t>subbass_density_weight</t>
        </is>
      </c>
      <c r="U1" s="11" t="inlineStr">
        <is>
          <t>density_salience_threshold_db</t>
        </is>
      </c>
      <c r="V1" s="11" t="inlineStr">
        <is>
          <t>density_frequency_ceiling_hz</t>
        </is>
      </c>
    </row>
    <row r="2">
      <c r="A2" t="inlineStr">
        <is>
          <t>B3</t>
        </is>
      </c>
      <c r="B2" t="n">
        <v>59</v>
      </c>
      <c r="C2" s="15" t="n">
        <v>247.1740794879363</v>
      </c>
      <c r="D2" s="15" t="inlineStr">
        <is>
          <t>prior_constrained_harmonic_fit</t>
        </is>
      </c>
      <c r="E2" s="15" t="inlineStr">
        <is>
          <t>fit_accepted_acoustically_verified</t>
        </is>
      </c>
      <c r="F2" t="inlineStr">
        <is>
          <t>Tier_30</t>
        </is>
      </c>
      <c r="G2" t="inlineStr">
        <is>
          <t>adaptive_tier</t>
        </is>
      </c>
      <c r="H2" t="n">
        <v>4096</v>
      </c>
      <c r="I2" t="n">
        <v>512</v>
      </c>
      <c r="J2" t="n">
        <v>2</v>
      </c>
      <c r="K2" t="inlineStr">
        <is>
          <t>blackmanharris</t>
        </is>
      </c>
      <c r="L2" s="15" t="n">
        <v>8.199999999999999</v>
      </c>
      <c r="M2" t="n">
        <v>219.6248271597629</v>
      </c>
      <c r="N2" t="n">
        <v>20000</v>
      </c>
      <c r="O2" t="n">
        <v>-90</v>
      </c>
      <c r="P2" t="n">
        <v>0</v>
      </c>
      <c r="Q2" t="inlineStr">
        <is>
          <t>his_note_adaptive</t>
        </is>
      </c>
      <c r="R2" t="n">
        <v>1</v>
      </c>
      <c r="S2" t="n">
        <v>0.5</v>
      </c>
      <c r="T2" t="n">
        <v>0.25</v>
      </c>
      <c r="U2" t="n">
        <v>-90</v>
      </c>
      <c r="V2" s="15" t="n">
        <v>20000</v>
      </c>
    </row>
    <row r="3">
      <c r="A3" t="inlineStr">
        <is>
          <t>C4</t>
        </is>
      </c>
      <c r="B3" t="n">
        <v>60</v>
      </c>
      <c r="C3" s="15" t="n">
        <v>261.4995198685824</v>
      </c>
      <c r="D3" s="15" t="inlineStr">
        <is>
          <t>prior_constrained_harmonic_fit</t>
        </is>
      </c>
      <c r="E3" s="15" t="inlineStr">
        <is>
          <t>fit_accepted_acoustically_verified</t>
        </is>
      </c>
      <c r="F3" t="inlineStr">
        <is>
          <t>Tier_31</t>
        </is>
      </c>
      <c r="G3" t="inlineStr">
        <is>
          <t>adaptive_tier</t>
        </is>
      </c>
      <c r="H3" t="n">
        <v>4096</v>
      </c>
      <c r="I3" t="n">
        <v>512</v>
      </c>
      <c r="J3" t="n">
        <v>2</v>
      </c>
      <c r="K3" t="inlineStr">
        <is>
          <t>blackmanharris</t>
        </is>
      </c>
      <c r="L3" s="15" t="n">
        <v>8.4</v>
      </c>
      <c r="M3" t="n">
        <v>233.5090327307839</v>
      </c>
      <c r="N3" t="n">
        <v>20000</v>
      </c>
      <c r="O3" t="n">
        <v>-90</v>
      </c>
      <c r="P3" t="n">
        <v>0</v>
      </c>
      <c r="Q3" t="inlineStr">
        <is>
          <t>his_note_adaptive</t>
        </is>
      </c>
      <c r="R3" t="n">
        <v>1</v>
      </c>
      <c r="S3" t="n">
        <v>0.5</v>
      </c>
      <c r="T3" t="n">
        <v>0.25</v>
      </c>
      <c r="U3" t="n">
        <v>-90</v>
      </c>
      <c r="V3" s="15" t="n">
        <v>20000</v>
      </c>
    </row>
    <row r="4">
      <c r="A4" t="inlineStr">
        <is>
          <t>C#4</t>
        </is>
      </c>
      <c r="B4" t="n">
        <v>61</v>
      </c>
      <c r="C4" s="15" t="n">
        <v>276.8911355062369</v>
      </c>
      <c r="D4" s="15" t="inlineStr">
        <is>
          <t>prior_constrained_harmonic_fit</t>
        </is>
      </c>
      <c r="E4" s="15" t="inlineStr">
        <is>
          <t>fit_accepted_acoustically_verified</t>
        </is>
      </c>
      <c r="F4" t="inlineStr">
        <is>
          <t>Tier_32</t>
        </is>
      </c>
      <c r="G4" t="inlineStr">
        <is>
          <t>adaptive_tier</t>
        </is>
      </c>
      <c r="H4" t="n">
        <v>4096</v>
      </c>
      <c r="I4" t="n">
        <v>512</v>
      </c>
      <c r="J4" t="n">
        <v>2</v>
      </c>
      <c r="K4" t="inlineStr">
        <is>
          <t>blackmanharris</t>
        </is>
      </c>
      <c r="L4" s="15" t="n">
        <v>8.6</v>
      </c>
      <c r="M4" t="n">
        <v>248.2678714022651</v>
      </c>
      <c r="N4" t="n">
        <v>20000</v>
      </c>
      <c r="O4" t="n">
        <v>-90</v>
      </c>
      <c r="P4" t="n">
        <v>0</v>
      </c>
      <c r="Q4" t="inlineStr">
        <is>
          <t>his_note_adaptive</t>
        </is>
      </c>
      <c r="R4" t="n">
        <v>1</v>
      </c>
      <c r="S4" t="n">
        <v>0.5</v>
      </c>
      <c r="T4" t="n">
        <v>0.25</v>
      </c>
      <c r="U4" t="n">
        <v>-90</v>
      </c>
      <c r="V4" s="15" t="n">
        <v>20000</v>
      </c>
    </row>
    <row r="5">
      <c r="A5" t="inlineStr">
        <is>
          <t>D4</t>
        </is>
      </c>
      <c r="B5" t="n">
        <v>62</v>
      </c>
      <c r="C5" s="15" t="n">
        <v>293.7448969307372</v>
      </c>
      <c r="D5" s="15" t="inlineStr">
        <is>
          <t>prior_constrained_harmonic_fit</t>
        </is>
      </c>
      <c r="E5" s="15" t="inlineStr">
        <is>
          <t>fit_accepted_acoustically_verified</t>
        </is>
      </c>
      <c r="F5" t="inlineStr">
        <is>
          <t>Tier_33</t>
        </is>
      </c>
      <c r="G5" t="inlineStr">
        <is>
          <t>adaptive_tier</t>
        </is>
      </c>
      <c r="H5" t="n">
        <v>4096</v>
      </c>
      <c r="I5" t="n">
        <v>512</v>
      </c>
      <c r="J5" t="n">
        <v>2</v>
      </c>
      <c r="K5" t="inlineStr">
        <is>
          <t>blackmanharris</t>
        </is>
      </c>
      <c r="L5" s="15" t="n">
        <v>8.800000000000001</v>
      </c>
      <c r="M5" t="n">
        <v>263.9562673539427</v>
      </c>
      <c r="N5" t="n">
        <v>20000</v>
      </c>
      <c r="O5" t="n">
        <v>-90</v>
      </c>
      <c r="P5" t="n">
        <v>0</v>
      </c>
      <c r="Q5" t="inlineStr">
        <is>
          <t>his_note_adaptive</t>
        </is>
      </c>
      <c r="R5" t="n">
        <v>1</v>
      </c>
      <c r="S5" t="n">
        <v>0.5</v>
      </c>
      <c r="T5" t="n">
        <v>0.25</v>
      </c>
      <c r="U5" t="n">
        <v>-90</v>
      </c>
      <c r="V5" s="15" t="n">
        <v>20000</v>
      </c>
    </row>
    <row r="6">
      <c r="A6" t="inlineStr">
        <is>
          <t>D#4</t>
        </is>
      </c>
      <c r="B6" t="n">
        <v>63</v>
      </c>
      <c r="C6" s="15" t="n">
        <v>311.6134148141428</v>
      </c>
      <c r="D6" s="15" t="inlineStr">
        <is>
          <t>prior_constrained_harmonic_fit</t>
        </is>
      </c>
      <c r="E6" s="15" t="inlineStr">
        <is>
          <t>fit_accepted_acoustically_verified</t>
        </is>
      </c>
      <c r="F6" t="inlineStr">
        <is>
          <t>Tier_34</t>
        </is>
      </c>
      <c r="G6" t="inlineStr">
        <is>
          <t>adaptive_tier</t>
        </is>
      </c>
      <c r="H6" t="n">
        <v>4096</v>
      </c>
      <c r="I6" t="n">
        <v>512</v>
      </c>
      <c r="J6" t="n">
        <v>2</v>
      </c>
      <c r="K6" t="inlineStr">
        <is>
          <t>blackmanharris</t>
        </is>
      </c>
      <c r="L6" s="15" t="n">
        <v>9</v>
      </c>
      <c r="M6" t="n">
        <v>280.0142853498729</v>
      </c>
      <c r="N6" t="n">
        <v>20000</v>
      </c>
      <c r="O6" t="n">
        <v>-90</v>
      </c>
      <c r="P6" t="n">
        <v>0</v>
      </c>
      <c r="Q6" t="inlineStr">
        <is>
          <t>his_note_adaptive</t>
        </is>
      </c>
      <c r="R6" t="n">
        <v>1</v>
      </c>
      <c r="S6" t="n">
        <v>0.5</v>
      </c>
      <c r="T6" t="n">
        <v>0.25</v>
      </c>
      <c r="U6" t="n">
        <v>-90</v>
      </c>
      <c r="V6" s="15" t="n">
        <v>20000</v>
      </c>
    </row>
    <row r="7">
      <c r="A7" t="inlineStr">
        <is>
          <t>E4</t>
        </is>
      </c>
      <c r="B7" t="n">
        <v>64</v>
      </c>
      <c r="C7" s="15" t="n">
        <v>330.5511746536122</v>
      </c>
      <c r="D7" s="15" t="inlineStr">
        <is>
          <t>prior_constrained_harmonic_fit</t>
        </is>
      </c>
      <c r="E7" s="15" t="inlineStr">
        <is>
          <t>fit_accepted_acoustically_verified</t>
        </is>
      </c>
      <c r="F7" t="inlineStr">
        <is>
          <t>Tier_35</t>
        </is>
      </c>
      <c r="G7" t="inlineStr">
        <is>
          <t>adaptive_tier</t>
        </is>
      </c>
      <c r="H7" t="n">
        <v>4096</v>
      </c>
      <c r="I7" t="n">
        <v>512</v>
      </c>
      <c r="J7" t="n">
        <v>2</v>
      </c>
      <c r="K7" t="inlineStr">
        <is>
          <t>blackmanharris</t>
        </is>
      </c>
      <c r="L7" s="15" t="n">
        <v>9.199999999999999</v>
      </c>
      <c r="M7" t="n">
        <v>296.6648012215829</v>
      </c>
      <c r="N7" t="n">
        <v>20000</v>
      </c>
      <c r="O7" t="n">
        <v>-90</v>
      </c>
      <c r="P7" t="n">
        <v>0</v>
      </c>
      <c r="Q7" t="inlineStr">
        <is>
          <t>his_note_adaptive</t>
        </is>
      </c>
      <c r="R7" t="n">
        <v>1</v>
      </c>
      <c r="S7" t="n">
        <v>0.5</v>
      </c>
      <c r="T7" t="n">
        <v>0.25</v>
      </c>
      <c r="U7" t="n">
        <v>-90</v>
      </c>
      <c r="V7" s="15" t="n">
        <v>20000</v>
      </c>
    </row>
    <row r="8">
      <c r="A8" t="inlineStr">
        <is>
          <t>F4</t>
        </is>
      </c>
      <c r="B8" t="n">
        <v>65</v>
      </c>
      <c r="C8" s="15" t="n">
        <v>348.8756311851721</v>
      </c>
      <c r="D8" s="15" t="inlineStr">
        <is>
          <t>prior_constrained_harmonic_fit</t>
        </is>
      </c>
      <c r="E8" s="15" t="inlineStr">
        <is>
          <t>fit_accepted_acoustically_verified</t>
        </is>
      </c>
      <c r="F8" t="inlineStr">
        <is>
          <t>Tier_36</t>
        </is>
      </c>
      <c r="G8" t="inlineStr">
        <is>
          <t>adaptive_tier</t>
        </is>
      </c>
      <c r="H8" t="n">
        <v>4096</v>
      </c>
      <c r="I8" t="n">
        <v>512</v>
      </c>
      <c r="J8" t="n">
        <v>2</v>
      </c>
      <c r="K8" t="inlineStr">
        <is>
          <t>blackmanharris</t>
        </is>
      </c>
      <c r="L8" s="15" t="n">
        <v>9.4</v>
      </c>
      <c r="M8" t="n">
        <v>314.3054082897035</v>
      </c>
      <c r="N8" t="n">
        <v>20000</v>
      </c>
      <c r="O8" t="n">
        <v>-90</v>
      </c>
      <c r="P8" t="n">
        <v>0</v>
      </c>
      <c r="Q8" t="inlineStr">
        <is>
          <t>his_note_adaptive</t>
        </is>
      </c>
      <c r="R8" t="n">
        <v>1</v>
      </c>
      <c r="S8" t="n">
        <v>0.5</v>
      </c>
      <c r="T8" t="n">
        <v>0.25</v>
      </c>
      <c r="U8" t="n">
        <v>-90</v>
      </c>
      <c r="V8" s="15" t="n">
        <v>20000</v>
      </c>
    </row>
    <row r="9">
      <c r="A9" t="inlineStr">
        <is>
          <t>F#4</t>
        </is>
      </c>
      <c r="B9" t="n">
        <v>66</v>
      </c>
      <c r="C9" s="15" t="n">
        <v>369.5706569799131</v>
      </c>
      <c r="D9" s="15" t="inlineStr">
        <is>
          <t>prior_constrained_harmonic_fit</t>
        </is>
      </c>
      <c r="E9" s="15" t="inlineStr">
        <is>
          <t>fit_accepted_acoustically_verified</t>
        </is>
      </c>
      <c r="F9" t="inlineStr">
        <is>
          <t>Tier_37</t>
        </is>
      </c>
      <c r="G9" t="inlineStr">
        <is>
          <t>adaptive_tier</t>
        </is>
      </c>
      <c r="H9" t="n">
        <v>4096</v>
      </c>
      <c r="I9" t="n">
        <v>512</v>
      </c>
      <c r="J9" t="n">
        <v>2</v>
      </c>
      <c r="K9" t="inlineStr">
        <is>
          <t>blackmanharris</t>
        </is>
      </c>
      <c r="L9" s="15" t="n">
        <v>9.6</v>
      </c>
      <c r="M9" t="n">
        <v>332.994980440471</v>
      </c>
      <c r="N9" t="n">
        <v>20000</v>
      </c>
      <c r="O9" t="n">
        <v>-90</v>
      </c>
      <c r="P9" t="n">
        <v>0</v>
      </c>
      <c r="Q9" t="inlineStr">
        <is>
          <t>his_note_adaptive</t>
        </is>
      </c>
      <c r="R9" t="n">
        <v>1</v>
      </c>
      <c r="S9" t="n">
        <v>0.5</v>
      </c>
      <c r="T9" t="n">
        <v>0.25</v>
      </c>
      <c r="U9" t="n">
        <v>-90</v>
      </c>
      <c r="V9" s="15" t="n">
        <v>20000</v>
      </c>
    </row>
    <row r="10">
      <c r="A10" t="inlineStr">
        <is>
          <t>G4</t>
        </is>
      </c>
      <c r="B10" t="n">
        <v>67</v>
      </c>
      <c r="C10" s="15" t="n">
        <v>392.3193885809195</v>
      </c>
      <c r="D10" s="15" t="inlineStr">
        <is>
          <t>prior_constrained_harmonic_fit</t>
        </is>
      </c>
      <c r="E10" s="15" t="inlineStr">
        <is>
          <t>fit_accepted_acoustically_verified</t>
        </is>
      </c>
      <c r="F10" t="inlineStr">
        <is>
          <t>Tier_38</t>
        </is>
      </c>
      <c r="G10" t="inlineStr">
        <is>
          <t>adaptive_tier</t>
        </is>
      </c>
      <c r="H10" t="n">
        <v>4096</v>
      </c>
      <c r="I10" t="n">
        <v>512</v>
      </c>
      <c r="J10" t="n">
        <v>2</v>
      </c>
      <c r="K10" t="inlineStr">
        <is>
          <t>blackmanharris</t>
        </is>
      </c>
      <c r="L10" s="15" t="n">
        <v>9.800000000000001</v>
      </c>
      <c r="M10" t="n">
        <v>352.7958923835744</v>
      </c>
      <c r="N10" t="n">
        <v>20000</v>
      </c>
      <c r="O10" t="n">
        <v>-90</v>
      </c>
      <c r="P10" t="n">
        <v>0</v>
      </c>
      <c r="Q10" t="inlineStr">
        <is>
          <t>his_note_adaptive</t>
        </is>
      </c>
      <c r="R10" t="n">
        <v>1</v>
      </c>
      <c r="S10" t="n">
        <v>0.5</v>
      </c>
      <c r="T10" t="n">
        <v>0.25</v>
      </c>
      <c r="U10" t="n">
        <v>-90</v>
      </c>
      <c r="V10" s="15" t="n">
        <v>20000</v>
      </c>
    </row>
    <row r="11">
      <c r="A11" t="inlineStr">
        <is>
          <t>G#4</t>
        </is>
      </c>
      <c r="B11" t="n">
        <v>68</v>
      </c>
      <c r="C11" s="15" t="n">
        <v>415.7586891234178</v>
      </c>
      <c r="D11" s="15" t="inlineStr">
        <is>
          <t>prior_constrained_harmonic_fit</t>
        </is>
      </c>
      <c r="E11" s="15" t="inlineStr">
        <is>
          <t>fit_accepted_acoustically_verified</t>
        </is>
      </c>
      <c r="F11" t="inlineStr">
        <is>
          <t>Tier_39</t>
        </is>
      </c>
      <c r="G11" t="inlineStr">
        <is>
          <t>adaptive_tier</t>
        </is>
      </c>
      <c r="H11" t="n">
        <v>4096</v>
      </c>
      <c r="I11" t="n">
        <v>512</v>
      </c>
      <c r="J11" t="n">
        <v>2</v>
      </c>
      <c r="K11" t="inlineStr">
        <is>
          <t>blackmanharris</t>
        </is>
      </c>
      <c r="L11" s="15" t="n">
        <v>10</v>
      </c>
      <c r="M11" t="n">
        <v>373.7742278219506</v>
      </c>
      <c r="N11" t="n">
        <v>20000</v>
      </c>
      <c r="O11" t="n">
        <v>-90</v>
      </c>
      <c r="P11" t="n">
        <v>0</v>
      </c>
      <c r="Q11" t="inlineStr">
        <is>
          <t>his_note_adaptive</t>
        </is>
      </c>
      <c r="R11" t="n">
        <v>1</v>
      </c>
      <c r="S11" t="n">
        <v>0.5</v>
      </c>
      <c r="T11" t="n">
        <v>0.25</v>
      </c>
      <c r="U11" t="n">
        <v>-90</v>
      </c>
      <c r="V11" s="15" t="n">
        <v>20000</v>
      </c>
    </row>
    <row r="12">
      <c r="A12" t="inlineStr">
        <is>
          <t>A4</t>
        </is>
      </c>
      <c r="B12" t="n">
        <v>69</v>
      </c>
      <c r="C12" s="15" t="n">
        <v>439.9204243307022</v>
      </c>
      <c r="D12" s="15" t="inlineStr">
        <is>
          <t>prior_constrained_harmonic_fit</t>
        </is>
      </c>
      <c r="E12" s="15" t="inlineStr">
        <is>
          <t>fit_accepted_acoustically_verified</t>
        </is>
      </c>
      <c r="F12" t="inlineStr">
        <is>
          <t>Tier_40</t>
        </is>
      </c>
      <c r="G12" t="inlineStr">
        <is>
          <t>adaptive_tier</t>
        </is>
      </c>
      <c r="H12" t="n">
        <v>4096</v>
      </c>
      <c r="I12" t="n">
        <v>512</v>
      </c>
      <c r="J12" t="n">
        <v>2</v>
      </c>
      <c r="K12" t="inlineStr">
        <is>
          <t>blackmanharris</t>
        </is>
      </c>
      <c r="L12" s="15" t="n">
        <v>10.2</v>
      </c>
      <c r="M12" t="n">
        <v>396</v>
      </c>
      <c r="N12" t="n">
        <v>20000</v>
      </c>
      <c r="O12" t="n">
        <v>-90</v>
      </c>
      <c r="P12" t="n">
        <v>0</v>
      </c>
      <c r="Q12" t="inlineStr">
        <is>
          <t>his_note_adaptive</t>
        </is>
      </c>
      <c r="R12" t="n">
        <v>1</v>
      </c>
      <c r="S12" t="n">
        <v>0.5</v>
      </c>
      <c r="T12" t="n">
        <v>0.25</v>
      </c>
      <c r="U12" t="n">
        <v>-90</v>
      </c>
      <c r="V12" s="15" t="n">
        <v>20000</v>
      </c>
    </row>
    <row r="13">
      <c r="A13" t="inlineStr">
        <is>
          <t>A#4</t>
        </is>
      </c>
      <c r="B13" t="n">
        <v>70</v>
      </c>
      <c r="C13" s="15" t="n">
        <v>466.2034769104477</v>
      </c>
      <c r="D13" s="15" t="inlineStr">
        <is>
          <t>prior_constrained_harmonic_fit</t>
        </is>
      </c>
      <c r="E13" s="15" t="inlineStr">
        <is>
          <t>fit_accepted_acoustically_verified</t>
        </is>
      </c>
      <c r="F13" t="inlineStr">
        <is>
          <t>Tier_41</t>
        </is>
      </c>
      <c r="G13" t="inlineStr">
        <is>
          <t>adaptive_tier</t>
        </is>
      </c>
      <c r="H13" t="n">
        <v>4096</v>
      </c>
      <c r="I13" t="n">
        <v>512</v>
      </c>
      <c r="J13" t="n">
        <v>2</v>
      </c>
      <c r="K13" t="inlineStr">
        <is>
          <t>blackmanharris</t>
        </is>
      </c>
      <c r="L13" s="15" t="n">
        <v>10.4</v>
      </c>
      <c r="M13" t="n">
        <v>419.5473853662809</v>
      </c>
      <c r="N13" t="n">
        <v>20000</v>
      </c>
      <c r="O13" t="n">
        <v>-90</v>
      </c>
      <c r="P13" t="n">
        <v>0</v>
      </c>
      <c r="Q13" t="inlineStr">
        <is>
          <t>his_note_adaptive</t>
        </is>
      </c>
      <c r="R13" t="n">
        <v>1</v>
      </c>
      <c r="S13" t="n">
        <v>0.5</v>
      </c>
      <c r="T13" t="n">
        <v>0.25</v>
      </c>
      <c r="U13" t="n">
        <v>-90</v>
      </c>
      <c r="V13" s="15" t="n">
        <v>20000</v>
      </c>
    </row>
    <row r="14">
      <c r="A14" t="inlineStr">
        <is>
          <t>B4</t>
        </is>
      </c>
      <c r="B14" t="n">
        <v>71</v>
      </c>
      <c r="C14" s="15" t="n">
        <v>493.6974218551333</v>
      </c>
      <c r="D14" s="15" t="inlineStr">
        <is>
          <t>prior_constrained_harmonic_fit</t>
        </is>
      </c>
      <c r="E14" s="15" t="inlineStr">
        <is>
          <t>fit_accepted_acoustically_verified</t>
        </is>
      </c>
      <c r="F14" t="inlineStr">
        <is>
          <t>Tier_42</t>
        </is>
      </c>
      <c r="G14" t="inlineStr">
        <is>
          <t>adaptive_tier</t>
        </is>
      </c>
      <c r="H14" t="n">
        <v>4096</v>
      </c>
      <c r="I14" t="n">
        <v>512</v>
      </c>
      <c r="J14" t="n">
        <v>2</v>
      </c>
      <c r="K14" t="inlineStr">
        <is>
          <t>blackmanharris</t>
        </is>
      </c>
      <c r="L14" s="15" t="n">
        <v>10.6</v>
      </c>
      <c r="M14" t="n">
        <v>444.4949711305117</v>
      </c>
      <c r="N14" t="n">
        <v>20000</v>
      </c>
      <c r="O14" t="n">
        <v>-90</v>
      </c>
      <c r="P14" t="n">
        <v>0</v>
      </c>
      <c r="Q14" t="inlineStr">
        <is>
          <t>his_note_adaptive</t>
        </is>
      </c>
      <c r="R14" t="n">
        <v>1</v>
      </c>
      <c r="S14" t="n">
        <v>0.5</v>
      </c>
      <c r="T14" t="n">
        <v>0.25</v>
      </c>
      <c r="U14" t="n">
        <v>-90</v>
      </c>
      <c r="V14" s="15" t="n">
        <v>20000</v>
      </c>
    </row>
    <row r="15">
      <c r="A15" t="inlineStr">
        <is>
          <t>C5</t>
        </is>
      </c>
      <c r="B15" t="n">
        <v>72</v>
      </c>
      <c r="C15" s="15" t="n">
        <v>523.1277033567962</v>
      </c>
      <c r="D15" s="15" t="inlineStr">
        <is>
          <t>prior_constrained_harmonic_fit</t>
        </is>
      </c>
      <c r="E15" s="15" t="inlineStr">
        <is>
          <t>fit_accepted_acoustically_verified</t>
        </is>
      </c>
      <c r="F15" t="inlineStr">
        <is>
          <t>Tier_43</t>
        </is>
      </c>
      <c r="G15" t="inlineStr">
        <is>
          <t>adaptive_tier</t>
        </is>
      </c>
      <c r="H15" t="n">
        <v>2048</v>
      </c>
      <c r="I15" t="n">
        <v>256</v>
      </c>
      <c r="J15" t="n">
        <v>2</v>
      </c>
      <c r="K15" t="inlineStr">
        <is>
          <t>blackmanharris</t>
        </is>
      </c>
      <c r="L15" s="15" t="n">
        <v>10.8</v>
      </c>
      <c r="M15" t="n">
        <v>470.9260175410776</v>
      </c>
      <c r="N15" t="n">
        <v>20000</v>
      </c>
      <c r="O15" t="n">
        <v>-90</v>
      </c>
      <c r="P15" t="n">
        <v>0</v>
      </c>
      <c r="Q15" t="inlineStr">
        <is>
          <t>his_note_adaptive</t>
        </is>
      </c>
      <c r="R15" t="n">
        <v>1</v>
      </c>
      <c r="S15" t="n">
        <v>0.5</v>
      </c>
      <c r="T15" t="n">
        <v>0.25</v>
      </c>
      <c r="U15" t="n">
        <v>-90</v>
      </c>
      <c r="V15" s="15" t="n">
        <v>20000</v>
      </c>
    </row>
    <row r="16">
      <c r="A16" t="inlineStr">
        <is>
          <t>C#5</t>
        </is>
      </c>
      <c r="B16" t="n">
        <v>73</v>
      </c>
      <c r="C16" s="15" t="n">
        <v>554.4939286909369</v>
      </c>
      <c r="D16" s="15" t="inlineStr">
        <is>
          <t>prior_constrained_harmonic_fit</t>
        </is>
      </c>
      <c r="E16" s="15" t="inlineStr">
        <is>
          <t>fit_accepted_acoustically_verified</t>
        </is>
      </c>
      <c r="F16" t="inlineStr">
        <is>
          <t>Tier_44</t>
        </is>
      </c>
      <c r="G16" t="inlineStr">
        <is>
          <t>adaptive_tier</t>
        </is>
      </c>
      <c r="H16" t="n">
        <v>2048</v>
      </c>
      <c r="I16" t="n">
        <v>256</v>
      </c>
      <c r="J16" t="n">
        <v>2</v>
      </c>
      <c r="K16" t="inlineStr">
        <is>
          <t>blackmanharris</t>
        </is>
      </c>
      <c r="L16" s="15" t="n">
        <v>11</v>
      </c>
      <c r="M16" t="n">
        <v>498.9287357583697</v>
      </c>
      <c r="N16" t="n">
        <v>20000</v>
      </c>
      <c r="O16" t="n">
        <v>-90</v>
      </c>
      <c r="P16" t="n">
        <v>0</v>
      </c>
      <c r="Q16" t="inlineStr">
        <is>
          <t>his_note_adaptive</t>
        </is>
      </c>
      <c r="R16" t="n">
        <v>1</v>
      </c>
      <c r="S16" t="n">
        <v>0.5</v>
      </c>
      <c r="T16" t="n">
        <v>0.25</v>
      </c>
      <c r="U16" t="n">
        <v>-90</v>
      </c>
      <c r="V16" s="15" t="n">
        <v>20000</v>
      </c>
    </row>
    <row r="17">
      <c r="A17" t="inlineStr">
        <is>
          <t>D5</t>
        </is>
      </c>
      <c r="B17" t="n">
        <v>74</v>
      </c>
      <c r="C17" s="15" t="n">
        <v>588.6217133751981</v>
      </c>
      <c r="D17" s="15" t="inlineStr">
        <is>
          <t>prior_constrained_harmonic_fit</t>
        </is>
      </c>
      <c r="E17" s="15" t="inlineStr">
        <is>
          <t>fit_accepted_acoustically_verified</t>
        </is>
      </c>
      <c r="F17" t="inlineStr">
        <is>
          <t>Tier_45</t>
        </is>
      </c>
      <c r="G17" t="inlineStr">
        <is>
          <t>adaptive_tier</t>
        </is>
      </c>
      <c r="H17" t="n">
        <v>2048</v>
      </c>
      <c r="I17" t="n">
        <v>256</v>
      </c>
      <c r="J17" t="n">
        <v>2</v>
      </c>
      <c r="K17" t="inlineStr">
        <is>
          <t>blackmanharris</t>
        </is>
      </c>
      <c r="L17" s="15" t="n">
        <v>11.2</v>
      </c>
      <c r="M17" t="n">
        <v>528.5965822513336</v>
      </c>
      <c r="N17" t="n">
        <v>20000</v>
      </c>
      <c r="O17" t="n">
        <v>-90</v>
      </c>
      <c r="P17" t="n">
        <v>0</v>
      </c>
      <c r="Q17" t="inlineStr">
        <is>
          <t>his_note_adaptive</t>
        </is>
      </c>
      <c r="R17" t="n">
        <v>1</v>
      </c>
      <c r="S17" t="n">
        <v>0.5</v>
      </c>
      <c r="T17" t="n">
        <v>0.25</v>
      </c>
      <c r="U17" t="n">
        <v>-90</v>
      </c>
      <c r="V17" s="15" t="n">
        <v>20000</v>
      </c>
    </row>
    <row r="18">
      <c r="A18" t="inlineStr">
        <is>
          <t>D#5</t>
        </is>
      </c>
      <c r="B18" t="n">
        <v>75</v>
      </c>
      <c r="C18" s="15" t="n">
        <v>623.5925135268327</v>
      </c>
      <c r="D18" s="15" t="inlineStr">
        <is>
          <t>prior_constrained_harmonic_fit</t>
        </is>
      </c>
      <c r="E18" s="15" t="inlineStr">
        <is>
          <t>fit_accepted_acoustically_verified</t>
        </is>
      </c>
      <c r="F18" t="inlineStr">
        <is>
          <t>Tier_47</t>
        </is>
      </c>
      <c r="G18" t="inlineStr">
        <is>
          <t>adaptive_tier</t>
        </is>
      </c>
      <c r="H18" t="n">
        <v>2048</v>
      </c>
      <c r="I18" t="n">
        <v>256</v>
      </c>
      <c r="J18" t="n">
        <v>2</v>
      </c>
      <c r="K18" t="inlineStr">
        <is>
          <t>blackmanharris</t>
        </is>
      </c>
      <c r="L18" s="15" t="n">
        <v>11.6</v>
      </c>
      <c r="M18" t="n">
        <v>560.0285706997457</v>
      </c>
      <c r="N18" t="n">
        <v>20000</v>
      </c>
      <c r="O18" t="n">
        <v>-90</v>
      </c>
      <c r="P18" t="n">
        <v>0</v>
      </c>
      <c r="Q18" t="inlineStr">
        <is>
          <t>his_note_adaptive</t>
        </is>
      </c>
      <c r="R18" t="n">
        <v>1</v>
      </c>
      <c r="S18" t="n">
        <v>0.5</v>
      </c>
      <c r="T18" t="n">
        <v>0.25</v>
      </c>
      <c r="U18" t="n">
        <v>-90</v>
      </c>
      <c r="V18" s="15" t="n">
        <v>20000</v>
      </c>
    </row>
    <row r="19">
      <c r="A19" t="inlineStr">
        <is>
          <t>E5</t>
        </is>
      </c>
      <c r="B19" t="n">
        <v>76</v>
      </c>
      <c r="C19" s="15" t="n">
        <v>658.3477864435087</v>
      </c>
      <c r="D19" s="15" t="inlineStr">
        <is>
          <t>prior_constrained_harmonic_fit</t>
        </is>
      </c>
      <c r="E19" s="15" t="inlineStr">
        <is>
          <t>fit_accepted_acoustically_verified</t>
        </is>
      </c>
      <c r="F19" t="inlineStr">
        <is>
          <t>Tier_47</t>
        </is>
      </c>
      <c r="G19" t="inlineStr">
        <is>
          <t>adaptive_tier</t>
        </is>
      </c>
      <c r="H19" t="n">
        <v>2048</v>
      </c>
      <c r="I19" t="n">
        <v>256</v>
      </c>
      <c r="J19" t="n">
        <v>2</v>
      </c>
      <c r="K19" t="inlineStr">
        <is>
          <t>blackmanharris</t>
        </is>
      </c>
      <c r="L19" s="15" t="n">
        <v>11.6</v>
      </c>
      <c r="M19" t="n">
        <v>593.3296024431659</v>
      </c>
      <c r="N19" t="n">
        <v>20000</v>
      </c>
      <c r="O19" t="n">
        <v>-90</v>
      </c>
      <c r="P19" t="n">
        <v>0</v>
      </c>
      <c r="Q19" t="inlineStr">
        <is>
          <t>his_note_adaptive</t>
        </is>
      </c>
      <c r="R19" t="n">
        <v>1</v>
      </c>
      <c r="S19" t="n">
        <v>0.5</v>
      </c>
      <c r="T19" t="n">
        <v>0.25</v>
      </c>
      <c r="U19" t="n">
        <v>-90</v>
      </c>
      <c r="V19" s="15" t="n">
        <v>20000</v>
      </c>
    </row>
    <row r="20">
      <c r="A20" t="inlineStr">
        <is>
          <t>F5</t>
        </is>
      </c>
      <c r="B20" t="n">
        <v>77</v>
      </c>
      <c r="C20" s="15" t="n">
        <v>699.1446682452327</v>
      </c>
      <c r="D20" s="15" t="inlineStr">
        <is>
          <t>prior_constrained_harmonic_fit</t>
        </is>
      </c>
      <c r="E20" s="15" t="inlineStr">
        <is>
          <t>fit_accepted_acoustically_verified</t>
        </is>
      </c>
      <c r="F20" t="inlineStr">
        <is>
          <t>Tier_48</t>
        </is>
      </c>
      <c r="G20" t="inlineStr">
        <is>
          <t>adaptive_tier</t>
        </is>
      </c>
      <c r="H20" t="n">
        <v>2048</v>
      </c>
      <c r="I20" t="n">
        <v>256</v>
      </c>
      <c r="J20" t="n">
        <v>2</v>
      </c>
      <c r="K20" t="inlineStr">
        <is>
          <t>blackmanharris</t>
        </is>
      </c>
      <c r="L20" s="15" t="n">
        <v>11.8</v>
      </c>
      <c r="M20" t="n">
        <v>628.610816579407</v>
      </c>
      <c r="N20" t="n">
        <v>20000</v>
      </c>
      <c r="O20" t="n">
        <v>-90</v>
      </c>
      <c r="P20" t="n">
        <v>0</v>
      </c>
      <c r="Q20" t="inlineStr">
        <is>
          <t>his_note_adaptive</t>
        </is>
      </c>
      <c r="R20" t="n">
        <v>1</v>
      </c>
      <c r="S20" t="n">
        <v>0.5</v>
      </c>
      <c r="T20" t="n">
        <v>0.25</v>
      </c>
      <c r="U20" t="n">
        <v>-90</v>
      </c>
      <c r="V20" s="15" t="n">
        <v>20000</v>
      </c>
    </row>
    <row r="21">
      <c r="A21" t="inlineStr">
        <is>
          <t>F#5</t>
        </is>
      </c>
      <c r="B21" t="n">
        <v>78</v>
      </c>
      <c r="C21" s="15" t="n">
        <v>741.0656240635196</v>
      </c>
      <c r="D21" s="15" t="inlineStr">
        <is>
          <t>prior_constrained_harmonic_fit</t>
        </is>
      </c>
      <c r="E21" s="15" t="inlineStr">
        <is>
          <t>fit_accepted_acoustically_verified</t>
        </is>
      </c>
      <c r="F21" t="inlineStr">
        <is>
          <t>Tier_49</t>
        </is>
      </c>
      <c r="G21" t="inlineStr">
        <is>
          <t>adaptive_tier</t>
        </is>
      </c>
      <c r="H21" t="n">
        <v>2048</v>
      </c>
      <c r="I21" t="n">
        <v>256</v>
      </c>
      <c r="J21" t="n">
        <v>2</v>
      </c>
      <c r="K21" t="inlineStr">
        <is>
          <t>blackmanharris</t>
        </is>
      </c>
      <c r="L21" s="15" t="n">
        <v>12</v>
      </c>
      <c r="M21" t="n">
        <v>665.9899608809419</v>
      </c>
      <c r="N21" t="n">
        <v>20000</v>
      </c>
      <c r="O21" t="n">
        <v>-90</v>
      </c>
      <c r="P21" t="n">
        <v>0</v>
      </c>
      <c r="Q21" t="inlineStr">
        <is>
          <t>his_note_adaptive</t>
        </is>
      </c>
      <c r="R21" t="n">
        <v>1</v>
      </c>
      <c r="S21" t="n">
        <v>0.5</v>
      </c>
      <c r="T21" t="n">
        <v>0.25</v>
      </c>
      <c r="U21" t="n">
        <v>-90</v>
      </c>
      <c r="V21" s="15" t="n">
        <v>20000</v>
      </c>
    </row>
    <row r="22">
      <c r="A22" t="inlineStr">
        <is>
          <t>G5</t>
        </is>
      </c>
      <c r="B22" t="n">
        <v>79</v>
      </c>
      <c r="C22" s="15" t="n">
        <v>783.2380881716907</v>
      </c>
      <c r="D22" s="15" t="inlineStr">
        <is>
          <t>prior_constrained_harmonic_fit</t>
        </is>
      </c>
      <c r="E22" s="15" t="inlineStr">
        <is>
          <t>fit_accepted_acoustically_verified</t>
        </is>
      </c>
      <c r="F22" t="inlineStr">
        <is>
          <t>Tier_50</t>
        </is>
      </c>
      <c r="G22" t="inlineStr">
        <is>
          <t>adaptive_tier</t>
        </is>
      </c>
      <c r="H22" t="n">
        <v>2048</v>
      </c>
      <c r="I22" t="n">
        <v>256</v>
      </c>
      <c r="J22" t="n">
        <v>2</v>
      </c>
      <c r="K22" t="inlineStr">
        <is>
          <t>blackmanharris</t>
        </is>
      </c>
      <c r="L22" s="15" t="n">
        <v>12.2</v>
      </c>
      <c r="M22" t="n">
        <v>705.5917847671487</v>
      </c>
      <c r="N22" t="n">
        <v>20000</v>
      </c>
      <c r="O22" t="n">
        <v>-90</v>
      </c>
      <c r="P22" t="n">
        <v>0</v>
      </c>
      <c r="Q22" t="inlineStr">
        <is>
          <t>his_note_adaptive</t>
        </is>
      </c>
      <c r="R22" t="n">
        <v>1</v>
      </c>
      <c r="S22" t="n">
        <v>0.5</v>
      </c>
      <c r="T22" t="n">
        <v>0.25</v>
      </c>
      <c r="U22" t="n">
        <v>-90</v>
      </c>
      <c r="V22" s="15" t="n">
        <v>20000</v>
      </c>
    </row>
    <row r="23">
      <c r="A23" t="inlineStr">
        <is>
          <t>G#5</t>
        </is>
      </c>
      <c r="B23" t="n">
        <v>80</v>
      </c>
      <c r="C23" s="15" t="n">
        <v>829.725465876038</v>
      </c>
      <c r="D23" s="15" t="inlineStr">
        <is>
          <t>prior_constrained_harmonic_fit</t>
        </is>
      </c>
      <c r="E23" s="15" t="inlineStr">
        <is>
          <t>fit_accepted_acoustically_verified</t>
        </is>
      </c>
      <c r="F23" t="inlineStr">
        <is>
          <t>Tier_51</t>
        </is>
      </c>
      <c r="G23" t="inlineStr">
        <is>
          <t>adaptive_tier</t>
        </is>
      </c>
      <c r="H23" t="n">
        <v>2048</v>
      </c>
      <c r="I23" t="n">
        <v>256</v>
      </c>
      <c r="J23" t="n">
        <v>2</v>
      </c>
      <c r="K23" t="inlineStr">
        <is>
          <t>blackmanharris</t>
        </is>
      </c>
      <c r="L23" s="15" t="n">
        <v>12.4</v>
      </c>
      <c r="M23" t="n">
        <v>747.5484556439012</v>
      </c>
      <c r="N23" t="n">
        <v>20000</v>
      </c>
      <c r="O23" t="n">
        <v>-90</v>
      </c>
      <c r="P23" t="n">
        <v>0</v>
      </c>
      <c r="Q23" t="inlineStr">
        <is>
          <t>his_note_adaptive</t>
        </is>
      </c>
      <c r="R23" t="n">
        <v>1</v>
      </c>
      <c r="S23" t="n">
        <v>0.5</v>
      </c>
      <c r="T23" t="n">
        <v>0.25</v>
      </c>
      <c r="U23" t="n">
        <v>-90</v>
      </c>
      <c r="V23" s="15" t="n">
        <v>20000</v>
      </c>
    </row>
    <row r="24">
      <c r="A24" t="inlineStr">
        <is>
          <t>A5</t>
        </is>
      </c>
      <c r="B24" t="n">
        <v>81</v>
      </c>
      <c r="C24" s="15" t="n">
        <v>880.450466025311</v>
      </c>
      <c r="D24" s="15" t="inlineStr">
        <is>
          <t>prior_constrained_harmonic_fit</t>
        </is>
      </c>
      <c r="E24" s="15" t="inlineStr">
        <is>
          <t>fit_accepted_acoustically_verified</t>
        </is>
      </c>
      <c r="F24" t="inlineStr">
        <is>
          <t>Tier_52</t>
        </is>
      </c>
      <c r="G24" t="inlineStr">
        <is>
          <t>adaptive_tier</t>
        </is>
      </c>
      <c r="H24" t="n">
        <v>2048</v>
      </c>
      <c r="I24" t="n">
        <v>256</v>
      </c>
      <c r="J24" t="n">
        <v>2</v>
      </c>
      <c r="K24" t="inlineStr">
        <is>
          <t>blackmanharris</t>
        </is>
      </c>
      <c r="L24" s="15" t="n">
        <v>12.975</v>
      </c>
      <c r="M24" t="n">
        <v>792</v>
      </c>
      <c r="N24" t="n">
        <v>20000</v>
      </c>
      <c r="O24" t="n">
        <v>-90</v>
      </c>
      <c r="P24" t="n">
        <v>0</v>
      </c>
      <c r="Q24" t="inlineStr">
        <is>
          <t>his_note_adaptive</t>
        </is>
      </c>
      <c r="R24" t="n">
        <v>1</v>
      </c>
      <c r="S24" t="n">
        <v>0.5</v>
      </c>
      <c r="T24" t="n">
        <v>0.25</v>
      </c>
      <c r="U24" t="n">
        <v>-90</v>
      </c>
      <c r="V24" s="15" t="n">
        <v>20000</v>
      </c>
    </row>
    <row r="25">
      <c r="A25" t="inlineStr">
        <is>
          <t>A#5</t>
        </is>
      </c>
      <c r="B25" t="n">
        <v>82</v>
      </c>
      <c r="C25" s="15" t="n">
        <v>932.0535057917408</v>
      </c>
      <c r="D25" s="15" t="inlineStr">
        <is>
          <t>prior_constrained_harmonic_fit</t>
        </is>
      </c>
      <c r="E25" s="15" t="inlineStr">
        <is>
          <t>fit_accepted_acoustically_verified</t>
        </is>
      </c>
      <c r="F25" t="inlineStr">
        <is>
          <t>Tier_53</t>
        </is>
      </c>
      <c r="G25" t="inlineStr">
        <is>
          <t>adaptive_tier</t>
        </is>
      </c>
      <c r="H25" t="n">
        <v>2048</v>
      </c>
      <c r="I25" t="n">
        <v>256</v>
      </c>
      <c r="J25" t="n">
        <v>2</v>
      </c>
      <c r="K25" t="inlineStr">
        <is>
          <t>blackmanharris</t>
        </is>
      </c>
      <c r="L25" s="15" t="n">
        <v>13.8</v>
      </c>
      <c r="M25" t="n">
        <v>839.0947707325619</v>
      </c>
      <c r="N25" t="n">
        <v>20000</v>
      </c>
      <c r="O25" t="n">
        <v>-90</v>
      </c>
      <c r="P25" t="n">
        <v>0</v>
      </c>
      <c r="Q25" t="inlineStr">
        <is>
          <t>his_note_adaptive</t>
        </is>
      </c>
      <c r="R25" t="n">
        <v>1</v>
      </c>
      <c r="S25" t="n">
        <v>0.5</v>
      </c>
      <c r="T25" t="n">
        <v>0.25</v>
      </c>
      <c r="U25" t="n">
        <v>-90</v>
      </c>
      <c r="V25" s="15" t="n">
        <v>20000</v>
      </c>
    </row>
    <row r="26">
      <c r="A26" t="inlineStr">
        <is>
          <t>B5</t>
        </is>
      </c>
      <c r="B26" t="n">
        <v>83</v>
      </c>
      <c r="C26" s="15" t="n">
        <v>986.0696881437477</v>
      </c>
      <c r="D26" s="15" t="inlineStr">
        <is>
          <t>prior_constrained_harmonic_fit</t>
        </is>
      </c>
      <c r="E26" s="15" t="inlineStr">
        <is>
          <t>fit_accepted_acoustically_verified</t>
        </is>
      </c>
      <c r="F26" t="inlineStr">
        <is>
          <t>Tier_54</t>
        </is>
      </c>
      <c r="G26" t="inlineStr">
        <is>
          <t>adaptive_tier</t>
        </is>
      </c>
      <c r="H26" t="n">
        <v>2048</v>
      </c>
      <c r="I26" t="n">
        <v>256</v>
      </c>
      <c r="J26" t="n">
        <v>2</v>
      </c>
      <c r="K26" t="inlineStr">
        <is>
          <t>blackmanharris</t>
        </is>
      </c>
      <c r="L26" s="15" t="n">
        <v>14.625</v>
      </c>
      <c r="M26" t="n">
        <v>888.9899422610234</v>
      </c>
      <c r="N26" t="n">
        <v>20000</v>
      </c>
      <c r="O26" t="n">
        <v>-90</v>
      </c>
      <c r="P26" t="n">
        <v>0</v>
      </c>
      <c r="Q26" t="inlineStr">
        <is>
          <t>his_note_adaptive</t>
        </is>
      </c>
      <c r="R26" t="n">
        <v>1</v>
      </c>
      <c r="S26" t="n">
        <v>0.5</v>
      </c>
      <c r="T26" t="n">
        <v>0.25</v>
      </c>
      <c r="U26" t="n">
        <v>-90</v>
      </c>
      <c r="V26" s="15" t="n">
        <v>20000</v>
      </c>
    </row>
    <row r="27">
      <c r="A27" t="inlineStr">
        <is>
          <t>C6</t>
        </is>
      </c>
      <c r="B27" t="n">
        <v>84</v>
      </c>
      <c r="C27" s="15" t="n">
        <v>1047.589166064006</v>
      </c>
      <c r="D27" s="15" t="inlineStr">
        <is>
          <t>prior_constrained_harmonic_fit</t>
        </is>
      </c>
      <c r="E27" s="15" t="inlineStr">
        <is>
          <t>fit_accepted_acoustically_verified</t>
        </is>
      </c>
      <c r="F27" t="inlineStr">
        <is>
          <t>Tier_55</t>
        </is>
      </c>
      <c r="G27" t="inlineStr">
        <is>
          <t>adaptive_tier</t>
        </is>
      </c>
      <c r="H27" t="n">
        <v>2048</v>
      </c>
      <c r="I27" t="n">
        <v>256</v>
      </c>
      <c r="J27" t="n">
        <v>2</v>
      </c>
      <c r="K27" t="inlineStr">
        <is>
          <t>blackmanharris</t>
        </is>
      </c>
      <c r="L27" s="15" t="n">
        <v>15.525</v>
      </c>
      <c r="M27" t="n">
        <v>941.8520350821551</v>
      </c>
      <c r="N27" t="n">
        <v>20000</v>
      </c>
      <c r="O27" t="n">
        <v>-90</v>
      </c>
      <c r="P27" t="n">
        <v>0</v>
      </c>
      <c r="Q27" t="inlineStr">
        <is>
          <t>his_note_adaptive</t>
        </is>
      </c>
      <c r="R27" t="n">
        <v>1</v>
      </c>
      <c r="S27" t="n">
        <v>0.5</v>
      </c>
      <c r="T27" t="n">
        <v>0.25</v>
      </c>
      <c r="U27" t="n">
        <v>-90</v>
      </c>
      <c r="V27" s="15" t="n">
        <v>20000</v>
      </c>
    </row>
    <row r="28">
      <c r="A28" t="inlineStr">
        <is>
          <t>C#6</t>
        </is>
      </c>
      <c r="B28" t="n">
        <v>85</v>
      </c>
      <c r="C28" s="15" t="n">
        <v>1109.289337247893</v>
      </c>
      <c r="D28" s="15" t="inlineStr">
        <is>
          <t>prior_constrained_harmonic_fit</t>
        </is>
      </c>
      <c r="E28" s="15" t="inlineStr">
        <is>
          <t>fit_accepted_acoustically_verified</t>
        </is>
      </c>
      <c r="F28" t="inlineStr">
        <is>
          <t>Tier_56</t>
        </is>
      </c>
      <c r="G28" t="inlineStr">
        <is>
          <t>adaptive_tier</t>
        </is>
      </c>
      <c r="H28" t="n">
        <v>2048</v>
      </c>
      <c r="I28" t="n">
        <v>256</v>
      </c>
      <c r="J28" t="n">
        <v>2</v>
      </c>
      <c r="K28" t="inlineStr">
        <is>
          <t>blackmanharris</t>
        </is>
      </c>
      <c r="L28" s="15" t="n">
        <v>16.575</v>
      </c>
      <c r="M28" t="n">
        <v>997.8574715167395</v>
      </c>
      <c r="N28" t="n">
        <v>20000</v>
      </c>
      <c r="O28" t="n">
        <v>-90</v>
      </c>
      <c r="P28" t="n">
        <v>0</v>
      </c>
      <c r="Q28" t="inlineStr">
        <is>
          <t>his_note_adaptive</t>
        </is>
      </c>
      <c r="R28" t="n">
        <v>1</v>
      </c>
      <c r="S28" t="n">
        <v>0.5</v>
      </c>
      <c r="T28" t="n">
        <v>0.25</v>
      </c>
      <c r="U28" t="n">
        <v>-90</v>
      </c>
      <c r="V28" s="15" t="n">
        <v>20000</v>
      </c>
    </row>
    <row r="29">
      <c r="A29" t="inlineStr">
        <is>
          <t>D6</t>
        </is>
      </c>
      <c r="B29" t="n">
        <v>86</v>
      </c>
      <c r="C29" s="15" t="n">
        <v>1175.634277223944</v>
      </c>
      <c r="D29" s="15" t="inlineStr">
        <is>
          <t>prior_constrained_harmonic_fit</t>
        </is>
      </c>
      <c r="E29" s="15" t="inlineStr">
        <is>
          <t>fit_accepted_acoustically_verified</t>
        </is>
      </c>
      <c r="F29" t="inlineStr">
        <is>
          <t>Tier_57</t>
        </is>
      </c>
      <c r="G29" t="inlineStr">
        <is>
          <t>adaptive_tier</t>
        </is>
      </c>
      <c r="H29" t="n">
        <v>2048</v>
      </c>
      <c r="I29" t="n">
        <v>256</v>
      </c>
      <c r="J29" t="n">
        <v>2</v>
      </c>
      <c r="K29" t="inlineStr">
        <is>
          <t>blackmanharris</t>
        </is>
      </c>
      <c r="L29" s="15" t="n">
        <v>17.625</v>
      </c>
      <c r="M29" t="n">
        <v>1057.193164502667</v>
      </c>
      <c r="N29" t="n">
        <v>20000</v>
      </c>
      <c r="O29" t="n">
        <v>-90</v>
      </c>
      <c r="P29" t="n">
        <v>0</v>
      </c>
      <c r="Q29" t="inlineStr">
        <is>
          <t>his_note_adaptive</t>
        </is>
      </c>
      <c r="R29" t="n">
        <v>1</v>
      </c>
      <c r="S29" t="n">
        <v>0.5</v>
      </c>
      <c r="T29" t="n">
        <v>0.25</v>
      </c>
      <c r="U29" t="n">
        <v>-90</v>
      </c>
      <c r="V29" s="15" t="n">
        <v>20000</v>
      </c>
    </row>
    <row r="30">
      <c r="A30" t="inlineStr">
        <is>
          <t>D#6</t>
        </is>
      </c>
      <c r="B30" t="n">
        <v>87</v>
      </c>
      <c r="C30" s="15" t="n">
        <v>1244.241540376175</v>
      </c>
      <c r="D30" s="15" t="inlineStr">
        <is>
          <t>prior_constrained_harmonic_fit</t>
        </is>
      </c>
      <c r="E30" s="15" t="inlineStr">
        <is>
          <t>fit_accepted_acoustically_verified</t>
        </is>
      </c>
      <c r="F30" t="inlineStr">
        <is>
          <t>Tier_58</t>
        </is>
      </c>
      <c r="G30" t="inlineStr">
        <is>
          <t>adaptive_tier</t>
        </is>
      </c>
      <c r="H30" t="n">
        <v>2048</v>
      </c>
      <c r="I30" t="n">
        <v>256</v>
      </c>
      <c r="J30" t="n">
        <v>2</v>
      </c>
      <c r="K30" t="inlineStr">
        <is>
          <t>blackmanharris</t>
        </is>
      </c>
      <c r="L30" s="15" t="n">
        <v>18.675</v>
      </c>
      <c r="M30" t="n">
        <v>1120.057141399491</v>
      </c>
      <c r="N30" t="n">
        <v>20000</v>
      </c>
      <c r="O30" t="n">
        <v>-90</v>
      </c>
      <c r="P30" t="n">
        <v>0</v>
      </c>
      <c r="Q30" t="inlineStr">
        <is>
          <t>his_note_adaptive</t>
        </is>
      </c>
      <c r="R30" t="n">
        <v>1</v>
      </c>
      <c r="S30" t="n">
        <v>0.5</v>
      </c>
      <c r="T30" t="n">
        <v>0.25</v>
      </c>
      <c r="U30" t="n">
        <v>-90</v>
      </c>
      <c r="V30" s="15" t="n">
        <v>20000</v>
      </c>
    </row>
    <row r="31">
      <c r="A31" t="inlineStr">
        <is>
          <t>E6</t>
        </is>
      </c>
      <c r="B31" t="n">
        <v>88</v>
      </c>
      <c r="C31" s="15" t="n">
        <v>1319.185589335618</v>
      </c>
      <c r="D31" s="15" t="inlineStr">
        <is>
          <t>prior_constrained_harmonic_fit</t>
        </is>
      </c>
      <c r="E31" s="15" t="inlineStr">
        <is>
          <t>fit_accepted_acoustically_verified</t>
        </is>
      </c>
      <c r="F31" t="inlineStr">
        <is>
          <t>Tier_59</t>
        </is>
      </c>
      <c r="G31" t="inlineStr">
        <is>
          <t>adaptive_tier</t>
        </is>
      </c>
      <c r="H31" t="n">
        <v>2048</v>
      </c>
      <c r="I31" t="n">
        <v>256</v>
      </c>
      <c r="J31" t="n">
        <v>2</v>
      </c>
      <c r="K31" t="inlineStr">
        <is>
          <t>blackmanharris</t>
        </is>
      </c>
      <c r="L31" s="15" t="n">
        <v>19.8</v>
      </c>
      <c r="M31" t="n">
        <v>1186.659204886332</v>
      </c>
      <c r="N31" t="n">
        <v>20000</v>
      </c>
      <c r="O31" t="n">
        <v>-90</v>
      </c>
      <c r="P31" t="n">
        <v>0</v>
      </c>
      <c r="Q31" t="inlineStr">
        <is>
          <t>his_note_adaptive</t>
        </is>
      </c>
      <c r="R31" t="n">
        <v>1</v>
      </c>
      <c r="S31" t="n">
        <v>0.5</v>
      </c>
      <c r="T31" t="n">
        <v>0.25</v>
      </c>
      <c r="U31" t="n">
        <v>-90</v>
      </c>
      <c r="V31" s="15" t="n">
        <v>20000</v>
      </c>
    </row>
    <row r="32">
      <c r="A32" t="inlineStr">
        <is>
          <t>F6</t>
        </is>
      </c>
      <c r="B32" t="n">
        <v>89</v>
      </c>
      <c r="C32" s="15" t="n">
        <v>1397.814070436934</v>
      </c>
      <c r="D32" s="15" t="inlineStr">
        <is>
          <t>prior_constrained_harmonic_fit</t>
        </is>
      </c>
      <c r="E32" s="15" t="inlineStr">
        <is>
          <t>fit_accepted_acoustically_verified</t>
        </is>
      </c>
      <c r="F32" t="inlineStr">
        <is>
          <t>Tier_60</t>
        </is>
      </c>
      <c r="G32" t="inlineStr">
        <is>
          <t>adaptive_tier</t>
        </is>
      </c>
      <c r="H32" t="n">
        <v>1024</v>
      </c>
      <c r="I32" t="n">
        <v>128</v>
      </c>
      <c r="J32" t="n">
        <v>2</v>
      </c>
      <c r="K32" t="inlineStr">
        <is>
          <t>blackmanharris</t>
        </is>
      </c>
      <c r="L32" s="15" t="n">
        <v>21.075</v>
      </c>
      <c r="M32" t="n">
        <v>1257.221633158814</v>
      </c>
      <c r="N32" t="n">
        <v>20000</v>
      </c>
      <c r="O32" t="n">
        <v>-90</v>
      </c>
      <c r="P32" t="n">
        <v>0</v>
      </c>
      <c r="Q32" t="inlineStr">
        <is>
          <t>his_note_adaptive</t>
        </is>
      </c>
      <c r="R32" t="n">
        <v>1</v>
      </c>
      <c r="S32" t="n">
        <v>0.5</v>
      </c>
      <c r="T32" t="n">
        <v>0.25</v>
      </c>
      <c r="U32" t="n">
        <v>-90</v>
      </c>
      <c r="V32" s="15" t="n">
        <v>20000</v>
      </c>
    </row>
    <row r="33">
      <c r="A33" t="inlineStr">
        <is>
          <t>F#6</t>
        </is>
      </c>
      <c r="B33" t="n">
        <v>90</v>
      </c>
      <c r="C33" s="15" t="n">
        <v>1479.328786620015</v>
      </c>
      <c r="D33" s="15" t="inlineStr">
        <is>
          <t>prior_constrained_harmonic_fit</t>
        </is>
      </c>
      <c r="E33" s="15" t="inlineStr">
        <is>
          <t>fit_accepted_acoustically_verified</t>
        </is>
      </c>
      <c r="F33" t="inlineStr">
        <is>
          <t>Tier_61</t>
        </is>
      </c>
      <c r="G33" t="inlineStr">
        <is>
          <t>adaptive_tier</t>
        </is>
      </c>
      <c r="H33" t="n">
        <v>1024</v>
      </c>
      <c r="I33" t="n">
        <v>128</v>
      </c>
      <c r="J33" t="n">
        <v>2</v>
      </c>
      <c r="K33" t="inlineStr">
        <is>
          <t>blackmanharris</t>
        </is>
      </c>
      <c r="L33" s="15" t="n">
        <v>22.5</v>
      </c>
      <c r="M33" t="n">
        <v>1331.979921761884</v>
      </c>
      <c r="N33" t="n">
        <v>20000</v>
      </c>
      <c r="O33" t="n">
        <v>-90</v>
      </c>
      <c r="P33" t="n">
        <v>0</v>
      </c>
      <c r="Q33" t="inlineStr">
        <is>
          <t>his_note_adaptive</t>
        </is>
      </c>
      <c r="R33" t="n">
        <v>1</v>
      </c>
      <c r="S33" t="n">
        <v>0.5</v>
      </c>
      <c r="T33" t="n">
        <v>0.25</v>
      </c>
      <c r="U33" t="n">
        <v>-90</v>
      </c>
      <c r="V33" s="15" t="n">
        <v>20000</v>
      </c>
    </row>
    <row r="34">
      <c r="A34" t="inlineStr">
        <is>
          <t>G6</t>
        </is>
      </c>
      <c r="B34" t="n">
        <v>91</v>
      </c>
      <c r="C34" s="15" t="n">
        <v>1569.059053072746</v>
      </c>
      <c r="D34" s="15" t="inlineStr">
        <is>
          <t>prior_constrained_harmonic_fit</t>
        </is>
      </c>
      <c r="E34" s="15" t="inlineStr">
        <is>
          <t>fit_accepted_acoustically_verified</t>
        </is>
      </c>
      <c r="F34" t="inlineStr">
        <is>
          <t>Tier_62</t>
        </is>
      </c>
      <c r="G34" t="inlineStr">
        <is>
          <t>adaptive_tier</t>
        </is>
      </c>
      <c r="H34" t="n">
        <v>1024</v>
      </c>
      <c r="I34" t="n">
        <v>128</v>
      </c>
      <c r="J34" t="n">
        <v>2</v>
      </c>
      <c r="K34" t="inlineStr">
        <is>
          <t>blackmanharris</t>
        </is>
      </c>
      <c r="L34" s="15" t="n">
        <v>24</v>
      </c>
      <c r="M34" t="n">
        <v>1411.183569534297</v>
      </c>
      <c r="N34" t="n">
        <v>20000</v>
      </c>
      <c r="O34" t="n">
        <v>-90</v>
      </c>
      <c r="P34" t="n">
        <v>0</v>
      </c>
      <c r="Q34" t="inlineStr">
        <is>
          <t>his_note_adaptive</t>
        </is>
      </c>
      <c r="R34" t="n">
        <v>1</v>
      </c>
      <c r="S34" t="n">
        <v>0.5</v>
      </c>
      <c r="T34" t="n">
        <v>0.25</v>
      </c>
      <c r="U34" t="n">
        <v>-90</v>
      </c>
      <c r="V34" s="15" t="n">
        <v>20000</v>
      </c>
    </row>
    <row r="35">
      <c r="A35" t="inlineStr">
        <is>
          <t>G#6</t>
        </is>
      </c>
      <c r="B35" t="n">
        <v>92</v>
      </c>
      <c r="C35" s="15" t="n">
        <v>1658.887154543974</v>
      </c>
      <c r="D35" s="15" t="inlineStr">
        <is>
          <t>prior_constrained_harmonic_fit</t>
        </is>
      </c>
      <c r="E35" s="15" t="inlineStr">
        <is>
          <t>fit_accepted_acoustically_verified</t>
        </is>
      </c>
      <c r="F35" t="inlineStr">
        <is>
          <t>Tier_63</t>
        </is>
      </c>
      <c r="G35" t="inlineStr">
        <is>
          <t>adaptive_tier</t>
        </is>
      </c>
      <c r="H35" t="n">
        <v>1024</v>
      </c>
      <c r="I35" t="n">
        <v>128</v>
      </c>
      <c r="J35" t="n">
        <v>2</v>
      </c>
      <c r="K35" t="inlineStr">
        <is>
          <t>blackmanharris</t>
        </is>
      </c>
      <c r="L35" s="15" t="n">
        <v>25.575</v>
      </c>
      <c r="M35" t="n">
        <v>1495.096911287802</v>
      </c>
      <c r="N35" t="n">
        <v>20000</v>
      </c>
      <c r="O35" t="n">
        <v>-90</v>
      </c>
      <c r="P35" t="n">
        <v>0</v>
      </c>
      <c r="Q35" t="inlineStr">
        <is>
          <t>his_note_adaptive</t>
        </is>
      </c>
      <c r="R35" t="n">
        <v>1</v>
      </c>
      <c r="S35" t="n">
        <v>0.5</v>
      </c>
      <c r="T35" t="n">
        <v>0.25</v>
      </c>
      <c r="U35" t="n">
        <v>-90</v>
      </c>
      <c r="V35" s="15" t="n">
        <v>20000</v>
      </c>
    </row>
    <row r="36">
      <c r="A36" t="inlineStr">
        <is>
          <t>A6</t>
        </is>
      </c>
      <c r="B36" t="n">
        <v>93</v>
      </c>
      <c r="C36" s="15" t="n">
        <v>1760.573617924108</v>
      </c>
      <c r="D36" s="15" t="inlineStr">
        <is>
          <t>prior_constrained_harmonic_fit</t>
        </is>
      </c>
      <c r="E36" s="15" t="inlineStr">
        <is>
          <t>fit_accepted_acoustically_verified</t>
        </is>
      </c>
      <c r="F36" t="inlineStr">
        <is>
          <t>Tier_64</t>
        </is>
      </c>
      <c r="G36" t="inlineStr">
        <is>
          <t>adaptive_tier</t>
        </is>
      </c>
      <c r="H36" t="n">
        <v>1024</v>
      </c>
      <c r="I36" t="n">
        <v>128</v>
      </c>
      <c r="J36" t="n">
        <v>2</v>
      </c>
      <c r="K36" t="inlineStr">
        <is>
          <t>blackmanharris</t>
        </is>
      </c>
      <c r="L36" s="15" t="n">
        <v>27.3</v>
      </c>
      <c r="M36" t="n">
        <v>1584</v>
      </c>
      <c r="N36" t="n">
        <v>20000</v>
      </c>
      <c r="O36" t="n">
        <v>-90</v>
      </c>
      <c r="P36" t="n">
        <v>0</v>
      </c>
      <c r="Q36" t="inlineStr">
        <is>
          <t>his_note_adaptive</t>
        </is>
      </c>
      <c r="R36" t="n">
        <v>1</v>
      </c>
      <c r="S36" t="n">
        <v>0.5</v>
      </c>
      <c r="T36" t="n">
        <v>0.25</v>
      </c>
      <c r="U36" t="n">
        <v>-90</v>
      </c>
      <c r="V36" s="15" t="n">
        <v>20000</v>
      </c>
    </row>
    <row r="37">
      <c r="A37" t="inlineStr">
        <is>
          <t>A#6</t>
        </is>
      </c>
      <c r="B37" t="n">
        <v>94</v>
      </c>
      <c r="C37" s="15" t="n">
        <v>1862.196033739299</v>
      </c>
      <c r="D37" s="15" t="inlineStr">
        <is>
          <t>prior_constrained_harmonic_fit</t>
        </is>
      </c>
      <c r="E37" s="15" t="inlineStr">
        <is>
          <t>fit_accepted_acoustically_verified</t>
        </is>
      </c>
      <c r="F37" t="inlineStr">
        <is>
          <t>Tier_64</t>
        </is>
      </c>
      <c r="G37" t="inlineStr">
        <is>
          <t>adaptive_tier</t>
        </is>
      </c>
      <c r="H37" t="n">
        <v>1024</v>
      </c>
      <c r="I37" t="n">
        <v>128</v>
      </c>
      <c r="J37" t="n">
        <v>2</v>
      </c>
      <c r="K37" t="inlineStr">
        <is>
          <t>blackmanharris</t>
        </is>
      </c>
      <c r="L37" s="15" t="n">
        <v>27.3</v>
      </c>
      <c r="M37" t="n">
        <v>1678.189541465124</v>
      </c>
      <c r="N37" t="n">
        <v>20000</v>
      </c>
      <c r="O37" t="n">
        <v>-90</v>
      </c>
      <c r="P37" t="n">
        <v>0</v>
      </c>
      <c r="Q37" t="inlineStr">
        <is>
          <t>his_note_adaptive</t>
        </is>
      </c>
      <c r="R37" t="n">
        <v>1</v>
      </c>
      <c r="S37" t="n">
        <v>0.5</v>
      </c>
      <c r="T37" t="n">
        <v>0.25</v>
      </c>
      <c r="U37" t="n">
        <v>-90</v>
      </c>
      <c r="V37" s="15" t="n">
        <v>20000</v>
      </c>
    </row>
    <row r="38">
      <c r="A38" t="inlineStr">
        <is>
          <t>B6</t>
        </is>
      </c>
      <c r="B38" t="n">
        <v>95</v>
      </c>
      <c r="C38" s="15" t="n">
        <v>1976.424083138403</v>
      </c>
      <c r="D38" s="15" t="inlineStr">
        <is>
          <t>prior_constrained_harmonic_fit</t>
        </is>
      </c>
      <c r="E38" s="15" t="inlineStr">
        <is>
          <t>fit_accepted_acoustically_verified</t>
        </is>
      </c>
      <c r="F38" t="inlineStr">
        <is>
          <t>Tier_65</t>
        </is>
      </c>
      <c r="G38" t="inlineStr">
        <is>
          <t>adaptive_tier</t>
        </is>
      </c>
      <c r="H38" t="n">
        <v>1024</v>
      </c>
      <c r="I38" t="n">
        <v>128</v>
      </c>
      <c r="J38" t="n">
        <v>2</v>
      </c>
      <c r="K38" t="inlineStr">
        <is>
          <t>blackmanharris</t>
        </is>
      </c>
      <c r="L38" s="15" t="n">
        <v>29.1</v>
      </c>
      <c r="M38" t="n">
        <v>1777.979884522046</v>
      </c>
      <c r="N38" t="n">
        <v>20000</v>
      </c>
      <c r="O38" t="n">
        <v>-90</v>
      </c>
      <c r="P38" t="n">
        <v>0</v>
      </c>
      <c r="Q38" t="inlineStr">
        <is>
          <t>his_note_adaptive</t>
        </is>
      </c>
      <c r="R38" t="n">
        <v>1</v>
      </c>
      <c r="S38" t="n">
        <v>0.5</v>
      </c>
      <c r="T38" t="n">
        <v>0.25</v>
      </c>
      <c r="U38" t="n">
        <v>-90</v>
      </c>
      <c r="V38" s="15" t="n">
        <v>20000</v>
      </c>
    </row>
    <row r="39">
      <c r="A39" t="inlineStr">
        <is>
          <t>C7</t>
        </is>
      </c>
      <c r="B39" t="n">
        <v>96</v>
      </c>
      <c r="C39" s="15" t="n">
        <v>2089.836958761173</v>
      </c>
      <c r="D39" s="15" t="inlineStr">
        <is>
          <t>prior_constrained_harmonic_fit</t>
        </is>
      </c>
      <c r="E39" s="15" t="inlineStr">
        <is>
          <t>fit_accepted_acoustically_verified</t>
        </is>
      </c>
      <c r="F39" t="inlineStr">
        <is>
          <t>Tier_66</t>
        </is>
      </c>
      <c r="G39" t="inlineStr">
        <is>
          <t>adaptive_tier</t>
        </is>
      </c>
      <c r="H39" t="n">
        <v>1024</v>
      </c>
      <c r="I39" t="n">
        <v>128</v>
      </c>
      <c r="J39" t="n">
        <v>2</v>
      </c>
      <c r="K39" t="inlineStr">
        <is>
          <t>blackmanharris</t>
        </is>
      </c>
      <c r="L39" s="15" t="n">
        <v>30.9</v>
      </c>
      <c r="M39" t="n">
        <v>1883.70407016431</v>
      </c>
      <c r="N39" t="n">
        <v>20000</v>
      </c>
      <c r="O39" t="n">
        <v>-90</v>
      </c>
      <c r="P39" t="n">
        <v>0</v>
      </c>
      <c r="Q39" t="inlineStr">
        <is>
          <t>his_note_adaptive</t>
        </is>
      </c>
      <c r="R39" t="n">
        <v>1</v>
      </c>
      <c r="S39" t="n">
        <v>0.5</v>
      </c>
      <c r="T39" t="n">
        <v>0.25</v>
      </c>
      <c r="U39" t="n">
        <v>-90</v>
      </c>
      <c r="V39" s="15" t="n">
        <v>20000</v>
      </c>
    </row>
  </sheetData>
  <autoFilter ref="A1:V3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1" t="inlineStr">
        <is>
          <t>Field</t>
        </is>
      </c>
      <c r="B1" s="11" t="inlineStr">
        <is>
          <t>Value</t>
        </is>
      </c>
    </row>
    <row r="2">
      <c r="A2" t="inlineStr">
        <is>
          <t>source_corpus_path</t>
        </is>
      </c>
      <c r="B2" t="inlineStr">
        <is>
          <t>D:\METAIS\TROMBONE\IOWA-flute - test\IOWA_Flute_mf\_Sustains_Stable</t>
        </is>
      </c>
    </row>
    <row r="3">
      <c r="A3" t="inlineStr">
        <is>
          <t>output_path</t>
        </is>
      </c>
      <c r="B3" t="inlineStr">
        <is>
          <t>analysis_results</t>
        </is>
      </c>
    </row>
    <row r="4">
      <c r="A4" t="inlineStr">
        <is>
          <t>source_workbook_sha256</t>
        </is>
      </c>
      <c r="B4" t="inlineStr">
        <is>
          <t>58a4b0a47fdd97f2b703d91586b03618ce0b2ec0b3a2a1cf365c9dace4c990c2</t>
        </is>
      </c>
    </row>
    <row r="5">
      <c r="A5" t="inlineStr">
        <is>
          <t>git_commit</t>
        </is>
      </c>
      <c r="B5" t="inlineStr">
        <is>
          <t>unavailable_not_a_git_repository</t>
        </is>
      </c>
    </row>
    <row r="6">
      <c r="A6" t="inlineStr">
        <is>
          <t>package_version</t>
        </is>
      </c>
      <c r="B6" t="inlineStr">
        <is>
          <t>4.1.0</t>
        </is>
      </c>
    </row>
    <row r="7">
      <c r="A7" t="inlineStr">
        <is>
          <t>code_commit</t>
        </is>
      </c>
      <c r="B7" t="inlineStr">
        <is>
          <t>6b0e51a</t>
        </is>
      </c>
    </row>
    <row r="8">
      <c r="A8" t="inlineStr">
        <is>
          <t>code_dirty</t>
        </is>
      </c>
      <c r="B8" t="b">
        <v>0</v>
      </c>
    </row>
    <row r="9">
      <c r="A9" t="inlineStr">
        <is>
          <t>git_status_reason</t>
        </is>
      </c>
      <c r="B9" t="inlineStr">
        <is>
          <t>not_a_git_repository</t>
        </is>
      </c>
    </row>
    <row r="10">
      <c r="A10" t="inlineStr">
        <is>
          <t>git_branch</t>
        </is>
      </c>
      <c r="B10" t="inlineStr">
        <is>
          <t>unavailable_not_recorded</t>
        </is>
      </c>
    </row>
    <row r="11">
      <c r="A11" t="inlineStr">
        <is>
          <t>research_export_created_at</t>
        </is>
      </c>
      <c r="B11" t="inlineStr">
        <is>
          <t>2026-08-19T17:16:38Z</t>
        </is>
      </c>
    </row>
    <row r="12">
      <c r="A12" t="inlineStr">
        <is>
          <t>research_export_script</t>
        </is>
      </c>
      <c r="B12" t="inlineStr">
        <is>
          <t>export_research_density_workbook.py</t>
        </is>
      </c>
    </row>
    <row r="13">
      <c r="A13" t="inlineStr">
        <is>
          <t>research_export_version</t>
        </is>
      </c>
      <c r="B13" t="inlineStr">
        <is>
          <t>1.1.3</t>
        </is>
      </c>
    </row>
    <row r="14">
      <c r="A14" t="inlineStr">
        <is>
          <t>pipeline_contract_version</t>
        </is>
      </c>
      <c r="B14" t="inlineStr">
        <is>
          <t>SSA_CANONICAL_PIPELINE_2026_06_STAGE1_STAGE2_STAGE3_EWSD_v18_1_UQ</t>
        </is>
      </c>
    </row>
    <row r="15">
      <c r="A15" t="inlineStr">
        <is>
          <t>analysis_schema_version</t>
        </is>
      </c>
      <c r="B15" t="inlineStr">
        <is>
          <t>unavailable_not_recorded</t>
        </is>
      </c>
    </row>
    <row r="16">
      <c r="A16" t="inlineStr">
        <is>
          <t>stage1_module</t>
        </is>
      </c>
      <c r="B16" t="inlineStr">
        <is>
          <t>proc_audio</t>
        </is>
      </c>
    </row>
    <row r="17">
      <c r="A17" t="inlineStr">
        <is>
          <t>stage1_class</t>
        </is>
      </c>
      <c r="B17" t="inlineStr">
        <is>
          <t>AudioProcessor</t>
        </is>
      </c>
    </row>
    <row r="18">
      <c r="A18" t="inlineStr">
        <is>
          <t>stage2_module</t>
        </is>
      </c>
      <c r="B18" t="inlineStr">
        <is>
          <t>compile_metrics</t>
        </is>
      </c>
    </row>
    <row r="19">
      <c r="A19" t="inlineStr">
        <is>
          <t>stage2_function</t>
        </is>
      </c>
      <c r="B19" t="inlineStr">
        <is>
          <t>compile_density_metrics_with_pca</t>
        </is>
      </c>
    </row>
    <row r="20">
      <c r="A20" t="inlineStr">
        <is>
          <t>compiled_from</t>
        </is>
      </c>
      <c r="B20" t="inlineStr">
        <is>
          <t>spectral_analysis.xlsx</t>
        </is>
      </c>
    </row>
    <row r="21">
      <c r="A21" t="inlineStr">
        <is>
          <t>accepted_input_engine</t>
        </is>
      </c>
      <c r="B21" t="inlineStr">
        <is>
          <t>proc_audio.AudioProcessor</t>
        </is>
      </c>
    </row>
    <row r="22">
      <c r="A22" t="inlineStr">
        <is>
          <t>legacy_pipeline_used</t>
        </is>
      </c>
      <c r="B22" t="n">
        <v>0</v>
      </c>
    </row>
    <row r="23">
      <c r="A23" t="inlineStr">
        <is>
          <t>legacy_super_json_allowed</t>
        </is>
      </c>
      <c r="B23" t="n">
        <v>0</v>
      </c>
    </row>
    <row r="24">
      <c r="A24" t="inlineStr">
        <is>
          <t>publication_output_allowed</t>
        </is>
      </c>
      <c r="B24" t="n">
        <v>1</v>
      </c>
    </row>
    <row r="25">
      <c r="A25" t="inlineStr">
        <is>
          <t>input_schema_validation_status</t>
        </is>
      </c>
      <c r="B25" t="inlineStr">
        <is>
          <t>gui_orchestrator_pipeline</t>
        </is>
      </c>
    </row>
    <row r="26">
      <c r="A26" t="inlineStr">
        <is>
          <t>weight_function</t>
        </is>
      </c>
      <c r="B26" t="inlineStr">
        <is>
          <t>log</t>
        </is>
      </c>
    </row>
    <row r="27">
      <c r="A27" t="inlineStr">
        <is>
          <t>window_type</t>
        </is>
      </c>
      <c r="B27" t="inlineStr">
        <is>
          <t>blackmanharris</t>
        </is>
      </c>
    </row>
    <row r="28">
      <c r="A28" t="inlineStr">
        <is>
          <t>n_fft_strategy_or_tier_strategy</t>
        </is>
      </c>
      <c r="B28" t="inlineStr">
        <is>
          <t>90_tier_granular</t>
        </is>
      </c>
    </row>
    <row r="29">
      <c r="A29" t="inlineStr">
        <is>
          <t>n_fft</t>
        </is>
      </c>
      <c r="B29" t="inlineStr">
        <is>
          <t>tier_dependent_see_Analysis_Settings_By_Note</t>
        </is>
      </c>
    </row>
    <row r="30">
      <c r="A30" t="inlineStr">
        <is>
          <t>hop_length_strategy_or_tier_strategy</t>
        </is>
      </c>
      <c r="B30" t="inlineStr">
        <is>
          <t>90_tier_granular</t>
        </is>
      </c>
    </row>
    <row r="31">
      <c r="A31" t="inlineStr">
        <is>
          <t>hop_length</t>
        </is>
      </c>
      <c r="B31" t="inlineStr">
        <is>
          <t>tier_dependent_see_Analysis_Settings_By_Note</t>
        </is>
      </c>
    </row>
    <row r="32">
      <c r="A32" t="inlineStr">
        <is>
          <t>zero_padding</t>
        </is>
      </c>
      <c r="B32" t="inlineStr">
        <is>
          <t>tier_dependent_see_Analysis_Settings_By_Note</t>
        </is>
      </c>
    </row>
    <row r="33">
      <c r="A33" t="inlineStr">
        <is>
          <t>harmonic_tolerance_strategy</t>
        </is>
      </c>
      <c r="B33" t="inlineStr">
        <is>
          <t>90_tier_granular</t>
        </is>
      </c>
    </row>
    <row r="34">
      <c r="A34" t="inlineStr">
        <is>
          <t>harmonic_tolerance</t>
        </is>
      </c>
      <c r="B34" t="inlineStr">
        <is>
          <t>tier_dependent_see_Analysis_Settings_By_Note</t>
        </is>
      </c>
    </row>
    <row r="35">
      <c r="A35" t="inlineStr">
        <is>
          <t>harmonic_tolerance_policy_version</t>
        </is>
      </c>
      <c r="B35" t="n">
        <v/>
      </c>
    </row>
    <row r="36">
      <c r="A36" t="inlineStr">
        <is>
          <t>harmonic_tolerance_spacing_cap_fraction</t>
        </is>
      </c>
      <c r="B36" t="n">
        <v/>
      </c>
    </row>
    <row r="37">
      <c r="A37" t="inlineStr">
        <is>
          <t>harmonic_body_stop_enabled</t>
        </is>
      </c>
      <c r="B37" t="n">
        <v/>
      </c>
    </row>
    <row r="38">
      <c r="A38" t="inlineStr">
        <is>
          <t>harmonic_body_stop_margin_db</t>
        </is>
      </c>
      <c r="B38" t="n">
        <v/>
      </c>
    </row>
    <row r="39">
      <c r="A39" t="inlineStr">
        <is>
          <t>density_ci_enabled</t>
        </is>
      </c>
      <c r="B39" t="n">
        <v/>
      </c>
    </row>
    <row r="40">
      <c r="A40" t="inlineStr">
        <is>
          <t>frequency_min_hz</t>
        </is>
      </c>
      <c r="B40" t="inlineStr">
        <is>
          <t>unknown_not_parseable</t>
        </is>
      </c>
    </row>
    <row r="41">
      <c r="A41" t="inlineStr">
        <is>
          <t>frequency_max_hz</t>
        </is>
      </c>
      <c r="B41" t="inlineStr">
        <is>
          <t>unknown_not_parseable</t>
        </is>
      </c>
    </row>
    <row r="42">
      <c r="A42" t="inlineStr">
        <is>
          <t>magnitude_min_db</t>
        </is>
      </c>
      <c r="B42" t="inlineStr">
        <is>
          <t>unknown_not_parseable</t>
        </is>
      </c>
    </row>
    <row r="43">
      <c r="A43" t="inlineStr">
        <is>
          <t>magnitude_max_db</t>
        </is>
      </c>
      <c r="B43" t="inlineStr">
        <is>
          <t>unknown_not_parseable</t>
        </is>
      </c>
    </row>
    <row r="44">
      <c r="A44" t="inlineStr">
        <is>
          <t>density_summation_mode</t>
        </is>
      </c>
      <c r="B44" t="inlineStr">
        <is>
          <t>unavailable_not_recorded</t>
        </is>
      </c>
    </row>
    <row r="45">
      <c r="A45" t="inlineStr">
        <is>
          <t>harmonic_density_weight</t>
        </is>
      </c>
      <c r="B45" t="n">
        <v>0.7400513316951547</v>
      </c>
    </row>
    <row r="46">
      <c r="A46" t="inlineStr">
        <is>
          <t>inharmonic_density_weight</t>
        </is>
      </c>
      <c r="B46" t="n">
        <v>0.2061514954859379</v>
      </c>
    </row>
    <row r="47">
      <c r="A47" t="inlineStr">
        <is>
          <t>subbass_density_weight</t>
        </is>
      </c>
      <c r="B47" t="n">
        <v>0.05379717281890745</v>
      </c>
    </row>
    <row r="48">
      <c r="A48" t="inlineStr">
        <is>
          <t>density_salience_threshold_db</t>
        </is>
      </c>
      <c r="B48" t="n">
        <v>-90</v>
      </c>
    </row>
    <row r="49">
      <c r="A49" t="inlineStr">
        <is>
          <t>density_frequency_ceiling_hz</t>
        </is>
      </c>
      <c r="B49" t="n">
        <v>20000</v>
      </c>
    </row>
    <row r="50">
      <c r="A50" t="inlineStr">
        <is>
          <t>sample_row_count</t>
        </is>
      </c>
      <c r="B50" t="n">
        <v>38</v>
      </c>
    </row>
    <row r="51">
      <c r="A51" t="inlineStr">
        <is>
          <t>unique_midi_count</t>
        </is>
      </c>
      <c r="B51" t="n">
        <v>38</v>
      </c>
    </row>
    <row r="52">
      <c r="A52" t="inlineStr">
        <is>
          <t>unique_note_label_count</t>
        </is>
      </c>
      <c r="B52" t="n">
        <v>38</v>
      </c>
    </row>
    <row r="53">
      <c r="A53" t="inlineStr">
        <is>
          <t>notes_count</t>
        </is>
      </c>
      <c r="B53" t="n">
        <v>38</v>
      </c>
    </row>
    <row r="54">
      <c r="A54" t="inlineStr">
        <is>
          <t>notes_count_semantics</t>
        </is>
      </c>
      <c r="B54" t="inlineStr">
        <is>
          <t>sample_row_count (compiled rows), not unique pitch count</t>
        </is>
      </c>
    </row>
    <row r="55">
      <c r="A55" t="inlineStr">
        <is>
          <t>pitch_range</t>
        </is>
      </c>
      <c r="B55" t="inlineStr">
        <is>
          <t>59-96</t>
        </is>
      </c>
    </row>
    <row r="56">
      <c r="A56" t="inlineStr">
        <is>
          <t>harmonic_slot_coverage_ratio_formula</t>
        </is>
      </c>
      <c r="B56" t="inlineStr">
        <is>
          <t>harmonic_slot_matched_count / harmonic_slot_expected_count</t>
        </is>
      </c>
    </row>
    <row r="57">
      <c r="A57" t="inlineStr">
        <is>
          <t>harmonic_region_occupancy_count_definition</t>
        </is>
      </c>
      <c r="B57" t="inlineStr">
        <is>
          <t>Occupancy/slot-derived descriptor; not a strict count of detected harmonic partial orders and not bounded by floor(ceiling/f0).</t>
        </is>
      </c>
    </row>
    <row r="58">
      <c r="A58" t="inlineStr">
        <is>
          <t>harmonic_occupancy_detected_order_count_definition</t>
        </is>
      </c>
      <c r="B58" t="inlineStr">
        <is>
          <t>DEPRECATED alias of harmonic_region_occupancy_count. Occupancy/slot-derived descriptor; not a strict count of detected harmonic partial orders and not bounded by floor(ceiling/f0).</t>
        </is>
      </c>
    </row>
    <row r="59">
      <c r="A59" t="inlineStr">
        <is>
          <t>theoretical_harmonic_order_count_up_to_body_ceiling_definition</t>
        </is>
      </c>
      <c r="B59" t="inlineStr">
        <is>
          <t>alias of expected_harmonic_order_count_up_to_body_ceiling (= floor(body_density_frequency_ceiling_hz/f0))</t>
        </is>
      </c>
    </row>
    <row r="60">
      <c r="A60" t="inlineStr">
        <is>
          <t>detected_salient_harmonic_order_count_up_to_body_ceiling_definition</t>
        </is>
      </c>
      <c r="B60" t="inlineStr">
        <is>
          <t>alias of salient_harmonic_order_count_up_to_body_ceiling</t>
        </is>
      </c>
    </row>
    <row r="61">
      <c r="A61" t="inlineStr">
        <is>
          <t>salient_harmonic_coverage_ratio_up_to_body_ceiling_definition</t>
        </is>
      </c>
      <c r="B61" t="inlineStr">
        <is>
          <t>alias of salient_harmonic_coverage_up_to_body_ceiling</t>
        </is>
      </c>
    </row>
    <row r="62">
      <c r="A62" t="inlineStr">
        <is>
          <t>legacy_high_ceiling_harmonic_slot_index_count_definition</t>
        </is>
      </c>
      <c r="B62" t="inlineStr">
        <is>
          <t>legacy high-ceiling harmonic-slot index count (historical Harmonic Count/Harmonic Count (N)); not a fixed-ceiling physical harmonic-order count</t>
        </is>
      </c>
    </row>
    <row r="63">
      <c r="A63" t="inlineStr">
        <is>
          <t>density_body_weighted_sum_body_ceiling_definition</t>
        </is>
      </c>
      <c r="B63" t="inlineStr">
        <is>
          <t>alias of density_component_body_weighted_sum_body_ceiling (component-based body metric)</t>
        </is>
      </c>
    </row>
    <row r="64">
      <c r="A64" t="inlineStr">
        <is>
          <t>density_component_body_weighted_sum_body_ceiling_definition</t>
        </is>
      </c>
      <c r="B64" t="inlineStr">
        <is>
          <t>legacy alias of density_component_body_weighted_sum_body_ceiling</t>
        </is>
      </c>
    </row>
    <row r="65">
      <c r="A65" t="inlineStr">
        <is>
          <t>harmonic_component_energy_sum_body_ceiling_definition</t>
        </is>
      </c>
      <c r="B65" t="inlineStr">
        <is>
          <t>legacy alias of harmonic_component_energy_sum_body_ceiling</t>
        </is>
      </c>
    </row>
    <row r="66">
      <c r="A66" t="inlineStr">
        <is>
          <t>inharmonic_component_energy_sum_body_ceiling_definition</t>
        </is>
      </c>
      <c r="B66" t="inlineStr">
        <is>
          <t>legacy alias of inharmonic_component_energy_sum_body_ceiling</t>
        </is>
      </c>
    </row>
    <row r="67">
      <c r="A67" t="inlineStr">
        <is>
          <t>subbass_component_energy_sum_body_ceiling_definition</t>
        </is>
      </c>
      <c r="B67" t="inlineStr">
        <is>
          <t>sum Power_raw of accepted subbass residual candidates under subbass policy with current body-ceiling configuration</t>
        </is>
      </c>
    </row>
    <row r="68">
      <c r="A68" t="inlineStr">
        <is>
          <t>subbass_component_energy_sum_definition</t>
        </is>
      </c>
      <c r="B68" t="inlineStr">
        <is>
          <t>legacy alias of subbass_component_energy_sum_body_ceiling</t>
        </is>
      </c>
    </row>
    <row r="69">
      <c r="A69" t="inlineStr">
        <is>
          <t>harmonic_body_energy_sum_body_ceiling_definition</t>
        </is>
      </c>
      <c r="B69" t="inlineStr">
        <is>
          <t>harmonic component energy sum with runtime body ceiling</t>
        </is>
      </c>
    </row>
    <row r="70">
      <c r="A70" t="inlineStr">
        <is>
          <t>inharmonic_body_energy_sum_body_ceiling_definition</t>
        </is>
      </c>
      <c r="B70" t="inlineStr">
        <is>
          <t>inharmonic component energy sum with runtime body ceiling</t>
        </is>
      </c>
    </row>
    <row r="71">
      <c r="A71" t="inlineStr">
        <is>
          <t>subbass_rumble_energy_sum_definition</t>
        </is>
      </c>
      <c r="B71" t="inlineStr">
        <is>
          <t>subbass/rumble component energy sum used in body-density weighting</t>
        </is>
      </c>
    </row>
    <row r="72">
      <c r="A72" t="inlineStr">
        <is>
          <t>body_band_harmonic_bin_energy_sum_body_ceiling_definition</t>
        </is>
      </c>
      <c r="B72" t="inlineStr">
        <is>
          <t>diagnostic-only bin-integrated harmonic-band energy within runtime body ceiling</t>
        </is>
      </c>
    </row>
    <row r="73">
      <c r="A73" t="inlineStr">
        <is>
          <t>body_band_residual_bin_energy_sum_body_ceiling_definition</t>
        </is>
      </c>
      <c r="B73" t="inlineStr">
        <is>
          <t>diagnostic-only bin-integrated residual-band energy within runtime body ceiling</t>
        </is>
      </c>
    </row>
    <row r="74">
      <c r="A74" t="inlineStr">
        <is>
          <t>body_band_total_bin_energy_sum_body_ceiling_definition</t>
        </is>
      </c>
      <c r="B74" t="inlineStr">
        <is>
          <t>diagnostic-only total bin-integrated body-band energy within runtime body ceiling</t>
        </is>
      </c>
    </row>
    <row r="75">
      <c r="A75" t="inlineStr">
        <is>
          <t>density_body_band_bin_integrated_index_body_ceiling_definition</t>
        </is>
      </c>
      <c r="B75" t="inlineStr">
        <is>
          <t>diagnostic-only weighted index from bin-integrated body-band energies; not the primary fatness metric</t>
        </is>
      </c>
    </row>
    <row r="76">
      <c r="A76" t="inlineStr">
        <is>
          <t>density_full_spectrum_weighted_sum_20khz_definition</t>
        </is>
      </c>
      <c r="B76" t="inlineStr">
        <is>
          <t>full-spectrum weighted diagnostic sum (&lt;=20000 Hz); not the primary body/fatness metric</t>
        </is>
      </c>
    </row>
    <row r="77">
      <c r="A77" t="inlineStr">
        <is>
          <t>harmonic_full_spectrum_energy_sum_20khz_definition</t>
        </is>
      </c>
      <c r="B77" t="inlineStr">
        <is>
          <t>harmonic full-spectrum energy sum (&lt;=20000 Hz diagnostic/extension family)</t>
        </is>
      </c>
    </row>
    <row r="78">
      <c r="A78" t="inlineStr">
        <is>
          <t>inharmonic_full_spectrum_energy_sum_20khz_definition</t>
        </is>
      </c>
      <c r="B78" t="inlineStr">
        <is>
          <t>inharmonic full-spectrum energy sum (&lt;=20000 Hz diagnostic/extension family)</t>
        </is>
      </c>
    </row>
    <row r="79">
      <c r="A79" t="inlineStr">
        <is>
          <t>high_frequency_spectral_activity_sum_definition</t>
        </is>
      </c>
      <c r="B79" t="inlineStr">
        <is>
          <t>upper-band spectral activity above body ceiling; diagnostic for brightness/extension</t>
        </is>
      </c>
    </row>
    <row r="80">
      <c r="A80" t="inlineStr">
        <is>
          <t>spectral_extension_index_20khz_definition</t>
        </is>
      </c>
      <c r="B80" t="inlineStr">
        <is>
          <t>ratio-like extension indicator comparing full-spectrum to body-limited weighted energy</t>
        </is>
      </c>
    </row>
    <row r="81">
      <c r="A81" t="inlineStr">
        <is>
          <t>brightness_or_upper_spectral_activity_index_20khz_definition</t>
        </is>
      </c>
      <c r="B81" t="inlineStr">
        <is>
          <t>upper-band activity index in the full-spectrum diagnostic family (20 kHz ceiling)</t>
        </is>
      </c>
    </row>
    <row r="82">
      <c r="A82" t="inlineStr">
        <is>
          <t>full_spectrum_harmonic_candidate_count_20khz_definition</t>
        </is>
      </c>
      <c r="B82" t="inlineStr">
        <is>
          <t>harmonic candidate count under full-spectrum ceiling (20 kHz); not a body-density harmonic-order metric</t>
        </is>
      </c>
    </row>
    <row r="83">
      <c r="A83" t="inlineStr">
        <is>
          <t>harmonic_occupancy_ratio_formula</t>
        </is>
      </c>
      <c r="B83" t="inlineStr">
        <is>
          <t>unique harmonic-order bins (nearest n*f0 within harmonic_tolerance_cents, excluding subbass) / expected_harmonic_slot_count</t>
        </is>
      </c>
    </row>
    <row r="84">
      <c r="A84" t="inlineStr">
        <is>
          <t>harmonic_occupancy_ratio_definition</t>
        </is>
      </c>
      <c r="B84" t="inlineStr">
        <is>
          <t>acoustic_density_core occupancy metric based on accepted harmonic-order bins; not identical to validation-slot coverage</t>
        </is>
      </c>
    </row>
    <row r="85">
      <c r="A85" t="inlineStr">
        <is>
          <t>body_weighted_effective_density_formula</t>
        </is>
      </c>
      <c r="B85" t="inlineStr">
        <is>
          <t>(sum(w_body_i*sqrt(P_i))^2)/sum((w_body_i*sqrt(P_i))^2), with w_body(f)=1/(1+(f/1800)^2) on salient peaks up to runtime body ceiling</t>
        </is>
      </c>
    </row>
    <row r="86">
      <c r="A86" t="inlineStr">
        <is>
          <t>spectral_body_thickness_index_formula</t>
        </is>
      </c>
      <c r="B86" t="inlineStr">
        <is>
          <t>0.45*z(body_weighted_effective_density)+0.25*z(low_mid_energy_ratio)+0.20*z(harmonic_body_density_normalized)+0.10*z(residual_body_contribution_capped)</t>
        </is>
      </c>
    </row>
    <row r="87">
      <c r="A87" t="inlineStr">
        <is>
          <t>instrument_detected</t>
        </is>
      </c>
      <c r="B87" t="inlineStr">
        <is>
          <t>Flute</t>
        </is>
      </c>
    </row>
    <row r="88">
      <c r="A88" t="inlineStr">
        <is>
          <t>dynamic_detected</t>
        </is>
      </c>
      <c r="B88" t="inlineStr">
        <is>
          <t>mf</t>
        </is>
      </c>
    </row>
    <row r="89">
      <c r="A89" t="inlineStr">
        <is>
          <t>frequency_magnitude_fields_recovery_status</t>
        </is>
      </c>
      <c r="B89" t="inlineStr">
        <is>
          <t>partially_unavailable_in_compiled_source</t>
        </is>
      </c>
    </row>
    <row r="90">
      <c r="A90" t="inlineStr">
        <is>
          <t>research_export_source_workbook</t>
        </is>
      </c>
      <c r="B90" t="inlineStr">
        <is>
          <t>compiled_density_metrics.xlsx</t>
        </is>
      </c>
    </row>
    <row r="91">
      <c r="A91" t="inlineStr">
        <is>
          <t>git_describe</t>
        </is>
      </c>
      <c r="B91" t="inlineStr">
        <is>
          <t>v0.1.0-validated-2026-05-15-242-g6b0e51a</t>
        </is>
      </c>
    </row>
    <row r="92">
      <c r="A92" t="inlineStr">
        <is>
          <t>analysis_version</t>
        </is>
      </c>
      <c r="B92" t="inlineStr">
        <is>
          <t>4.1.0+v0.1.0-validated-2026-05-15-242-g6b0e51a</t>
        </is>
      </c>
    </row>
    <row r="93">
      <c r="A93" t="inlineStr">
        <is>
          <t>export_schema_version</t>
        </is>
      </c>
      <c r="B93" t="inlineStr">
        <is>
          <t>spectral_analysis_schema_2026_08</t>
        </is>
      </c>
    </row>
  </sheetData>
  <autoFilter ref="A1:B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2026-08-19T17:16:44Z</dcterms:created>
  <dcterms:modified xmlns:dcterms="http://purl.org/dc/terms/" xmlns:xsi="http://www.w3.org/2001/XMLSchema-instance" xsi:type="dcterms:W3CDTF">2026-08-19T17:16:45Z</dcterms:modified>
</cp:coreProperties>
</file>