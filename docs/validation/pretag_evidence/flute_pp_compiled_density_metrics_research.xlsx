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Spectral_Density_Metrics" sheetId="3" state="visible" r:id="rId3"/>
    <sheet xmlns:r="http://schemas.openxmlformats.org/officeDocument/2006/relationships" name="Stage3_Diagnostics" sheetId="4" state="visible" r:id="rId4"/>
    <sheet xmlns:r="http://schemas.openxmlformats.org/officeDocument/2006/relationships" name="Stage3_Summary" sheetId="5" state="visible" r:id="rId5"/>
    <sheet xmlns:r="http://schemas.openxmlformats.org/officeDocument/2006/relationships" name="Uncertainty_Summary" sheetId="6" state="visible" r:id="rId6"/>
    <sheet xmlns:r="http://schemas.openxmlformats.org/officeDocument/2006/relationships" name="Primary_Statistics_Eligible" sheetId="7" state="visible" r:id="rId7"/>
    <sheet xmlns:r="http://schemas.openxmlformats.org/officeDocument/2006/relationships" name="Component_Balance" sheetId="8" state="visible" r:id="rId8"/>
    <sheet xmlns:r="http://schemas.openxmlformats.org/officeDocument/2006/relationships" name="Validation_Summary" sheetId="9" state="visible" r:id="rId9"/>
    <sheet xmlns:r="http://schemas.openxmlformats.org/officeDocument/2006/relationships" name="Charts_Data" sheetId="10" state="visible" r:id="rId10"/>
    <sheet xmlns:r="http://schemas.openxmlformats.org/officeDocument/2006/relationships" name="Legacy_Compatibility" sheetId="11" state="visible" r:id="rId11"/>
    <sheet xmlns:r="http://schemas.openxmlformats.org/officeDocument/2006/relationships" name="Analysis_Settings_By_Note" sheetId="12" state="visible" r:id="rId12"/>
    <sheet xmlns:r="http://schemas.openxmlformats.org/officeDocument/2006/relationships" name="Metadata" sheetId="13" state="visible" r:id="rId13"/>
  </sheets>
  <definedNames>
    <definedName name="_xlnm._FilterDatabase" localSheetId="2" hidden="1">'Spectral_Density_Metrics'!$A$1:$HJ$38</definedName>
    <definedName name="_xlnm._FilterDatabase" localSheetId="3" hidden="1">'Stage3_Diagnostics'!$A$1:$H$38</definedName>
    <definedName name="_xlnm._FilterDatabase" localSheetId="4" hidden="1">'Stage3_Summary'!$A$1:$J$2</definedName>
    <definedName name="_xlnm._FilterDatabase" localSheetId="5" hidden="1">'Uncertainty_Summary'!$A$1:$I$112</definedName>
    <definedName name="_xlnm._FilterDatabase" localSheetId="6" hidden="1">'Primary_Statistics_Eligible'!$A$1:$A$2</definedName>
    <definedName name="_xlnm._FilterDatabase" localSheetId="7" hidden="1">'Component_Balance'!$A$1:$AF$38</definedName>
    <definedName name="_xlnm._FilterDatabase" localSheetId="8" hidden="1">'Validation_Summary'!$A$1:$W$38</definedName>
    <definedName name="_xlnm._FilterDatabase" localSheetId="9" hidden="1">'Charts_Data'!$A$1:$BA$38</definedName>
    <definedName name="_xlnm._FilterDatabase" localSheetId="10" hidden="1">'Legacy_Compatibility'!$A$1:$D$38</definedName>
    <definedName name="_xlnm._FilterDatabase" localSheetId="11" hidden="1">'Analysis_Settings_By_Note'!$A$1:$V$38</definedName>
    <definedName name="_xlnm._FilterDatabase" localSheetId="12" hidden="1">'Metadata'!$A$1:$B$93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0"/>
  </numFmts>
  <fonts count="7">
    <font>
      <name val="Calibri"/>
      <family val="2"/>
      <color theme="1"/>
      <sz val="11"/>
      <scheme val="minor"/>
    </font>
    <font>
      <b val="1"/>
      <sz val="12"/>
    </font>
    <font>
      <b val="1"/>
      <color rgb="00FFFFFF"/>
      <sz val="16"/>
    </font>
    <font>
      <b val="1"/>
      <color rgb="00FFFFFF"/>
      <sz val="14"/>
    </font>
    <font>
      <b val="1"/>
      <sz val="10"/>
    </font>
    <font>
      <b val="1"/>
      <color rgb="00FFFFFF"/>
      <sz val="11"/>
    </font>
    <font>
      <b val="1"/>
      <color rgb="001F4E79"/>
      <sz val="11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44546A"/>
      </patternFill>
    </fill>
    <fill>
      <patternFill patternType="solid">
        <fgColor rgb="00E7E6E6"/>
      </patternFill>
    </fill>
    <fill>
      <patternFill patternType="solid">
        <fgColor rgb="00D6E4F0"/>
      </patternFill>
    </fill>
    <fill>
      <patternFill patternType="solid">
        <fgColor rgb="00ADD8E6"/>
      </patternFill>
    </fill>
    <fill>
      <patternFill patternType="solid">
        <fgColor rgb="00FFE5CC"/>
      </patternFill>
    </fill>
  </fills>
  <borders count="2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 vertical="center" wrapText="1"/>
    </xf>
    <xf numFmtId="0" fontId="3" fillId="3" borderId="0" applyAlignment="1" pivotButton="0" quotePrefix="0" xfId="0">
      <alignment horizontal="center" vertical="center"/>
    </xf>
    <xf numFmtId="0" fontId="4" fillId="4" borderId="1" pivotButton="0" quotePrefix="0" xfId="0"/>
    <xf numFmtId="0" fontId="0" fillId="0" borderId="1" applyAlignment="1" pivotButton="0" quotePrefix="0" xfId="0">
      <alignment vertical="top" wrapText="1"/>
    </xf>
    <xf numFmtId="164" fontId="0" fillId="4" borderId="1" pivotButton="0" quotePrefix="0" xfId="0"/>
    <xf numFmtId="10" fontId="0" fillId="4" borderId="1" pivotButton="0" quotePrefix="0" xfId="0"/>
    <xf numFmtId="0" fontId="0" fillId="4" borderId="1" pivotButton="0" quotePrefix="0" xfId="0"/>
    <xf numFmtId="165" fontId="0" fillId="0" borderId="0" pivotButton="0" quotePrefix="0" xfId="0"/>
    <xf numFmtId="0" fontId="5" fillId="2" borderId="0" pivotButton="0" quotePrefix="0" xfId="0"/>
    <xf numFmtId="0" fontId="5" fillId="2" borderId="0" applyAlignment="1" pivotButton="0" quotePrefix="0" xfId="0">
      <alignment vertical="center" wrapText="1"/>
    </xf>
    <xf numFmtId="0" fontId="6" fillId="5" borderId="0" applyAlignment="1" pivotButton="0" quotePrefix="0" xfId="0">
      <alignment vertical="center" wrapText="1"/>
    </xf>
    <xf numFmtId="0" fontId="6" fillId="6" borderId="0" applyAlignment="1" pivotButton="0" quotePrefix="0" xfId="0">
      <alignment vertical="center" wrapText="1"/>
    </xf>
    <xf numFmtId="0" fontId="6" fillId="7" borderId="0" applyAlignment="1" pivotButton="0" quotePrefix="0" xfId="0">
      <alignment vertical="center" wrapText="1"/>
    </xf>
    <xf numFmtId="164" fontId="0" fillId="0" borderId="0" pivotButton="0" quotePrefix="0" xfId="0"/>
    <xf numFmtId="164" fontId="0" fillId="5" borderId="0" pivotButton="0" quotePrefix="0" xfId="0"/>
    <xf numFmtId="164" fontId="0" fillId="6" borderId="0" pivotButton="0" quotePrefix="0" xfId="0"/>
    <xf numFmtId="164" fontId="0" fillId="7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6EFCE"/>
        </patternFill>
      </fill>
    </dxf>
    <dxf>
      <fill>
        <patternFill patternType="solid">
          <f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Harmonic occupancy profile</a:t>
            </a:r>
          </a:p>
        </rich>
      </tx>
    </title>
    <plotArea>
      <lineChart>
        <grouping val="standard"/>
        <ser>
          <idx val="0"/>
          <order val="0"/>
          <tx>
            <strRef>
              <f>'Charts_Data'!AC1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'Charts_Data'!$A$2:$A$38</f>
            </numRef>
          </cat>
          <val>
            <numRef>
              <f>'Charts_Data'!$AC$2:$AC$38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harmonic_occupancy_ratio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Residual log-frequency occupancy</a:t>
            </a:r>
          </a:p>
        </rich>
      </tx>
    </title>
    <plotArea>
      <lineChart>
        <grouping val="standard"/>
        <ser>
          <idx val="0"/>
          <order val="0"/>
          <tx>
            <strRef>
              <f>'Charts_Data'!AD1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'Charts_Data'!$A$2:$A$38</f>
            </numRef>
          </cat>
          <val>
            <numRef>
              <f>'Charts_Data'!$AD$2:$AD$38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Normalized descriptor comparison</a:t>
            </a:r>
          </a:p>
        </rich>
      </tx>
    </title>
    <plotArea>
      <lineChart>
        <grouping val="standard"/>
        <ser>
          <idx val="0"/>
          <order val="0"/>
          <tx>
            <strRef>
              <f>'Charts_Data'!AG1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'Charts_Data'!$A$2:$A$38</f>
            </numRef>
          </cat>
          <val>
            <numRef>
              <f>'Charts_Data'!$AG$2:$AG$38</f>
            </numRef>
          </val>
        </ser>
        <ser>
          <idx val="1"/>
          <order val="1"/>
          <tx>
            <strRef>
              <f>'Charts_Data'!AH1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'Charts_Data'!$A$2:$A$38</f>
            </numRef>
          </cat>
          <val>
            <numRef>
              <f>'Charts_Data'!$AH$2:$AH$38</f>
            </numRef>
          </val>
        </ser>
        <ser>
          <idx val="2"/>
          <order val="2"/>
          <tx>
            <strRef>
              <f>'Charts_Data'!AI1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'Charts_Data'!$A$2:$A$38</f>
            </numRef>
          </cat>
          <val>
            <numRef>
              <f>'Charts_Data'!$AI$2:$AI$38</f>
            </numRef>
          </val>
        </ser>
        <ser>
          <idx val="3"/>
          <order val="3"/>
          <tx>
            <strRef>
              <f>'Charts_Data'!AJ1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'Charts_Data'!$A$2:$A$38</f>
            </numRef>
          </cat>
          <val>
            <numRef>
              <f>'Charts_Data'!$AJ$2:$AJ$38</f>
            </numRef>
          </val>
        </ser>
        <ser>
          <idx val="4"/>
          <order val="4"/>
          <tx>
            <strRef>
              <f>'Charts_Data'!AM1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'Charts_Data'!$A$2:$A$38</f>
            </numRef>
          </cat>
          <val>
            <numRef>
              <f>'Charts_Data'!$AM$2:$AM$38</f>
            </numRef>
          </val>
        </ser>
        <ser>
          <idx val="5"/>
          <order val="5"/>
          <tx>
            <strRef>
              <f>'Charts_Data'!AN1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'Charts_Data'!$A$2:$A$38</f>
            </numRef>
          </cat>
          <val>
            <numRef>
              <f>'Charts_Data'!$AN$2:$AN$38</f>
            </numRef>
          </val>
        </ser>
        <ser>
          <idx val="6"/>
          <order val="6"/>
          <tx>
            <strRef>
              <f>'Charts_Data'!AK1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'Charts_Data'!$A$2:$A$38</f>
            </numRef>
          </cat>
          <val>
            <numRef>
              <f>'Charts_Data'!$AK$2:$AK$38</f>
            </numRef>
          </val>
        </ser>
        <ser>
          <idx val="7"/>
          <order val="7"/>
          <tx>
            <strRef>
              <f>'Charts_Data'!AL1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'Charts_Data'!$A$2:$A$38</f>
            </numRef>
          </cat>
          <val>
            <numRef>
              <f>'Charts_Data'!$AL$2:$AL$38</f>
            </numRef>
          </val>
        </ser>
        <ser>
          <idx val="8"/>
          <order val="8"/>
          <tx>
            <strRef>
              <f>'Charts_Data'!AO1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'Charts_Data'!$A$2:$A$38</f>
            </numRef>
          </cat>
          <val>
            <numRef>
              <f>'Charts_Data'!$AO$2:$AO$38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Weighted component contributions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'Charts_Data'!AT1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'Charts_Data'!$A$2:$A$38</f>
            </numRef>
          </cat>
          <val>
            <numRef>
              <f>'Charts_Data'!$AT$2:$AT$38</f>
            </numRef>
          </val>
        </ser>
        <ser>
          <idx val="1"/>
          <order val="1"/>
          <tx>
            <strRef>
              <f>'Charts_Data'!AU1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'Charts_Data'!$A$2:$A$38</f>
            </numRef>
          </cat>
          <val>
            <numRef>
              <f>'Charts_Data'!$AU$2:$AU$38</f>
            </numRef>
          </val>
        </ser>
        <ser>
          <idx val="2"/>
          <order val="2"/>
          <tx>
            <strRef>
              <f>'Charts_Data'!AV1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'Charts_Data'!$A$2:$A$38</f>
            </numRef>
          </cat>
          <val>
            <numRef>
              <f>'Charts_Data'!$AV$2:$AV$38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Component energy ratios</a:t>
            </a:r>
          </a:p>
        </rich>
      </tx>
    </title>
    <plotArea>
      <barChart>
        <barDir val="col"/>
        <grouping val="percentStacked"/>
        <ser>
          <idx val="0"/>
          <order val="0"/>
          <tx>
            <strRef>
              <f>'Charts_Data'!AY1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'Charts_Data'!$A$2:$A$38</f>
            </numRef>
          </cat>
          <val>
            <numRef>
              <f>'Charts_Data'!$AY$2:$AY$38</f>
            </numRef>
          </val>
        </ser>
        <ser>
          <idx val="1"/>
          <order val="1"/>
          <tx>
            <strRef>
              <f>'Charts_Data'!AZ1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'Charts_Data'!$A$2:$A$38</f>
            </numRef>
          </cat>
          <val>
            <numRef>
              <f>'Charts_Data'!$AZ$2:$AZ$38</f>
            </numRef>
          </val>
        </ser>
        <ser>
          <idx val="2"/>
          <order val="2"/>
          <tx>
            <strRef>
              <f>'Charts_Data'!BA1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'Charts_Data'!$A$2:$A$38</f>
            </numRef>
          </cat>
          <val>
            <numRef>
              <f>'Charts_Data'!$BA$2:$BA$38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MIDI vs salient_harmonic_order_count_up_to_body_ceiling</a:t>
            </a:r>
          </a:p>
        </rich>
      </tx>
    </title>
    <plotArea>
      <lineChart>
        <grouping val="standard"/>
        <ser>
          <idx val="0"/>
          <order val="0"/>
          <tx>
            <strRef>
              <f>'Charts_Data'!I1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'Charts_Data'!$B$2:$B$38</f>
            </numRef>
          </cat>
          <val>
            <numRef>
              <f>'Charts_Data'!$I$2:$I$38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MIDI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salient_harmonic_order_count_up_to_body_ceiling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/Relationships>
</file>

<file path=xl/drawings/drawing1.xml><?xml version="1.0" encoding="utf-8"?>
<wsDr xmlns="http://schemas.openxmlformats.org/drawingml/2006/spreadsheetDrawing">
  <oneCellAnchor>
    <from>
      <col>0</col>
      <colOff>0</colOff>
      <row>16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36</row>
      <rowOff>0</rowOff>
    </from>
    <ext cx="648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56</row>
      <rowOff>0</rowOff>
    </from>
    <ext cx="7200000" cy="32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0</col>
      <colOff>0</colOff>
      <row>78</row>
      <rowOff>0</rowOff>
    </from>
    <ext cx="6480000" cy="36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102</row>
      <rowOff>0</rowOff>
    </from>
    <ext cx="6480000" cy="36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0</col>
      <colOff>0</colOff>
      <row>124</row>
      <rowOff>0</rowOff>
    </from>
    <ext cx="6480000" cy="288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3"/>
  <sheetViews>
    <sheetView workbookViewId="0">
      <selection activeCell="A1" sqref="A1"/>
    </sheetView>
  </sheetViews>
  <sheetFormatPr baseColWidth="8" defaultRowHeight="15"/>
  <cols>
    <col width="108" customWidth="1" min="1" max="1"/>
  </cols>
  <sheetData>
    <row r="1">
      <c r="A1" t="inlineStr">
        <is>
          <t>Spectral density — research export workbook</t>
        </is>
      </c>
    </row>
    <row r="2">
      <c r="A2" t="inlineStr"/>
    </row>
    <row r="3">
      <c r="A3" t="inlineStr">
        <is>
          <t>Source compiled workbook (filename only):</t>
        </is>
      </c>
    </row>
    <row r="4">
      <c r="A4" t="inlineStr">
        <is>
          <t>compiled_density_metrics.xlsx</t>
        </is>
      </c>
    </row>
    <row r="5">
      <c r="A5" t="inlineStr"/>
    </row>
    <row r="6">
      <c r="A6" t="inlineStr">
        <is>
          <t>Generated: 2026-08-19T17:24:08Z</t>
        </is>
      </c>
    </row>
    <row r="7">
      <c r="A7" t="inlineStr">
        <is>
          <t>Script: export_research_density_workbook.py  version 1.1.3</t>
        </is>
      </c>
    </row>
    <row r="8">
      <c r="A8" t="inlineStr">
        <is>
          <t>Number of notes in export: 37</t>
        </is>
      </c>
    </row>
    <row r="9">
      <c r="A9" t="inlineStr"/>
    </row>
    <row r="10">
      <c r="A10" s="1" t="inlineStr">
        <is>
          <t>Purpose</t>
        </is>
      </c>
    </row>
    <row r="11">
      <c r="A11" t="inlineStr">
        <is>
          <t>-------</t>
        </is>
      </c>
    </row>
    <row r="12">
      <c r="A12" t="inlineStr">
        <is>
          <t>This workbook is a reduced, professionally formatted export intended for secondary research,</t>
        </is>
      </c>
    </row>
    <row r="13">
      <c r="A13" t="inlineStr">
        <is>
          <t>plotting, thesis writing, and visual inspection.</t>
        </is>
      </c>
    </row>
    <row r="14">
      <c r="A14" t="inlineStr"/>
    </row>
    <row r="15">
      <c r="A15" t="inlineStr">
        <is>
          <t>The file compiled_density_metrics.xlsx remains the complete technical and audit export.</t>
        </is>
      </c>
    </row>
    <row r="16">
      <c r="A16" t="inlineStr">
        <is>
          <t>This workbook (compiled_density_metrics_research.xlsx) is the recommended research and reporting export.</t>
        </is>
      </c>
    </row>
    <row r="17">
      <c r="A17" t="inlineStr"/>
    </row>
    <row r="18">
      <c r="A18" s="1" t="inlineStr">
        <is>
          <t>Metric hierarchy (read carefully)</t>
        </is>
      </c>
    </row>
    <row r="19">
      <c r="A19" t="inlineStr">
        <is>
          <t>-----------------------------------</t>
        </is>
      </c>
    </row>
    <row r="20">
      <c r="A20" t="inlineStr">
        <is>
          <t>density_metric_raw:</t>
        </is>
      </c>
    </row>
    <row r="21">
      <c r="A21" t="inlineStr">
        <is>
          <t xml:space="preserve">    D_H·w_H + D_I·w_I + D_S·w_S where each D_* uses the compile weight_function (linear, log, sqrt,</t>
        </is>
      </c>
    </row>
    <row r="22">
      <c r="A22" t="inlineStr">
        <is>
          <t xml:space="preserve">    d3, …) and w_* are measured component_harmonic / inharmonic / subbass energy ratios.</t>
        </is>
      </c>
    </row>
    <row r="23">
      <c r="A23" t="inlineStr"/>
    </row>
    <row r="24">
      <c r="A24" t="inlineStr">
        <is>
          <t>density_weighted_sum:</t>
        </is>
      </c>
    </row>
    <row r="25">
      <c r="A25" t="inlineStr">
        <is>
          <t xml:space="preserve">    Numerically equal to density_metric_raw. Changes when you change the compile weight_function.</t>
        </is>
      </c>
    </row>
    <row r="26">
      <c r="A26" t="inlineStr">
        <is>
          <t xml:space="preserve">    harmonic_amplitude_sum (if present) is a separate linear diagnostic and does not follow that key.</t>
        </is>
      </c>
    </row>
    <row r="27">
      <c r="A27" t="inlineStr">
        <is>
          <t xml:space="preserve">    Highlighted (soft blue) on Spectral_Density_Metrics.</t>
        </is>
      </c>
    </row>
    <row r="28">
      <c r="A28" t="inlineStr"/>
    </row>
    <row r="29">
      <c r="A29" t="inlineStr">
        <is>
          <t>harmonic_slot_coverage_ratio:</t>
        </is>
      </c>
    </row>
    <row r="30">
      <c r="A30" t="inlineStr">
        <is>
          <t xml:space="preserve">    Defined as harmonic_slot_matched_count / harmonic_slot_expected_count.</t>
        </is>
      </c>
    </row>
    <row r="31">
      <c r="A31" t="inlineStr"/>
    </row>
    <row r="32">
      <c r="A32" t="inlineStr">
        <is>
          <t>harmonic_occupancy_ratio:</t>
        </is>
      </c>
    </row>
    <row r="33">
      <c r="A33" t="inlineStr">
        <is>
          <t xml:space="preserve">    Acoustic core occupancy: unique harmonic-order bins passing n·f0 proximity and subbass exclusion,</t>
        </is>
      </c>
    </row>
    <row r="34">
      <c r="A34" t="inlineStr">
        <is>
          <t xml:space="preserve">    divided by expected_harmonic_slot_count. This is intentionally separate from slot-coverage ratio.</t>
        </is>
      </c>
    </row>
    <row r="35">
      <c r="A35" t="inlineStr"/>
    </row>
    <row r="36">
      <c r="A36" t="inlineStr">
        <is>
          <t>Combined Density Metric:</t>
        </is>
      </c>
    </row>
    <row r="37">
      <c r="A37" t="inlineStr">
        <is>
          <t xml:space="preserve">    Legacy Stage-1 combined harmonic/inharmonic scalar (log/expm1 path in proc_audio).</t>
        </is>
      </c>
    </row>
    <row r="38">
      <c r="A38" t="inlineStr">
        <is>
          <t xml:space="preserve">    Legacy-only (see Legacy_Compatibility sheet), not a primary Spectral_Density_Metrics field.</t>
        </is>
      </c>
    </row>
    <row r="39">
      <c r="A39" t="inlineStr"/>
    </row>
    <row r="40">
      <c r="A40" t="inlineStr">
        <is>
          <t>density_weighted_sum_cdm_mean (legacy editorial blend):</t>
        </is>
      </c>
    </row>
    <row r="41">
      <c r="A41" t="inlineStr">
        <is>
          <t xml:space="preserve">    Deprecated and not acoustically/dimensionally valid as a final scalar.</t>
        </is>
      </c>
    </row>
    <row r="42">
      <c r="A42" t="inlineStr">
        <is>
          <t xml:space="preserve">    Exported only with --include-legacy-cdm-mean.</t>
        </is>
      </c>
    </row>
    <row r="43">
      <c r="A43" t="inlineStr"/>
    </row>
    <row r="44">
      <c r="A44" t="inlineStr">
        <is>
          <t>Total sum:</t>
        </is>
      </c>
    </row>
    <row r="45">
      <c r="A45" t="inlineStr">
        <is>
          <t xml:space="preserve">    Unweighted sum of per-band D values (D_H + D_I + D_S); diagnostic, not energy-ratio-weighted.</t>
        </is>
      </c>
    </row>
    <row r="46">
      <c r="A46" t="inlineStr"/>
    </row>
    <row r="47">
      <c r="A47" t="inlineStr">
        <is>
          <t>effective_partial_density:</t>
        </is>
      </c>
    </row>
    <row r="48">
      <c r="A48" t="inlineStr">
        <is>
          <t xml:space="preserve">    Effective spectral component participation descriptor (not the primary perceived thickness answer).</t>
        </is>
      </c>
    </row>
    <row r="49">
      <c r="A49" t="inlineStr"/>
    </row>
    <row r="50">
      <c r="A50" t="inlineStr">
        <is>
          <t>spectral_body_thickness_index:</t>
        </is>
      </c>
    </row>
    <row r="51">
      <c r="A51" t="inlineStr">
        <is>
          <t xml:space="preserve">    Recommended note-thickness index combining body-weighted effective density, low-mid ratio,</t>
        </is>
      </c>
    </row>
    <row r="52">
      <c r="A52" t="inlineStr">
        <is>
          <t xml:space="preserve">    harmonic body density, and capped residual body contribution (corpus-relative z-score blend).</t>
        </is>
      </c>
    </row>
    <row r="53">
      <c r="A53" t="inlineStr"/>
    </row>
    <row r="54">
      <c r="A54" t="inlineStr">
        <is>
          <t>note_density_final:</t>
        </is>
      </c>
    </row>
    <row r="55">
      <c r="A55" t="inlineStr">
        <is>
          <t xml:space="preserve">    Per-note principled scalar: component_*_energy_ratio × *_density_sum (GUI weight inside sums).</t>
        </is>
      </c>
    </row>
    <row r="56">
      <c r="A56" t="inlineStr">
        <is>
          <t xml:space="preserve">    Highlighted (light blue) on Spectral_Density_Metrics.</t>
        </is>
      </c>
    </row>
    <row r="57">
      <c r="A57" t="inlineStr"/>
    </row>
    <row r="58">
      <c r="A58" t="inlineStr">
        <is>
          <t>EWSD_score_total (Stage 3):</t>
        </is>
      </c>
    </row>
    <row r="59">
      <c r="A59" t="inlineStr">
        <is>
          <t xml:space="preserve">    Strict Effective Weighted Spectral Density (EWSD-R v18): anti-concentration penalty (N_eff/N)^1</t>
        </is>
      </c>
    </row>
    <row r="60">
      <c r="A60" t="inlineStr">
        <is>
          <t xml:space="preserve">    applied separately in each H/I/S compartment using per-note ratios from Metrics.</t>
        </is>
      </c>
    </row>
    <row r="61">
      <c r="A61" t="inlineStr">
        <is>
          <t xml:space="preserve">    Highlighted (pale orange). Requires per-note spectral_analysis.xlsx under the analysis folder.</t>
        </is>
      </c>
    </row>
    <row r="62">
      <c r="A62" t="inlineStr"/>
    </row>
    <row r="63">
      <c r="A63" t="inlineStr">
        <is>
          <t>EWSD_score_acoustic_balanced (Stage 3):</t>
        </is>
      </c>
    </row>
    <row r="64">
      <c r="A64" t="inlineStr">
        <is>
          <t xml:space="preserve">    Companion EWSD with moderated penalty (N_eff/N)^0.5. Preferred for cross-instrument</t>
        </is>
      </c>
    </row>
    <row r="65">
      <c r="A65" t="inlineStr">
        <is>
          <t xml:space="preserve">    bibliographic distance. Filter thesis rows with ewsd_primary_analysis_eligible == True.</t>
        </is>
      </c>
    </row>
    <row r="66">
      <c r="A66" t="inlineStr"/>
    </row>
    <row r="67">
      <c r="A67" t="inlineStr">
        <is>
          <t>EWSD_score_acoustic_balanced_ci_low / _ci_high / _rel_uncertainty:</t>
        </is>
      </c>
    </row>
    <row r="68">
      <c r="A68" t="inlineStr">
        <is>
          <t xml:space="preserve">    Bootstrap 95% uncertainty band for the balanced EWSD (partials + H/I/S ratios resampled).</t>
        </is>
      </c>
    </row>
    <row r="69">
      <c r="A69" t="inlineStr"/>
    </row>
    <row r="70">
      <c r="A70" t="inlineStr">
        <is>
          <t>ewsd_uncertainty_sources:</t>
        </is>
      </c>
    </row>
    <row r="71">
      <c r="A71" t="inlineStr">
        <is>
          <t xml:space="preserve">    UQ provenance: partials+ratios, partials, or unavailable.</t>
        </is>
      </c>
    </row>
    <row r="72">
      <c r="A72" t="inlineStr"/>
    </row>
    <row r="73">
      <c r="A73" t="inlineStr">
        <is>
          <t>ewsd_primary_analysis_eligible:</t>
        </is>
      </c>
    </row>
    <row r="74">
      <c r="A74" t="inlineStr">
        <is>
          <t xml:space="preserve">    Thesis gate: True only for individual_exact rows with valid H/I/S ratios, finite EWSD,</t>
        </is>
      </c>
    </row>
    <row r="75">
      <c r="A75" t="inlineStr">
        <is>
          <t xml:space="preserve">    no warnings, parsed note, and a thesis-safe weight function.</t>
        </is>
      </c>
    </row>
    <row r="76">
      <c r="A76" t="inlineStr"/>
    </row>
    <row r="77">
      <c r="A77" t="inlineStr">
        <is>
          <t>spectral_entropy:</t>
        </is>
      </c>
    </row>
    <row r="78">
      <c r="A78" t="inlineStr">
        <is>
          <t xml:space="preserve">    Distributional spread of spectral power.</t>
        </is>
      </c>
    </row>
    <row r="79">
      <c r="A79" t="inlineStr"/>
    </row>
    <row r="80">
      <c r="A80" t="inlineStr">
        <is>
          <t>core_harmonic_energy_ratio / core_residual_energy_ratio / core_subbass_energy_ratio:</t>
        </is>
      </c>
    </row>
    <row r="81">
      <c r="A81" t="inlineStr">
        <is>
          <t xml:space="preserve">    Acoustic-core peak-classification energy family (sums to ~1).</t>
        </is>
      </c>
    </row>
    <row r="82">
      <c r="A82" t="inlineStr"/>
    </row>
    <row r="83">
      <c r="A83" t="inlineStr">
        <is>
          <t>component_harmonic_energy_ratio / component_inharmonic_energy_ratio / component_subbass_energy_ratio:</t>
        </is>
      </c>
    </row>
    <row r="84">
      <c r="A84" t="inlineStr">
        <is>
          <t xml:space="preserve">    Component-balance energy family (sums to ~1).</t>
        </is>
      </c>
    </row>
    <row r="85">
      <c r="A85" t="inlineStr"/>
    </row>
    <row r="86">
      <c r="A86" t="inlineStr">
        <is>
          <t>nonharmonic / inharmonic fields:</t>
        </is>
      </c>
    </row>
    <row r="87">
      <c r="A87" t="inlineStr">
        <is>
          <t xml:space="preserve">    Interpret as nonharmonic candidate material unless stricter validation is explicitly present.</t>
        </is>
      </c>
    </row>
    <row r="88">
      <c r="A88" t="inlineStr"/>
    </row>
    <row r="89">
      <c r="A89" t="inlineStr">
        <is>
          <t>subbass / low-frequency fields:</t>
        </is>
      </c>
    </row>
    <row r="90">
      <c r="A90" t="inlineStr">
        <is>
          <t xml:space="preserve">    Interpret as low-frequency residual material, not automatically 'ground noise'.</t>
        </is>
      </c>
    </row>
    <row r="91">
      <c r="A91" t="inlineStr"/>
    </row>
    <row r="92">
      <c r="A92" s="1" t="inlineStr">
        <is>
          <t>Instrument and dynamic metadata</t>
        </is>
      </c>
    </row>
    <row r="93">
      <c r="A93" t="inlineStr">
        <is>
          <t>-------------------------------</t>
        </is>
      </c>
    </row>
    <row r="94">
      <c r="A94" t="inlineStr">
        <is>
          <t>Instrument and dynamic may be read from source metadata, inferred conservatively from filenames,</t>
        </is>
      </c>
    </row>
    <row r="95">
      <c r="A95" t="inlineStr">
        <is>
          <t>folder paths, and the compiled workbook location, or supplied manually with --instrument and --dynamic.</t>
        </is>
      </c>
    </row>
    <row r="96">
      <c r="A96" t="inlineStr">
        <is>
          <t>Use --force-metadata to override non-empty workbook values with the CLI arguments.</t>
        </is>
      </c>
    </row>
    <row r="97">
      <c r="A97" t="inlineStr"/>
    </row>
    <row r="98">
      <c r="A98" s="1" t="inlineStr">
        <is>
          <t>Sheets</t>
        </is>
      </c>
    </row>
    <row r="99">
      <c r="A99" t="inlineStr">
        <is>
          <t>------</t>
        </is>
      </c>
    </row>
    <row r="100">
      <c r="A100" t="inlineStr">
        <is>
          <t>README — This sheet.</t>
        </is>
      </c>
    </row>
    <row r="101">
      <c r="A101" t="inlineStr">
        <is>
          <t>Dashboard — Overview KPIs and charts (charts omitted if export was run with --no-charts).</t>
        </is>
      </c>
    </row>
    <row r="102">
      <c r="A102" t="inlineStr">
        <is>
          <t>Spectral_Density_Metrics — Main clean per-note table for analysis.</t>
        </is>
      </c>
    </row>
    <row r="103">
      <c r="A103" t="inlineStr">
        <is>
          <t>Component_Balance — How density_metric_raw and totals relate to components and energy ratios.</t>
        </is>
      </c>
    </row>
    <row r="104">
      <c r="A104" t="inlineStr">
        <is>
          <t>Validation_Summary — Compact QC fields including f0 and alignment.</t>
        </is>
      </c>
    </row>
    <row r="105">
      <c r="A105" t="inlineStr">
        <is>
          <t>Charts_Data — Chart source data (sorted by MIDI); Dashboard charts reference this sheet.</t>
        </is>
      </c>
    </row>
    <row r="106">
      <c r="A106" t="inlineStr">
        <is>
          <t>Metadata — Pipeline and export metadata extracted from Analysis_Metadata plus export audit fields.</t>
        </is>
      </c>
    </row>
    <row r="107">
      <c r="A107" t="inlineStr"/>
    </row>
    <row r="108">
      <c r="A108" s="1" t="inlineStr">
        <is>
          <t>Warnings / Missing Fields</t>
        </is>
      </c>
    </row>
    <row r="109">
      <c r="A109" t="inlineStr">
        <is>
          <t>-------------------------</t>
        </is>
      </c>
    </row>
    <row r="110">
      <c r="A110" t="inlineStr">
        <is>
          <t>- Instrument column missing and could not be inferred; left blank.</t>
        </is>
      </c>
    </row>
    <row r="111">
      <c r="A111" t="inlineStr">
        <is>
          <t>- Legacy editorial mean density_weighted_sum_cdm_mean omitted by default (use --include-legacy-cdm-mean to export it).</t>
        </is>
      </c>
    </row>
    <row r="112">
      <c r="A112" t="inlineStr">
        <is>
          <t>- Run-parameter comparability warning: 37/37 note rows are not in the primary comparable profile (wf=log, threshold/ceiling runtime-configured). Use Primary_Statistics_Eligible for thesis-grade primary statistics.</t>
        </is>
      </c>
    </row>
    <row r="113">
      <c r="A113" t="inlineStr">
        <is>
          <t>- Metadata sheet missing keys (left blank in Metadata sheet): Dynamic, Instrument, density_ci_enabled, dynamic_detected, harmonic_body_stop_enabled, harmonic_body_stop_margin_db, harmonic_tolerance_policy_version, harmonic_tolerance_spacing_cap_fraction, instrument_detected, output_path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8"/>
  <sheetViews>
    <sheetView workbookViewId="0">
      <selection activeCell="A1" sqref="A1"/>
    </sheetView>
  </sheetViews>
  <sheetFormatPr baseColWidth="8" defaultRowHeight="15"/>
  <cols>
    <col width="22" customWidth="1" min="1" max="1"/>
    <col width="54" customWidth="1" min="2" max="2"/>
    <col width="3" customWidth="1" min="3" max="3"/>
    <col width="26" customWidth="1" min="4" max="4"/>
    <col width="16" customWidth="1" min="5" max="5"/>
    <col width="3" customWidth="1" min="6" max="6"/>
    <col width="26" customWidth="1" min="7" max="7"/>
    <col width="16" customWidth="1" min="8" max="8"/>
  </cols>
  <sheetData>
    <row r="1">
      <c r="A1" s="2" t="inlineStr">
        <is>
          <t>Spectral Density Research Dashboard</t>
        </is>
      </c>
      <c r="D1" s="3" t="inlineStr">
        <is>
          <t>Summary statistics</t>
        </is>
      </c>
    </row>
    <row r="2"/>
    <row r="4">
      <c r="A4" s="1" t="inlineStr">
        <is>
          <t>Run context</t>
        </is>
      </c>
      <c r="D4" s="1" t="inlineStr">
        <is>
          <t>Key performance indicators</t>
        </is>
      </c>
    </row>
    <row r="5">
      <c r="A5" s="4" t="inlineStr">
        <is>
          <t>Compiled workbook</t>
        </is>
      </c>
      <c r="B5" s="5" t="inlineStr">
        <is>
          <t>compiled_density_metrics.xlsx</t>
        </is>
      </c>
      <c r="D5" s="4" t="inlineStr">
        <is>
          <t>Mean spectral_body_thickness_index</t>
        </is>
      </c>
      <c r="E5" s="6" t="n">
        <v>6.00120553851436e-17</v>
      </c>
      <c r="G5" s="4" t="inlineStr">
        <is>
          <t>Mean harmonic_occupancy_ratio</t>
        </is>
      </c>
      <c r="H5" s="7" t="n">
        <v>0.3323052327616457</v>
      </c>
    </row>
    <row r="6">
      <c r="A6" s="4" t="inlineStr">
        <is>
          <t>Number of notes</t>
        </is>
      </c>
      <c r="B6" s="5" t="n">
        <v>37</v>
      </c>
      <c r="D6" s="4" t="inlineStr">
        <is>
          <t>Mean body_weighted_effective_density</t>
        </is>
      </c>
      <c r="E6" s="6" t="n">
        <v>12.45133448795395</v>
      </c>
      <c r="G6" s="4" t="inlineStr">
        <is>
          <t>Mean residual_log_frequency_occupancy</t>
        </is>
      </c>
      <c r="H6" s="6" t="n">
        <v>0.3045045045045045</v>
      </c>
    </row>
    <row r="7">
      <c r="A7" s="4" t="inlineStr">
        <is>
          <t>Pitch range (MIDI)</t>
        </is>
      </c>
      <c r="B7" s="5" t="inlineStr">
        <is>
          <t>59–95</t>
        </is>
      </c>
      <c r="D7" s="4" t="inlineStr">
        <is>
          <t>Mean low_mid_energy_ratio</t>
        </is>
      </c>
      <c r="E7" s="7" t="n">
        <v>0.9266090330042078</v>
      </c>
      <c r="G7" s="4" t="inlineStr">
        <is>
          <t>Mean effective_partial_density</t>
        </is>
      </c>
      <c r="H7" s="6" t="n">
        <v>1.156007038285959</v>
      </c>
    </row>
    <row r="8">
      <c r="A8" s="4" t="inlineStr">
        <is>
          <t>Dynamic</t>
        </is>
      </c>
      <c r="B8" s="5" t="inlineStr">
        <is>
          <t>pp</t>
        </is>
      </c>
      <c r="D8" s="4" t="inlineStr">
        <is>
          <t>Mean harmonic_body_density_normalized</t>
        </is>
      </c>
      <c r="E8" s="6" t="n">
        <v>0.2139650505609993</v>
      </c>
      <c r="G8" s="4" t="inlineStr">
        <is>
          <t>Mean spectral_entropy</t>
        </is>
      </c>
      <c r="H8" s="6" t="n">
        <v>0.09518203170909151</v>
      </c>
    </row>
    <row r="9">
      <c r="A9" s="4" t="inlineStr">
        <is>
          <t>Generated</t>
        </is>
      </c>
      <c r="B9" s="5" t="inlineStr">
        <is>
          <t>2026-08-19T17:24:08Z</t>
        </is>
      </c>
      <c r="D9" s="4" t="inlineStr">
        <is>
          <t>Mean salient_harmonic_order_count_up_to_body_ceiling</t>
        </is>
      </c>
      <c r="E9" s="6" t="n">
        <v>8.567567567567568</v>
      </c>
      <c r="G9" s="4" t="inlineStr">
        <is>
          <t>Mean core_harmonic_energy_ratio</t>
        </is>
      </c>
      <c r="H9" s="7" t="n">
        <v>0.7432747271791094</v>
      </c>
    </row>
    <row r="10">
      <c r="D10" s="4" t="inlineStr">
        <is>
          <t>Corr(MIDI, salient_harmonic_order_count_up_to_body_ceiling)</t>
        </is>
      </c>
      <c r="E10" s="8" t="n">
        <v>-0.5645132340212143</v>
      </c>
      <c r="G10" s="4" t="inlineStr">
        <is>
          <t>Arithmetic validation passed count</t>
        </is>
      </c>
      <c r="H10" s="8" t="n">
        <v>37</v>
      </c>
    </row>
    <row r="11">
      <c r="D11" s="4" t="inlineStr">
        <is>
          <t>Mean final_note_density_salience_weighted</t>
        </is>
      </c>
      <c r="E11" s="6" t="n">
        <v>10.67052776472638</v>
      </c>
      <c r="G11" s="4" t="inlineStr">
        <is>
          <t>Acoustic f0 verified count</t>
        </is>
      </c>
      <c r="H11" s="8" t="n">
        <v>36</v>
      </c>
    </row>
    <row r="12">
      <c r="D12" s="4" t="inlineStr">
        <is>
          <t>Corr(MIDI, final_note_density_salience_weighted)</t>
        </is>
      </c>
      <c r="E12" s="8" t="n">
        <v>-0.2739862470481728</v>
      </c>
      <c r="G12" s="4" t="inlineStr">
        <is>
          <t>f0 fallback / acoustically unverified count</t>
        </is>
      </c>
      <c r="H12" s="8" t="n">
        <v>1</v>
      </c>
    </row>
    <row r="13">
      <c r="D13" s="4" t="inlineStr">
        <is>
          <t>Corr(final_note_density_salience_weighted, salient_harmonic_order_count_up_to_body_ceiling)</t>
        </is>
      </c>
      <c r="E13" s="8" t="n">
        <v>0.09113801357930357</v>
      </c>
      <c r="G13" s="4" t="inlineStr">
        <is>
          <t>f0 accepted count</t>
        </is>
      </c>
      <c r="H13" s="8" t="n">
        <v>36</v>
      </c>
    </row>
    <row r="16">
      <c r="D16" s="1" t="inlineStr">
        <is>
          <t>Top 5 thickest notes by spectral_body_thickness_index</t>
        </is>
      </c>
      <c r="G16" s="1" t="inlineStr">
        <is>
          <t>Bottom 5 thinnest notes by spectral_body_thickness_index</t>
        </is>
      </c>
    </row>
    <row r="17">
      <c r="D17" t="inlineStr">
        <is>
          <t>G4</t>
        </is>
      </c>
      <c r="E17" s="9" t="n">
        <v>1.652931573999022</v>
      </c>
      <c r="G17" t="inlineStr">
        <is>
          <t>C6</t>
        </is>
      </c>
      <c r="H17" s="9" t="n">
        <v>-0.5173688894764955</v>
      </c>
    </row>
    <row r="18">
      <c r="D18" t="inlineStr">
        <is>
          <t>F4</t>
        </is>
      </c>
      <c r="E18" s="9" t="n">
        <v>1.328519117322226</v>
      </c>
      <c r="G18" t="inlineStr">
        <is>
          <t>D6</t>
        </is>
      </c>
      <c r="H18" s="9" t="n">
        <v>-0.4897228653954491</v>
      </c>
    </row>
    <row r="19">
      <c r="D19" t="inlineStr">
        <is>
          <t>B5</t>
        </is>
      </c>
      <c r="E19" s="9" t="n">
        <v>1.053323327331833</v>
      </c>
      <c r="G19" t="inlineStr">
        <is>
          <t>F6</t>
        </is>
      </c>
      <c r="H19" s="9" t="n">
        <v>-0.485498484233972</v>
      </c>
    </row>
    <row r="20">
      <c r="D20" t="inlineStr">
        <is>
          <t>F#4</t>
        </is>
      </c>
      <c r="E20" s="9" t="n">
        <v>1.047777107387103</v>
      </c>
      <c r="G20" t="inlineStr">
        <is>
          <t>C#6</t>
        </is>
      </c>
      <c r="H20" s="9" t="n">
        <v>-0.4469613778479568</v>
      </c>
    </row>
    <row r="21">
      <c r="D21" t="inlineStr">
        <is>
          <t>G#4</t>
        </is>
      </c>
      <c r="E21" s="9" t="n">
        <v>0.8761048648130193</v>
      </c>
      <c r="G21" t="inlineStr">
        <is>
          <t>G#6</t>
        </is>
      </c>
      <c r="H21" s="9" t="n">
        <v>-0.4427749819633574</v>
      </c>
    </row>
    <row r="24">
      <c r="D24" s="1" t="inlineStr">
        <is>
          <t>Top 5 by salient_harmonic_order_count_up_to_body_ceiling</t>
        </is>
      </c>
      <c r="G24" s="1" t="inlineStr">
        <is>
          <t>Bottom 5 by salient_harmonic_order_count_up_to_body_ceiling</t>
        </is>
      </c>
    </row>
    <row r="25">
      <c r="D25" t="inlineStr">
        <is>
          <t>B3</t>
        </is>
      </c>
      <c r="E25" t="n">
        <v>14</v>
      </c>
      <c r="G25" t="inlineStr">
        <is>
          <t>B6</t>
        </is>
      </c>
      <c r="H25" t="n">
        <v>2</v>
      </c>
    </row>
    <row r="26">
      <c r="D26" t="inlineStr">
        <is>
          <t>D4</t>
        </is>
      </c>
      <c r="E26" t="n">
        <v>13</v>
      </c>
      <c r="G26" t="inlineStr">
        <is>
          <t>B5</t>
        </is>
      </c>
      <c r="H26" t="n">
        <v>3</v>
      </c>
    </row>
    <row r="27">
      <c r="D27" t="inlineStr">
        <is>
          <t>F#4</t>
        </is>
      </c>
      <c r="E27" t="n">
        <v>13</v>
      </c>
      <c r="G27" t="inlineStr">
        <is>
          <t>E5</t>
        </is>
      </c>
      <c r="H27" t="n">
        <v>5</v>
      </c>
    </row>
    <row r="28">
      <c r="D28" t="inlineStr">
        <is>
          <t>C4</t>
        </is>
      </c>
      <c r="E28" t="n">
        <v>12</v>
      </c>
      <c r="G28" t="inlineStr">
        <is>
          <t>F5</t>
        </is>
      </c>
      <c r="H28" t="n">
        <v>5</v>
      </c>
    </row>
    <row r="29">
      <c r="D29" t="inlineStr">
        <is>
          <t>C#4</t>
        </is>
      </c>
      <c r="E29" t="n">
        <v>12</v>
      </c>
      <c r="G29" t="inlineStr">
        <is>
          <t>F#5</t>
        </is>
      </c>
      <c r="H29" t="n">
        <v>5</v>
      </c>
    </row>
    <row r="32">
      <c r="D32" s="1" t="inlineStr">
        <is>
          <t>Top 5 densest notes by final_note_density_salience_weighted</t>
        </is>
      </c>
      <c r="G32" s="1" t="inlineStr">
        <is>
          <t>Bottom 5 least dense notes by final_note_density_salience_weighted</t>
        </is>
      </c>
    </row>
    <row r="33">
      <c r="D33" t="inlineStr">
        <is>
          <t>B5</t>
        </is>
      </c>
      <c r="E33" s="9" t="n">
        <v>31.05651873631512</v>
      </c>
      <c r="G33" t="inlineStr">
        <is>
          <t>D6</t>
        </is>
      </c>
      <c r="H33" s="9" t="n">
        <v>4.834842675701965</v>
      </c>
    </row>
    <row r="34">
      <c r="D34" t="inlineStr">
        <is>
          <t>B6</t>
        </is>
      </c>
      <c r="E34" s="9" t="n">
        <v>24.31475073673479</v>
      </c>
      <c r="G34" t="inlineStr">
        <is>
          <t>G#5</t>
        </is>
      </c>
      <c r="H34" s="9" t="n">
        <v>4.97499290926309</v>
      </c>
    </row>
    <row r="35">
      <c r="D35" t="inlineStr">
        <is>
          <t>B3</t>
        </is>
      </c>
      <c r="E35" s="9" t="n">
        <v>17.61984101569025</v>
      </c>
      <c r="G35" t="inlineStr">
        <is>
          <t>A#5</t>
        </is>
      </c>
      <c r="H35" s="9" t="n">
        <v>5.119973184902237</v>
      </c>
    </row>
    <row r="36">
      <c r="D36" t="inlineStr">
        <is>
          <t>C#4</t>
        </is>
      </c>
      <c r="E36" s="9" t="n">
        <v>17.52299099041251</v>
      </c>
      <c r="G36" t="inlineStr">
        <is>
          <t>A5</t>
        </is>
      </c>
      <c r="H36" s="9" t="n">
        <v>5.287202806703764</v>
      </c>
    </row>
    <row r="37">
      <c r="D37" t="inlineStr">
        <is>
          <t>C4</t>
        </is>
      </c>
      <c r="E37" s="9" t="n">
        <v>16.16774624141337</v>
      </c>
      <c r="G37" t="inlineStr">
        <is>
          <t>G6</t>
        </is>
      </c>
      <c r="H37" s="9" t="n">
        <v>5.593651878832494</v>
      </c>
    </row>
    <row r="40">
      <c r="A40" s="1" t="inlineStr">
        <is>
          <t>Validation snapshot (from Spectral_Density_Metrics)</t>
        </is>
      </c>
    </row>
    <row r="41">
      <c r="A41" s="10" t="inlineStr">
        <is>
          <t>Note</t>
        </is>
      </c>
      <c r="B41" s="10" t="inlineStr">
        <is>
          <t>f0_fit_accepted</t>
        </is>
      </c>
      <c r="C41" s="10" t="inlineStr">
        <is>
          <t>acoustic_validation_status</t>
        </is>
      </c>
      <c r="D41" s="10" t="inlineStr">
        <is>
          <t>debug_counts_invariant_status</t>
        </is>
      </c>
      <c r="E41" s="10" t="inlineStr">
        <is>
          <t>harmonic_alignment_status</t>
        </is>
      </c>
    </row>
    <row r="42">
      <c r="A42" t="inlineStr">
        <is>
          <t>B3</t>
        </is>
      </c>
      <c r="B42" t="n">
        <v>1</v>
      </c>
      <c r="C42" t="inlineStr">
        <is>
          <t>passed</t>
        </is>
      </c>
      <c r="D42" t="inlineStr">
        <is>
          <t>passed</t>
        </is>
      </c>
      <c r="E42" t="inlineStr">
        <is>
          <t>excellent</t>
        </is>
      </c>
    </row>
    <row r="43">
      <c r="A43" t="inlineStr">
        <is>
          <t>C4</t>
        </is>
      </c>
      <c r="B43" t="n">
        <v>1</v>
      </c>
      <c r="C43" t="inlineStr">
        <is>
          <t>passed</t>
        </is>
      </c>
      <c r="D43" t="inlineStr">
        <is>
          <t>passed</t>
        </is>
      </c>
      <c r="E43" t="inlineStr">
        <is>
          <t>excellent</t>
        </is>
      </c>
    </row>
    <row r="44">
      <c r="A44" t="inlineStr">
        <is>
          <t>C#4</t>
        </is>
      </c>
      <c r="B44" t="n">
        <v>1</v>
      </c>
      <c r="C44" t="inlineStr">
        <is>
          <t>passed</t>
        </is>
      </c>
      <c r="D44" t="inlineStr">
        <is>
          <t>passed</t>
        </is>
      </c>
      <c r="E44" t="inlineStr">
        <is>
          <t>excellent</t>
        </is>
      </c>
    </row>
    <row r="45">
      <c r="A45" t="inlineStr">
        <is>
          <t>D4</t>
        </is>
      </c>
      <c r="B45" t="n">
        <v>1</v>
      </c>
      <c r="C45" t="inlineStr">
        <is>
          <t>passed</t>
        </is>
      </c>
      <c r="D45" t="inlineStr">
        <is>
          <t>passed</t>
        </is>
      </c>
      <c r="E45" t="inlineStr">
        <is>
          <t>excellent</t>
        </is>
      </c>
    </row>
    <row r="46">
      <c r="A46" t="inlineStr">
        <is>
          <t>D#4</t>
        </is>
      </c>
      <c r="B46" t="n">
        <v>1</v>
      </c>
      <c r="C46" t="inlineStr">
        <is>
          <t>passed</t>
        </is>
      </c>
      <c r="D46" t="inlineStr">
        <is>
          <t>passed</t>
        </is>
      </c>
      <c r="E46" t="inlineStr">
        <is>
          <t>excellent</t>
        </is>
      </c>
    </row>
    <row r="47">
      <c r="A47" t="inlineStr">
        <is>
          <t>E4</t>
        </is>
      </c>
      <c r="B47" t="n">
        <v>1</v>
      </c>
      <c r="C47" t="inlineStr">
        <is>
          <t>passed</t>
        </is>
      </c>
      <c r="D47" t="inlineStr">
        <is>
          <t>passed</t>
        </is>
      </c>
      <c r="E47" t="inlineStr">
        <is>
          <t>excellent</t>
        </is>
      </c>
    </row>
    <row r="48">
      <c r="A48" t="inlineStr">
        <is>
          <t>F4</t>
        </is>
      </c>
      <c r="B48" t="n">
        <v>1</v>
      </c>
      <c r="C48" t="inlineStr">
        <is>
          <t>passed</t>
        </is>
      </c>
      <c r="D48" t="inlineStr">
        <is>
          <t>passed</t>
        </is>
      </c>
      <c r="E48" t="inlineStr">
        <is>
          <t>excellent</t>
        </is>
      </c>
    </row>
    <row r="49">
      <c r="A49" t="inlineStr">
        <is>
          <t>F#4</t>
        </is>
      </c>
      <c r="B49" t="n">
        <v>1</v>
      </c>
      <c r="C49" t="inlineStr">
        <is>
          <t>passed</t>
        </is>
      </c>
      <c r="D49" t="inlineStr">
        <is>
          <t>passed</t>
        </is>
      </c>
      <c r="E49" t="inlineStr">
        <is>
          <t>excellent</t>
        </is>
      </c>
    </row>
    <row r="50">
      <c r="A50" t="inlineStr">
        <is>
          <t>G4</t>
        </is>
      </c>
      <c r="B50" t="n">
        <v>1</v>
      </c>
      <c r="C50" t="inlineStr">
        <is>
          <t>passed</t>
        </is>
      </c>
      <c r="D50" t="inlineStr">
        <is>
          <t>passed</t>
        </is>
      </c>
      <c r="E50" t="inlineStr">
        <is>
          <t>excellent</t>
        </is>
      </c>
    </row>
    <row r="51">
      <c r="A51" t="inlineStr">
        <is>
          <t>G#4</t>
        </is>
      </c>
      <c r="B51" t="n">
        <v>1</v>
      </c>
      <c r="C51" t="inlineStr">
        <is>
          <t>passed</t>
        </is>
      </c>
      <c r="D51" t="inlineStr">
        <is>
          <t>passed</t>
        </is>
      </c>
      <c r="E51" t="inlineStr">
        <is>
          <t>excellent</t>
        </is>
      </c>
    </row>
    <row r="52">
      <c r="A52" t="inlineStr">
        <is>
          <t>A4</t>
        </is>
      </c>
      <c r="B52" t="n">
        <v>1</v>
      </c>
      <c r="C52" t="inlineStr">
        <is>
          <t>passed</t>
        </is>
      </c>
      <c r="D52" t="inlineStr">
        <is>
          <t>passed</t>
        </is>
      </c>
      <c r="E52" t="inlineStr">
        <is>
          <t>excellent</t>
        </is>
      </c>
    </row>
    <row r="53">
      <c r="A53" t="inlineStr">
        <is>
          <t>A#4</t>
        </is>
      </c>
      <c r="B53" t="n">
        <v>1</v>
      </c>
      <c r="C53" t="inlineStr">
        <is>
          <t>passed</t>
        </is>
      </c>
      <c r="D53" t="inlineStr">
        <is>
          <t>passed</t>
        </is>
      </c>
      <c r="E53" t="inlineStr">
        <is>
          <t>excellent</t>
        </is>
      </c>
    </row>
    <row r="54">
      <c r="A54" t="inlineStr">
        <is>
          <t>B4</t>
        </is>
      </c>
      <c r="B54" t="n">
        <v>1</v>
      </c>
      <c r="C54" t="inlineStr">
        <is>
          <t>passed</t>
        </is>
      </c>
      <c r="D54" t="inlineStr">
        <is>
          <t>passed</t>
        </is>
      </c>
      <c r="E54" t="inlineStr">
        <is>
          <t>excellent</t>
        </is>
      </c>
    </row>
    <row r="55">
      <c r="A55" t="inlineStr">
        <is>
          <t>C5</t>
        </is>
      </c>
      <c r="B55" t="n">
        <v>1</v>
      </c>
      <c r="C55" t="inlineStr">
        <is>
          <t>passed</t>
        </is>
      </c>
      <c r="D55" t="inlineStr">
        <is>
          <t>passed</t>
        </is>
      </c>
      <c r="E55" t="inlineStr">
        <is>
          <t>excellent</t>
        </is>
      </c>
    </row>
    <row r="56">
      <c r="A56" t="inlineStr">
        <is>
          <t>C#5</t>
        </is>
      </c>
      <c r="B56" t="n">
        <v>1</v>
      </c>
      <c r="C56" t="inlineStr">
        <is>
          <t>passed</t>
        </is>
      </c>
      <c r="D56" t="inlineStr">
        <is>
          <t>passed</t>
        </is>
      </c>
      <c r="E56" t="inlineStr">
        <is>
          <t>excellent</t>
        </is>
      </c>
    </row>
    <row r="57">
      <c r="A57" t="inlineStr">
        <is>
          <t>D5</t>
        </is>
      </c>
      <c r="B57" t="n">
        <v>1</v>
      </c>
      <c r="C57" t="inlineStr">
        <is>
          <t>passed</t>
        </is>
      </c>
      <c r="D57" t="inlineStr">
        <is>
          <t>passed</t>
        </is>
      </c>
      <c r="E57" t="inlineStr">
        <is>
          <t>excellent</t>
        </is>
      </c>
    </row>
    <row r="58">
      <c r="A58" t="inlineStr">
        <is>
          <t>D#5</t>
        </is>
      </c>
      <c r="B58" t="n">
        <v>1</v>
      </c>
      <c r="C58" t="inlineStr">
        <is>
          <t>passed</t>
        </is>
      </c>
      <c r="D58" t="inlineStr">
        <is>
          <t>passed</t>
        </is>
      </c>
      <c r="E58" t="inlineStr">
        <is>
          <t>excellent</t>
        </is>
      </c>
    </row>
    <row r="59">
      <c r="A59" t="inlineStr">
        <is>
          <t>E5</t>
        </is>
      </c>
      <c r="B59" t="n">
        <v>1</v>
      </c>
      <c r="C59" t="inlineStr">
        <is>
          <t>passed</t>
        </is>
      </c>
      <c r="D59" t="inlineStr">
        <is>
          <t>passed</t>
        </is>
      </c>
      <c r="E59" t="inlineStr">
        <is>
          <t>excellent</t>
        </is>
      </c>
    </row>
    <row r="60">
      <c r="A60" t="inlineStr">
        <is>
          <t>F5</t>
        </is>
      </c>
      <c r="B60" t="n">
        <v>1</v>
      </c>
      <c r="C60" t="inlineStr">
        <is>
          <t>passed</t>
        </is>
      </c>
      <c r="D60" t="inlineStr">
        <is>
          <t>passed</t>
        </is>
      </c>
      <c r="E60" t="inlineStr">
        <is>
          <t>excellent</t>
        </is>
      </c>
    </row>
    <row r="61">
      <c r="A61" t="inlineStr">
        <is>
          <t>F#5</t>
        </is>
      </c>
      <c r="B61" t="n">
        <v>1</v>
      </c>
      <c r="C61" t="inlineStr">
        <is>
          <t>passed</t>
        </is>
      </c>
      <c r="D61" t="inlineStr">
        <is>
          <t>passed</t>
        </is>
      </c>
      <c r="E61" t="inlineStr">
        <is>
          <t>excellent</t>
        </is>
      </c>
    </row>
    <row r="62">
      <c r="A62" t="inlineStr">
        <is>
          <t>G5</t>
        </is>
      </c>
      <c r="B62" t="n">
        <v>1</v>
      </c>
      <c r="C62" t="inlineStr">
        <is>
          <t>passed</t>
        </is>
      </c>
      <c r="D62" t="inlineStr">
        <is>
          <t>passed</t>
        </is>
      </c>
      <c r="E62" t="inlineStr">
        <is>
          <t>excellent</t>
        </is>
      </c>
    </row>
    <row r="63">
      <c r="A63" t="inlineStr">
        <is>
          <t>G#5</t>
        </is>
      </c>
      <c r="B63" t="n">
        <v>1</v>
      </c>
      <c r="C63" t="inlineStr">
        <is>
          <t>passed</t>
        </is>
      </c>
      <c r="D63" t="inlineStr">
        <is>
          <t>passed</t>
        </is>
      </c>
      <c r="E63" t="inlineStr">
        <is>
          <t>excellent</t>
        </is>
      </c>
    </row>
    <row r="64">
      <c r="A64" t="inlineStr">
        <is>
          <t>A5</t>
        </is>
      </c>
      <c r="B64" t="n">
        <v>1</v>
      </c>
      <c r="C64" t="inlineStr">
        <is>
          <t>passed</t>
        </is>
      </c>
      <c r="D64" t="inlineStr">
        <is>
          <t>passed</t>
        </is>
      </c>
      <c r="E64" t="inlineStr">
        <is>
          <t>excellent</t>
        </is>
      </c>
    </row>
    <row r="65">
      <c r="A65" t="inlineStr">
        <is>
          <t>A#5</t>
        </is>
      </c>
      <c r="B65" t="n">
        <v>1</v>
      </c>
      <c r="C65" t="inlineStr">
        <is>
          <t>passed</t>
        </is>
      </c>
      <c r="D65" t="inlineStr">
        <is>
          <t>passed</t>
        </is>
      </c>
      <c r="E65" t="inlineStr">
        <is>
          <t>excellent</t>
        </is>
      </c>
    </row>
    <row r="66">
      <c r="A66" t="inlineStr">
        <is>
          <t>B5</t>
        </is>
      </c>
      <c r="B66" t="n">
        <v>0</v>
      </c>
      <c r="C66" t="inlineStr">
        <is>
          <t>nominal_fallback_used_not_acoustically_verified</t>
        </is>
      </c>
      <c r="D66" t="inlineStr">
        <is>
          <t>passed</t>
        </is>
      </c>
      <c r="E66" t="inlineStr">
        <is>
          <t>good</t>
        </is>
      </c>
    </row>
    <row r="67">
      <c r="A67" t="inlineStr">
        <is>
          <t>C6</t>
        </is>
      </c>
      <c r="B67" t="n">
        <v>1</v>
      </c>
      <c r="C67" t="inlineStr">
        <is>
          <t>passed</t>
        </is>
      </c>
      <c r="D67" t="inlineStr">
        <is>
          <t>passed</t>
        </is>
      </c>
      <c r="E67" t="inlineStr">
        <is>
          <t>good</t>
        </is>
      </c>
    </row>
    <row r="68">
      <c r="A68" t="inlineStr">
        <is>
          <t>C#6</t>
        </is>
      </c>
      <c r="B68" t="n">
        <v>1</v>
      </c>
      <c r="C68" t="inlineStr">
        <is>
          <t>passed</t>
        </is>
      </c>
      <c r="D68" t="inlineStr">
        <is>
          <t>passed</t>
        </is>
      </c>
      <c r="E68" t="inlineStr">
        <is>
          <t>good</t>
        </is>
      </c>
    </row>
    <row r="69">
      <c r="A69" t="inlineStr">
        <is>
          <t>D6</t>
        </is>
      </c>
      <c r="B69" t="n">
        <v>1</v>
      </c>
      <c r="C69" t="inlineStr">
        <is>
          <t>passed</t>
        </is>
      </c>
      <c r="D69" t="inlineStr">
        <is>
          <t>passed</t>
        </is>
      </c>
      <c r="E69" t="inlineStr">
        <is>
          <t>excellent</t>
        </is>
      </c>
    </row>
    <row r="70">
      <c r="A70" t="inlineStr">
        <is>
          <t>D#6</t>
        </is>
      </c>
      <c r="B70" t="n">
        <v>1</v>
      </c>
      <c r="C70" t="inlineStr">
        <is>
          <t>passed</t>
        </is>
      </c>
      <c r="D70" t="inlineStr">
        <is>
          <t>passed</t>
        </is>
      </c>
      <c r="E70" t="inlineStr">
        <is>
          <t>excellent</t>
        </is>
      </c>
    </row>
    <row r="71">
      <c r="A71" t="inlineStr">
        <is>
          <t>E6</t>
        </is>
      </c>
      <c r="B71" t="n">
        <v>1</v>
      </c>
      <c r="C71" t="inlineStr">
        <is>
          <t>passed</t>
        </is>
      </c>
      <c r="D71" t="inlineStr">
        <is>
          <t>passed</t>
        </is>
      </c>
      <c r="E71" t="inlineStr">
        <is>
          <t>excellent</t>
        </is>
      </c>
    </row>
    <row r="72">
      <c r="A72" t="inlineStr">
        <is>
          <t>F6</t>
        </is>
      </c>
      <c r="B72" t="n">
        <v>1</v>
      </c>
      <c r="C72" t="inlineStr">
        <is>
          <t>passed</t>
        </is>
      </c>
      <c r="D72" t="inlineStr">
        <is>
          <t>passed</t>
        </is>
      </c>
      <c r="E72" t="inlineStr">
        <is>
          <t>excellent</t>
        </is>
      </c>
    </row>
    <row r="73">
      <c r="A73" t="inlineStr">
        <is>
          <t>F#6</t>
        </is>
      </c>
      <c r="B73" t="n">
        <v>1</v>
      </c>
      <c r="C73" t="inlineStr">
        <is>
          <t>passed</t>
        </is>
      </c>
      <c r="D73" t="inlineStr">
        <is>
          <t>passed</t>
        </is>
      </c>
      <c r="E73" t="inlineStr">
        <is>
          <t>excellent</t>
        </is>
      </c>
    </row>
    <row r="74">
      <c r="A74" t="inlineStr">
        <is>
          <t>G6</t>
        </is>
      </c>
      <c r="B74" t="n">
        <v>1</v>
      </c>
      <c r="C74" t="inlineStr">
        <is>
          <t>passed</t>
        </is>
      </c>
      <c r="D74" t="inlineStr">
        <is>
          <t>passed</t>
        </is>
      </c>
      <c r="E74" t="inlineStr">
        <is>
          <t>excellent</t>
        </is>
      </c>
    </row>
    <row r="75">
      <c r="A75" t="inlineStr">
        <is>
          <t>G#6</t>
        </is>
      </c>
      <c r="B75" t="n">
        <v>1</v>
      </c>
      <c r="C75" t="inlineStr">
        <is>
          <t>passed</t>
        </is>
      </c>
      <c r="D75" t="inlineStr">
        <is>
          <t>passed</t>
        </is>
      </c>
      <c r="E75" t="inlineStr">
        <is>
          <t>excellent</t>
        </is>
      </c>
    </row>
    <row r="76">
      <c r="A76" t="inlineStr">
        <is>
          <t>A6</t>
        </is>
      </c>
      <c r="B76" t="n">
        <v>1</v>
      </c>
      <c r="C76" t="inlineStr">
        <is>
          <t>passed</t>
        </is>
      </c>
      <c r="D76" t="inlineStr">
        <is>
          <t>passed</t>
        </is>
      </c>
      <c r="E76" t="inlineStr">
        <is>
          <t>excellent</t>
        </is>
      </c>
    </row>
    <row r="77">
      <c r="A77" t="inlineStr">
        <is>
          <t>A#6</t>
        </is>
      </c>
      <c r="B77" t="n">
        <v>1</v>
      </c>
      <c r="C77" t="inlineStr">
        <is>
          <t>passed</t>
        </is>
      </c>
      <c r="D77" t="inlineStr">
        <is>
          <t>passed</t>
        </is>
      </c>
      <c r="E77" t="inlineStr">
        <is>
          <t>good</t>
        </is>
      </c>
    </row>
    <row r="78">
      <c r="A78" t="inlineStr">
        <is>
          <t>B6</t>
        </is>
      </c>
      <c r="B78" t="n">
        <v>1</v>
      </c>
      <c r="C78" t="inlineStr">
        <is>
          <t>passed</t>
        </is>
      </c>
      <c r="D78" t="inlineStr">
        <is>
          <t>passed</t>
        </is>
      </c>
      <c r="E78" t="inlineStr">
        <is>
          <t>excellent</t>
        </is>
      </c>
    </row>
  </sheetData>
  <mergeCells count="3">
    <mergeCell ref="A1:B2"/>
    <mergeCell ref="D4:H4"/>
    <mergeCell ref="D1:H2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J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30" customWidth="1" min="2" max="2"/>
    <col width="45" customWidth="1" min="3" max="3"/>
    <col width="48" customWidth="1" min="4" max="4"/>
    <col width="48" customWidth="1" min="5" max="5"/>
    <col width="24" customWidth="1" min="6" max="6"/>
    <col width="45" customWidth="1" min="7" max="7"/>
    <col width="48" customWidth="1" min="8" max="8"/>
    <col width="22" customWidth="1" min="9" max="9"/>
    <col width="45" customWidth="1" min="10" max="10"/>
    <col width="39" customWidth="1" min="11" max="11"/>
    <col width="48" customWidth="1" min="12" max="12"/>
    <col width="44" customWidth="1" min="13" max="13"/>
    <col width="46" customWidth="1" min="14" max="14"/>
    <col width="30" customWidth="1" min="15" max="15"/>
    <col width="32" customWidth="1" min="16" max="16"/>
    <col width="48" customWidth="1" min="17" max="17"/>
    <col width="48" customWidth="1" min="18" max="18"/>
    <col width="48" customWidth="1" min="19" max="19"/>
    <col width="32" customWidth="1" min="20" max="20"/>
    <col width="31" customWidth="1" min="21" max="21"/>
    <col width="33" customWidth="1" min="22" max="22"/>
    <col width="22" customWidth="1" min="23" max="23"/>
    <col width="34" customWidth="1" min="24" max="24"/>
    <col width="48" customWidth="1" min="25" max="25"/>
    <col width="48" customWidth="1" min="26" max="26"/>
    <col width="46" customWidth="1" min="27" max="27"/>
    <col width="48" customWidth="1" min="28" max="28"/>
    <col width="48" customWidth="1" min="29" max="29"/>
    <col width="48" customWidth="1" min="30" max="30"/>
    <col width="42" customWidth="1" min="31" max="31"/>
    <col width="48" customWidth="1" min="32" max="32"/>
    <col width="48" customWidth="1" min="33" max="33"/>
    <col width="48" customWidth="1" min="34" max="34"/>
    <col width="48" customWidth="1" min="35" max="35"/>
    <col width="47" customWidth="1" min="36" max="36"/>
    <col width="48" customWidth="1" min="37" max="37"/>
    <col width="32" customWidth="1" min="38" max="38"/>
    <col width="48" customWidth="1" min="39" max="39"/>
    <col width="32" customWidth="1" min="40" max="40"/>
    <col width="48" customWidth="1" min="41" max="41"/>
    <col width="48" customWidth="1" min="42" max="42"/>
    <col width="32" customWidth="1" min="43" max="43"/>
    <col width="38" customWidth="1" min="44" max="44"/>
    <col width="48" customWidth="1" min="45" max="45"/>
    <col width="20" customWidth="1" min="46" max="46"/>
    <col width="20" customWidth="1" min="47" max="47"/>
    <col width="30" customWidth="1" min="48" max="48"/>
    <col width="32" customWidth="1" min="49" max="49"/>
    <col width="28" customWidth="1" min="50" max="50"/>
    <col width="30" customWidth="1" min="51" max="51"/>
    <col width="27" customWidth="1" min="52" max="52"/>
    <col width="25" customWidth="1" min="53" max="53"/>
    <col width="27" customWidth="1" min="54" max="54"/>
    <col width="24" customWidth="1" min="55" max="55"/>
    <col width="24" customWidth="1" min="56" max="56"/>
    <col width="31" customWidth="1" min="57" max="57"/>
    <col width="30" customWidth="1" min="58" max="58"/>
    <col width="33" customWidth="1" min="59" max="59"/>
    <col width="26" customWidth="1" min="60" max="60"/>
    <col width="30" customWidth="1" min="61" max="61"/>
    <col width="30" customWidth="1" min="62" max="62"/>
    <col width="30" customWidth="1" min="63" max="63"/>
    <col width="29" customWidth="1" min="64" max="64"/>
    <col width="30" customWidth="1" min="65" max="65"/>
    <col width="45" customWidth="1" min="66" max="66"/>
    <col width="34" customWidth="1" min="67" max="67"/>
    <col width="28" customWidth="1" min="68" max="68"/>
    <col width="28" customWidth="1" min="69" max="69"/>
    <col width="27" customWidth="1" min="70" max="70"/>
    <col width="35" customWidth="1" min="71" max="71"/>
    <col width="33" customWidth="1" min="72" max="72"/>
    <col width="35" customWidth="1" min="73" max="73"/>
    <col width="32" customWidth="1" min="74" max="74"/>
    <col width="10" customWidth="1" min="75" max="75"/>
    <col width="10" customWidth="1" min="76" max="76"/>
    <col width="13" customWidth="1" min="77" max="77"/>
    <col width="10" customWidth="1" min="78" max="78"/>
    <col width="11" customWidth="1" min="79" max="79"/>
    <col width="10" customWidth="1" min="80" max="80"/>
    <col width="19" customWidth="1" min="81" max="81"/>
    <col width="19" customWidth="1" min="82" max="82"/>
    <col width="45" customWidth="1" min="83" max="83"/>
    <col width="36" customWidth="1" min="84" max="84"/>
    <col width="17" customWidth="1" min="85" max="85"/>
    <col width="36" customWidth="1" min="86" max="86"/>
    <col width="32" customWidth="1" min="87" max="87"/>
    <col width="31" customWidth="1" min="88" max="88"/>
    <col width="19" customWidth="1" min="89" max="89"/>
    <col width="19" customWidth="1" min="90" max="90"/>
    <col width="21" customWidth="1" min="91" max="91"/>
    <col width="22" customWidth="1" min="92" max="92"/>
    <col width="32" customWidth="1" min="93" max="93"/>
    <col width="20" customWidth="1" min="94" max="94"/>
    <col width="40" customWidth="1" min="95" max="95"/>
    <col width="48" customWidth="1" min="96" max="96"/>
    <col width="43" customWidth="1" min="97" max="97"/>
    <col width="48" customWidth="1" min="98" max="98"/>
    <col width="48" customWidth="1" min="99" max="99"/>
    <col width="45" customWidth="1" min="100" max="100"/>
    <col width="43" customWidth="1" min="101" max="101"/>
    <col width="39" customWidth="1" min="102" max="102"/>
    <col width="41" customWidth="1" min="103" max="103"/>
    <col width="27" customWidth="1" min="104" max="104"/>
    <col width="42" customWidth="1" min="105" max="105"/>
    <col width="41" customWidth="1" min="106" max="106"/>
    <col width="43" customWidth="1" min="107" max="107"/>
    <col width="38" customWidth="1" min="108" max="108"/>
    <col width="32" customWidth="1" min="109" max="109"/>
    <col width="48" customWidth="1" min="110" max="110"/>
    <col width="46" customWidth="1" min="111" max="111"/>
    <col width="33" customWidth="1" min="112" max="112"/>
    <col width="46" customWidth="1" min="113" max="113"/>
    <col width="27" customWidth="1" min="114" max="114"/>
    <col width="22" customWidth="1" min="115" max="115"/>
    <col width="19" customWidth="1" min="116" max="116"/>
    <col width="34" customWidth="1" min="117" max="117"/>
    <col width="41" customWidth="1" min="118" max="118"/>
    <col width="42" customWidth="1" min="119" max="119"/>
    <col width="48" customWidth="1" min="120" max="120"/>
    <col width="22" customWidth="1" min="121" max="121"/>
    <col width="24" customWidth="1" min="122" max="122"/>
    <col width="30" customWidth="1" min="123" max="123"/>
    <col width="27" customWidth="1" min="124" max="124"/>
    <col width="23" customWidth="1" min="125" max="125"/>
    <col width="44" customWidth="1" min="126" max="126"/>
    <col width="28" customWidth="1" min="127" max="127"/>
    <col width="27" customWidth="1" min="128" max="128"/>
    <col width="28" customWidth="1" min="129" max="129"/>
    <col width="36" customWidth="1" min="130" max="130"/>
    <col width="17" customWidth="1" min="131" max="131"/>
    <col width="33" customWidth="1" min="132" max="132"/>
    <col width="30" customWidth="1" min="133" max="133"/>
    <col width="23" customWidth="1" min="134" max="134"/>
    <col width="26" customWidth="1" min="135" max="135"/>
    <col width="43" customWidth="1" min="136" max="136"/>
    <col width="21" customWidth="1" min="137" max="137"/>
    <col width="27" customWidth="1" min="138" max="138"/>
    <col width="30" customWidth="1" min="139" max="139"/>
    <col width="31" customWidth="1" min="140" max="140"/>
    <col width="48" customWidth="1" min="141" max="141"/>
    <col width="48" customWidth="1" min="142" max="142"/>
    <col width="20" customWidth="1" min="143" max="143"/>
    <col width="20" customWidth="1" min="144" max="144"/>
    <col width="32" customWidth="1" min="145" max="145"/>
    <col width="31" customWidth="1" min="146" max="146"/>
    <col width="48" customWidth="1" min="147" max="147"/>
    <col width="27" customWidth="1" min="148" max="148"/>
    <col width="38" customWidth="1" min="149" max="149"/>
    <col width="20" customWidth="1" min="150" max="150"/>
    <col width="22" customWidth="1" min="151" max="151"/>
    <col width="22" customWidth="1" min="152" max="152"/>
    <col width="17" customWidth="1" min="153" max="153"/>
    <col width="23" customWidth="1" min="154" max="154"/>
    <col width="23" customWidth="1" min="155" max="155"/>
    <col width="22" customWidth="1" min="156" max="156"/>
    <col width="35" customWidth="1" min="157" max="157"/>
    <col width="36" customWidth="1" min="158" max="158"/>
    <col width="23" customWidth="1" min="159" max="159"/>
    <col width="21" customWidth="1" min="160" max="160"/>
    <col width="22" customWidth="1" min="161" max="161"/>
    <col width="24" customWidth="1" min="162" max="162"/>
    <col width="21" customWidth="1" min="163" max="163"/>
    <col width="40" customWidth="1" min="164" max="164"/>
    <col width="42" customWidth="1" min="165" max="165"/>
    <col width="39" customWidth="1" min="166" max="166"/>
    <col width="21" customWidth="1" min="167" max="167"/>
    <col width="23" customWidth="1" min="168" max="168"/>
    <col width="20" customWidth="1" min="169" max="169"/>
    <col width="24" customWidth="1" min="170" max="170"/>
    <col width="23" customWidth="1" min="171" max="171"/>
    <col width="25" customWidth="1" min="172" max="172"/>
    <col width="22" customWidth="1" min="173" max="173"/>
    <col width="27" customWidth="1" min="174" max="174"/>
    <col width="35" customWidth="1" min="175" max="175"/>
    <col width="35" customWidth="1" min="176" max="176"/>
    <col width="34" customWidth="1" min="177" max="177"/>
    <col width="31" customWidth="1" min="178" max="178"/>
    <col width="24" customWidth="1" min="179" max="179"/>
    <col width="26" customWidth="1" min="180" max="180"/>
    <col width="23" customWidth="1" min="181" max="181"/>
    <col width="35" customWidth="1" min="182" max="182"/>
    <col width="37" customWidth="1" min="183" max="183"/>
    <col width="26" customWidth="1" min="184" max="184"/>
    <col width="48" customWidth="1" min="185" max="185"/>
    <col width="42" customWidth="1" min="186" max="186"/>
    <col width="48" customWidth="1" min="187" max="187"/>
    <col width="37" customWidth="1" min="188" max="188"/>
    <col width="48" customWidth="1" min="189" max="189"/>
    <col width="48" customWidth="1" min="190" max="190"/>
    <col width="46" customWidth="1" min="191" max="191"/>
    <col width="41" customWidth="1" min="192" max="192"/>
    <col width="45" customWidth="1" min="193" max="193"/>
    <col width="48" customWidth="1" min="194" max="194"/>
    <col width="43" customWidth="1" min="195" max="195"/>
    <col width="38" customWidth="1" min="196" max="196"/>
    <col width="33" customWidth="1" min="197" max="197"/>
    <col width="47" customWidth="1" min="198" max="198"/>
    <col width="32" customWidth="1" min="199" max="199"/>
    <col width="48" customWidth="1" min="200" max="200"/>
    <col width="18" customWidth="1" min="201" max="201"/>
    <col width="23" customWidth="1" min="202" max="202"/>
    <col width="23" customWidth="1" min="203" max="203"/>
    <col width="20" customWidth="1" min="204" max="204"/>
    <col width="20" customWidth="1" min="205" max="205"/>
    <col width="32" customWidth="1" min="206" max="206"/>
    <col width="29" customWidth="1" min="207" max="207"/>
    <col width="21" customWidth="1" min="208" max="208"/>
    <col width="25" customWidth="1" min="209" max="209"/>
    <col width="26" customWidth="1" min="210" max="210"/>
    <col width="34" customWidth="1" min="211" max="211"/>
    <col width="37" customWidth="1" min="212" max="212"/>
    <col width="38" customWidth="1" min="213" max="213"/>
    <col width="46" customWidth="1" min="214" max="214"/>
    <col width="26" customWidth="1" min="215" max="215"/>
    <col width="25" customWidth="1" min="216" max="216"/>
    <col width="30" customWidth="1" min="217" max="217"/>
    <col width="48" customWidth="1" min="218" max="218"/>
  </cols>
  <sheetData>
    <row r="1">
      <c r="A1" s="11" t="inlineStr">
        <is>
          <t>metadata_inference_status</t>
        </is>
      </c>
      <c r="B1" s="11" t="inlineStr">
        <is>
          <t>metadata_missing_reason</t>
        </is>
      </c>
      <c r="C1" s="11" t="inlineStr">
        <is>
          <t>f0_final_source</t>
        </is>
      </c>
      <c r="D1" s="11" t="inlineStr">
        <is>
          <t>amplitude_mass_chart_file</t>
        </is>
      </c>
      <c r="E1" s="11" t="inlineStr">
        <is>
          <t>energy_ratio_chart_file</t>
        </is>
      </c>
      <c r="F1" s="11" t="inlineStr">
        <is>
          <t>f0_used_for_density_hz</t>
        </is>
      </c>
      <c r="G1" s="11" t="inlineStr">
        <is>
          <t>f0_used_for_density_source</t>
        </is>
      </c>
      <c r="H1" s="11" t="inlineStr">
        <is>
          <t>acoustic_f0_status</t>
        </is>
      </c>
      <c r="I1" s="12" t="inlineStr">
        <is>
          <t>density_weighted_sum</t>
        </is>
      </c>
      <c r="J1" s="11" t="inlineStr">
        <is>
          <t>density_weighted_sum_alias_of</t>
        </is>
      </c>
      <c r="K1" s="11" t="inlineStr">
        <is>
          <t>density_weighted_sum_semantic_status</t>
        </is>
      </c>
      <c r="L1" s="11" t="inlineStr">
        <is>
          <t>density_component_body_weighted_sum_body_ceiling</t>
        </is>
      </c>
      <c r="M1" s="11" t="inlineStr">
        <is>
          <t>harmonic_component_energy_sum_body_ceiling</t>
        </is>
      </c>
      <c r="N1" s="11" t="inlineStr">
        <is>
          <t>inharmonic_component_energy_sum_body_ceiling</t>
        </is>
      </c>
      <c r="O1" s="11" t="inlineStr">
        <is>
          <t>subbass_component_energy_sum</t>
        </is>
      </c>
      <c r="P1" s="11" t="inlineStr">
        <is>
          <t>spectral_slope_db_per_harmonic</t>
        </is>
      </c>
      <c r="Q1" s="11" t="inlineStr">
        <is>
          <t>validated_harmonic_component_count_body_ceiling</t>
        </is>
      </c>
      <c r="R1" s="11" t="inlineStr">
        <is>
          <t>probable_harmonic_component_count_body_ceiling</t>
        </is>
      </c>
      <c r="S1" s="11" t="inlineStr">
        <is>
          <t>probable_harmonic_component_energy_sum_body_ceiling</t>
        </is>
      </c>
      <c r="T1" s="11" t="inlineStr">
        <is>
          <t>harmonic_candidate_count_20khz</t>
        </is>
      </c>
      <c r="U1" s="11" t="inlineStr">
        <is>
          <t>spectral_body_thickness_index</t>
        </is>
      </c>
      <c r="V1" s="11" t="inlineStr">
        <is>
          <t>body_weighted_effective_density</t>
        </is>
      </c>
      <c r="W1" s="11" t="inlineStr">
        <is>
          <t>low_mid_energy_ratio</t>
        </is>
      </c>
      <c r="X1" s="11" t="inlineStr">
        <is>
          <t>harmonic_body_density_normalized</t>
        </is>
      </c>
      <c r="Y1" s="11" t="inlineStr">
        <is>
          <t>salient_harmonic_order_count_up_to_body_ceiling</t>
        </is>
      </c>
      <c r="Z1" s="11" t="inlineStr">
        <is>
          <t>expected_harmonic_order_count_up_to_body_ceiling</t>
        </is>
      </c>
      <c r="AA1" s="11" t="inlineStr">
        <is>
          <t>salient_harmonic_coverage_up_to_body_ceiling</t>
        </is>
      </c>
      <c r="AB1" s="11" t="inlineStr">
        <is>
          <t>theoretical_harmonic_order_count_up_to_body_ceiling</t>
        </is>
      </c>
      <c r="AC1" s="11" t="inlineStr">
        <is>
          <t>detected_salient_harmonic_order_count_up_to_body_ceiling</t>
        </is>
      </c>
      <c r="AD1" s="11" t="inlineStr">
        <is>
          <t>salient_harmonic_coverage_ratio_up_to_body_ceiling</t>
        </is>
      </c>
      <c r="AE1" s="11" t="inlineStr">
        <is>
          <t>salient_harmonic_mass_up_to_body_ceiling</t>
        </is>
      </c>
      <c r="AF1" s="11" t="inlineStr">
        <is>
          <t>salient_harmonic_order_count_up_to_density_ceiling_hz</t>
        </is>
      </c>
      <c r="AG1" s="11" t="inlineStr">
        <is>
          <t>expected_harmonic_order_count_up_to_density_ceiling_hz</t>
        </is>
      </c>
      <c r="AH1" s="11" t="inlineStr">
        <is>
          <t>salient_harmonic_coverage_up_to_density_ceiling_hz</t>
        </is>
      </c>
      <c r="AI1" s="11" t="inlineStr">
        <is>
          <t>salient_harmonic_mass_up_to_density_ceiling_hz</t>
        </is>
      </c>
      <c r="AJ1" s="11" t="inlineStr">
        <is>
          <t>salient_odd_harmonic_count_up_to_body_ceiling</t>
        </is>
      </c>
      <c r="AK1" s="11" t="inlineStr">
        <is>
          <t>salient_even_harmonic_count_up_to_body_ceiling</t>
        </is>
      </c>
      <c r="AL1" s="11" t="inlineStr">
        <is>
          <t>odd_even_harmonic_energy_ratio</t>
        </is>
      </c>
      <c r="AM1" s="11" t="inlineStr">
        <is>
          <t>salient_inharmonic_log_bin_count_up_to_body_ceiling</t>
        </is>
      </c>
      <c r="AN1" s="11" t="inlineStr">
        <is>
          <t>salient_subbass_particle_count</t>
        </is>
      </c>
      <c r="AO1" s="11" t="inlineStr">
        <is>
          <t>salient_inharmonic_log_bin_count_up_to_density_ceiling_hz</t>
        </is>
      </c>
      <c r="AP1" s="11" t="inlineStr">
        <is>
          <t>salient_subbass_particle_count_up_to_density_ceiling_hz</t>
        </is>
      </c>
      <c r="AQ1" s="11" t="inlineStr">
        <is>
          <t>final_note_density_count_based</t>
        </is>
      </c>
      <c r="AR1" s="11" t="inlineStr">
        <is>
          <t>final_note_density_salience_weighted</t>
        </is>
      </c>
      <c r="AS1" s="11" t="inlineStr">
        <is>
          <t>final_note_density_salience_weighted_norm_for_chart</t>
        </is>
      </c>
      <c r="AT1" s="13" t="inlineStr">
        <is>
          <t>note_density_final</t>
        </is>
      </c>
      <c r="AU1" s="14" t="inlineStr">
        <is>
          <t>EWSD_score_total</t>
        </is>
      </c>
      <c r="AV1" s="11" t="inlineStr">
        <is>
          <t>EWSD_score_acoustic_balanced</t>
        </is>
      </c>
      <c r="AW1" s="11" t="inlineStr">
        <is>
          <t>ewsd_primary_analysis_eligible</t>
        </is>
      </c>
      <c r="AX1" s="11" t="inlineStr">
        <is>
          <t>harmonic_density_component</t>
        </is>
      </c>
      <c r="AY1" s="11" t="inlineStr">
        <is>
          <t>inharmonic_density_component</t>
        </is>
      </c>
      <c r="AZ1" s="11" t="inlineStr">
        <is>
          <t>subbass_density_component</t>
        </is>
      </c>
      <c r="BA1" s="11" t="inlineStr">
        <is>
          <t>harmonic_density_weight</t>
        </is>
      </c>
      <c r="BB1" s="11" t="inlineStr">
        <is>
          <t>inharmonic_density_weight</t>
        </is>
      </c>
      <c r="BC1" s="11" t="inlineStr">
        <is>
          <t>subbass_density_weight</t>
        </is>
      </c>
      <c r="BD1" s="11" t="inlineStr">
        <is>
          <t>density_summation_mode</t>
        </is>
      </c>
      <c r="BE1" s="11" t="inlineStr">
        <is>
          <t>density_salience_threshold_db</t>
        </is>
      </c>
      <c r="BF1" s="11" t="inlineStr">
        <is>
          <t>density_frequency_ceiling_hz</t>
        </is>
      </c>
      <c r="BG1" s="11" t="inlineStr">
        <is>
          <t>harmonic_region_occupancy_count</t>
        </is>
      </c>
      <c r="BH1" s="11" t="inlineStr">
        <is>
          <t>harmonic_occupancy_ratio</t>
        </is>
      </c>
      <c r="BI1" s="11" t="inlineStr">
        <is>
          <t>expected_harmonic_slot_count</t>
        </is>
      </c>
      <c r="BJ1" s="11" t="inlineStr">
        <is>
          <t>detected_harmonic_slot_count</t>
        </is>
      </c>
      <c r="BK1" s="11" t="inlineStr">
        <is>
          <t>harmonic_slot_expected_count</t>
        </is>
      </c>
      <c r="BL1" s="11" t="inlineStr">
        <is>
          <t>harmonic_slot_matched_count</t>
        </is>
      </c>
      <c r="BM1" s="11" t="inlineStr">
        <is>
          <t>harmonic_slot_coverage_ratio</t>
        </is>
      </c>
      <c r="BN1" s="11" t="inlineStr">
        <is>
          <t>harmonic_effective_power_density_normalized</t>
        </is>
      </c>
      <c r="BO1" s="11" t="inlineStr">
        <is>
          <t>residual_log_frequency_occupancy</t>
        </is>
      </c>
      <c r="BP1" s="11" t="inlineStr">
        <is>
          <t>core_harmonic_energy_ratio</t>
        </is>
      </c>
      <c r="BQ1" s="11" t="inlineStr">
        <is>
          <t>core_residual_energy_ratio</t>
        </is>
      </c>
      <c r="BR1" s="11" t="inlineStr">
        <is>
          <t>core_subbass_energy_ratio</t>
        </is>
      </c>
      <c r="BS1" s="11" t="inlineStr">
        <is>
          <t>residual_body_contribution_capped</t>
        </is>
      </c>
      <c r="BT1" s="11" t="inlineStr">
        <is>
          <t>component_harmonic_energy_ratio</t>
        </is>
      </c>
      <c r="BU1" s="11" t="inlineStr">
        <is>
          <t>component_inharmonic_energy_ratio</t>
        </is>
      </c>
      <c r="BV1" s="11" t="inlineStr">
        <is>
          <t>component_subbass_energy_ratio</t>
        </is>
      </c>
      <c r="BW1" s="11" t="inlineStr">
        <is>
          <t>Note</t>
        </is>
      </c>
      <c r="BX1" s="11" t="inlineStr">
        <is>
          <t>MIDI</t>
        </is>
      </c>
      <c r="BY1" s="11" t="inlineStr">
        <is>
          <t>Pitch_Class</t>
        </is>
      </c>
      <c r="BZ1" s="11" t="inlineStr">
        <is>
          <t>Octave</t>
        </is>
      </c>
      <c r="CA1" s="11" t="inlineStr">
        <is>
          <t>Register</t>
        </is>
      </c>
      <c r="CB1" s="11" t="inlineStr">
        <is>
          <t>Dynamic</t>
        </is>
      </c>
      <c r="CC1" s="11" t="inlineStr">
        <is>
          <t>f0_nominal_hz</t>
        </is>
      </c>
      <c r="CD1" s="11" t="inlineStr">
        <is>
          <t>f0_final_hz</t>
        </is>
      </c>
      <c r="CE1" s="11" t="inlineStr">
        <is>
          <t>f0_source</t>
        </is>
      </c>
      <c r="CF1" s="11" t="inlineStr">
        <is>
          <t>f0_used_for_harmonic_validation_hz</t>
        </is>
      </c>
      <c r="CG1" s="11" t="inlineStr">
        <is>
          <t>f0_fit_accepted</t>
        </is>
      </c>
      <c r="CH1" s="11" t="inlineStr">
        <is>
          <t>f0_fit_rejection_reason</t>
        </is>
      </c>
      <c r="CI1" s="11" t="inlineStr">
        <is>
          <t>f0_epistemic_status</t>
        </is>
      </c>
      <c r="CJ1" s="11" t="inlineStr">
        <is>
          <t>f0_validation_mode</t>
        </is>
      </c>
      <c r="CK1" s="11" t="inlineStr">
        <is>
          <t>nominal_prior_hz</t>
        </is>
      </c>
      <c r="CL1" s="11" t="inlineStr">
        <is>
          <t>f0_candidate_hz</t>
        </is>
      </c>
      <c r="CM1" s="11" t="inlineStr">
        <is>
          <t>f0_deviation_cents</t>
        </is>
      </c>
      <c r="CN1" s="11" t="inlineStr">
        <is>
          <t>f0_validation_max_hz</t>
        </is>
      </c>
      <c r="CO1" s="11" t="inlineStr">
        <is>
          <t>f0_detuning_cents_from_nominal</t>
        </is>
      </c>
      <c r="CP1" s="11" t="inlineStr">
        <is>
          <t>density_metric_raw</t>
        </is>
      </c>
      <c r="CQ1" s="11" t="inlineStr">
        <is>
          <t>density_body_weighted_sum_body_ceiling</t>
        </is>
      </c>
      <c r="CR1" s="11" t="inlineStr">
        <is>
          <t>harmonic_effective_component_count_body_ceiling</t>
        </is>
      </c>
      <c r="CS1" s="11" t="inlineStr">
        <is>
          <t>normalized_harmonic_richness_body_ceiling</t>
        </is>
      </c>
      <c r="CT1" s="11" t="inlineStr">
        <is>
          <t>body_density_per_expected_harmonic_slot_body_ceiling</t>
        </is>
      </c>
      <c r="CU1" s="11" t="inlineStr">
        <is>
          <t>pitch_normalized_harmonic_component_energy_body_ceiling</t>
        </is>
      </c>
      <c r="CV1" s="11" t="inlineStr">
        <is>
          <t>richness_weighted_body_density_body_ceiling</t>
        </is>
      </c>
      <c r="CW1" s="11" t="inlineStr">
        <is>
          <t>subbass_component_energy_sum_body_ceiling</t>
        </is>
      </c>
      <c r="CX1" s="11" t="inlineStr">
        <is>
          <t>harmonic_body_energy_sum_body_ceiling</t>
        </is>
      </c>
      <c r="CY1" s="11" t="inlineStr">
        <is>
          <t>inharmonic_body_energy_sum_body_ceiling</t>
        </is>
      </c>
      <c r="CZ1" s="11" t="inlineStr">
        <is>
          <t>subbass_rumble_energy_sum</t>
        </is>
      </c>
      <c r="DA1" s="11" t="inlineStr">
        <is>
          <t>density_full_spectrum_weighted_sum_20khz</t>
        </is>
      </c>
      <c r="DB1" s="11" t="inlineStr">
        <is>
          <t>harmonic_full_spectrum_energy_sum_20khz</t>
        </is>
      </c>
      <c r="DC1" s="11" t="inlineStr">
        <is>
          <t>inharmonic_full_spectrum_energy_sum_20khz</t>
        </is>
      </c>
      <c r="DD1" s="11" t="inlineStr">
        <is>
          <t>high_frequency_spectral_activity_sum</t>
        </is>
      </c>
      <c r="DE1" s="11" t="inlineStr">
        <is>
          <t>spectral_extension_index_20khz</t>
        </is>
      </c>
      <c r="DF1" s="11" t="inlineStr">
        <is>
          <t>brightness_or_upper_spectral_activity_index_20khz</t>
        </is>
      </c>
      <c r="DG1" s="11" t="inlineStr">
        <is>
          <t>full_spectrum_harmonic_candidate_count_20khz</t>
        </is>
      </c>
      <c r="DH1" s="11" t="inlineStr">
        <is>
          <t>density_metric_raw_source_sheet</t>
        </is>
      </c>
      <c r="DI1" s="11" t="inlineStr">
        <is>
          <t>energy_weighted_component_density_diagnostic</t>
        </is>
      </c>
      <c r="DJ1" s="11" t="inlineStr">
        <is>
          <t>density_metric_normalized</t>
        </is>
      </c>
      <c r="DK1" s="11" t="inlineStr">
        <is>
          <t>density_log_weighted</t>
        </is>
      </c>
      <c r="DL1" s="11" t="inlineStr">
        <is>
          <t>Total sum</t>
        </is>
      </c>
      <c r="DM1" s="11" t="inlineStr">
        <is>
          <t>note_effective_component_density</t>
        </is>
      </c>
      <c r="DN1" s="11" t="inlineStr">
        <is>
          <t>note_effective_component_density_ci_low</t>
        </is>
      </c>
      <c r="DO1" s="11" t="inlineStr">
        <is>
          <t>note_effective_component_density_ci_high</t>
        </is>
      </c>
      <c r="DP1" s="11" t="inlineStr">
        <is>
          <t>note_effective_component_density_rel_uncertainty</t>
        </is>
      </c>
      <c r="DQ1" s="11" t="inlineStr">
        <is>
          <t>ci_basis_frame_count</t>
        </is>
      </c>
      <c r="DR1" s="11" t="inlineStr">
        <is>
          <t>ci_basis_partial_count</t>
        </is>
      </c>
      <c r="DS1" s="11" t="inlineStr">
        <is>
          <t>ci_basis_frames_insufficient</t>
        </is>
      </c>
      <c r="DT1" s="11" t="inlineStr">
        <is>
          <t>effective_partial_density</t>
        </is>
      </c>
      <c r="DU1" s="11" t="inlineStr">
        <is>
          <t>harmonic_body_density</t>
        </is>
      </c>
      <c r="DV1" s="11" t="inlineStr">
        <is>
          <t>expected_harmonic_slots_up_to_body_ceiling</t>
        </is>
      </c>
      <c r="DW1" s="11" t="inlineStr">
        <is>
          <t>residual_body_contribution</t>
        </is>
      </c>
      <c r="DX1" s="11" t="inlineStr">
        <is>
          <t>note_density_final_ci_low</t>
        </is>
      </c>
      <c r="DY1" s="11" t="inlineStr">
        <is>
          <t>note_density_final_ci_high</t>
        </is>
      </c>
      <c r="DZ1" s="11" t="inlineStr">
        <is>
          <t>note_density_final_rel_uncertainty</t>
        </is>
      </c>
      <c r="EA1" s="11" t="inlineStr">
        <is>
          <t>density_fragile</t>
        </is>
      </c>
      <c r="EB1" s="11" t="inlineStr">
        <is>
          <t>density_perturbation_spread_pct</t>
        </is>
      </c>
      <c r="EC1" s="11" t="inlineStr">
        <is>
          <t>density_effective_ceiling_hz</t>
        </is>
      </c>
      <c r="ED1" s="11" t="inlineStr">
        <is>
          <t>harmonic_body_stop_hz</t>
        </is>
      </c>
      <c r="EE1" s="11" t="inlineStr">
        <is>
          <t>harmonic_body_stop_order</t>
        </is>
      </c>
      <c r="EF1" s="11" t="inlineStr">
        <is>
          <t>validated_harmonics_above_body_stop_count</t>
        </is>
      </c>
      <c r="EG1" s="11" t="inlineStr">
        <is>
          <t>bin_to_f0_ratio</t>
        </is>
      </c>
      <c r="EH1" s="11" t="inlineStr">
        <is>
          <t>low_f0_resolution_warning</t>
        </is>
      </c>
      <c r="EI1" s="11" t="inlineStr">
        <is>
          <t>valid_for_primary_statistics</t>
        </is>
      </c>
      <c r="EJ1" s="11" t="inlineStr">
        <is>
          <t>is_primary_comparable_profile</t>
        </is>
      </c>
      <c r="EK1" s="11" t="inlineStr">
        <is>
          <t>analysis_parameter_profile_id</t>
        </is>
      </c>
      <c r="EL1" s="11" t="inlineStr">
        <is>
          <t>primary_comparable_profile_definition</t>
        </is>
      </c>
      <c r="EM1" s="11" t="inlineStr">
        <is>
          <t>density_confidence</t>
        </is>
      </c>
      <c r="EN1" s="11" t="inlineStr">
        <is>
          <t>f0_confidence</t>
        </is>
      </c>
      <c r="EO1" s="11" t="inlineStr">
        <is>
          <t>harmonic_assignment_confidence</t>
        </is>
      </c>
      <c r="EP1" s="11" t="inlineStr">
        <is>
          <t>spectral_stability_confidence</t>
        </is>
      </c>
      <c r="EQ1" s="11" t="inlineStr">
        <is>
          <t>qc_status</t>
        </is>
      </c>
      <c r="ER1" s="11" t="inlineStr">
        <is>
          <t>outlier_ratio_max_to_mean</t>
        </is>
      </c>
      <c r="ES1" s="11" t="inlineStr">
        <is>
          <t>outlier_policy_applied</t>
        </is>
      </c>
      <c r="ET1" s="11" t="inlineStr">
        <is>
          <t>density_winsorized</t>
        </is>
      </c>
      <c r="EU1" s="11" t="inlineStr">
        <is>
          <t>density_median_based</t>
        </is>
      </c>
      <c r="EV1" s="11" t="inlineStr">
        <is>
          <t>density_trimmed_mean</t>
        </is>
      </c>
      <c r="EW1" s="11" t="inlineStr">
        <is>
          <t>sethares_status</t>
        </is>
      </c>
      <c r="EX1" s="11" t="inlineStr">
        <is>
          <t>sethares_value_status</t>
        </is>
      </c>
      <c r="EY1" s="11" t="inlineStr">
        <is>
          <t>sethares_curve_status</t>
        </is>
      </c>
      <c r="EZ1" s="11" t="inlineStr">
        <is>
          <t>sethares_plot_status</t>
        </is>
      </c>
      <c r="FA1" s="11" t="inlineStr">
        <is>
          <t>body_density_frequency_ceiling_hz</t>
        </is>
      </c>
      <c r="FB1" s="11" t="inlineStr">
        <is>
          <t>full_spectrum_frequency_ceiling_hz</t>
        </is>
      </c>
      <c r="FC1" s="11" t="inlineStr">
        <is>
          <t>residual_energy_ratio</t>
        </is>
      </c>
      <c r="FD1" s="11" t="inlineStr">
        <is>
          <t>spectral_entropy</t>
        </is>
      </c>
      <c r="FE1" s="11" t="inlineStr">
        <is>
          <t>harmonic_density_sum</t>
        </is>
      </c>
      <c r="FF1" s="11" t="inlineStr">
        <is>
          <t>inharmonic_density_sum</t>
        </is>
      </c>
      <c r="FG1" s="11" t="inlineStr">
        <is>
          <t>subbass_density_sum</t>
        </is>
      </c>
      <c r="FH1" s="11" t="inlineStr">
        <is>
          <t>weighted_harmonic_density_contribution</t>
        </is>
      </c>
      <c r="FI1" s="11" t="inlineStr">
        <is>
          <t>weighted_inharmonic_density_contribution</t>
        </is>
      </c>
      <c r="FJ1" s="11" t="inlineStr">
        <is>
          <t>weighted_subbass_density_contribution</t>
        </is>
      </c>
      <c r="FK1" s="11" t="inlineStr">
        <is>
          <t>harmonic_energy_sum</t>
        </is>
      </c>
      <c r="FL1" s="11" t="inlineStr">
        <is>
          <t>inharmonic_energy_sum</t>
        </is>
      </c>
      <c r="FM1" s="11" t="inlineStr">
        <is>
          <t>subbass_energy_sum</t>
        </is>
      </c>
      <c r="FN1" s="11" t="inlineStr">
        <is>
          <t>total_component_energy</t>
        </is>
      </c>
      <c r="FO1" s="11" t="inlineStr">
        <is>
          <t>harmonic_energy_ratio</t>
        </is>
      </c>
      <c r="FP1" s="11" t="inlineStr">
        <is>
          <t>inharmonic_energy_ratio</t>
        </is>
      </c>
      <c r="FQ1" s="11" t="inlineStr">
        <is>
          <t>subbass_energy_ratio</t>
        </is>
      </c>
      <c r="FR1" s="11" t="inlineStr">
        <is>
          <t>harmonic_alignment_status</t>
        </is>
      </c>
      <c r="FS1" s="11" t="inlineStr">
        <is>
          <t>harmonic_alignment_coverage_ratio</t>
        </is>
      </c>
      <c r="FT1" s="11" t="inlineStr">
        <is>
          <t>mean_abs_harmonic_deviation_cents</t>
        </is>
      </c>
      <c r="FU1" s="11" t="inlineStr">
        <is>
          <t>max_abs_harmonic_deviation_cents</t>
        </is>
      </c>
      <c r="FV1" s="11" t="inlineStr">
        <is>
          <t>debug_counts_invariant_status</t>
        </is>
      </c>
      <c r="FW1" s="11" t="inlineStr">
        <is>
          <t>harmonic_amplitude_sum</t>
        </is>
      </c>
      <c r="FX1" s="11" t="inlineStr">
        <is>
          <t>inharmonic_amplitude_sum</t>
        </is>
      </c>
      <c r="FY1" s="11" t="inlineStr">
        <is>
          <t>subbass_amplitude_sum</t>
        </is>
      </c>
      <c r="FZ1" s="11" t="inlineStr">
        <is>
          <t>density_metric_raw_norm_for_chart</t>
        </is>
      </c>
      <c r="GA1" s="11" t="inlineStr">
        <is>
          <t>density_weighted_sum_norm_for_chart</t>
        </is>
      </c>
      <c r="GB1" s="11" t="inlineStr">
        <is>
          <t>Total sum_norm_for_chart</t>
        </is>
      </c>
      <c r="GC1" s="11" t="inlineStr">
        <is>
          <t>note_effective_component_density_norm_for_chart</t>
        </is>
      </c>
      <c r="GD1" s="11" t="inlineStr">
        <is>
          <t>effective_partial_density_norm_for_chart</t>
        </is>
      </c>
      <c r="GE1" s="11" t="inlineStr">
        <is>
          <t>body_weighted_effective_density_norm_for_chart</t>
        </is>
      </c>
      <c r="GF1" s="11" t="inlineStr">
        <is>
          <t>low_mid_energy_ratio_norm_for_chart</t>
        </is>
      </c>
      <c r="GG1" s="11" t="inlineStr">
        <is>
          <t>harmonic_body_density_normalized_norm_for_chart</t>
        </is>
      </c>
      <c r="GH1" s="11" t="inlineStr">
        <is>
          <t>residual_body_contribution_capped_norm_for_chart</t>
        </is>
      </c>
      <c r="GI1" s="11" t="inlineStr">
        <is>
          <t>spectral_body_thickness_index_norm_for_chart</t>
        </is>
      </c>
      <c r="GJ1" s="11" t="inlineStr">
        <is>
          <t>harmonic_occupancy_ratio_norm_for_chart</t>
        </is>
      </c>
      <c r="GK1" s="11" t="inlineStr">
        <is>
          <t>harmonic_slot_coverage_ratio_norm_for_chart</t>
        </is>
      </c>
      <c r="GL1" s="11" t="inlineStr">
        <is>
          <t>residual_log_frequency_occupancy_norm_for_chart</t>
        </is>
      </c>
      <c r="GM1" s="11" t="inlineStr">
        <is>
          <t>core_residual_energy_ratio_norm_for_chart</t>
        </is>
      </c>
      <c r="GN1" s="11" t="inlineStr">
        <is>
          <t>residual_energy_ratio_norm_for_chart</t>
        </is>
      </c>
      <c r="GO1" s="11" t="inlineStr">
        <is>
          <t>spectral_entropy_norm_for_chart</t>
        </is>
      </c>
      <c r="GP1" s="11" t="inlineStr">
        <is>
          <t>final_note_density_count_based_norm_for_chart</t>
        </is>
      </c>
      <c r="GQ1" s="11" t="inlineStr">
        <is>
          <t>richness_weighted_body_density</t>
        </is>
      </c>
      <c r="GR1" s="11" t="inlineStr">
        <is>
          <t>density_weighted_sum_legacy_compiled_semantics</t>
        </is>
      </c>
      <c r="GS1" s="11" t="inlineStr">
        <is>
          <t>ewsd_mode</t>
        </is>
      </c>
      <c r="GT1" s="11" t="inlineStr">
        <is>
          <t>ewsd_his_ratio_source</t>
        </is>
      </c>
      <c r="GU1" s="11" t="inlineStr">
        <is>
          <t>ewsd_H_ratio</t>
        </is>
      </c>
      <c r="GV1" s="11" t="inlineStr">
        <is>
          <t>ewsd_I_ratio</t>
        </is>
      </c>
      <c r="GW1" s="11" t="inlineStr">
        <is>
          <t>ewsd_S_noise_ratio</t>
        </is>
      </c>
      <c r="GX1" s="11" t="inlineStr">
        <is>
          <t>ewsd_weight_function_canonical</t>
        </is>
      </c>
      <c r="GY1" s="11" t="inlineStr">
        <is>
          <t>ewsd_acoustic_balance_alpha</t>
        </is>
      </c>
      <c r="GZ1" s="11" t="inlineStr">
        <is>
          <t>ewsd_stage3_version</t>
        </is>
      </c>
      <c r="HA1" s="11" t="inlineStr">
        <is>
          <t>EWSD_score_total_ci_low</t>
        </is>
      </c>
      <c r="HB1" s="11" t="inlineStr">
        <is>
          <t>EWSD_score_total_ci_high</t>
        </is>
      </c>
      <c r="HC1" s="11" t="inlineStr">
        <is>
          <t>EWSD_score_total_rel_uncertainty</t>
        </is>
      </c>
      <c r="HD1" s="11" t="inlineStr">
        <is>
          <t>EWSD_score_acoustic_balanced_ci_low</t>
        </is>
      </c>
      <c r="HE1" s="11" t="inlineStr">
        <is>
          <t>EWSD_score_acoustic_balanced_ci_high</t>
        </is>
      </c>
      <c r="HF1" s="11" t="inlineStr">
        <is>
          <t>EWSD_score_acoustic_balanced_rel_uncertainty</t>
        </is>
      </c>
      <c r="HG1" s="11" t="inlineStr">
        <is>
          <t>ewsd_uncertainty_sources</t>
        </is>
      </c>
      <c r="HH1" s="11" t="inlineStr">
        <is>
          <t>ewsd_merge_status</t>
        </is>
      </c>
      <c r="HI1" s="11" t="inlineStr">
        <is>
          <t>arithmetic_validation_status</t>
        </is>
      </c>
      <c r="HJ1" s="11" t="inlineStr">
        <is>
          <t>acoustic_validation_status</t>
        </is>
      </c>
    </row>
    <row r="2">
      <c r="A2" t="inlineStr">
        <is>
          <t>incomplete_inference</t>
        </is>
      </c>
      <c r="B2" t="inlineStr">
        <is>
          <t>missing_instrument_technique</t>
        </is>
      </c>
      <c r="C2" t="inlineStr">
        <is>
          <t>prior_constrained_harmonic_fit</t>
        </is>
      </c>
      <c r="D2" t="inlineStr">
        <is>
          <t>IOWA_flt_pp.B3_SustainStable/B3/component_amplitude_mass_pie.png</t>
        </is>
      </c>
      <c r="E2" t="inlineStr">
        <is>
          <t>IOWA_flt_pp.B3_SustainStable/B3/component_energy_ratio_pie.png</t>
        </is>
      </c>
      <c r="F2" s="15" t="n">
        <v>246.2889292393006</v>
      </c>
      <c r="G2" s="15" t="inlineStr">
        <is>
          <t>prior_constrained_harmonic_fit</t>
        </is>
      </c>
      <c r="H2" s="15" t="inlineStr">
        <is>
          <t>fit_accepted_acoustically_verified</t>
        </is>
      </c>
      <c r="I2" s="16" t="n">
        <v>141.2478705201724</v>
      </c>
      <c r="J2" t="inlineStr">
        <is>
          <t>richness_weighted_body_density_body_ceiling</t>
        </is>
      </c>
      <c r="K2" t="inlineStr">
        <is>
          <t>research_body_ceiling_richness_metric</t>
        </is>
      </c>
      <c r="L2" s="15" t="n">
        <v>42108.03460885899</v>
      </c>
      <c r="M2" s="15" t="n">
        <v>42108.03460885899</v>
      </c>
      <c r="N2" s="15" t="n">
        <v>235.2329555135852</v>
      </c>
      <c r="O2" s="15" t="n">
        <v>458.8178569885995</v>
      </c>
      <c r="P2" s="15" t="n">
        <v>-2.976654347039576</v>
      </c>
      <c r="Q2" s="15" t="n">
        <v>10</v>
      </c>
      <c r="R2" s="15" t="n">
        <v>38</v>
      </c>
      <c r="S2" s="15" t="n">
        <v>10527.07516374948</v>
      </c>
      <c r="T2" s="15" t="n">
        <v>82</v>
      </c>
      <c r="U2" s="15" t="n">
        <v>0.07568657739256884</v>
      </c>
      <c r="V2" s="15" t="n">
        <v>15.02688677696401</v>
      </c>
      <c r="W2" s="15" t="n">
        <v>0.9272662162283466</v>
      </c>
      <c r="X2" s="15" t="n">
        <v>0.06810793889144837</v>
      </c>
      <c r="Y2" s="15" t="n">
        <v>14</v>
      </c>
      <c r="Z2" s="15" t="n">
        <v>81</v>
      </c>
      <c r="AA2" s="15" t="n">
        <v>0.1728395061728395</v>
      </c>
      <c r="AB2" s="15" t="n">
        <v>81</v>
      </c>
      <c r="AC2" s="15" t="n">
        <v>14</v>
      </c>
      <c r="AD2" s="15" t="n">
        <v>0.1728395061728395</v>
      </c>
      <c r="AE2" s="15" t="n">
        <v>382.9778198759451</v>
      </c>
      <c r="AF2" s="15" t="n">
        <v>14</v>
      </c>
      <c r="AG2" s="15" t="n">
        <v>81</v>
      </c>
      <c r="AH2" s="15" t="n">
        <v>0.1728395061728395</v>
      </c>
      <c r="AI2" s="15" t="n">
        <v>382.9778198759451</v>
      </c>
      <c r="AJ2" s="15" t="n">
        <v>7</v>
      </c>
      <c r="AK2" s="15" t="n">
        <v>7</v>
      </c>
      <c r="AL2" s="15" t="n">
        <v>420.4181916305448</v>
      </c>
      <c r="AM2" s="15" t="n">
        <v>48</v>
      </c>
      <c r="AN2" s="15" t="n">
        <v>0</v>
      </c>
      <c r="AO2" s="15" t="n">
        <v>48</v>
      </c>
      <c r="AP2" s="15" t="n">
        <v>0</v>
      </c>
      <c r="AQ2" s="15" t="n">
        <v>33.17453241381957</v>
      </c>
      <c r="AR2" s="15" t="n">
        <v>17.61984101569025</v>
      </c>
      <c r="AS2" s="15" t="n">
        <v>0.4875736512965421</v>
      </c>
      <c r="AT2" s="17" t="n">
        <v>2.436362141939621</v>
      </c>
      <c r="AU2" s="18" t="n">
        <v>12.13055704849139</v>
      </c>
      <c r="AV2" s="15" t="n">
        <v>13.28578560371018</v>
      </c>
      <c r="AW2" s="15" t="b">
        <v>1</v>
      </c>
      <c r="AX2" s="15" t="n">
        <v>8.344963203541592</v>
      </c>
      <c r="AY2" s="15" t="n">
        <v>24.79104067794075</v>
      </c>
      <c r="AZ2" s="15" t="n">
        <v>0</v>
      </c>
      <c r="BA2" s="15" t="n">
        <v>1</v>
      </c>
      <c r="BB2" s="15" t="n">
        <v>0.5</v>
      </c>
      <c r="BC2" s="15" t="n">
        <v>0.25</v>
      </c>
      <c r="BD2" s="15" t="inlineStr">
        <is>
          <t>his_note_adaptive</t>
        </is>
      </c>
      <c r="BE2" s="15" t="n">
        <v>-90</v>
      </c>
      <c r="BF2" s="15" t="n">
        <v>20000</v>
      </c>
      <c r="BG2" s="15" t="n">
        <v>14</v>
      </c>
      <c r="BH2" s="15" t="n">
        <v>0.1728395061728395</v>
      </c>
      <c r="BI2" s="15" t="n">
        <v>81</v>
      </c>
      <c r="BJ2" s="15" t="n">
        <v>14</v>
      </c>
      <c r="BK2" s="15" t="n">
        <v>81</v>
      </c>
      <c r="BL2" s="15" t="n">
        <v>76</v>
      </c>
      <c r="BM2" s="15" t="n">
        <v>0.9382716049382716</v>
      </c>
      <c r="BN2" s="15" t="n">
        <v>0.02918904490054977</v>
      </c>
      <c r="BO2" s="15" t="n">
        <v>0.4</v>
      </c>
      <c r="BP2" s="19" t="n">
        <v>0.7579924423454435</v>
      </c>
      <c r="BQ2" s="19" t="n">
        <v>0.2420075576545564</v>
      </c>
      <c r="BR2" s="19" t="n">
        <v>0</v>
      </c>
      <c r="BS2" s="15" t="n">
        <v>0.1277097470289896</v>
      </c>
      <c r="BT2" s="19" t="n">
        <v>1</v>
      </c>
      <c r="BU2" s="19" t="n">
        <v>0</v>
      </c>
      <c r="BV2" s="19" t="n">
        <v>0</v>
      </c>
      <c r="BW2" t="inlineStr">
        <is>
          <t>B3</t>
        </is>
      </c>
      <c r="BX2" t="n">
        <v>59</v>
      </c>
      <c r="BY2" t="inlineStr">
        <is>
          <t>B</t>
        </is>
      </c>
      <c r="BZ2" t="n">
        <v>3</v>
      </c>
      <c r="CA2" t="inlineStr">
        <is>
          <t>Middle</t>
        </is>
      </c>
      <c r="CB2" t="inlineStr">
        <is>
          <t>pp</t>
        </is>
      </c>
      <c r="CC2" s="15" t="n">
        <v>246.941650628062</v>
      </c>
      <c r="CD2" s="15" t="n">
        <v>246.2889292393006</v>
      </c>
      <c r="CE2" t="inlineStr">
        <is>
          <t>prior_constrained_harmonic_fit</t>
        </is>
      </c>
      <c r="CF2" t="n">
        <v>246.2889292393006</v>
      </c>
      <c r="CG2" s="15" t="n">
        <v>1</v>
      </c>
      <c r="CH2" t="n">
        <v/>
      </c>
      <c r="CI2" t="inlineStr">
        <is>
          <t>free_fit_acoustically_verified</t>
        </is>
      </c>
      <c r="CJ2" s="15" t="inlineStr">
        <is>
          <t>free_f0_fit</t>
        </is>
      </c>
      <c r="CK2" s="15" t="n">
        <v>246.941650628062</v>
      </c>
      <c r="CL2" s="15" t="n">
        <v>246.2889292393006</v>
      </c>
      <c r="CM2" s="15" t="n">
        <v>-4.582092832683948</v>
      </c>
      <c r="CN2" s="15" t="n">
        <v>20000</v>
      </c>
      <c r="CO2" s="15" t="n">
        <v>-4.582092832683948</v>
      </c>
      <c r="CP2" s="15" t="n">
        <v>2.159812178122128</v>
      </c>
      <c r="CQ2" s="15" t="n">
        <v>42108.03460885899</v>
      </c>
      <c r="CR2" t="n">
        <v>1.086830826317113</v>
      </c>
      <c r="CS2" t="n">
        <v>0.0134176645224335</v>
      </c>
      <c r="CT2" t="n">
        <v>129.963069780429</v>
      </c>
      <c r="CU2" t="n">
        <v>129.963069780429</v>
      </c>
      <c r="CV2" t="n">
        <v>141.2478705201724</v>
      </c>
      <c r="CW2" t="n">
        <v>458.8178569885995</v>
      </c>
      <c r="CX2" s="15" t="n">
        <v>42108.03460885899</v>
      </c>
      <c r="CY2" s="15" t="n">
        <v>235.2329555135852</v>
      </c>
      <c r="CZ2" s="15" t="n">
        <v>458.8178569885995</v>
      </c>
      <c r="DA2" s="15" t="n">
        <v>2.436362141939621</v>
      </c>
      <c r="DB2" s="15" t="n">
        <v>2.436362141939621</v>
      </c>
      <c r="DC2" s="15" t="n">
        <v>1.731756217156635</v>
      </c>
      <c r="DD2" s="15" t="n">
        <v>0</v>
      </c>
      <c r="DE2" s="15" t="n">
        <v>5.785979242610012e-05</v>
      </c>
      <c r="DF2" s="15" t="n">
        <v>0</v>
      </c>
      <c r="DG2" s="15" t="n">
        <v>10</v>
      </c>
      <c r="DH2" s="15" t="inlineStr">
        <is>
          <t>Density_Metrics</t>
        </is>
      </c>
      <c r="DI2" s="15" t="n">
        <v>2.159812178122128</v>
      </c>
      <c r="DJ2" t="n">
        <v>0.9750322153065082</v>
      </c>
      <c r="DK2" s="15" t="n">
        <v>0.5360989258106751</v>
      </c>
      <c r="DL2" s="15" t="n">
        <v>5.951988859792102</v>
      </c>
      <c r="DM2" s="15" t="n">
        <v>1.122924824383129</v>
      </c>
      <c r="DN2" s="15" t="n">
        <v>1.035912914797962</v>
      </c>
      <c r="DO2" s="15" t="n">
        <v>18.56715677219142</v>
      </c>
      <c r="DP2" s="15" t="n">
        <v>4.275540875224191</v>
      </c>
      <c r="DQ2" s="15" t="n">
        <v>6.375</v>
      </c>
      <c r="DR2" s="15" t="n">
        <v>31</v>
      </c>
      <c r="DS2" s="15" t="b">
        <v>1</v>
      </c>
      <c r="DT2" s="15" t="n">
        <v>1.094086880536073</v>
      </c>
      <c r="DU2" s="15" t="n">
        <v>5.516743050207317</v>
      </c>
      <c r="DV2" t="n">
        <v>81</v>
      </c>
      <c r="DW2" s="15" t="n">
        <v>0.1277097470289896</v>
      </c>
      <c r="DX2" s="15" t="n">
        <v>1.41164677792938</v>
      </c>
      <c r="DY2" s="15" t="n">
        <v>2.538665944232409</v>
      </c>
      <c r="DZ2" s="15" t="n">
        <v>0.1632299218842495</v>
      </c>
      <c r="EA2" s="15" t="b">
        <v>1</v>
      </c>
      <c r="EB2" s="15" t="n">
        <v>0.1121809404542927</v>
      </c>
      <c r="EC2" s="15" t="n">
        <v>20000</v>
      </c>
      <c r="ED2" s="15" t="n">
        <v>2955.467150871608</v>
      </c>
      <c r="EE2" s="15" t="n">
        <v>12</v>
      </c>
      <c r="EF2" s="15" t="n">
        <v>0</v>
      </c>
      <c r="EG2" s="15" t="n">
        <v>0.0435997796852683</v>
      </c>
      <c r="EH2" s="15" t="b">
        <v>0</v>
      </c>
      <c r="EI2" s="15" t="b">
        <v>1</v>
      </c>
      <c r="EJ2" s="15" t="b">
        <v>0</v>
      </c>
      <c r="EK2" s="15" t="inlineStr">
        <is>
          <t>wf=log|dst=-90.0|ceil=20000.0|fft=adaptive_tier</t>
        </is>
      </c>
      <c r="EL2" s="15" t="inlineStr">
        <is>
          <t>wf=log|dst=runtime_configured|ceil=runtime_configured|fft=fixed</t>
        </is>
      </c>
      <c r="EM2" s="15" t="n">
        <v>0.534034592740759</v>
      </c>
      <c r="EN2" s="15" t="n">
        <v>0.9427224292001399</v>
      </c>
      <c r="EO2" s="15" t="n">
        <v>0.1219512195121951</v>
      </c>
      <c r="EP2" s="15" t="n">
        <v>0.335632863857139</v>
      </c>
      <c r="EQ2" s="15" t="inlineStr">
        <is>
          <t>warn:power_outlier_detected</t>
        </is>
      </c>
      <c r="ER2" s="15" t="n">
        <v>943.7751847566471</v>
      </c>
      <c r="ES2" s="15" t="inlineStr">
        <is>
          <t>winsorize_p95_for_robust_diagnostics</t>
        </is>
      </c>
      <c r="ET2" s="15" t="n">
        <v>0.1097802316984356</v>
      </c>
      <c r="EU2" s="15" t="n">
        <v>0.0341807893651653</v>
      </c>
      <c r="EV2" s="15" t="n">
        <v>0.04026141827177697</v>
      </c>
      <c r="EW2" t="inlineStr">
        <is>
          <t>computed</t>
        </is>
      </c>
      <c r="EX2" s="15" t="inlineStr">
        <is>
          <t>computed</t>
        </is>
      </c>
      <c r="EY2" s="15" t="inlineStr">
        <is>
          <t>computed</t>
        </is>
      </c>
      <c r="EZ2" s="15" t="inlineStr">
        <is>
          <t>available_from_curve</t>
        </is>
      </c>
      <c r="FA2" s="15" t="n">
        <v>20000</v>
      </c>
      <c r="FB2" s="15" t="n">
        <v>20000</v>
      </c>
      <c r="FC2" s="15" t="n">
        <v>0.2420075576545564</v>
      </c>
      <c r="FD2" s="15" t="n">
        <v>0.09149594204021531</v>
      </c>
      <c r="FE2" s="15" t="n">
        <v>2.436362141939621</v>
      </c>
      <c r="FF2" s="15" t="n">
        <v>1.731756217156635</v>
      </c>
      <c r="FG2" s="15" t="n">
        <v>1.783870500695847</v>
      </c>
      <c r="FH2" s="15" t="n">
        <v>1.469658569169178</v>
      </c>
      <c r="FI2" s="15" t="n">
        <v>0.5866190801471248</v>
      </c>
      <c r="FJ2" s="15" t="n">
        <v>0.1035345288058248</v>
      </c>
      <c r="FK2" s="15" t="n">
        <v>10527.00865221475</v>
      </c>
      <c r="FL2" s="15" t="n">
        <v>58.8082388783963</v>
      </c>
      <c r="FM2" s="15" t="n">
        <v>114.7044642471499</v>
      </c>
      <c r="FN2" s="15" t="n">
        <v>0.004861205506848579</v>
      </c>
      <c r="FO2" t="n">
        <v>1</v>
      </c>
      <c r="FP2" t="n">
        <v>0</v>
      </c>
      <c r="FQ2" t="n">
        <v>0</v>
      </c>
      <c r="FR2" t="inlineStr">
        <is>
          <t>excellent</t>
        </is>
      </c>
      <c r="FS2" s="19" t="n">
        <v>0.9382716049382716</v>
      </c>
      <c r="FT2" s="15" t="n">
        <v>6.268644865125835</v>
      </c>
      <c r="FU2" s="15" t="n">
        <v>17.75733904032261</v>
      </c>
      <c r="FV2" t="inlineStr">
        <is>
          <t>passed</t>
        </is>
      </c>
      <c r="FW2" t="n">
        <v>136.0627162216749</v>
      </c>
      <c r="FX2" t="n">
        <v>26.46039317997371</v>
      </c>
      <c r="FY2" t="n">
        <v>29.89768463454104</v>
      </c>
      <c r="FZ2" t="n">
        <v>0.9622736135954327</v>
      </c>
      <c r="GA2" t="n">
        <v>0.3624162779343186</v>
      </c>
      <c r="GB2" t="n">
        <v>0.9936277898627955</v>
      </c>
      <c r="GC2" t="n">
        <v>0.0401189536181393</v>
      </c>
      <c r="GD2" t="n">
        <v>0.09818034948423275</v>
      </c>
      <c r="GE2" t="n">
        <v>0.384762147108748</v>
      </c>
      <c r="GF2" t="n">
        <v>0.8476115361519286</v>
      </c>
      <c r="GG2" t="n">
        <v>0</v>
      </c>
      <c r="GH2" t="n">
        <v>0.3870119604060429</v>
      </c>
      <c r="GI2" t="n">
        <v>0.2732596139795989</v>
      </c>
      <c r="GJ2" t="n">
        <v>0.02687000726216412</v>
      </c>
      <c r="GK2" t="n">
        <v>0.6913580246913577</v>
      </c>
      <c r="GL2" t="n">
        <v>0.6744186046511629</v>
      </c>
      <c r="GM2" t="n">
        <v>0.09556624051692889</v>
      </c>
      <c r="GN2" t="n">
        <v>0.09556624051692889</v>
      </c>
      <c r="GO2" t="n">
        <v>0.2268119945037381</v>
      </c>
      <c r="GP2" t="n">
        <v>0.5638869771194959</v>
      </c>
      <c r="GQ2" t="n">
        <v>141.2478705201724</v>
      </c>
      <c r="GR2" t="inlineStr">
        <is>
          <t>compiled workbook density_weighted_sum = density_component_ratio_weighted_sum (per-note component ratios); research density_weighted_sum maps body-ceiling richness</t>
        </is>
      </c>
      <c r="GS2" s="15" t="inlineStr">
        <is>
          <t>individual_exact</t>
        </is>
      </c>
      <c r="GT2" s="15" t="inlineStr">
        <is>
          <t>density_weight</t>
        </is>
      </c>
      <c r="GU2" s="15" t="n">
        <v>0.4360431642994245</v>
      </c>
      <c r="GV2" s="15" t="n">
        <v>0.5639568357005755</v>
      </c>
      <c r="GW2" s="15" t="n">
        <v>0</v>
      </c>
      <c r="GX2" s="15" t="inlineStr">
        <is>
          <t>log</t>
        </is>
      </c>
      <c r="GY2" s="15" t="n">
        <v>0.5</v>
      </c>
      <c r="GZ2" s="15" t="inlineStr">
        <is>
          <t>EWSD-R v18.1</t>
        </is>
      </c>
      <c r="HA2" s="15" t="n">
        <v>6.193031396191749</v>
      </c>
      <c r="HB2" s="15" t="n">
        <v>16.73360133056453</v>
      </c>
      <c r="HC2" s="15" t="n">
        <v>0.2339080246815066</v>
      </c>
      <c r="HD2" s="15" t="n">
        <v>6.362226628920221</v>
      </c>
      <c r="HE2" s="15" t="n">
        <v>19.79326229587526</v>
      </c>
      <c r="HF2" s="15" t="n">
        <v>0.2666233040716404</v>
      </c>
      <c r="HG2" s="15" t="inlineStr">
        <is>
          <t>partials+ratios</t>
        </is>
      </c>
      <c r="HH2" s="15" t="inlineStr">
        <is>
          <t>merged_individual_exact</t>
        </is>
      </c>
      <c r="HI2" s="15" t="inlineStr">
        <is>
          <t>passed</t>
        </is>
      </c>
      <c r="HJ2" s="15" t="inlineStr">
        <is>
          <t>passed</t>
        </is>
      </c>
    </row>
    <row r="3">
      <c r="A3" t="inlineStr">
        <is>
          <t>incomplete_inference</t>
        </is>
      </c>
      <c r="B3" t="inlineStr">
        <is>
          <t>missing_instrument_technique</t>
        </is>
      </c>
      <c r="C3" t="inlineStr">
        <is>
          <t>prior_constrained_harmonic_fit</t>
        </is>
      </c>
      <c r="D3" t="inlineStr">
        <is>
          <t>IOWA_flt_pp.C4_SustainStable/C4/component_amplitude_mass_pie.png</t>
        </is>
      </c>
      <c r="E3" t="inlineStr">
        <is>
          <t>IOWA_flt_pp.C4_SustainStable/C4/component_energy_ratio_pie.png</t>
        </is>
      </c>
      <c r="F3" s="15" t="n">
        <v>261.5832572353145</v>
      </c>
      <c r="G3" s="15" t="inlineStr">
        <is>
          <t>prior_constrained_harmonic_fit</t>
        </is>
      </c>
      <c r="H3" s="15" t="inlineStr">
        <is>
          <t>fit_accepted_acoustically_verified</t>
        </is>
      </c>
      <c r="I3" s="16" t="n">
        <v>148.334068963212</v>
      </c>
      <c r="J3" t="inlineStr">
        <is>
          <t>richness_weighted_body_density_body_ceiling</t>
        </is>
      </c>
      <c r="K3" t="inlineStr">
        <is>
          <t>research_body_ceiling_richness_metric</t>
        </is>
      </c>
      <c r="L3" s="15" t="n">
        <v>42358.4380912796</v>
      </c>
      <c r="M3" s="15" t="n">
        <v>42358.4380912796</v>
      </c>
      <c r="N3" s="15" t="n">
        <v>117.3989933031131</v>
      </c>
      <c r="O3" s="15" t="n">
        <v>319.6461266502374</v>
      </c>
      <c r="P3" s="15" t="n">
        <v>-3.817533015534556</v>
      </c>
      <c r="Q3" s="15" t="n">
        <v>11</v>
      </c>
      <c r="R3" s="15" t="n">
        <v>49</v>
      </c>
      <c r="S3" s="15" t="n">
        <v>10589.66016922384</v>
      </c>
      <c r="T3" s="15" t="n">
        <v>77</v>
      </c>
      <c r="U3" s="15" t="n">
        <v>0.06557713205416027</v>
      </c>
      <c r="V3" s="15" t="n">
        <v>14.01334951362946</v>
      </c>
      <c r="W3" s="15" t="n">
        <v>0.9513594270318719</v>
      </c>
      <c r="X3" s="15" t="n">
        <v>0.07089707293676342</v>
      </c>
      <c r="Y3" s="15" t="n">
        <v>12</v>
      </c>
      <c r="Z3" s="15" t="n">
        <v>76</v>
      </c>
      <c r="AA3" s="15" t="n">
        <v>0.1578947368421053</v>
      </c>
      <c r="AB3" s="15" t="n">
        <v>76</v>
      </c>
      <c r="AC3" s="15" t="n">
        <v>12</v>
      </c>
      <c r="AD3" s="15" t="n">
        <v>0.1578947368421053</v>
      </c>
      <c r="AE3" s="15" t="n">
        <v>380.8816888394125</v>
      </c>
      <c r="AF3" s="15" t="n">
        <v>12</v>
      </c>
      <c r="AG3" s="15" t="n">
        <v>76</v>
      </c>
      <c r="AH3" s="15" t="n">
        <v>0.1578947368421053</v>
      </c>
      <c r="AI3" s="15" t="n">
        <v>380.8816888394125</v>
      </c>
      <c r="AJ3" s="15" t="n">
        <v>6</v>
      </c>
      <c r="AK3" s="15" t="n">
        <v>6</v>
      </c>
      <c r="AL3" s="15" t="n">
        <v>147.9492778217917</v>
      </c>
      <c r="AM3" s="15" t="n">
        <v>46</v>
      </c>
      <c r="AN3" s="15" t="n">
        <v>0</v>
      </c>
      <c r="AO3" s="15" t="n">
        <v>46</v>
      </c>
      <c r="AP3" s="15" t="n">
        <v>0</v>
      </c>
      <c r="AQ3" s="15" t="n">
        <v>32.1011733343849</v>
      </c>
      <c r="AR3" s="15" t="n">
        <v>16.16774624141337</v>
      </c>
      <c r="AS3" s="15" t="n">
        <v>0.4321960022507578</v>
      </c>
      <c r="AT3" s="17" t="n">
        <v>2.437362501781843</v>
      </c>
      <c r="AU3" s="18" t="n">
        <v>8.714855275728841</v>
      </c>
      <c r="AV3" s="15" t="n">
        <v>9.943639854450252</v>
      </c>
      <c r="AW3" s="15" t="b">
        <v>1</v>
      </c>
      <c r="AX3" s="15" t="n">
        <v>7.451674176550473</v>
      </c>
      <c r="AY3" s="15" t="n">
        <v>22.19441805898895</v>
      </c>
      <c r="AZ3" s="15" t="n">
        <v>0</v>
      </c>
      <c r="BA3" s="15" t="n">
        <v>1</v>
      </c>
      <c r="BB3" s="15" t="n">
        <v>0.5</v>
      </c>
      <c r="BC3" s="15" t="n">
        <v>0.25</v>
      </c>
      <c r="BD3" s="15" t="inlineStr">
        <is>
          <t>his_note_adaptive</t>
        </is>
      </c>
      <c r="BE3" s="15" t="n">
        <v>-90</v>
      </c>
      <c r="BF3" s="15" t="n">
        <v>20000</v>
      </c>
      <c r="BG3" s="15" t="n">
        <v>12</v>
      </c>
      <c r="BH3" s="15" t="n">
        <v>0.1578947368421053</v>
      </c>
      <c r="BI3" s="15" t="n">
        <v>76</v>
      </c>
      <c r="BJ3" s="15" t="n">
        <v>12</v>
      </c>
      <c r="BK3" s="15" t="n">
        <v>76</v>
      </c>
      <c r="BL3" s="15" t="n">
        <v>71</v>
      </c>
      <c r="BM3" s="15" t="n">
        <v>0.9342105263157895</v>
      </c>
      <c r="BN3" s="15" t="n">
        <v>0.02966875489881819</v>
      </c>
      <c r="BO3" s="15" t="n">
        <v>0.3833333333333334</v>
      </c>
      <c r="BP3" s="19" t="n">
        <v>0.7451045553878298</v>
      </c>
      <c r="BQ3" s="19" t="n">
        <v>0.2548954446121702</v>
      </c>
      <c r="BR3" s="19" t="n">
        <v>0</v>
      </c>
      <c r="BS3" s="15" t="n">
        <v>0.1311358516440781</v>
      </c>
      <c r="BT3" s="19" t="n">
        <v>1</v>
      </c>
      <c r="BU3" s="19" t="n">
        <v>0</v>
      </c>
      <c r="BV3" s="19" t="n">
        <v>0</v>
      </c>
      <c r="BW3" t="inlineStr">
        <is>
          <t>C4</t>
        </is>
      </c>
      <c r="BX3" t="n">
        <v>60</v>
      </c>
      <c r="BY3" t="inlineStr">
        <is>
          <t>C</t>
        </is>
      </c>
      <c r="BZ3" t="n">
        <v>4</v>
      </c>
      <c r="CA3" t="inlineStr">
        <is>
          <t>High</t>
        </is>
      </c>
      <c r="CB3" t="inlineStr">
        <is>
          <t>pp</t>
        </is>
      </c>
      <c r="CC3" s="15" t="n">
        <v>261.6255653005986</v>
      </c>
      <c r="CD3" s="15" t="n">
        <v>261.5832572353145</v>
      </c>
      <c r="CE3" t="inlineStr">
        <is>
          <t>prior_constrained_harmonic_fit</t>
        </is>
      </c>
      <c r="CF3" t="n">
        <v>261.5832572353145</v>
      </c>
      <c r="CG3" s="15" t="n">
        <v>1</v>
      </c>
      <c r="CH3" t="n">
        <v/>
      </c>
      <c r="CI3" t="inlineStr">
        <is>
          <t>free_fit_acoustically_verified</t>
        </is>
      </c>
      <c r="CJ3" s="15" t="inlineStr">
        <is>
          <t>free_f0_fit</t>
        </is>
      </c>
      <c r="CK3" s="15" t="n">
        <v>261.6255653005986</v>
      </c>
      <c r="CL3" s="15" t="n">
        <v>261.5832572353145</v>
      </c>
      <c r="CM3" s="15" t="n">
        <v>-0.2799844351808436</v>
      </c>
      <c r="CN3" s="15" t="n">
        <v>20000</v>
      </c>
      <c r="CO3" s="15" t="n">
        <v>-0.2799844351808436</v>
      </c>
      <c r="CP3" s="15" t="n">
        <v>2.075259347962615</v>
      </c>
      <c r="CQ3" s="15" t="n">
        <v>42358.4380912796</v>
      </c>
      <c r="CR3" t="n">
        <v>1.064570815091029</v>
      </c>
      <c r="CS3" t="n">
        <v>0.01400751072488197</v>
      </c>
      <c r="CT3" t="n">
        <v>139.336967405525</v>
      </c>
      <c r="CU3" t="n">
        <v>139.336967405525</v>
      </c>
      <c r="CV3" t="n">
        <v>148.334068963212</v>
      </c>
      <c r="CW3" t="n">
        <v>319.6461266502374</v>
      </c>
      <c r="CX3" s="15" t="n">
        <v>42358.4380912796</v>
      </c>
      <c r="CY3" s="15" t="n">
        <v>117.3989933031131</v>
      </c>
      <c r="CZ3" s="15" t="n">
        <v>319.6461266502374</v>
      </c>
      <c r="DA3" s="15" t="n">
        <v>2.437362501781843</v>
      </c>
      <c r="DB3" s="15" t="n">
        <v>2.437362501781843</v>
      </c>
      <c r="DC3" s="15" t="n">
        <v>1.494862636939286</v>
      </c>
      <c r="DD3" s="15" t="n">
        <v>0</v>
      </c>
      <c r="DE3" s="15" t="n">
        <v>5.754136865314745e-05</v>
      </c>
      <c r="DF3" s="15" t="n">
        <v>0</v>
      </c>
      <c r="DG3" s="15" t="n">
        <v>11</v>
      </c>
      <c r="DH3" s="15" t="inlineStr">
        <is>
          <t>Density_Metrics</t>
        </is>
      </c>
      <c r="DI3" s="15" t="n">
        <v>2.075259347962615</v>
      </c>
      <c r="DJ3" t="n">
        <v>0.9368614270611413</v>
      </c>
      <c r="DK3" s="15" t="n">
        <v>0.5362253349367255</v>
      </c>
      <c r="DL3" s="15" t="n">
        <v>5.631491015940753</v>
      </c>
      <c r="DM3" s="15" t="n">
        <v>1.086638720412701</v>
      </c>
      <c r="DN3" s="15" t="n">
        <v>1.027130941844735</v>
      </c>
      <c r="DO3" s="15" t="n">
        <v>13.56140839676477</v>
      </c>
      <c r="DP3" s="15" t="n">
        <v>2.812820499975022</v>
      </c>
      <c r="DQ3" s="15" t="n">
        <v>6</v>
      </c>
      <c r="DR3" s="15" t="n">
        <v>28</v>
      </c>
      <c r="DS3" s="15" t="b">
        <v>1</v>
      </c>
      <c r="DT3" s="15" t="n">
        <v>1.064570815091029</v>
      </c>
      <c r="DU3" s="15" t="n">
        <v>5.38817754319402</v>
      </c>
      <c r="DV3" t="n">
        <v>76</v>
      </c>
      <c r="DW3" s="15" t="n">
        <v>0.1311358516440781</v>
      </c>
      <c r="DX3" s="15" t="n">
        <v>1.335827765429647</v>
      </c>
      <c r="DY3" s="15" t="n">
        <v>2.54043891008295</v>
      </c>
      <c r="DZ3" s="15" t="n">
        <v>0.176164785188917</v>
      </c>
      <c r="EA3" s="15" t="b">
        <v>1</v>
      </c>
      <c r="EB3" s="15" t="n">
        <v>0.2444093317071632</v>
      </c>
      <c r="EC3" s="15" t="n">
        <v>20000</v>
      </c>
      <c r="ED3" s="15" t="n">
        <v>3138.999086823774</v>
      </c>
      <c r="EE3" s="15" t="n">
        <v>12</v>
      </c>
      <c r="EF3" s="15" t="n">
        <v>0</v>
      </c>
      <c r="EG3" s="15" t="n">
        <v>0.04115271208350588</v>
      </c>
      <c r="EH3" s="15" t="b">
        <v>0</v>
      </c>
      <c r="EI3" s="15" t="b">
        <v>1</v>
      </c>
      <c r="EJ3" s="15" t="b">
        <v>0</v>
      </c>
      <c r="EK3" s="15" t="inlineStr">
        <is>
          <t>wf=log|dst=-90.0|ceil=20000.0|fft=adaptive_tier</t>
        </is>
      </c>
      <c r="EL3" s="15" t="inlineStr">
        <is>
          <t>wf=log|dst=runtime_configured|ceil=runtime_configured|fft=fixed</t>
        </is>
      </c>
      <c r="EM3" s="15" t="n">
        <v>0.5621429225933766</v>
      </c>
      <c r="EN3" s="15" t="n">
        <v>0.988320852743904</v>
      </c>
      <c r="EO3" s="15" t="n">
        <v>0.1428571428571428</v>
      </c>
      <c r="EP3" s="15" t="n">
        <v>0.336992694293099</v>
      </c>
      <c r="EQ3" s="15" t="inlineStr">
        <is>
          <t>warn:power_outlier_detected</t>
        </is>
      </c>
      <c r="ER3" s="15" t="n">
        <v>917.733801530491</v>
      </c>
      <c r="ES3" s="15" t="inlineStr">
        <is>
          <t>winsorize_p95_for_robust_diagnostics</t>
        </is>
      </c>
      <c r="ET3" s="15" t="n">
        <v>0.1444573138166706</v>
      </c>
      <c r="EU3" s="15" t="n">
        <v>0.03003450754278005</v>
      </c>
      <c r="EV3" s="15" t="n">
        <v>0.03362068517570056</v>
      </c>
      <c r="EW3" t="inlineStr">
        <is>
          <t>computed</t>
        </is>
      </c>
      <c r="EX3" s="15" t="inlineStr">
        <is>
          <t>computed</t>
        </is>
      </c>
      <c r="EY3" s="15" t="inlineStr">
        <is>
          <t>computed</t>
        </is>
      </c>
      <c r="EZ3" s="15" t="inlineStr">
        <is>
          <t>available_from_curve</t>
        </is>
      </c>
      <c r="FA3" s="15" t="n">
        <v>20000</v>
      </c>
      <c r="FB3" s="15" t="n">
        <v>20000</v>
      </c>
      <c r="FC3" s="15" t="n">
        <v>0.2548954446121702</v>
      </c>
      <c r="FD3" s="15" t="n">
        <v>0.08085477832169553</v>
      </c>
      <c r="FE3" s="15" t="n">
        <v>2.437362501781843</v>
      </c>
      <c r="FF3" s="15" t="n">
        <v>1.494862636939286</v>
      </c>
      <c r="FG3" s="15" t="n">
        <v>1.699265877219624</v>
      </c>
      <c r="FH3" s="15" t="n">
        <v>1.470262004672081</v>
      </c>
      <c r="FI3" s="15" t="n">
        <v>0.5063732044614417</v>
      </c>
      <c r="FJ3" s="15" t="n">
        <v>0.09862413882909271</v>
      </c>
      <c r="FK3" s="15" t="n">
        <v>10589.6095228199</v>
      </c>
      <c r="FL3" s="15" t="n">
        <v>29.34974832577828</v>
      </c>
      <c r="FM3" s="15" t="n">
        <v>79.91153166255934</v>
      </c>
      <c r="FN3" s="15" t="n">
        <v>0.004906343012437986</v>
      </c>
      <c r="FO3" t="n">
        <v>1</v>
      </c>
      <c r="FP3" t="n">
        <v>0</v>
      </c>
      <c r="FQ3" t="n">
        <v>0</v>
      </c>
      <c r="FR3" t="inlineStr">
        <is>
          <t>excellent</t>
        </is>
      </c>
      <c r="FS3" s="19" t="n">
        <v>0.9342105263157895</v>
      </c>
      <c r="FT3" s="15" t="n">
        <v>4.333585532179169</v>
      </c>
      <c r="FU3" s="15" t="n">
        <v>16.06259844661095</v>
      </c>
      <c r="FV3" t="inlineStr">
        <is>
          <t>passed</t>
        </is>
      </c>
      <c r="FW3" t="n">
        <v>136.3776392074245</v>
      </c>
      <c r="FX3" t="n">
        <v>15.12545387702577</v>
      </c>
      <c r="FY3" t="n">
        <v>24.51703761525057</v>
      </c>
      <c r="FZ3" t="n">
        <v>0.9045974551220302</v>
      </c>
      <c r="GA3" t="n">
        <v>0.3806004278370805</v>
      </c>
      <c r="GB3" t="n">
        <v>0.8926791224848128</v>
      </c>
      <c r="GC3" t="n">
        <v>0.02663479414201256</v>
      </c>
      <c r="GD3" t="n">
        <v>0.06738011884333206</v>
      </c>
      <c r="GE3" t="n">
        <v>0.3255636776573517</v>
      </c>
      <c r="GF3" t="n">
        <v>0.9120682223336483</v>
      </c>
      <c r="GG3" t="n">
        <v>0.006416690739852477</v>
      </c>
      <c r="GH3" t="n">
        <v>0.4041855380250602</v>
      </c>
      <c r="GI3" t="n">
        <v>0.2686015283787603</v>
      </c>
      <c r="GJ3" t="n">
        <v>0.009287925696594489</v>
      </c>
      <c r="GK3" t="n">
        <v>0.6710526315789473</v>
      </c>
      <c r="GL3" t="n">
        <v>0.6279069767441863</v>
      </c>
      <c r="GM3" t="n">
        <v>0.1407621378446832</v>
      </c>
      <c r="GN3" t="n">
        <v>0.1407621378446832</v>
      </c>
      <c r="GO3" t="n">
        <v>0.2004332993067701</v>
      </c>
      <c r="GP3" t="n">
        <v>0.5390192878351211</v>
      </c>
      <c r="GQ3" t="n">
        <v>148.334068963212</v>
      </c>
      <c r="GR3" t="inlineStr">
        <is>
          <t>compiled workbook density_weighted_sum = density_component_ratio_weighted_sum (per-note component ratios); research density_weighted_sum maps body-ceiling richness</t>
        </is>
      </c>
      <c r="GS3" s="15" t="inlineStr">
        <is>
          <t>individual_exact</t>
        </is>
      </c>
      <c r="GT3" s="15" t="inlineStr">
        <is>
          <t>density_weight</t>
        </is>
      </c>
      <c r="GU3" s="15" t="n">
        <v>0.4087890195769149</v>
      </c>
      <c r="GV3" s="15" t="n">
        <v>0.5912109804230852</v>
      </c>
      <c r="GW3" s="15" t="n">
        <v>0</v>
      </c>
      <c r="GX3" s="15" t="inlineStr">
        <is>
          <t>log</t>
        </is>
      </c>
      <c r="GY3" s="15" t="n">
        <v>0.5</v>
      </c>
      <c r="GZ3" s="15" t="inlineStr">
        <is>
          <t>EWSD-R v18.1</t>
        </is>
      </c>
      <c r="HA3" s="15" t="n">
        <v>4.089376375913548</v>
      </c>
      <c r="HB3" s="15" t="n">
        <v>17.02657143464626</v>
      </c>
      <c r="HC3" s="15" t="n">
        <v>0.3893290754724773</v>
      </c>
      <c r="HD3" s="15" t="n">
        <v>4.847467671258701</v>
      </c>
      <c r="HE3" s="15" t="n">
        <v>20.44968070927786</v>
      </c>
      <c r="HF3" s="15" t="n">
        <v>0.4123637145248919</v>
      </c>
      <c r="HG3" s="15" t="inlineStr">
        <is>
          <t>partials+ratios</t>
        </is>
      </c>
      <c r="HH3" s="15" t="inlineStr">
        <is>
          <t>merged_individual_exact</t>
        </is>
      </c>
      <c r="HI3" s="15" t="inlineStr">
        <is>
          <t>passed</t>
        </is>
      </c>
      <c r="HJ3" s="15" t="inlineStr">
        <is>
          <t>passed</t>
        </is>
      </c>
    </row>
    <row r="4">
      <c r="A4" t="inlineStr">
        <is>
          <t>incomplete_inference</t>
        </is>
      </c>
      <c r="B4" t="inlineStr">
        <is>
          <t>missing_instrument_technique</t>
        </is>
      </c>
      <c r="C4" t="inlineStr">
        <is>
          <t>prior_constrained_harmonic_fit</t>
        </is>
      </c>
      <c r="D4" t="inlineStr">
        <is>
          <t>IOWA_flt_pp.C#4_SustainStable/C#4/component_amplitude_mass_pie.png</t>
        </is>
      </c>
      <c r="E4" t="inlineStr">
        <is>
          <t>IOWA_flt_pp.C#4_SustainStable/C#4/component_energy_ratio_pie.png</t>
        </is>
      </c>
      <c r="F4" s="15" t="n">
        <v>277.0547427754287</v>
      </c>
      <c r="G4" s="15" t="inlineStr">
        <is>
          <t>prior_constrained_harmonic_fit</t>
        </is>
      </c>
      <c r="H4" s="15" t="inlineStr">
        <is>
          <t>fit_accepted_acoustically_verified</t>
        </is>
      </c>
      <c r="I4" s="16" t="n">
        <v>160.9069342392096</v>
      </c>
      <c r="J4" t="inlineStr">
        <is>
          <t>richness_weighted_body_density_body_ceiling</t>
        </is>
      </c>
      <c r="K4" t="inlineStr">
        <is>
          <t>research_body_ceiling_richness_metric</t>
        </is>
      </c>
      <c r="L4" s="15" t="n">
        <v>41828.73957044207</v>
      </c>
      <c r="M4" s="15" t="n">
        <v>41828.73957044207</v>
      </c>
      <c r="N4" s="15" t="n">
        <v>201.8629834854126</v>
      </c>
      <c r="O4" s="15" t="n">
        <v>281.0929846778716</v>
      </c>
      <c r="P4" s="15" t="n">
        <v>-3.706634928139032</v>
      </c>
      <c r="Q4" s="15" t="n">
        <v>10</v>
      </c>
      <c r="R4" s="15" t="n">
        <v>52</v>
      </c>
      <c r="S4" s="15" t="n">
        <v>10457.23688247657</v>
      </c>
      <c r="T4" s="15" t="n">
        <v>73</v>
      </c>
      <c r="U4" s="15" t="n">
        <v>0.2082033999019278</v>
      </c>
      <c r="V4" s="15" t="n">
        <v>15.09036369179345</v>
      </c>
      <c r="W4" s="15" t="n">
        <v>0.9435019761406565</v>
      </c>
      <c r="X4" s="15" t="n">
        <v>0.08373595312016864</v>
      </c>
      <c r="Y4" s="15" t="n">
        <v>12</v>
      </c>
      <c r="Z4" s="15" t="n">
        <v>72</v>
      </c>
      <c r="AA4" s="15" t="n">
        <v>0.1666666666666667</v>
      </c>
      <c r="AB4" s="15" t="n">
        <v>72</v>
      </c>
      <c r="AC4" s="15" t="n">
        <v>12</v>
      </c>
      <c r="AD4" s="15" t="n">
        <v>0.1666666666666667</v>
      </c>
      <c r="AE4" s="15" t="n">
        <v>392.0498638162687</v>
      </c>
      <c r="AF4" s="15" t="n">
        <v>12</v>
      </c>
      <c r="AG4" s="15" t="n">
        <v>72</v>
      </c>
      <c r="AH4" s="15" t="n">
        <v>0.1666666666666667</v>
      </c>
      <c r="AI4" s="15" t="n">
        <v>392.0498638162687</v>
      </c>
      <c r="AJ4" s="15" t="n">
        <v>5</v>
      </c>
      <c r="AK4" s="15" t="n">
        <v>7</v>
      </c>
      <c r="AL4" s="15" t="n">
        <v>20.99686158398243</v>
      </c>
      <c r="AM4" s="15" t="n">
        <v>50</v>
      </c>
      <c r="AN4" s="15" t="n">
        <v>0</v>
      </c>
      <c r="AO4" s="15" t="n">
        <v>50</v>
      </c>
      <c r="AP4" s="15" t="n">
        <v>0</v>
      </c>
      <c r="AQ4" s="15" t="n">
        <v>34.9982713024504</v>
      </c>
      <c r="AR4" s="15" t="n">
        <v>17.52299099041251</v>
      </c>
      <c r="AS4" s="15" t="n">
        <v>0.4838801412000149</v>
      </c>
      <c r="AT4" s="17" t="n">
        <v>2.447482721652468</v>
      </c>
      <c r="AU4" s="18" t="n">
        <v>10.73860884774068</v>
      </c>
      <c r="AV4" s="15" t="n">
        <v>11.86678179168242</v>
      </c>
      <c r="AW4" s="15" t="b">
        <v>1</v>
      </c>
      <c r="AX4" s="15" t="n">
        <v>7.48296520068117</v>
      </c>
      <c r="AY4" s="15" t="n">
        <v>24.07208074734145</v>
      </c>
      <c r="AZ4" s="15" t="n">
        <v>0</v>
      </c>
      <c r="BA4" s="15" t="n">
        <v>1</v>
      </c>
      <c r="BB4" s="15" t="n">
        <v>0.5</v>
      </c>
      <c r="BC4" s="15" t="n">
        <v>0.25</v>
      </c>
      <c r="BD4" s="15" t="inlineStr">
        <is>
          <t>his_note_adaptive</t>
        </is>
      </c>
      <c r="BE4" s="15" t="n">
        <v>-90</v>
      </c>
      <c r="BF4" s="15" t="n">
        <v>20000</v>
      </c>
      <c r="BG4" s="15" t="n">
        <v>12</v>
      </c>
      <c r="BH4" s="15" t="n">
        <v>0.1666666666666667</v>
      </c>
      <c r="BI4" s="15" t="n">
        <v>72</v>
      </c>
      <c r="BJ4" s="15" t="n">
        <v>12</v>
      </c>
      <c r="BK4" s="15" t="n">
        <v>72</v>
      </c>
      <c r="BL4" s="15" t="n">
        <v>65</v>
      </c>
      <c r="BM4" s="15" t="n">
        <v>0.9027777777777778</v>
      </c>
      <c r="BN4" s="15" t="n">
        <v>0.03358438960959773</v>
      </c>
      <c r="BO4" s="15" t="n">
        <v>0.4166666666666667</v>
      </c>
      <c r="BP4" s="19" t="n">
        <v>0.7411641947224819</v>
      </c>
      <c r="BQ4" s="19" t="n">
        <v>0.258835805277518</v>
      </c>
      <c r="BR4" s="19" t="n">
        <v>0</v>
      </c>
      <c r="BS4" s="15" t="n">
        <v>0.1455119566850475</v>
      </c>
      <c r="BT4" s="19" t="n">
        <v>1</v>
      </c>
      <c r="BU4" s="19" t="n">
        <v>0</v>
      </c>
      <c r="BV4" s="19" t="n">
        <v>0</v>
      </c>
      <c r="BW4" t="inlineStr">
        <is>
          <t>C#4</t>
        </is>
      </c>
      <c r="BX4" t="n">
        <v>61</v>
      </c>
      <c r="BY4" t="inlineStr">
        <is>
          <t>C#</t>
        </is>
      </c>
      <c r="BZ4" t="n">
        <v>4</v>
      </c>
      <c r="CA4" t="inlineStr">
        <is>
          <t>High</t>
        </is>
      </c>
      <c r="CB4" t="inlineStr">
        <is>
          <t>pp</t>
        </is>
      </c>
      <c r="CC4" s="15" t="n">
        <v>277.182630976872</v>
      </c>
      <c r="CD4" s="15" t="n">
        <v>277.0547427754287</v>
      </c>
      <c r="CE4" t="inlineStr">
        <is>
          <t>prior_constrained_harmonic_fit</t>
        </is>
      </c>
      <c r="CF4" t="n">
        <v>277.0547427754287</v>
      </c>
      <c r="CG4" s="15" t="n">
        <v>1</v>
      </c>
      <c r="CH4" t="n">
        <v/>
      </c>
      <c r="CI4" t="inlineStr">
        <is>
          <t>free_fit_acoustically_verified</t>
        </is>
      </c>
      <c r="CJ4" s="15" t="inlineStr">
        <is>
          <t>free_f0_fit</t>
        </is>
      </c>
      <c r="CK4" s="15" t="n">
        <v>277.182630976872</v>
      </c>
      <c r="CL4" s="15" t="n">
        <v>277.0547427754287</v>
      </c>
      <c r="CM4" s="15" t="n">
        <v>-0.798951580053603</v>
      </c>
      <c r="CN4" s="15" t="n">
        <v>20000</v>
      </c>
      <c r="CO4" s="15" t="n">
        <v>-0.798951580053603</v>
      </c>
      <c r="CP4" s="15" t="n">
        <v>2.135791963281306</v>
      </c>
      <c r="CQ4" s="15" t="n">
        <v>41828.73957044207</v>
      </c>
      <c r="CR4" t="n">
        <v>1.107879356078876</v>
      </c>
      <c r="CS4" t="n">
        <v>0.01538721327887328</v>
      </c>
      <c r="CT4" t="n">
        <v>145.238679064035</v>
      </c>
      <c r="CU4" t="n">
        <v>145.238679064035</v>
      </c>
      <c r="CV4" t="n">
        <v>160.9069342392096</v>
      </c>
      <c r="CW4" t="n">
        <v>281.0929846778716</v>
      </c>
      <c r="CX4" s="15" t="n">
        <v>41828.73957044207</v>
      </c>
      <c r="CY4" s="15" t="n">
        <v>201.8629834854126</v>
      </c>
      <c r="CZ4" s="15" t="n">
        <v>281.0929846778716</v>
      </c>
      <c r="DA4" s="15" t="n">
        <v>2.447482721652468</v>
      </c>
      <c r="DB4" s="15" t="n">
        <v>2.447482721652468</v>
      </c>
      <c r="DC4" s="15" t="n">
        <v>1.657947111276572</v>
      </c>
      <c r="DD4" s="15" t="n">
        <v>0</v>
      </c>
      <c r="DE4" s="15" t="n">
        <v>5.851198833115119e-05</v>
      </c>
      <c r="DF4" s="15" t="n">
        <v>0</v>
      </c>
      <c r="DG4" s="15" t="n">
        <v>10</v>
      </c>
      <c r="DH4" s="15" t="inlineStr">
        <is>
          <t>Density_Metrics</t>
        </is>
      </c>
      <c r="DI4" s="15" t="n">
        <v>2.135791963281306</v>
      </c>
      <c r="DJ4" t="n">
        <v>0.9641884560548368</v>
      </c>
      <c r="DK4" s="15" t="n">
        <v>0.5375020982243069</v>
      </c>
      <c r="DL4" s="15" t="n">
        <v>5.790641474381713</v>
      </c>
      <c r="DM4" s="15" t="n">
        <v>1.133597821407769</v>
      </c>
      <c r="DN4" s="15" t="n">
        <v>1.033621872794854</v>
      </c>
      <c r="DO4" s="15" t="n">
        <v>18.14567333942341</v>
      </c>
      <c r="DP4" s="15" t="n">
        <v>3.969676367783474</v>
      </c>
      <c r="DQ4" s="15" t="n">
        <v>5.125</v>
      </c>
      <c r="DR4" s="15" t="n">
        <v>29</v>
      </c>
      <c r="DS4" s="15" t="b">
        <v>1</v>
      </c>
      <c r="DT4" s="15" t="n">
        <v>1.107879356078876</v>
      </c>
      <c r="DU4" s="15" t="n">
        <v>6.028988624652142</v>
      </c>
      <c r="DV4" t="n">
        <v>72</v>
      </c>
      <c r="DW4" s="15" t="n">
        <v>0.1455119566850475</v>
      </c>
      <c r="DX4" s="15" t="n">
        <v>1.363902937671946</v>
      </c>
      <c r="DY4" s="15" t="n">
        <v>2.544839221843638</v>
      </c>
      <c r="DZ4" s="15" t="n">
        <v>0.1674419492827326</v>
      </c>
      <c r="EA4" s="15" t="b">
        <v>1</v>
      </c>
      <c r="EB4" s="15" t="n">
        <v>0.228331068056509</v>
      </c>
      <c r="EC4" s="15" t="n">
        <v>20000</v>
      </c>
      <c r="ED4" s="15" t="n">
        <v>3878.766398856002</v>
      </c>
      <c r="EE4" s="15" t="n">
        <v>14</v>
      </c>
      <c r="EF4" s="15" t="n">
        <v>0</v>
      </c>
      <c r="EG4" s="15" t="n">
        <v>0.03884298783280674</v>
      </c>
      <c r="EH4" s="15" t="b">
        <v>0</v>
      </c>
      <c r="EI4" s="15" t="b">
        <v>1</v>
      </c>
      <c r="EJ4" s="15" t="b">
        <v>0</v>
      </c>
      <c r="EK4" s="15" t="inlineStr">
        <is>
          <t>wf=log|dst=-90.0|ceil=20000.0|fft=adaptive_tier</t>
        </is>
      </c>
      <c r="EL4" s="15" t="inlineStr">
        <is>
          <t>wf=log|dst=runtime_configured|ceil=runtime_configured|fft=fixed</t>
        </is>
      </c>
      <c r="EM4" s="15" t="n">
        <v>0.5625554960968581</v>
      </c>
      <c r="EN4" s="15" t="n">
        <v>0.993531115386907</v>
      </c>
      <c r="EO4" s="15" t="n">
        <v>0.136986301369863</v>
      </c>
      <c r="EP4" s="15" t="n">
        <v>0.3376064434664893</v>
      </c>
      <c r="EQ4" s="15" t="inlineStr">
        <is>
          <t>warn:power_outlier_detected</t>
        </is>
      </c>
      <c r="ER4" s="15" t="n">
        <v>906.281196967664</v>
      </c>
      <c r="ES4" s="15" t="inlineStr">
        <is>
          <t>winsorize_p95_for_robust_diagnostics</t>
        </is>
      </c>
      <c r="ET4" s="15" t="n">
        <v>0.117322327743897</v>
      </c>
      <c r="EU4" s="15" t="n">
        <v>0.02813959102022704</v>
      </c>
      <c r="EV4" s="15" t="n">
        <v>0.03379365376866564</v>
      </c>
      <c r="EW4" t="inlineStr">
        <is>
          <t>computed</t>
        </is>
      </c>
      <c r="EX4" s="15" t="inlineStr">
        <is>
          <t>computed</t>
        </is>
      </c>
      <c r="EY4" s="15" t="inlineStr">
        <is>
          <t>computed</t>
        </is>
      </c>
      <c r="EZ4" s="15" t="inlineStr">
        <is>
          <t>available_from_curve</t>
        </is>
      </c>
      <c r="FA4" s="15" t="n">
        <v>20000</v>
      </c>
      <c r="FB4" s="15" t="n">
        <v>20000</v>
      </c>
      <c r="FC4" s="15" t="n">
        <v>0.258835805277518</v>
      </c>
      <c r="FD4" s="15" t="n">
        <v>0.1011892474088753</v>
      </c>
      <c r="FE4" s="15" t="n">
        <v>2.447482721652468</v>
      </c>
      <c r="FF4" s="15" t="n">
        <v>1.657947111276572</v>
      </c>
      <c r="FG4" s="15" t="n">
        <v>1.685211641452673</v>
      </c>
      <c r="FH4" s="15" t="n">
        <v>1.47636670790922</v>
      </c>
      <c r="FI4" s="15" t="n">
        <v>0.5616168140262416</v>
      </c>
      <c r="FJ4" s="15" t="n">
        <v>0.09780844134584514</v>
      </c>
      <c r="FK4" s="15" t="n">
        <v>10457.18489261052</v>
      </c>
      <c r="FL4" s="15" t="n">
        <v>50.46574587135316</v>
      </c>
      <c r="FM4" s="15" t="n">
        <v>70.27324616946791</v>
      </c>
      <c r="FN4" s="15" t="n">
        <v>0.004844111070080363</v>
      </c>
      <c r="FO4" t="n">
        <v>1</v>
      </c>
      <c r="FP4" t="n">
        <v>0</v>
      </c>
      <c r="FQ4" t="n">
        <v>0</v>
      </c>
      <c r="FR4" t="inlineStr">
        <is>
          <t>excellent</t>
        </is>
      </c>
      <c r="FS4" s="19" t="n">
        <v>0.9027777777777778</v>
      </c>
      <c r="FT4" s="15" t="n">
        <v>4.225153259339543</v>
      </c>
      <c r="FU4" s="15" t="n">
        <v>12.64982035048839</v>
      </c>
      <c r="FV4" t="inlineStr">
        <is>
          <t>passed</t>
        </is>
      </c>
      <c r="FW4" t="n">
        <v>139.6047069255395</v>
      </c>
      <c r="FX4" t="n">
        <v>22.246632736006</v>
      </c>
      <c r="FY4" t="n">
        <v>23.7204186575579</v>
      </c>
      <c r="FZ4" t="n">
        <v>0.9458886656864058</v>
      </c>
      <c r="GA4" t="n">
        <v>0.4128641117747693</v>
      </c>
      <c r="GB4" t="n">
        <v>0.9428074681209276</v>
      </c>
      <c r="GC4" t="n">
        <v>0.04408511085799515</v>
      </c>
      <c r="GD4" t="n">
        <v>0.1125728988102351</v>
      </c>
      <c r="GE4" t="n">
        <v>0.388469693283258</v>
      </c>
      <c r="GF4" t="n">
        <v>0.8910471450511948</v>
      </c>
      <c r="GG4" t="n">
        <v>0.03595385971217625</v>
      </c>
      <c r="GH4" t="n">
        <v>0.4762467222320276</v>
      </c>
      <c r="GI4" t="n">
        <v>0.3343188197160924</v>
      </c>
      <c r="GJ4" t="n">
        <v>0.01960784313725496</v>
      </c>
      <c r="GK4" t="n">
        <v>0.5138888888888888</v>
      </c>
      <c r="GL4" t="n">
        <v>0.7209302325581396</v>
      </c>
      <c r="GM4" t="n">
        <v>0.1545803949919631</v>
      </c>
      <c r="GN4" t="n">
        <v>0.1545803949919631</v>
      </c>
      <c r="GO4" t="n">
        <v>0.2508410156272457</v>
      </c>
      <c r="GP4" t="n">
        <v>0.6061395400196852</v>
      </c>
      <c r="GQ4" t="n">
        <v>160.9069342392096</v>
      </c>
      <c r="GR4" t="inlineStr">
        <is>
          <t>compiled workbook density_weighted_sum = density_component_ratio_weighted_sum (per-note component ratios); research density_weighted_sum maps body-ceiling richness</t>
        </is>
      </c>
      <c r="GS4" s="15" t="inlineStr">
        <is>
          <t>individual_exact</t>
        </is>
      </c>
      <c r="GT4" s="15" t="inlineStr">
        <is>
          <t>density_weight</t>
        </is>
      </c>
      <c r="GU4" s="15" t="n">
        <v>0.3947823341460421</v>
      </c>
      <c r="GV4" s="15" t="n">
        <v>0.6052176658539579</v>
      </c>
      <c r="GW4" s="15" t="n">
        <v>0</v>
      </c>
      <c r="GX4" s="15" t="inlineStr">
        <is>
          <t>log</t>
        </is>
      </c>
      <c r="GY4" s="15" t="n">
        <v>0.5</v>
      </c>
      <c r="GZ4" s="15" t="inlineStr">
        <is>
          <t>EWSD-R v18.1</t>
        </is>
      </c>
      <c r="HA4" s="15" t="n">
        <v>4.858648011166332</v>
      </c>
      <c r="HB4" s="15" t="n">
        <v>17.63153160238206</v>
      </c>
      <c r="HC4" s="15" t="n">
        <v>0.3215210418892271</v>
      </c>
      <c r="HD4" s="15" t="n">
        <v>5.929799587700859</v>
      </c>
      <c r="HE4" s="15" t="n">
        <v>20.59774842582617</v>
      </c>
      <c r="HF4" s="15" t="n">
        <v>0.3308262454727607</v>
      </c>
      <c r="HG4" s="15" t="inlineStr">
        <is>
          <t>partials+ratios</t>
        </is>
      </c>
      <c r="HH4" s="15" t="inlineStr">
        <is>
          <t>merged_individual_exact</t>
        </is>
      </c>
      <c r="HI4" s="15" t="inlineStr">
        <is>
          <t>passed</t>
        </is>
      </c>
      <c r="HJ4" s="15" t="inlineStr">
        <is>
          <t>passed</t>
        </is>
      </c>
    </row>
    <row r="5">
      <c r="A5" t="inlineStr">
        <is>
          <t>incomplete_inference</t>
        </is>
      </c>
      <c r="B5" t="inlineStr">
        <is>
          <t>missing_instrument_technique</t>
        </is>
      </c>
      <c r="C5" t="inlineStr">
        <is>
          <t>prior_constrained_harmonic_fit</t>
        </is>
      </c>
      <c r="D5" t="inlineStr">
        <is>
          <t>IOWA_flt_pp.D4_SustainStable/D4/component_amplitude_mass_pie.png</t>
        </is>
      </c>
      <c r="E5" t="inlineStr">
        <is>
          <t>IOWA_flt_pp.D4_SustainStable/D4/component_energy_ratio_pie.png</t>
        </is>
      </c>
      <c r="F5" s="15" t="n">
        <v>293.2659000702337</v>
      </c>
      <c r="G5" s="15" t="inlineStr">
        <is>
          <t>prior_constrained_harmonic_fit</t>
        </is>
      </c>
      <c r="H5" s="15" t="inlineStr">
        <is>
          <t>fit_accepted_acoustically_verified</t>
        </is>
      </c>
      <c r="I5" s="16" t="n">
        <v>159.788413335502</v>
      </c>
      <c r="J5" t="inlineStr">
        <is>
          <t>richness_weighted_body_density_body_ceiling</t>
        </is>
      </c>
      <c r="K5" t="inlineStr">
        <is>
          <t>research_body_ceiling_richness_metric</t>
        </is>
      </c>
      <c r="L5" s="15" t="n">
        <v>41055.94554037871</v>
      </c>
      <c r="M5" s="15" t="n">
        <v>41055.94554037871</v>
      </c>
      <c r="N5" s="15" t="n">
        <v>173.08468010826</v>
      </c>
      <c r="O5" s="15" t="n">
        <v>111.8237946570128</v>
      </c>
      <c r="P5" s="15" t="n">
        <v>-3.515625934832392</v>
      </c>
      <c r="Q5" s="15" t="n">
        <v>15</v>
      </c>
      <c r="R5" s="15" t="n">
        <v>45</v>
      </c>
      <c r="S5" s="15" t="n">
        <v>10264.0063478572</v>
      </c>
      <c r="T5" s="15" t="n">
        <v>69</v>
      </c>
      <c r="U5" s="15" t="n">
        <v>-0.04274130263814088</v>
      </c>
      <c r="V5" s="15" t="n">
        <v>13.3517535929717</v>
      </c>
      <c r="W5" s="15" t="n">
        <v>0.961826919838874</v>
      </c>
      <c r="X5" s="15" t="n">
        <v>0.08110772080696427</v>
      </c>
      <c r="Y5" s="15" t="n">
        <v>13</v>
      </c>
      <c r="Z5" s="15" t="n">
        <v>68</v>
      </c>
      <c r="AA5" s="15" t="n">
        <v>0.1911764705882353</v>
      </c>
      <c r="AB5" s="15" t="n">
        <v>68</v>
      </c>
      <c r="AC5" s="15" t="n">
        <v>13</v>
      </c>
      <c r="AD5" s="15" t="n">
        <v>0.1911764705882353</v>
      </c>
      <c r="AE5" s="15" t="n">
        <v>380.8745877412146</v>
      </c>
      <c r="AF5" s="15" t="n">
        <v>13</v>
      </c>
      <c r="AG5" s="15" t="n">
        <v>68</v>
      </c>
      <c r="AH5" s="15" t="n">
        <v>0.1911764705882353</v>
      </c>
      <c r="AI5" s="15" t="n">
        <v>380.8745877412146</v>
      </c>
      <c r="AJ5" s="15" t="n">
        <v>6</v>
      </c>
      <c r="AK5" s="15" t="n">
        <v>7</v>
      </c>
      <c r="AL5" s="15" t="n">
        <v>81.54017793923616</v>
      </c>
      <c r="AM5" s="15" t="n">
        <v>31</v>
      </c>
      <c r="AN5" s="15" t="n">
        <v>0</v>
      </c>
      <c r="AO5" s="15" t="n">
        <v>31</v>
      </c>
      <c r="AP5" s="15" t="n">
        <v>0</v>
      </c>
      <c r="AQ5" s="15" t="n">
        <v>21.25665768649618</v>
      </c>
      <c r="AR5" s="15" t="n">
        <v>11.24819363295084</v>
      </c>
      <c r="AS5" s="15" t="n">
        <v>0.2445820374877634</v>
      </c>
      <c r="AT5" s="17" t="n">
        <v>2.438822006479602</v>
      </c>
      <c r="AU5" s="18" t="n">
        <v>9.66758050406338</v>
      </c>
      <c r="AV5" s="15" t="n">
        <v>11.76317114482185</v>
      </c>
      <c r="AW5" s="15" t="b">
        <v>1</v>
      </c>
      <c r="AX5" s="15" t="n">
        <v>7.807115606440269</v>
      </c>
      <c r="AY5" s="15" t="n">
        <v>15.30886835301382</v>
      </c>
      <c r="AZ5" s="15" t="n">
        <v>0</v>
      </c>
      <c r="BA5" s="15" t="n">
        <v>1</v>
      </c>
      <c r="BB5" s="15" t="n">
        <v>0.5</v>
      </c>
      <c r="BC5" s="15" t="n">
        <v>0.25</v>
      </c>
      <c r="BD5" s="15" t="inlineStr">
        <is>
          <t>his_note_adaptive</t>
        </is>
      </c>
      <c r="BE5" s="15" t="n">
        <v>-90</v>
      </c>
      <c r="BF5" s="15" t="n">
        <v>20000</v>
      </c>
      <c r="BG5" s="15" t="n">
        <v>13</v>
      </c>
      <c r="BH5" s="15" t="n">
        <v>0.1911764705882353</v>
      </c>
      <c r="BI5" s="15" t="n">
        <v>68</v>
      </c>
      <c r="BJ5" s="15" t="n">
        <v>13</v>
      </c>
      <c r="BK5" s="15" t="n">
        <v>68</v>
      </c>
      <c r="BL5" s="15" t="n">
        <v>63</v>
      </c>
      <c r="BM5" s="15" t="n">
        <v>0.9264705882352942</v>
      </c>
      <c r="BN5" s="15" t="n">
        <v>0.03288570488174572</v>
      </c>
      <c r="BO5" s="15" t="n">
        <v>0.2583333333333334</v>
      </c>
      <c r="BP5" s="19" t="n">
        <v>0.7410676487056388</v>
      </c>
      <c r="BQ5" s="19" t="n">
        <v>0.2589323512943612</v>
      </c>
      <c r="BR5" s="19" t="n">
        <v>0</v>
      </c>
      <c r="BS5" s="15" t="n">
        <v>0.09026282220596549</v>
      </c>
      <c r="BT5" s="19" t="n">
        <v>1</v>
      </c>
      <c r="BU5" s="19" t="n">
        <v>0</v>
      </c>
      <c r="BV5" s="19" t="n">
        <v>0</v>
      </c>
      <c r="BW5" t="inlineStr">
        <is>
          <t>D4</t>
        </is>
      </c>
      <c r="BX5" t="n">
        <v>62</v>
      </c>
      <c r="BY5" t="inlineStr">
        <is>
          <t>D</t>
        </is>
      </c>
      <c r="BZ5" t="n">
        <v>4</v>
      </c>
      <c r="CA5" t="inlineStr">
        <is>
          <t>High</t>
        </is>
      </c>
      <c r="CB5" t="inlineStr">
        <is>
          <t>pp</t>
        </is>
      </c>
      <c r="CC5" s="15" t="n">
        <v>293.6647679174076</v>
      </c>
      <c r="CD5" s="15" t="n">
        <v>293.2659000702337</v>
      </c>
      <c r="CE5" t="inlineStr">
        <is>
          <t>prior_constrained_harmonic_fit</t>
        </is>
      </c>
      <c r="CF5" t="n">
        <v>293.2659000702337</v>
      </c>
      <c r="CG5" s="15" t="n">
        <v>1</v>
      </c>
      <c r="CH5" t="n">
        <v/>
      </c>
      <c r="CI5" t="inlineStr">
        <is>
          <t>free_fit_acoustically_verified</t>
        </is>
      </c>
      <c r="CJ5" s="15" t="inlineStr">
        <is>
          <t>free_f0_fit</t>
        </is>
      </c>
      <c r="CK5" s="15" t="n">
        <v>293.6647679174076</v>
      </c>
      <c r="CL5" s="15" t="n">
        <v>293.2659000702337</v>
      </c>
      <c r="CM5" s="15" t="n">
        <v>-2.353033303836842</v>
      </c>
      <c r="CN5" s="15" t="n">
        <v>20000</v>
      </c>
      <c r="CO5" s="15" t="n">
        <v>-2.353033303836842</v>
      </c>
      <c r="CP5" s="15" t="n">
        <v>2.11676143041997</v>
      </c>
      <c r="CQ5" s="15" t="n">
        <v>41055.94554037871</v>
      </c>
      <c r="CR5" t="n">
        <v>1.058615210420889</v>
      </c>
      <c r="CS5" t="n">
        <v>0.01556787074148366</v>
      </c>
      <c r="CT5" t="n">
        <v>150.9409762513923</v>
      </c>
      <c r="CU5" t="n">
        <v>150.9409762513923</v>
      </c>
      <c r="CV5" t="n">
        <v>159.788413335502</v>
      </c>
      <c r="CW5" t="n">
        <v>111.8237946570128</v>
      </c>
      <c r="CX5" s="15" t="n">
        <v>41055.94554037871</v>
      </c>
      <c r="CY5" s="15" t="n">
        <v>173.08468010826</v>
      </c>
      <c r="CZ5" s="15" t="n">
        <v>111.8237946570128</v>
      </c>
      <c r="DA5" s="15" t="n">
        <v>2.438822006479602</v>
      </c>
      <c r="DB5" s="15" t="n">
        <v>2.438822006479602</v>
      </c>
      <c r="DC5" s="15" t="n">
        <v>1.653519176127227</v>
      </c>
      <c r="DD5" s="15" t="n">
        <v>0</v>
      </c>
      <c r="DE5" s="15" t="n">
        <v>5.940240748032486e-05</v>
      </c>
      <c r="DF5" s="15" t="n">
        <v>0</v>
      </c>
      <c r="DG5" s="15" t="n">
        <v>15</v>
      </c>
      <c r="DH5" s="15" t="inlineStr">
        <is>
          <t>Density_Metrics</t>
        </is>
      </c>
      <c r="DI5" s="15" t="n">
        <v>2.11676143041997</v>
      </c>
      <c r="DJ5" t="n">
        <v>0.9555972540965327</v>
      </c>
      <c r="DK5" s="15" t="n">
        <v>0.536409697309581</v>
      </c>
      <c r="DL5" s="15" t="n">
        <v>5.565518758702815</v>
      </c>
      <c r="DM5" s="15" t="n">
        <v>1.073354909803128</v>
      </c>
      <c r="DN5" s="15" t="n">
        <v>1.028338220902213</v>
      </c>
      <c r="DO5" s="15" t="n">
        <v>9.004852530021303</v>
      </c>
      <c r="DP5" s="15" t="n">
        <v>2.314531815456172</v>
      </c>
      <c r="DQ5" s="15" t="n">
        <v>5.4375</v>
      </c>
      <c r="DR5" s="15" t="n">
        <v>36</v>
      </c>
      <c r="DS5" s="15" t="b">
        <v>1</v>
      </c>
      <c r="DT5" s="15" t="n">
        <v>1.058615210420889</v>
      </c>
      <c r="DU5" s="15" t="n">
        <v>5.515325014873571</v>
      </c>
      <c r="DV5" t="n">
        <v>68</v>
      </c>
      <c r="DW5" s="15" t="n">
        <v>0.09026282220596549</v>
      </c>
      <c r="DX5" s="15" t="n">
        <v>1.313846200723507</v>
      </c>
      <c r="DY5" s="15" t="n">
        <v>2.538432968109385</v>
      </c>
      <c r="DZ5" s="15" t="n">
        <v>0.1726491713675284</v>
      </c>
      <c r="EA5" s="15" t="b">
        <v>1</v>
      </c>
      <c r="EB5" s="15" t="n">
        <v>0.1657698347963925</v>
      </c>
      <c r="EC5" s="15" t="n">
        <v>20000</v>
      </c>
      <c r="ED5" s="15" t="n">
        <v>4985.520301193973</v>
      </c>
      <c r="EE5" s="15" t="n">
        <v>17</v>
      </c>
      <c r="EF5" s="15" t="n">
        <v>0</v>
      </c>
      <c r="EG5" s="15" t="n">
        <v>0.03666289844319382</v>
      </c>
      <c r="EH5" s="15" t="b">
        <v>0</v>
      </c>
      <c r="EI5" s="15" t="b">
        <v>1</v>
      </c>
      <c r="EJ5" s="15" t="b">
        <v>0</v>
      </c>
      <c r="EK5" s="15" t="inlineStr">
        <is>
          <t>wf=log|dst=-90.0|ceil=20000.0|fft=adaptive_tier</t>
        </is>
      </c>
      <c r="EL5" s="15" t="inlineStr">
        <is>
          <t>wf=log|dst=runtime_configured|ceil=runtime_configured|fft=fixed</t>
        </is>
      </c>
      <c r="EM5" s="15" t="n">
        <v>0.590990674726245</v>
      </c>
      <c r="EN5" s="15" t="n">
        <v>0.9947269087796885</v>
      </c>
      <c r="EO5" s="15" t="n">
        <v>0.2173913043478261</v>
      </c>
      <c r="EP5" s="15" t="n">
        <v>0.3363830462682302</v>
      </c>
      <c r="EQ5" s="15" t="inlineStr">
        <is>
          <t>warn:power_outlier_detected</t>
        </is>
      </c>
      <c r="ER5" s="15" t="n">
        <v>929.2937381606021</v>
      </c>
      <c r="ES5" s="15" t="inlineStr">
        <is>
          <t>winsorize_p95_for_robust_diagnostics</t>
        </is>
      </c>
      <c r="ET5" s="15" t="n">
        <v>0.1690618536170945</v>
      </c>
      <c r="EU5" s="15" t="n">
        <v>0.02225328324568225</v>
      </c>
      <c r="EV5" s="15" t="n">
        <v>0.02500524300231728</v>
      </c>
      <c r="EW5" t="inlineStr">
        <is>
          <t>computed</t>
        </is>
      </c>
      <c r="EX5" s="15" t="inlineStr">
        <is>
          <t>computed</t>
        </is>
      </c>
      <c r="EY5" s="15" t="inlineStr">
        <is>
          <t>computed</t>
        </is>
      </c>
      <c r="EZ5" s="15" t="inlineStr">
        <is>
          <t>available_from_curve</t>
        </is>
      </c>
      <c r="FA5" s="15" t="n">
        <v>20000</v>
      </c>
      <c r="FB5" s="15" t="n">
        <v>20000</v>
      </c>
      <c r="FC5" s="15" t="n">
        <v>0.2589323512943612</v>
      </c>
      <c r="FD5" s="15" t="n">
        <v>0.06748901008363713</v>
      </c>
      <c r="FE5" s="15" t="n">
        <v>2.438822006479602</v>
      </c>
      <c r="FF5" s="15" t="n">
        <v>1.653519176127227</v>
      </c>
      <c r="FG5" s="15" t="n">
        <v>1.473177576095986</v>
      </c>
      <c r="FH5" s="15" t="n">
        <v>1.471142404818217</v>
      </c>
      <c r="FI5" s="15" t="n">
        <v>0.5601168850994528</v>
      </c>
      <c r="FJ5" s="15" t="n">
        <v>0.08550214050230029</v>
      </c>
      <c r="FK5" s="15" t="n">
        <v>10263.98638509468</v>
      </c>
      <c r="FL5" s="15" t="n">
        <v>43.27117002706501</v>
      </c>
      <c r="FM5" s="15" t="n">
        <v>27.95594866425319</v>
      </c>
      <c r="FN5" s="15" t="n">
        <v>0.004702562197485187</v>
      </c>
      <c r="FO5" t="n">
        <v>1</v>
      </c>
      <c r="FP5" t="n">
        <v>0</v>
      </c>
      <c r="FQ5" t="n">
        <v>0</v>
      </c>
      <c r="FR5" t="inlineStr">
        <is>
          <t>excellent</t>
        </is>
      </c>
      <c r="FS5" s="19" t="n">
        <v>0.9264705882352942</v>
      </c>
      <c r="FT5" s="15" t="n">
        <v>4.173204704157666</v>
      </c>
      <c r="FU5" s="15" t="n">
        <v>16.54227570253089</v>
      </c>
      <c r="FV5" t="inlineStr">
        <is>
          <t>passed</t>
        </is>
      </c>
      <c r="FW5" t="n">
        <v>136.838408627743</v>
      </c>
      <c r="FX5" t="n">
        <v>22.01589322417152</v>
      </c>
      <c r="FY5" t="n">
        <v>14.36440673544402</v>
      </c>
      <c r="FZ5" t="n">
        <v>0.9329073375975289</v>
      </c>
      <c r="GA5" t="n">
        <v>0.4099938348631243</v>
      </c>
      <c r="GB5" t="n">
        <v>0.8718995397829205</v>
      </c>
      <c r="GC5" t="n">
        <v>0.0216984410726358</v>
      </c>
      <c r="GD5" t="n">
        <v>0.06116540171621804</v>
      </c>
      <c r="GE5" t="n">
        <v>0.2869213234834441</v>
      </c>
      <c r="GF5" t="n">
        <v>0.940071957679359</v>
      </c>
      <c r="GG5" t="n">
        <v>0.02990734001383218</v>
      </c>
      <c r="GH5" t="n">
        <v>0.1993067551389531</v>
      </c>
      <c r="GI5" t="n">
        <v>0.2186921096069281</v>
      </c>
      <c r="GJ5" t="n">
        <v>0.04844290657439449</v>
      </c>
      <c r="GK5" t="n">
        <v>0.6323529411764707</v>
      </c>
      <c r="GL5" t="n">
        <v>0.2790697674418607</v>
      </c>
      <c r="GM5" t="n">
        <v>0.1549189674731616</v>
      </c>
      <c r="GN5" t="n">
        <v>0.1549189674731616</v>
      </c>
      <c r="GO5" t="n">
        <v>0.1673005014520161</v>
      </c>
      <c r="GP5" t="n">
        <v>0.2877724770164378</v>
      </c>
      <c r="GQ5" t="n">
        <v>159.788413335502</v>
      </c>
      <c r="GR5" t="inlineStr">
        <is>
          <t>compiled workbook density_weighted_sum = density_component_ratio_weighted_sum (per-note component ratios); research density_weighted_sum maps body-ceiling richness</t>
        </is>
      </c>
      <c r="GS5" s="15" t="inlineStr">
        <is>
          <t>individual_exact</t>
        </is>
      </c>
      <c r="GT5" s="15" t="inlineStr">
        <is>
          <t>density_weight</t>
        </is>
      </c>
      <c r="GU5" s="15" t="n">
        <v>0.5412967951946568</v>
      </c>
      <c r="GV5" s="15" t="n">
        <v>0.4587032048053431</v>
      </c>
      <c r="GW5" s="15" t="n">
        <v>0</v>
      </c>
      <c r="GX5" s="15" t="inlineStr">
        <is>
          <t>log</t>
        </is>
      </c>
      <c r="GY5" s="15" t="n">
        <v>0.5</v>
      </c>
      <c r="GZ5" s="15" t="inlineStr">
        <is>
          <t>EWSD-R v18.1</t>
        </is>
      </c>
      <c r="HA5" s="15" t="n">
        <v>4.002723309207159</v>
      </c>
      <c r="HB5" s="15" t="n">
        <v>16.3023725562524</v>
      </c>
      <c r="HC5" s="15" t="n">
        <v>0.3378900128672302</v>
      </c>
      <c r="HD5" s="15" t="n">
        <v>6.19341775941914</v>
      </c>
      <c r="HE5" s="15" t="n">
        <v>21.04978587872022</v>
      </c>
      <c r="HF5" s="15" t="n">
        <v>0.3379455913257196</v>
      </c>
      <c r="HG5" s="15" t="inlineStr">
        <is>
          <t>partials+ratios</t>
        </is>
      </c>
      <c r="HH5" s="15" t="inlineStr">
        <is>
          <t>merged_individual_exact</t>
        </is>
      </c>
      <c r="HI5" s="15" t="inlineStr">
        <is>
          <t>passed</t>
        </is>
      </c>
      <c r="HJ5" s="15" t="inlineStr">
        <is>
          <t>passed</t>
        </is>
      </c>
    </row>
    <row r="6">
      <c r="A6" t="inlineStr">
        <is>
          <t>incomplete_inference</t>
        </is>
      </c>
      <c r="B6" t="inlineStr">
        <is>
          <t>missing_instrument_technique</t>
        </is>
      </c>
      <c r="C6" t="inlineStr">
        <is>
          <t>prior_constrained_harmonic_fit</t>
        </is>
      </c>
      <c r="D6" t="inlineStr">
        <is>
          <t>IOWA_flt_pp.D#4_SustainStable/D#4/component_amplitude_mass_pie.png</t>
        </is>
      </c>
      <c r="E6" t="inlineStr">
        <is>
          <t>IOWA_flt_pp.D#4_SustainStable/D#4/component_energy_ratio_pie.png</t>
        </is>
      </c>
      <c r="F6" s="15" t="n">
        <v>311.1345551043926</v>
      </c>
      <c r="G6" s="15" t="inlineStr">
        <is>
          <t>prior_constrained_harmonic_fit</t>
        </is>
      </c>
      <c r="H6" s="15" t="inlineStr">
        <is>
          <t>fit_accepted_acoustically_verified</t>
        </is>
      </c>
      <c r="I6" s="16" t="n">
        <v>174.4580991344237</v>
      </c>
      <c r="J6" t="inlineStr">
        <is>
          <t>richness_weighted_body_density_body_ceiling</t>
        </is>
      </c>
      <c r="K6" t="inlineStr">
        <is>
          <t>research_body_ceiling_richness_metric</t>
        </is>
      </c>
      <c r="L6" s="15" t="n">
        <v>42804.75531448281</v>
      </c>
      <c r="M6" s="15" t="n">
        <v>42804.75531448281</v>
      </c>
      <c r="N6" s="15" t="n">
        <v>111.9821137073867</v>
      </c>
      <c r="O6" s="15" t="n">
        <v>107.5577913950603</v>
      </c>
      <c r="P6" s="15" t="n">
        <v>-3.940392173710157</v>
      </c>
      <c r="Q6" s="15" t="n">
        <v>11</v>
      </c>
      <c r="R6" s="15" t="n">
        <v>38</v>
      </c>
      <c r="S6" s="15" t="n">
        <v>10701.21362189478</v>
      </c>
      <c r="T6" s="15" t="n">
        <v>65</v>
      </c>
      <c r="U6" s="15" t="n">
        <v>-0.1758049276765882</v>
      </c>
      <c r="V6" s="15" t="n">
        <v>12.59674872658149</v>
      </c>
      <c r="W6" s="15" t="n">
        <v>0.9605761686974433</v>
      </c>
      <c r="X6" s="15" t="n">
        <v>0.07435592940436607</v>
      </c>
      <c r="Y6" s="15" t="n">
        <v>12</v>
      </c>
      <c r="Z6" s="15" t="n">
        <v>64</v>
      </c>
      <c r="AA6" s="15" t="n">
        <v>0.1875</v>
      </c>
      <c r="AB6" s="15" t="n">
        <v>64</v>
      </c>
      <c r="AC6" s="15" t="n">
        <v>12</v>
      </c>
      <c r="AD6" s="15" t="n">
        <v>0.1875</v>
      </c>
      <c r="AE6" s="15" t="n">
        <v>374.7713537327506</v>
      </c>
      <c r="AF6" s="15" t="n">
        <v>12</v>
      </c>
      <c r="AG6" s="15" t="n">
        <v>64</v>
      </c>
      <c r="AH6" s="15" t="n">
        <v>0.1875</v>
      </c>
      <c r="AI6" s="15" t="n">
        <v>374.7713537327506</v>
      </c>
      <c r="AJ6" s="15" t="n">
        <v>6</v>
      </c>
      <c r="AK6" s="15" t="n">
        <v>6</v>
      </c>
      <c r="AL6" s="15" t="n">
        <v>64.00639897916618</v>
      </c>
      <c r="AM6" s="15" t="n">
        <v>28</v>
      </c>
      <c r="AN6" s="15" t="n">
        <v>0</v>
      </c>
      <c r="AO6" s="15" t="n">
        <v>28</v>
      </c>
      <c r="AP6" s="15" t="n">
        <v>0</v>
      </c>
      <c r="AQ6" s="15" t="n">
        <v>18.4550775633504</v>
      </c>
      <c r="AR6" s="15" t="n">
        <v>9.969319927796274</v>
      </c>
      <c r="AS6" s="15" t="n">
        <v>0.1958104142628268</v>
      </c>
      <c r="AT6" s="17" t="n">
        <v>2.430904078744872</v>
      </c>
      <c r="AU6" s="18" t="n">
        <v>9.711818871462686</v>
      </c>
      <c r="AV6" s="15" t="n">
        <v>11.47012182231594</v>
      </c>
      <c r="AW6" s="15" t="b">
        <v>1</v>
      </c>
      <c r="AX6" s="15" t="n">
        <v>7.352868971772915</v>
      </c>
      <c r="AY6" s="15" t="n">
        <v>13.83818458347958</v>
      </c>
      <c r="AZ6" s="15" t="n">
        <v>0</v>
      </c>
      <c r="BA6" s="15" t="n">
        <v>1</v>
      </c>
      <c r="BB6" s="15" t="n">
        <v>0.5</v>
      </c>
      <c r="BC6" s="15" t="n">
        <v>0.25</v>
      </c>
      <c r="BD6" s="15" t="inlineStr">
        <is>
          <t>his_note_adaptive</t>
        </is>
      </c>
      <c r="BE6" s="15" t="n">
        <v>-90</v>
      </c>
      <c r="BF6" s="15" t="n">
        <v>20000</v>
      </c>
      <c r="BG6" s="15" t="n">
        <v>12</v>
      </c>
      <c r="BH6" s="15" t="n">
        <v>0.1875</v>
      </c>
      <c r="BI6" s="15" t="n">
        <v>64</v>
      </c>
      <c r="BJ6" s="15" t="n">
        <v>12</v>
      </c>
      <c r="BK6" s="15" t="n">
        <v>64</v>
      </c>
      <c r="BL6" s="15" t="n">
        <v>58</v>
      </c>
      <c r="BM6" s="15" t="n">
        <v>0.90625</v>
      </c>
      <c r="BN6" s="15" t="n">
        <v>0.03382595615151803</v>
      </c>
      <c r="BO6" s="15" t="n">
        <v>0.2333333333333333</v>
      </c>
      <c r="BP6" s="19" t="n">
        <v>0.7580311211240678</v>
      </c>
      <c r="BQ6" s="19" t="n">
        <v>0.2419688788759322</v>
      </c>
      <c r="BR6" s="19" t="n">
        <v>0</v>
      </c>
      <c r="BS6" s="15" t="n">
        <v>0.07448164527510219</v>
      </c>
      <c r="BT6" s="19" t="n">
        <v>1</v>
      </c>
      <c r="BU6" s="19" t="n">
        <v>0</v>
      </c>
      <c r="BV6" s="19" t="n">
        <v>0</v>
      </c>
      <c r="BW6" t="inlineStr">
        <is>
          <t>D#4</t>
        </is>
      </c>
      <c r="BX6" t="n">
        <v>63</v>
      </c>
      <c r="BY6" t="inlineStr">
        <is>
          <t>D#</t>
        </is>
      </c>
      <c r="BZ6" t="n">
        <v>4</v>
      </c>
      <c r="CA6" t="inlineStr">
        <is>
          <t>High</t>
        </is>
      </c>
      <c r="CB6" t="inlineStr">
        <is>
          <t>pp</t>
        </is>
      </c>
      <c r="CC6" s="15" t="n">
        <v>311.1269837220809</v>
      </c>
      <c r="CD6" s="15" t="n">
        <v>311.1345551043926</v>
      </c>
      <c r="CE6" t="inlineStr">
        <is>
          <t>prior_constrained_harmonic_fit</t>
        </is>
      </c>
      <c r="CF6" t="n">
        <v>311.1345551043926</v>
      </c>
      <c r="CG6" s="15" t="n">
        <v>1</v>
      </c>
      <c r="CH6" t="n">
        <v/>
      </c>
      <c r="CI6" t="inlineStr">
        <is>
          <t>free_fit_acoustically_verified</t>
        </is>
      </c>
      <c r="CJ6" s="15" t="inlineStr">
        <is>
          <t>free_f0_fit</t>
        </is>
      </c>
      <c r="CK6" s="15" t="n">
        <v>311.1269837220809</v>
      </c>
      <c r="CL6" s="15" t="n">
        <v>311.1345551043926</v>
      </c>
      <c r="CM6" s="15" t="n">
        <v>0.04212966426285086</v>
      </c>
      <c r="CN6" s="15" t="n">
        <v>20000</v>
      </c>
      <c r="CO6" s="15" t="n">
        <v>0.04212966426285086</v>
      </c>
      <c r="CP6" s="15" t="n">
        <v>2.075483522051566</v>
      </c>
      <c r="CQ6" s="15" t="n">
        <v>42804.75531448281</v>
      </c>
      <c r="CR6" t="n">
        <v>1.043371771437309</v>
      </c>
      <c r="CS6" t="n">
        <v>0.01630268392870796</v>
      </c>
      <c r="CT6" t="n">
        <v>167.2060754471984</v>
      </c>
      <c r="CU6" t="n">
        <v>167.2060754471984</v>
      </c>
      <c r="CV6" t="n">
        <v>174.4580991344237</v>
      </c>
      <c r="CW6" t="n">
        <v>107.5577913950603</v>
      </c>
      <c r="CX6" s="15" t="n">
        <v>42804.75531448281</v>
      </c>
      <c r="CY6" s="15" t="n">
        <v>111.9821137073867</v>
      </c>
      <c r="CZ6" s="15" t="n">
        <v>107.5577913950603</v>
      </c>
      <c r="DA6" s="15" t="n">
        <v>2.430904078744872</v>
      </c>
      <c r="DB6" s="15" t="n">
        <v>2.430904078744872</v>
      </c>
      <c r="DC6" s="15" t="n">
        <v>1.546613492242532</v>
      </c>
      <c r="DD6" s="15" t="n">
        <v>0</v>
      </c>
      <c r="DE6" s="15" t="n">
        <v>5.679051453244463e-05</v>
      </c>
      <c r="DF6" s="15" t="n">
        <v>0</v>
      </c>
      <c r="DG6" s="15" t="n">
        <v>11</v>
      </c>
      <c r="DH6" s="15" t="inlineStr">
        <is>
          <t>Density_Metrics</t>
        </is>
      </c>
      <c r="DI6" s="15" t="n">
        <v>2.075483522051566</v>
      </c>
      <c r="DJ6" t="n">
        <v>0.9369626288974758</v>
      </c>
      <c r="DK6" s="15" t="n">
        <v>0.535408576215855</v>
      </c>
      <c r="DL6" s="15" t="n">
        <v>5.445729691962116</v>
      </c>
      <c r="DM6" s="15" t="n">
        <v>1.054099689120195</v>
      </c>
      <c r="DN6" s="15" t="n">
        <v>1.016630777653417</v>
      </c>
      <c r="DO6" s="15" t="n">
        <v>16.0598337051841</v>
      </c>
      <c r="DP6" s="15" t="n">
        <v>3.000048512387887</v>
      </c>
      <c r="DQ6" s="15" t="n">
        <v>6.1875</v>
      </c>
      <c r="DR6" s="15" t="n">
        <v>31</v>
      </c>
      <c r="DS6" s="15" t="b">
        <v>1</v>
      </c>
      <c r="DT6" s="15" t="n">
        <v>1.043371771437309</v>
      </c>
      <c r="DU6" s="15" t="n">
        <v>4.758779481879428</v>
      </c>
      <c r="DV6" t="n">
        <v>64</v>
      </c>
      <c r="DW6" s="15" t="n">
        <v>0.07448164527510219</v>
      </c>
      <c r="DX6" s="15" t="n">
        <v>1.303833354475205</v>
      </c>
      <c r="DY6" s="15" t="n">
        <v>2.532752956292292</v>
      </c>
      <c r="DZ6" s="15" t="n">
        <v>0.180898900816079</v>
      </c>
      <c r="EA6" s="15" t="b">
        <v>1</v>
      </c>
      <c r="EB6" s="15" t="n">
        <v>0.1510183202231777</v>
      </c>
      <c r="EC6" s="15" t="n">
        <v>20000</v>
      </c>
      <c r="ED6" s="15" t="n">
        <v>4044.749216357104</v>
      </c>
      <c r="EE6" s="15" t="n">
        <v>13</v>
      </c>
      <c r="EF6" s="15" t="n">
        <v>0</v>
      </c>
      <c r="EG6" s="15" t="n">
        <v>0.03460516806898831</v>
      </c>
      <c r="EH6" s="15" t="b">
        <v>0</v>
      </c>
      <c r="EI6" s="15" t="b">
        <v>1</v>
      </c>
      <c r="EJ6" s="15" t="b">
        <v>0</v>
      </c>
      <c r="EK6" s="15" t="inlineStr">
        <is>
          <t>wf=log|dst=-90.0|ceil=20000.0|fft=adaptive_tier</t>
        </is>
      </c>
      <c r="EL6" s="15" t="inlineStr">
        <is>
          <t>wf=log|dst=runtime_configured|ceil=runtime_configured|fft=fixed</t>
        </is>
      </c>
      <c r="EM6" s="15" t="n">
        <v>0.5732655306442554</v>
      </c>
      <c r="EN6" s="15" t="n">
        <v>0.9936337634679043</v>
      </c>
      <c r="EO6" s="15" t="n">
        <v>0.1692307692307692</v>
      </c>
      <c r="EP6" s="15" t="n">
        <v>0.3344978392646463</v>
      </c>
      <c r="EQ6" s="15" t="inlineStr">
        <is>
          <t>warn:power_outlier_detected</t>
        </is>
      </c>
      <c r="ER6" s="15" t="n">
        <v>966.2385049121365</v>
      </c>
      <c r="ES6" s="15" t="inlineStr">
        <is>
          <t>winsorize_p95_for_robust_diagnostics</t>
        </is>
      </c>
      <c r="ET6" s="15" t="n">
        <v>0.1922225149549348</v>
      </c>
      <c r="EU6" s="15" t="n">
        <v>0.02352232777436219</v>
      </c>
      <c r="EV6" s="15" t="n">
        <v>0.02709040307775548</v>
      </c>
      <c r="EW6" t="inlineStr">
        <is>
          <t>computed</t>
        </is>
      </c>
      <c r="EX6" s="15" t="inlineStr">
        <is>
          <t>computed</t>
        </is>
      </c>
      <c r="EY6" s="15" t="inlineStr">
        <is>
          <t>computed</t>
        </is>
      </c>
      <c r="EZ6" s="15" t="inlineStr">
        <is>
          <t>available_from_curve</t>
        </is>
      </c>
      <c r="FA6" s="15" t="n">
        <v>20000</v>
      </c>
      <c r="FB6" s="15" t="n">
        <v>20000</v>
      </c>
      <c r="FC6" s="15" t="n">
        <v>0.2419688788759322</v>
      </c>
      <c r="FD6" s="15" t="n">
        <v>0.05555320037492211</v>
      </c>
      <c r="FE6" s="15" t="n">
        <v>2.430904078744872</v>
      </c>
      <c r="FF6" s="15" t="n">
        <v>1.546613492242532</v>
      </c>
      <c r="FG6" s="15" t="n">
        <v>1.468212120974713</v>
      </c>
      <c r="FH6" s="15" t="n">
        <v>1.466366164806482</v>
      </c>
      <c r="FI6" s="15" t="n">
        <v>0.5239034080975294</v>
      </c>
      <c r="FJ6" s="15" t="n">
        <v>0.08521394914755397</v>
      </c>
      <c r="FK6" s="15" t="n">
        <v>10701.1888286207</v>
      </c>
      <c r="FL6" s="15" t="n">
        <v>27.99552842684666</v>
      </c>
      <c r="FM6" s="15" t="n">
        <v>26.88944784876508</v>
      </c>
      <c r="FN6" s="15" t="n">
        <v>0.004960513132740737</v>
      </c>
      <c r="FO6" t="n">
        <v>1</v>
      </c>
      <c r="FP6" t="n">
        <v>0</v>
      </c>
      <c r="FQ6" t="n">
        <v>0</v>
      </c>
      <c r="FR6" t="inlineStr">
        <is>
          <t>excellent</t>
        </is>
      </c>
      <c r="FS6" s="19" t="n">
        <v>0.90625</v>
      </c>
      <c r="FT6" s="15" t="n">
        <v>3.614091039701833</v>
      </c>
      <c r="FU6" s="15" t="n">
        <v>15.5640602477023</v>
      </c>
      <c r="FV6" t="inlineStr">
        <is>
          <t>passed</t>
        </is>
      </c>
      <c r="FW6" t="n">
        <v>134.3571828512237</v>
      </c>
      <c r="FX6" t="n">
        <v>17.10287060500038</v>
      </c>
      <c r="FY6" t="n">
        <v>14.19542414318468</v>
      </c>
      <c r="FZ6" t="n">
        <v>0.9047503713550596</v>
      </c>
      <c r="GA6" t="n">
        <v>0.4476382457187124</v>
      </c>
      <c r="GB6" t="n">
        <v>0.8341690311822619</v>
      </c>
      <c r="GC6" t="n">
        <v>0.01454307199117467</v>
      </c>
      <c r="GD6" t="n">
        <v>0.04525876140438769</v>
      </c>
      <c r="GE6" t="n">
        <v>0.2428231594242275</v>
      </c>
      <c r="GF6" t="n">
        <v>0.9367258169564783</v>
      </c>
      <c r="GG6" t="n">
        <v>0.0143741470347283</v>
      </c>
      <c r="GH6" t="n">
        <v>0.1202025544825977</v>
      </c>
      <c r="GI6" t="n">
        <v>0.1573809560234471</v>
      </c>
      <c r="GJ6" t="n">
        <v>0.04411764705882354</v>
      </c>
      <c r="GK6" t="n">
        <v>0.5312499999999999</v>
      </c>
      <c r="GL6" t="n">
        <v>0.2093023255813953</v>
      </c>
      <c r="GM6" t="n">
        <v>0.09543059980924612</v>
      </c>
      <c r="GN6" t="n">
        <v>0.09543059980924612</v>
      </c>
      <c r="GO6" t="n">
        <v>0.1377124700521007</v>
      </c>
      <c r="GP6" t="n">
        <v>0.2228651917076256</v>
      </c>
      <c r="GQ6" t="n">
        <v>174.4580991344237</v>
      </c>
      <c r="GR6" t="inlineStr">
        <is>
          <t>compiled workbook density_weighted_sum = density_component_ratio_weighted_sum (per-note component ratios); research density_weighted_sum maps body-ceiling richness</t>
        </is>
      </c>
      <c r="GS6" s="15" t="inlineStr">
        <is>
          <t>individual_exact</t>
        </is>
      </c>
      <c r="GT6" s="15" t="inlineStr">
        <is>
          <t>density_weight</t>
        </is>
      </c>
      <c r="GU6" s="15" t="n">
        <v>0.5965576522906001</v>
      </c>
      <c r="GV6" s="15" t="n">
        <v>0.4034423477093999</v>
      </c>
      <c r="GW6" s="15" t="n">
        <v>0</v>
      </c>
      <c r="GX6" s="15" t="inlineStr">
        <is>
          <t>log</t>
        </is>
      </c>
      <c r="GY6" s="15" t="n">
        <v>0.5</v>
      </c>
      <c r="GZ6" s="15" t="inlineStr">
        <is>
          <t>EWSD-R v18.1</t>
        </is>
      </c>
      <c r="HA6" s="15" t="n">
        <v>5.356635161898796</v>
      </c>
      <c r="HB6" s="15" t="n">
        <v>16.73111598708795</v>
      </c>
      <c r="HC6" s="15" t="n">
        <v>0.3135618427024831</v>
      </c>
      <c r="HD6" s="15" t="n">
        <v>6.520860838440442</v>
      </c>
      <c r="HE6" s="15" t="n">
        <v>20.21914034041659</v>
      </c>
      <c r="HF6" s="15" t="n">
        <v>0.3165610533130985</v>
      </c>
      <c r="HG6" s="15" t="inlineStr">
        <is>
          <t>partials+ratios</t>
        </is>
      </c>
      <c r="HH6" s="15" t="inlineStr">
        <is>
          <t>merged_individual_exact</t>
        </is>
      </c>
      <c r="HI6" s="15" t="inlineStr">
        <is>
          <t>passed</t>
        </is>
      </c>
      <c r="HJ6" s="15" t="inlineStr">
        <is>
          <t>passed</t>
        </is>
      </c>
    </row>
    <row r="7">
      <c r="A7" t="inlineStr">
        <is>
          <t>incomplete_inference</t>
        </is>
      </c>
      <c r="B7" t="inlineStr">
        <is>
          <t>missing_instrument_technique</t>
        </is>
      </c>
      <c r="C7" t="inlineStr">
        <is>
          <t>prior_constrained_harmonic_fit</t>
        </is>
      </c>
      <c r="D7" t="inlineStr">
        <is>
          <t>IOWA_flt_pp.E4_SustainStable/E4/component_amplitude_mass_pie.png</t>
        </is>
      </c>
      <c r="E7" t="inlineStr">
        <is>
          <t>IOWA_flt_pp.E4_SustainStable/E4/component_energy_ratio_pie.png</t>
        </is>
      </c>
      <c r="F7" s="15" t="n">
        <v>329.5043856010349</v>
      </c>
      <c r="G7" s="15" t="inlineStr">
        <is>
          <t>prior_constrained_harmonic_fit</t>
        </is>
      </c>
      <c r="H7" s="15" t="inlineStr">
        <is>
          <t>fit_accepted_acoustically_verified</t>
        </is>
      </c>
      <c r="I7" s="16" t="n">
        <v>198.9333317085364</v>
      </c>
      <c r="J7" t="inlineStr">
        <is>
          <t>richness_weighted_body_density_body_ceiling</t>
        </is>
      </c>
      <c r="K7" t="inlineStr">
        <is>
          <t>research_body_ceiling_richness_metric</t>
        </is>
      </c>
      <c r="L7" s="15" t="n">
        <v>42195.80537638449</v>
      </c>
      <c r="M7" s="15" t="n">
        <v>42195.80537638449</v>
      </c>
      <c r="N7" s="15" t="n">
        <v>81.19884497816678</v>
      </c>
      <c r="O7" s="15" t="n">
        <v>146.5088844093008</v>
      </c>
      <c r="P7" s="15" t="n">
        <v>-4.767736778764037</v>
      </c>
      <c r="Q7" s="15" t="n">
        <v>11</v>
      </c>
      <c r="R7" s="15" t="n">
        <v>40</v>
      </c>
      <c r="S7" s="15" t="n">
        <v>10548.97746089508</v>
      </c>
      <c r="T7" s="15" t="n">
        <v>61</v>
      </c>
      <c r="U7" s="15" t="n">
        <v>0.3037609691753465</v>
      </c>
      <c r="V7" s="15" t="n">
        <v>15.17057136672202</v>
      </c>
      <c r="W7" s="15" t="n">
        <v>0.9791025700951307</v>
      </c>
      <c r="X7" s="15" t="n">
        <v>0.1254871852027916</v>
      </c>
      <c r="Y7" s="15" t="n">
        <v>12</v>
      </c>
      <c r="Z7" s="15" t="n">
        <v>60</v>
      </c>
      <c r="AA7" s="15" t="n">
        <v>0.2</v>
      </c>
      <c r="AB7" s="15" t="n">
        <v>60</v>
      </c>
      <c r="AC7" s="15" t="n">
        <v>12</v>
      </c>
      <c r="AD7" s="15" t="n">
        <v>0.2</v>
      </c>
      <c r="AE7" s="15" t="n">
        <v>408.1265819983139</v>
      </c>
      <c r="AF7" s="15" t="n">
        <v>12</v>
      </c>
      <c r="AG7" s="15" t="n">
        <v>60</v>
      </c>
      <c r="AH7" s="15" t="n">
        <v>0.2</v>
      </c>
      <c r="AI7" s="15" t="n">
        <v>408.1265819983139</v>
      </c>
      <c r="AJ7" s="15" t="n">
        <v>7</v>
      </c>
      <c r="AK7" s="15" t="n">
        <v>5</v>
      </c>
      <c r="AL7" s="15" t="n">
        <v>22.04335387055067</v>
      </c>
      <c r="AM7" s="15" t="n">
        <v>36</v>
      </c>
      <c r="AN7" s="15" t="n">
        <v>0</v>
      </c>
      <c r="AO7" s="15" t="n">
        <v>36</v>
      </c>
      <c r="AP7" s="15" t="n">
        <v>0</v>
      </c>
      <c r="AQ7" s="15" t="n">
        <v>22.73256154845673</v>
      </c>
      <c r="AR7" s="15" t="n">
        <v>11.75915245845003</v>
      </c>
      <c r="AS7" s="15" t="n">
        <v>0.2640681612701667</v>
      </c>
      <c r="AT7" s="17" t="n">
        <v>2.467838503524548</v>
      </c>
      <c r="AU7" s="18" t="n">
        <v>9.079676585071637</v>
      </c>
      <c r="AV7" s="15" t="n">
        <v>10.87165455717262</v>
      </c>
      <c r="AW7" s="15" t="b">
        <v>1</v>
      </c>
      <c r="AX7" s="15" t="n">
        <v>7.255574576751653</v>
      </c>
      <c r="AY7" s="15" t="n">
        <v>17.3264107581014</v>
      </c>
      <c r="AZ7" s="15" t="n">
        <v>0</v>
      </c>
      <c r="BA7" s="15" t="n">
        <v>1</v>
      </c>
      <c r="BB7" s="15" t="n">
        <v>0.5</v>
      </c>
      <c r="BC7" s="15" t="n">
        <v>0.25</v>
      </c>
      <c r="BD7" s="15" t="inlineStr">
        <is>
          <t>his_note_adaptive</t>
        </is>
      </c>
      <c r="BE7" s="15" t="n">
        <v>-90</v>
      </c>
      <c r="BF7" s="15" t="n">
        <v>20000</v>
      </c>
      <c r="BG7" s="15" t="n">
        <v>12</v>
      </c>
      <c r="BH7" s="15" t="n">
        <v>0.2</v>
      </c>
      <c r="BI7" s="15" t="n">
        <v>60</v>
      </c>
      <c r="BJ7" s="15" t="n">
        <v>12</v>
      </c>
      <c r="BK7" s="15" t="n">
        <v>60</v>
      </c>
      <c r="BL7" s="15" t="n">
        <v>54</v>
      </c>
      <c r="BM7" s="15" t="n">
        <v>0.9</v>
      </c>
      <c r="BN7" s="15" t="n">
        <v>0.05903201908475278</v>
      </c>
      <c r="BO7" s="15" t="n">
        <v>0.3</v>
      </c>
      <c r="BP7" s="19" t="n">
        <v>0.7585515440435171</v>
      </c>
      <c r="BQ7" s="19" t="n">
        <v>0.241448455956483</v>
      </c>
      <c r="BR7" s="19" t="n">
        <v>0</v>
      </c>
      <c r="BS7" s="15" t="n">
        <v>0.09549059303317352</v>
      </c>
      <c r="BT7" s="19" t="n">
        <v>1</v>
      </c>
      <c r="BU7" s="19" t="n">
        <v>0</v>
      </c>
      <c r="BV7" s="19" t="n">
        <v>0</v>
      </c>
      <c r="BW7" t="inlineStr">
        <is>
          <t>E4</t>
        </is>
      </c>
      <c r="BX7" t="n">
        <v>64</v>
      </c>
      <c r="BY7" t="inlineStr">
        <is>
          <t>E</t>
        </is>
      </c>
      <c r="BZ7" t="n">
        <v>4</v>
      </c>
      <c r="CA7" t="inlineStr">
        <is>
          <t>High</t>
        </is>
      </c>
      <c r="CB7" t="inlineStr">
        <is>
          <t>pp</t>
        </is>
      </c>
      <c r="CC7" s="15" t="n">
        <v>329.6275569128699</v>
      </c>
      <c r="CD7" s="15" t="n">
        <v>329.5043856010349</v>
      </c>
      <c r="CE7" t="inlineStr">
        <is>
          <t>prior_constrained_harmonic_fit</t>
        </is>
      </c>
      <c r="CF7" t="n">
        <v>329.5043856010349</v>
      </c>
      <c r="CG7" s="15" t="n">
        <v>1</v>
      </c>
      <c r="CH7" t="n">
        <v/>
      </c>
      <c r="CI7" t="inlineStr">
        <is>
          <t>free_fit_acoustically_verified</t>
        </is>
      </c>
      <c r="CJ7" s="15" t="inlineStr">
        <is>
          <t>free_f0_fit</t>
        </is>
      </c>
      <c r="CK7" s="15" t="n">
        <v>329.6275569128699</v>
      </c>
      <c r="CL7" s="15" t="n">
        <v>329.5043856010349</v>
      </c>
      <c r="CM7" s="15" t="n">
        <v>-0.647027879079094</v>
      </c>
      <c r="CN7" s="15" t="n">
        <v>20000</v>
      </c>
      <c r="CO7" s="15" t="n">
        <v>-0.647027879079094</v>
      </c>
      <c r="CP7" s="15" t="n">
        <v>2.081199425889139</v>
      </c>
      <c r="CQ7" s="15" t="n">
        <v>42195.80537638449</v>
      </c>
      <c r="CR7" t="n">
        <v>1.131486866625121</v>
      </c>
      <c r="CS7" t="n">
        <v>0.01885811444375202</v>
      </c>
      <c r="CT7" t="n">
        <v>175.8158557349354</v>
      </c>
      <c r="CU7" t="n">
        <v>175.8158557349354</v>
      </c>
      <c r="CV7" t="n">
        <v>198.9333317085364</v>
      </c>
      <c r="CW7" t="n">
        <v>146.5088844093008</v>
      </c>
      <c r="CX7" s="15" t="n">
        <v>42195.80537638449</v>
      </c>
      <c r="CY7" s="15" t="n">
        <v>81.19884497816678</v>
      </c>
      <c r="CZ7" s="15" t="n">
        <v>146.5088844093008</v>
      </c>
      <c r="DA7" s="15" t="n">
        <v>2.467838503524548</v>
      </c>
      <c r="DB7" s="15" t="n">
        <v>2.467838503524548</v>
      </c>
      <c r="DC7" s="15" t="n">
        <v>1.483213366273726</v>
      </c>
      <c r="DD7" s="15" t="n">
        <v>0</v>
      </c>
      <c r="DE7" s="15" t="n">
        <v>5.848539876207008e-05</v>
      </c>
      <c r="DF7" s="15" t="n">
        <v>0</v>
      </c>
      <c r="DG7" s="15" t="n">
        <v>11</v>
      </c>
      <c r="DH7" s="15" t="inlineStr">
        <is>
          <t>Density_Metrics</t>
        </is>
      </c>
      <c r="DI7" s="15" t="n">
        <v>2.081199425889139</v>
      </c>
      <c r="DJ7" t="n">
        <v>0.9395430340075506</v>
      </c>
      <c r="DK7" s="15" t="n">
        <v>0.5400588642767092</v>
      </c>
      <c r="DL7" s="15" t="n">
        <v>5.503908107034585</v>
      </c>
      <c r="DM7" s="15" t="n">
        <v>1.143729091163408</v>
      </c>
      <c r="DN7" s="15" t="n">
        <v>1.020245423310957</v>
      </c>
      <c r="DO7" s="15" t="n">
        <v>11.95411294408156</v>
      </c>
      <c r="DP7" s="15" t="n">
        <v>2.057206490645984</v>
      </c>
      <c r="DQ7" s="15" t="n">
        <v>5.8125</v>
      </c>
      <c r="DR7" s="15" t="n">
        <v>31</v>
      </c>
      <c r="DS7" s="15" t="b">
        <v>1</v>
      </c>
      <c r="DT7" s="15" t="n">
        <v>1.131486866625121</v>
      </c>
      <c r="DU7" s="15" t="n">
        <v>7.529231112167494</v>
      </c>
      <c r="DV7" t="n">
        <v>60</v>
      </c>
      <c r="DW7" s="15" t="n">
        <v>0.09549059303317352</v>
      </c>
      <c r="DX7" s="15" t="n">
        <v>1.385067804551202</v>
      </c>
      <c r="DY7" s="15" t="n">
        <v>2.545869642792762</v>
      </c>
      <c r="DZ7" s="15" t="n">
        <v>0.1523825577698706</v>
      </c>
      <c r="EA7" s="15" t="b">
        <v>1</v>
      </c>
      <c r="EB7" s="15" t="n">
        <v>0.1505416149543047</v>
      </c>
      <c r="EC7" s="15" t="n">
        <v>20000</v>
      </c>
      <c r="ED7" s="15" t="n">
        <v>4283.557012813453</v>
      </c>
      <c r="EE7" s="15" t="n">
        <v>13</v>
      </c>
      <c r="EF7" s="15" t="n">
        <v>0</v>
      </c>
      <c r="EG7" s="15" t="n">
        <v>0.03266292922635083</v>
      </c>
      <c r="EH7" s="15" t="b">
        <v>0</v>
      </c>
      <c r="EI7" s="15" t="b">
        <v>1</v>
      </c>
      <c r="EJ7" s="15" t="b">
        <v>0</v>
      </c>
      <c r="EK7" s="15" t="inlineStr">
        <is>
          <t>wf=log|dst=-90.0|ceil=20000.0|fft=adaptive_tier</t>
        </is>
      </c>
      <c r="EL7" s="15" t="inlineStr">
        <is>
          <t>wf=log|dst=runtime_configured|ceil=runtime_configured|fft=fixed</t>
        </is>
      </c>
      <c r="EM7" s="15" t="n">
        <v>0.5790424389916845</v>
      </c>
      <c r="EN7" s="15" t="n">
        <v>0.9968969615049644</v>
      </c>
      <c r="EO7" s="15" t="n">
        <v>0.180327868852459</v>
      </c>
      <c r="EP7" s="15" t="n">
        <v>0.3366202610804491</v>
      </c>
      <c r="EQ7" s="15" t="inlineStr">
        <is>
          <t>warn:power_outlier_detected</t>
        </is>
      </c>
      <c r="ER7" s="15" t="n">
        <v>924.7737475880581</v>
      </c>
      <c r="ES7" s="15" t="inlineStr">
        <is>
          <t>winsorize_p95_for_robust_diagnostics</t>
        </is>
      </c>
      <c r="ET7" s="15" t="n">
        <v>0.1762388291158687</v>
      </c>
      <c r="EU7" s="15" t="n">
        <v>0.02468320573436613</v>
      </c>
      <c r="EV7" s="15" t="n">
        <v>0.02811858262216065</v>
      </c>
      <c r="EW7" t="inlineStr">
        <is>
          <t>computed</t>
        </is>
      </c>
      <c r="EX7" s="15" t="inlineStr">
        <is>
          <t>computed</t>
        </is>
      </c>
      <c r="EY7" s="15" t="inlineStr">
        <is>
          <t>computed</t>
        </is>
      </c>
      <c r="EZ7" s="15" t="inlineStr">
        <is>
          <t>available_from_curve</t>
        </is>
      </c>
      <c r="FA7" s="15" t="n">
        <v>20000</v>
      </c>
      <c r="FB7" s="15" t="n">
        <v>20000</v>
      </c>
      <c r="FC7" s="15" t="n">
        <v>0.241448455956483</v>
      </c>
      <c r="FD7" s="15" t="n">
        <v>0.1203438097027004</v>
      </c>
      <c r="FE7" s="15" t="n">
        <v>2.467838503524548</v>
      </c>
      <c r="FF7" s="15" t="n">
        <v>1.483213366273726</v>
      </c>
      <c r="FG7" s="15" t="n">
        <v>1.552856237236311</v>
      </c>
      <c r="FH7" s="15" t="n">
        <v>1.488645690883657</v>
      </c>
      <c r="FI7" s="15" t="n">
        <v>0.502427103749047</v>
      </c>
      <c r="FJ7" s="15" t="n">
        <v>0.0901266312564355</v>
      </c>
      <c r="FK7" s="15" t="n">
        <v>10548.95134409612</v>
      </c>
      <c r="FL7" s="15" t="n">
        <v>20.29971124454169</v>
      </c>
      <c r="FM7" s="15" t="n">
        <v>36.62722110232521</v>
      </c>
      <c r="FN7" s="15" t="n">
        <v>0.004888577493571251</v>
      </c>
      <c r="FO7" t="n">
        <v>1</v>
      </c>
      <c r="FP7" t="n">
        <v>0</v>
      </c>
      <c r="FQ7" t="n">
        <v>0</v>
      </c>
      <c r="FR7" t="inlineStr">
        <is>
          <t>excellent</t>
        </is>
      </c>
      <c r="FS7" s="19" t="n">
        <v>0.9</v>
      </c>
      <c r="FT7" s="15" t="n">
        <v>4.1275966863482</v>
      </c>
      <c r="FU7" s="15" t="n">
        <v>14.96449642667486</v>
      </c>
      <c r="FV7" t="inlineStr">
        <is>
          <t>passed</t>
        </is>
      </c>
      <c r="FW7" t="n">
        <v>146.3278731237649</v>
      </c>
      <c r="FX7" t="n">
        <v>14.71189680648414</v>
      </c>
      <c r="FY7" t="n">
        <v>17.35772955635607</v>
      </c>
      <c r="FZ7" t="n">
        <v>0.9086493700631174</v>
      </c>
      <c r="GA7" t="n">
        <v>0.5104450245028699</v>
      </c>
      <c r="GB7" t="n">
        <v>0.8524937518766479</v>
      </c>
      <c r="GC7" t="n">
        <v>0.04784995861326885</v>
      </c>
      <c r="GD7" t="n">
        <v>0.1372075091052847</v>
      </c>
      <c r="GE7" t="n">
        <v>0.3931544461441494</v>
      </c>
      <c r="GF7" t="n">
        <v>0.9862895903657317</v>
      </c>
      <c r="GG7" t="n">
        <v>0.1320068782940552</v>
      </c>
      <c r="GH7" t="n">
        <v>0.2255113046673312</v>
      </c>
      <c r="GI7" t="n">
        <v>0.3783484694726947</v>
      </c>
      <c r="GJ7" t="n">
        <v>0.05882352941176473</v>
      </c>
      <c r="GK7" t="n">
        <v>0.5</v>
      </c>
      <c r="GL7" t="n">
        <v>0.3953488372093023</v>
      </c>
      <c r="GM7" t="n">
        <v>0.0936055542519882</v>
      </c>
      <c r="GN7" t="n">
        <v>0.0936055542519882</v>
      </c>
      <c r="GO7" t="n">
        <v>0.2983238261304594</v>
      </c>
      <c r="GP7" t="n">
        <v>0.3219663636253579</v>
      </c>
      <c r="GQ7" t="n">
        <v>198.9333317085364</v>
      </c>
      <c r="GR7" t="inlineStr">
        <is>
          <t>compiled workbook density_weighted_sum = density_component_ratio_weighted_sum (per-note component ratios); research density_weighted_sum maps body-ceiling richness</t>
        </is>
      </c>
      <c r="GS7" s="15" t="inlineStr">
        <is>
          <t>individual_exact</t>
        </is>
      </c>
      <c r="GT7" s="15" t="inlineStr">
        <is>
          <t>density_weight</t>
        </is>
      </c>
      <c r="GU7" s="15" t="n">
        <v>0.5528099354809696</v>
      </c>
      <c r="GV7" s="15" t="n">
        <v>0.4471900645190305</v>
      </c>
      <c r="GW7" s="15" t="n">
        <v>0</v>
      </c>
      <c r="GX7" s="15" t="inlineStr">
        <is>
          <t>log</t>
        </is>
      </c>
      <c r="GY7" s="15" t="n">
        <v>0.5</v>
      </c>
      <c r="GZ7" s="15" t="inlineStr">
        <is>
          <t>EWSD-R v18.1</t>
        </is>
      </c>
      <c r="HA7" s="15" t="n">
        <v>4.020479415305102</v>
      </c>
      <c r="HB7" s="15" t="n">
        <v>19.4590509904775</v>
      </c>
      <c r="HC7" s="15" t="n">
        <v>0.4349688299891588</v>
      </c>
      <c r="HD7" s="15" t="n">
        <v>5.49133820234515</v>
      </c>
      <c r="HE7" s="15" t="n">
        <v>22.58335337693727</v>
      </c>
      <c r="HF7" s="15" t="n">
        <v>0.4034953370137051</v>
      </c>
      <c r="HG7" s="15" t="inlineStr">
        <is>
          <t>partials+ratios</t>
        </is>
      </c>
      <c r="HH7" s="15" t="inlineStr">
        <is>
          <t>merged_individual_exact</t>
        </is>
      </c>
      <c r="HI7" s="15" t="inlineStr">
        <is>
          <t>passed</t>
        </is>
      </c>
      <c r="HJ7" s="15" t="inlineStr">
        <is>
          <t>passed</t>
        </is>
      </c>
    </row>
    <row r="8">
      <c r="A8" t="inlineStr">
        <is>
          <t>incomplete_inference</t>
        </is>
      </c>
      <c r="B8" t="inlineStr">
        <is>
          <t>missing_instrument_technique</t>
        </is>
      </c>
      <c r="C8" t="inlineStr">
        <is>
          <t>prior_constrained_harmonic_fit</t>
        </is>
      </c>
      <c r="D8" t="inlineStr">
        <is>
          <t>IOWA_flt_pp.F4_SustainStable/F4/component_amplitude_mass_pie.png</t>
        </is>
      </c>
      <c r="E8" t="inlineStr">
        <is>
          <t>IOWA_flt_pp.F4_SustainStable/F4/component_energy_ratio_pie.png</t>
        </is>
      </c>
      <c r="F8" s="15" t="n">
        <v>348.6638106737653</v>
      </c>
      <c r="G8" s="15" t="inlineStr">
        <is>
          <t>prior_constrained_harmonic_fit</t>
        </is>
      </c>
      <c r="H8" s="15" t="inlineStr">
        <is>
          <t>fit_accepted_acoustically_verified</t>
        </is>
      </c>
      <c r="I8" s="16" t="n">
        <v>339.1704392797926</v>
      </c>
      <c r="J8" t="inlineStr">
        <is>
          <t>richness_weighted_body_density_body_ceiling</t>
        </is>
      </c>
      <c r="K8" t="inlineStr">
        <is>
          <t>research_body_ceiling_richness_metric</t>
        </is>
      </c>
      <c r="L8" s="15" t="n">
        <v>40096.3394255841</v>
      </c>
      <c r="M8" s="15" t="n">
        <v>40096.3394255841</v>
      </c>
      <c r="N8" s="15" t="n">
        <v>164.6747889522843</v>
      </c>
      <c r="O8" s="15" t="n">
        <v>461.9617793540529</v>
      </c>
      <c r="P8" s="15" t="n">
        <v>-5.239936006808692</v>
      </c>
      <c r="Q8" s="15" t="n">
        <v>9</v>
      </c>
      <c r="R8" s="15" t="n">
        <v>48</v>
      </c>
      <c r="S8" s="15" t="n">
        <v>10024.13130483351</v>
      </c>
      <c r="T8" s="15" t="n">
        <v>58</v>
      </c>
      <c r="U8" s="15" t="n">
        <v>1.328519117322226</v>
      </c>
      <c r="V8" s="15" t="n">
        <v>23.70126395135726</v>
      </c>
      <c r="W8" s="15" t="n">
        <v>0.9446909070009407</v>
      </c>
      <c r="X8" s="15" t="n">
        <v>0.2365596860714883</v>
      </c>
      <c r="Y8" s="15" t="n">
        <v>12</v>
      </c>
      <c r="Z8" s="15" t="n">
        <v>57</v>
      </c>
      <c r="AA8" s="15" t="n">
        <v>0.2105263157894737</v>
      </c>
      <c r="AB8" s="15" t="n">
        <v>57</v>
      </c>
      <c r="AC8" s="15" t="n">
        <v>12</v>
      </c>
      <c r="AD8" s="15" t="n">
        <v>0.2105263157894737</v>
      </c>
      <c r="AE8" s="15" t="n">
        <v>490.4131201413116</v>
      </c>
      <c r="AF8" s="15" t="n">
        <v>12</v>
      </c>
      <c r="AG8" s="15" t="n">
        <v>57</v>
      </c>
      <c r="AH8" s="15" t="n">
        <v>0.2105263157894737</v>
      </c>
      <c r="AI8" s="15" t="n">
        <v>490.4131201413116</v>
      </c>
      <c r="AJ8" s="15" t="n">
        <v>6</v>
      </c>
      <c r="AK8" s="15" t="n">
        <v>6</v>
      </c>
      <c r="AL8" s="15" t="n">
        <v>2.103454882516712</v>
      </c>
      <c r="AM8" s="15" t="n">
        <v>48</v>
      </c>
      <c r="AN8" s="15" t="n">
        <v>0</v>
      </c>
      <c r="AO8" s="15" t="n">
        <v>48</v>
      </c>
      <c r="AP8" s="15" t="n">
        <v>0</v>
      </c>
      <c r="AQ8" s="15" t="n">
        <v>28.49852379479405</v>
      </c>
      <c r="AR8" s="15" t="n">
        <v>14.92999078057527</v>
      </c>
      <c r="AS8" s="15" t="n">
        <v>0.3849924803257312</v>
      </c>
      <c r="AT8" s="17" t="n">
        <v>2.546618341540176</v>
      </c>
      <c r="AU8" s="18" t="n">
        <v>11.14093599122973</v>
      </c>
      <c r="AV8" s="15" t="n">
        <v>12.70607212562334</v>
      </c>
      <c r="AW8" s="15" t="b">
        <v>1</v>
      </c>
      <c r="AX8" s="15" t="n">
        <v>7.605728414690788</v>
      </c>
      <c r="AY8" s="15" t="n">
        <v>23.58736704196245</v>
      </c>
      <c r="AZ8" s="15" t="n">
        <v>0</v>
      </c>
      <c r="BA8" s="15" t="n">
        <v>1</v>
      </c>
      <c r="BB8" s="15" t="n">
        <v>0.5</v>
      </c>
      <c r="BC8" s="15" t="n">
        <v>0.25</v>
      </c>
      <c r="BD8" s="15" t="inlineStr">
        <is>
          <t>his_note_adaptive</t>
        </is>
      </c>
      <c r="BE8" s="15" t="n">
        <v>-90</v>
      </c>
      <c r="BF8" s="15" t="n">
        <v>20000</v>
      </c>
      <c r="BG8" s="15" t="n">
        <v>12</v>
      </c>
      <c r="BH8" s="15" t="n">
        <v>0.2105263157894737</v>
      </c>
      <c r="BI8" s="15" t="n">
        <v>57</v>
      </c>
      <c r="BJ8" s="15" t="n">
        <v>12</v>
      </c>
      <c r="BK8" s="15" t="n">
        <v>57</v>
      </c>
      <c r="BL8" s="15" t="n">
        <v>51</v>
      </c>
      <c r="BM8" s="15" t="n">
        <v>0.8947368421052632</v>
      </c>
      <c r="BN8" s="15" t="n">
        <v>0.132883431211156</v>
      </c>
      <c r="BO8" s="15" t="n">
        <v>0.4</v>
      </c>
      <c r="BP8" s="19" t="n">
        <v>0.781249121711343</v>
      </c>
      <c r="BQ8" s="19" t="n">
        <v>0.218750878288657</v>
      </c>
      <c r="BR8" s="19" t="n">
        <v>0</v>
      </c>
      <c r="BS8" s="15" t="n">
        <v>0.1120005755959014</v>
      </c>
      <c r="BT8" s="19" t="n">
        <v>1</v>
      </c>
      <c r="BU8" s="19" t="n">
        <v>0</v>
      </c>
      <c r="BV8" s="19" t="n">
        <v>0</v>
      </c>
      <c r="BW8" t="inlineStr">
        <is>
          <t>F4</t>
        </is>
      </c>
      <c r="BX8" t="n">
        <v>65</v>
      </c>
      <c r="BY8" t="inlineStr">
        <is>
          <t>F</t>
        </is>
      </c>
      <c r="BZ8" t="n">
        <v>4</v>
      </c>
      <c r="CA8" t="inlineStr">
        <is>
          <t>High</t>
        </is>
      </c>
      <c r="CB8" t="inlineStr">
        <is>
          <t>pp</t>
        </is>
      </c>
      <c r="CC8" s="15" t="n">
        <v>349.2282314330039</v>
      </c>
      <c r="CD8" s="15" t="n">
        <v>348.6638106737653</v>
      </c>
      <c r="CE8" t="inlineStr">
        <is>
          <t>prior_constrained_harmonic_fit</t>
        </is>
      </c>
      <c r="CF8" t="n">
        <v>348.6638106737653</v>
      </c>
      <c r="CG8" s="15" t="n">
        <v>1</v>
      </c>
      <c r="CH8" t="n">
        <v/>
      </c>
      <c r="CI8" t="inlineStr">
        <is>
          <t>free_fit_acoustically_verified</t>
        </is>
      </c>
      <c r="CJ8" s="15" t="inlineStr">
        <is>
          <t>free_f0_fit</t>
        </is>
      </c>
      <c r="CK8" s="15" t="n">
        <v>349.2282314330039</v>
      </c>
      <c r="CL8" s="15" t="n">
        <v>348.6638106737653</v>
      </c>
      <c r="CM8" s="15" t="n">
        <v>-2.800274513769423</v>
      </c>
      <c r="CN8" s="15" t="n">
        <v>20000</v>
      </c>
      <c r="CO8" s="15" t="n">
        <v>-2.800274513769423</v>
      </c>
      <c r="CP8" s="15" t="n">
        <v>2.179450771719826</v>
      </c>
      <c r="CQ8" s="15" t="n">
        <v>40096.3394255841</v>
      </c>
      <c r="CR8" t="n">
        <v>1.92862643482239</v>
      </c>
      <c r="CS8" t="n">
        <v>0.0338355514881121</v>
      </c>
      <c r="CT8" t="n">
        <v>175.8611378315092</v>
      </c>
      <c r="CU8" t="n">
        <v>175.8611378315092</v>
      </c>
      <c r="CV8" t="n">
        <v>339.1704392797926</v>
      </c>
      <c r="CW8" t="n">
        <v>461.9617793540529</v>
      </c>
      <c r="CX8" s="15" t="n">
        <v>40096.3394255841</v>
      </c>
      <c r="CY8" s="15" t="n">
        <v>164.6747889522843</v>
      </c>
      <c r="CZ8" s="15" t="n">
        <v>461.9617793540529</v>
      </c>
      <c r="DA8" s="15" t="n">
        <v>2.546618341540176</v>
      </c>
      <c r="DB8" s="15" t="n">
        <v>2.546618341540176</v>
      </c>
      <c r="DC8" s="15" t="n">
        <v>1.59179997553745</v>
      </c>
      <c r="DD8" s="15" t="n">
        <v>0</v>
      </c>
      <c r="DE8" s="15" t="n">
        <v>6.351248961932085e-05</v>
      </c>
      <c r="DF8" s="15" t="n">
        <v>0</v>
      </c>
      <c r="DG8" s="15" t="n">
        <v>9</v>
      </c>
      <c r="DH8" s="15" t="inlineStr">
        <is>
          <t>Density_Metrics</t>
        </is>
      </c>
      <c r="DI8" s="15" t="n">
        <v>2.179450771719826</v>
      </c>
      <c r="DJ8" t="n">
        <v>0.9838979220633416</v>
      </c>
      <c r="DK8" s="15" t="n">
        <v>0.5498144557171616</v>
      </c>
      <c r="DL8" s="15" t="n">
        <v>5.931577698799838</v>
      </c>
      <c r="DM8" s="15" t="n">
        <v>1.989291355751834</v>
      </c>
      <c r="DN8" s="15" t="n">
        <v>1.117481252241132</v>
      </c>
      <c r="DO8" s="15" t="n">
        <v>8.037196747176473</v>
      </c>
      <c r="DP8" s="15" t="n">
        <v>0.9494268982988248</v>
      </c>
      <c r="DQ8" s="15" t="n">
        <v>4.5625</v>
      </c>
      <c r="DR8" s="15" t="n">
        <v>27</v>
      </c>
      <c r="DS8" s="15" t="b">
        <v>1</v>
      </c>
      <c r="DT8" s="15" t="n">
        <v>1.92862643482239</v>
      </c>
      <c r="DU8" s="15" t="n">
        <v>13.48390210607483</v>
      </c>
      <c r="DV8" t="n">
        <v>57</v>
      </c>
      <c r="DW8" s="15" t="n">
        <v>0.1120005755959014</v>
      </c>
      <c r="DX8" s="15" t="n">
        <v>1.562056103698566</v>
      </c>
      <c r="DY8" s="15" t="n">
        <v>2.544168121101839</v>
      </c>
      <c r="DZ8" s="15" t="n">
        <v>0.1085216432138604</v>
      </c>
      <c r="EA8" s="15" t="b">
        <v>1</v>
      </c>
      <c r="EB8" s="15" t="n">
        <v>0.2182737569009471</v>
      </c>
      <c r="EC8" s="15" t="n">
        <v>20000</v>
      </c>
      <c r="ED8" s="15" t="n">
        <v>4183.965728085183</v>
      </c>
      <c r="EE8" s="15" t="n">
        <v>12</v>
      </c>
      <c r="EF8" s="15" t="n">
        <v>0</v>
      </c>
      <c r="EG8" s="15" t="n">
        <v>0.03082969987369268</v>
      </c>
      <c r="EH8" s="15" t="b">
        <v>0</v>
      </c>
      <c r="EI8" s="15" t="b">
        <v>1</v>
      </c>
      <c r="EJ8" s="15" t="b">
        <v>0</v>
      </c>
      <c r="EK8" s="15" t="inlineStr">
        <is>
          <t>wf=log|dst=-90.0|ceil=20000.0|fft=adaptive_tier</t>
        </is>
      </c>
      <c r="EL8" s="15" t="inlineStr">
        <is>
          <t>wf=log|dst=runtime_configured|ceil=runtime_configured|fft=fixed</t>
        </is>
      </c>
      <c r="EM8" s="15" t="n">
        <v>0.573533923999217</v>
      </c>
      <c r="EN8" s="15" t="n">
        <v>0.9946842868452552</v>
      </c>
      <c r="EO8" s="15" t="n">
        <v>0.1551724137931035</v>
      </c>
      <c r="EP8" s="15" t="n">
        <v>0.3580782504563297</v>
      </c>
      <c r="EQ8" s="15" t="inlineStr">
        <is>
          <t>warn:power_outlier_detected</t>
        </is>
      </c>
      <c r="ER8" s="15" t="n">
        <v>610.4198342884897</v>
      </c>
      <c r="ES8" s="15" t="inlineStr">
        <is>
          <t>winsorize_p95_for_robust_diagnostics</t>
        </is>
      </c>
      <c r="ET8" s="15" t="n">
        <v>0.1523388546476396</v>
      </c>
      <c r="EU8" s="15" t="n">
        <v>0.03141544323183136</v>
      </c>
      <c r="EV8" s="15" t="n">
        <v>0.03715442139790043</v>
      </c>
      <c r="EW8" t="inlineStr">
        <is>
          <t>computed</t>
        </is>
      </c>
      <c r="EX8" s="15" t="inlineStr">
        <is>
          <t>computed</t>
        </is>
      </c>
      <c r="EY8" s="15" t="inlineStr">
        <is>
          <t>computed</t>
        </is>
      </c>
      <c r="EZ8" s="15" t="inlineStr">
        <is>
          <t>available_from_curve</t>
        </is>
      </c>
      <c r="FA8" s="15" t="n">
        <v>20000</v>
      </c>
      <c r="FB8" s="15" t="n">
        <v>20000</v>
      </c>
      <c r="FC8" s="15" t="n">
        <v>0.218750878288657</v>
      </c>
      <c r="FD8" s="15" t="n">
        <v>0.3739017046430888</v>
      </c>
      <c r="FE8" s="15" t="n">
        <v>2.546618341540176</v>
      </c>
      <c r="FF8" s="15" t="n">
        <v>1.59179997553745</v>
      </c>
      <c r="FG8" s="15" t="n">
        <v>1.793159381722212</v>
      </c>
      <c r="FH8" s="15" t="n">
        <v>1.536167141830704</v>
      </c>
      <c r="FI8" s="15" t="n">
        <v>0.5392099812762132</v>
      </c>
      <c r="FJ8" s="15" t="n">
        <v>0.1040736486129089</v>
      </c>
      <c r="FK8" s="15" t="n">
        <v>10024.08485639603</v>
      </c>
      <c r="FL8" s="15" t="n">
        <v>41.16869723807107</v>
      </c>
      <c r="FM8" s="15" t="n">
        <v>115.4904448385132</v>
      </c>
      <c r="FN8" s="15" t="n">
        <v>0.004641700036549509</v>
      </c>
      <c r="FO8" t="n">
        <v>1</v>
      </c>
      <c r="FP8" t="n">
        <v>0</v>
      </c>
      <c r="FQ8" t="n">
        <v>0</v>
      </c>
      <c r="FR8" t="inlineStr">
        <is>
          <t>excellent</t>
        </is>
      </c>
      <c r="FS8" s="19" t="n">
        <v>0.8947368421052632</v>
      </c>
      <c r="FT8" s="15" t="n">
        <v>4.631373135197315</v>
      </c>
      <c r="FU8" s="15" t="n">
        <v>15.87508522920683</v>
      </c>
      <c r="FV8" t="inlineStr">
        <is>
          <t>passed</t>
        </is>
      </c>
      <c r="FW8" t="n">
        <v>175.5306715835089</v>
      </c>
      <c r="FX8" t="n">
        <v>19.03304631705687</v>
      </c>
      <c r="FY8" t="n">
        <v>30.55484643790059</v>
      </c>
      <c r="FZ8" t="n">
        <v>0.9756697191355872</v>
      </c>
      <c r="GA8" t="n">
        <v>0.8703125340714607</v>
      </c>
      <c r="GB8" t="n">
        <v>0.9871987934082604</v>
      </c>
      <c r="GC8" t="n">
        <v>0.3620665642868143</v>
      </c>
      <c r="GD8" t="n">
        <v>0.9690284914505537</v>
      </c>
      <c r="GE8" t="n">
        <v>0.8914133288114847</v>
      </c>
      <c r="GF8" t="n">
        <v>0.8942278976697662</v>
      </c>
      <c r="GG8" t="n">
        <v>0.387540630418154</v>
      </c>
      <c r="GH8" t="n">
        <v>0.3082686921040559</v>
      </c>
      <c r="GI8" t="n">
        <v>0.8505218691437396</v>
      </c>
      <c r="GJ8" t="n">
        <v>0.07120743034055731</v>
      </c>
      <c r="GK8" t="n">
        <v>0.4736842105263157</v>
      </c>
      <c r="GL8" t="n">
        <v>0.6744186046511629</v>
      </c>
      <c r="GM8" t="n">
        <v>0.01400853472212977</v>
      </c>
      <c r="GN8" t="n">
        <v>0.01400853472212977</v>
      </c>
      <c r="GO8" t="n">
        <v>0.9268759847422735</v>
      </c>
      <c r="GP8" t="n">
        <v>0.4555527470776442</v>
      </c>
      <c r="GQ8" t="n">
        <v>339.1704392797926</v>
      </c>
      <c r="GR8" t="inlineStr">
        <is>
          <t>compiled workbook density_weighted_sum = density_component_ratio_weighted_sum (per-note component ratios); research density_weighted_sum maps body-ceiling richness</t>
        </is>
      </c>
      <c r="GS8" s="15" t="inlineStr">
        <is>
          <t>individual_exact</t>
        </is>
      </c>
      <c r="GT8" s="15" t="inlineStr">
        <is>
          <t>density_weight</t>
        </is>
      </c>
      <c r="GU8" s="15" t="n">
        <v>0.5417076723668319</v>
      </c>
      <c r="GV8" s="15" t="n">
        <v>0.458292327633168</v>
      </c>
      <c r="GW8" s="15" t="n">
        <v>0</v>
      </c>
      <c r="GX8" s="15" t="inlineStr">
        <is>
          <t>log</t>
        </is>
      </c>
      <c r="GY8" s="15" t="n">
        <v>0.5</v>
      </c>
      <c r="GZ8" s="15" t="inlineStr">
        <is>
          <t>EWSD-R v18.1</t>
        </is>
      </c>
      <c r="HA8" s="15" t="n">
        <v>4.144085517931315</v>
      </c>
      <c r="HB8" s="15" t="n">
        <v>23.18848963989545</v>
      </c>
      <c r="HC8" s="15" t="n">
        <v>0.4415027357479774</v>
      </c>
      <c r="HD8" s="15" t="n">
        <v>6.227865051919361</v>
      </c>
      <c r="HE8" s="15" t="n">
        <v>24.84089204833681</v>
      </c>
      <c r="HF8" s="15" t="n">
        <v>0.385236842885529</v>
      </c>
      <c r="HG8" s="15" t="inlineStr">
        <is>
          <t>partials+ratios</t>
        </is>
      </c>
      <c r="HH8" s="15" t="inlineStr">
        <is>
          <t>merged_individual_exact</t>
        </is>
      </c>
      <c r="HI8" s="15" t="inlineStr">
        <is>
          <t>passed</t>
        </is>
      </c>
      <c r="HJ8" s="15" t="inlineStr">
        <is>
          <t>passed</t>
        </is>
      </c>
    </row>
    <row r="9">
      <c r="A9" t="inlineStr">
        <is>
          <t>incomplete_inference</t>
        </is>
      </c>
      <c r="B9" t="inlineStr">
        <is>
          <t>missing_instrument_technique</t>
        </is>
      </c>
      <c r="C9" t="inlineStr">
        <is>
          <t>prior_constrained_harmonic_fit</t>
        </is>
      </c>
      <c r="D9" t="inlineStr">
        <is>
          <t>IOWA_flt_pp.F#4_SustainStable/F#4/component_amplitude_mass_pie.png</t>
        </is>
      </c>
      <c r="E9" t="inlineStr">
        <is>
          <t>IOWA_flt_pp.F#4_SustainStable/F#4/component_energy_ratio_pie.png</t>
        </is>
      </c>
      <c r="F9" s="15" t="n">
        <v>370.8867779187667</v>
      </c>
      <c r="G9" s="15" t="inlineStr">
        <is>
          <t>prior_constrained_harmonic_fit</t>
        </is>
      </c>
      <c r="H9" s="15" t="inlineStr">
        <is>
          <t>fit_accepted_acoustically_verified</t>
        </is>
      </c>
      <c r="I9" s="16" t="n">
        <v>265.2771378051285</v>
      </c>
      <c r="J9" t="inlineStr">
        <is>
          <t>richness_weighted_body_density_body_ceiling</t>
        </is>
      </c>
      <c r="K9" t="inlineStr">
        <is>
          <t>research_body_ceiling_richness_metric</t>
        </is>
      </c>
      <c r="L9" s="15" t="n">
        <v>40116.00758015438</v>
      </c>
      <c r="M9" s="15" t="n">
        <v>40116.00758015438</v>
      </c>
      <c r="N9" s="15" t="n">
        <v>171.0660850690914</v>
      </c>
      <c r="O9" s="15" t="n">
        <v>420.1796864916311</v>
      </c>
      <c r="P9" s="15" t="n">
        <v>-5.037982596357906</v>
      </c>
      <c r="Q9" s="15" t="n">
        <v>12</v>
      </c>
      <c r="R9" s="15" t="n">
        <v>49</v>
      </c>
      <c r="S9" s="15" t="n">
        <v>10029.0548483795</v>
      </c>
      <c r="T9" s="15" t="n">
        <v>54</v>
      </c>
      <c r="U9" s="15" t="n">
        <v>1.047777107387103</v>
      </c>
      <c r="V9" s="15" t="n">
        <v>20.8166462381281</v>
      </c>
      <c r="W9" s="15" t="n">
        <v>0.9595378182761274</v>
      </c>
      <c r="X9" s="15" t="n">
        <v>0.1932258777785501</v>
      </c>
      <c r="Y9" s="15" t="n">
        <v>13</v>
      </c>
      <c r="Z9" s="15" t="n">
        <v>53</v>
      </c>
      <c r="AA9" s="15" t="n">
        <v>0.2452830188679245</v>
      </c>
      <c r="AB9" s="15" t="n">
        <v>53</v>
      </c>
      <c r="AC9" s="15" t="n">
        <v>13</v>
      </c>
      <c r="AD9" s="15" t="n">
        <v>0.2452830188679245</v>
      </c>
      <c r="AE9" s="15" t="n">
        <v>450.3323547940873</v>
      </c>
      <c r="AF9" s="15" t="n">
        <v>13</v>
      </c>
      <c r="AG9" s="15" t="n">
        <v>53</v>
      </c>
      <c r="AH9" s="15" t="n">
        <v>0.2452830188679245</v>
      </c>
      <c r="AI9" s="15" t="n">
        <v>450.3323547940873</v>
      </c>
      <c r="AJ9" s="15" t="n">
        <v>7</v>
      </c>
      <c r="AK9" s="15" t="n">
        <v>6</v>
      </c>
      <c r="AL9" s="15" t="n">
        <v>6.048809653144268</v>
      </c>
      <c r="AM9" s="15" t="n">
        <v>50</v>
      </c>
      <c r="AN9" s="15" t="n">
        <v>0</v>
      </c>
      <c r="AO9" s="15" t="n">
        <v>50</v>
      </c>
      <c r="AP9" s="15" t="n">
        <v>0</v>
      </c>
      <c r="AQ9" s="15" t="n">
        <v>30.89040237269282</v>
      </c>
      <c r="AR9" s="15" t="n">
        <v>15.62114633843793</v>
      </c>
      <c r="AS9" s="15" t="n">
        <v>0.4113506565256432</v>
      </c>
      <c r="AT9" s="17" t="n">
        <v>2.51051597321511</v>
      </c>
      <c r="AU9" s="18" t="n">
        <v>9.025233838910841</v>
      </c>
      <c r="AV9" s="15" t="n">
        <v>10.90082379194292</v>
      </c>
      <c r="AW9" s="15" t="b">
        <v>1</v>
      </c>
      <c r="AX9" s="15" t="n">
        <v>7.92721231010906</v>
      </c>
      <c r="AY9" s="15" t="n">
        <v>23.83940663183575</v>
      </c>
      <c r="AZ9" s="15" t="n">
        <v>0</v>
      </c>
      <c r="BA9" s="15" t="n">
        <v>1</v>
      </c>
      <c r="BB9" s="15" t="n">
        <v>0.5</v>
      </c>
      <c r="BC9" s="15" t="n">
        <v>0.25</v>
      </c>
      <c r="BD9" s="15" t="inlineStr">
        <is>
          <t>his_note_adaptive</t>
        </is>
      </c>
      <c r="BE9" s="15" t="n">
        <v>-90</v>
      </c>
      <c r="BF9" s="15" t="n">
        <v>20000</v>
      </c>
      <c r="BG9" s="15" t="n">
        <v>13</v>
      </c>
      <c r="BH9" s="15" t="n">
        <v>0.2452830188679245</v>
      </c>
      <c r="BI9" s="15" t="n">
        <v>53</v>
      </c>
      <c r="BJ9" s="15" t="n">
        <v>13</v>
      </c>
      <c r="BK9" s="15" t="n">
        <v>53</v>
      </c>
      <c r="BL9" s="15" t="n">
        <v>48</v>
      </c>
      <c r="BM9" s="15" t="n">
        <v>0.9056603773584906</v>
      </c>
      <c r="BN9" s="15" t="n">
        <v>0.09015569361592697</v>
      </c>
      <c r="BO9" s="15" t="n">
        <v>0.4166666666666667</v>
      </c>
      <c r="BP9" s="19" t="n">
        <v>0.7554723841446258</v>
      </c>
      <c r="BQ9" s="19" t="n">
        <v>0.2445276158553741</v>
      </c>
      <c r="BR9" s="19" t="n">
        <v>0</v>
      </c>
      <c r="BS9" s="15" t="n">
        <v>0.1348646340286358</v>
      </c>
      <c r="BT9" s="19" t="n">
        <v>1</v>
      </c>
      <c r="BU9" s="19" t="n">
        <v>0</v>
      </c>
      <c r="BV9" s="19" t="n">
        <v>0</v>
      </c>
      <c r="BW9" t="inlineStr">
        <is>
          <t>F#4</t>
        </is>
      </c>
      <c r="BX9" t="n">
        <v>66</v>
      </c>
      <c r="BY9" t="inlineStr">
        <is>
          <t>F#</t>
        </is>
      </c>
      <c r="BZ9" t="n">
        <v>4</v>
      </c>
      <c r="CA9" t="inlineStr">
        <is>
          <t>High</t>
        </is>
      </c>
      <c r="CB9" t="inlineStr">
        <is>
          <t>pp</t>
        </is>
      </c>
      <c r="CC9" s="15" t="n">
        <v>369.9944227116344</v>
      </c>
      <c r="CD9" s="15" t="n">
        <v>370.8867779187667</v>
      </c>
      <c r="CE9" t="inlineStr">
        <is>
          <t>prior_constrained_harmonic_fit</t>
        </is>
      </c>
      <c r="CF9" t="n">
        <v>370.8867779187667</v>
      </c>
      <c r="CG9" s="15" t="n">
        <v>1</v>
      </c>
      <c r="CH9" t="n">
        <v/>
      </c>
      <c r="CI9" t="inlineStr">
        <is>
          <t>free_fit_acoustically_verified</t>
        </is>
      </c>
      <c r="CJ9" s="15" t="inlineStr">
        <is>
          <t>free_f0_fit</t>
        </is>
      </c>
      <c r="CK9" s="15" t="n">
        <v>369.9944227116344</v>
      </c>
      <c r="CL9" s="15" t="n">
        <v>370.8867779187667</v>
      </c>
      <c r="CM9" s="15" t="n">
        <v>4.170375666671657</v>
      </c>
      <c r="CN9" s="15" t="n">
        <v>20000</v>
      </c>
      <c r="CO9" s="15" t="n">
        <v>4.170375666671657</v>
      </c>
      <c r="CP9" s="15" t="n">
        <v>2.140870239821874</v>
      </c>
      <c r="CQ9" s="15" t="n">
        <v>40116.00758015438</v>
      </c>
      <c r="CR9" t="n">
        <v>1.401903045868126</v>
      </c>
      <c r="CS9" t="n">
        <v>0.02645100086543633</v>
      </c>
      <c r="CT9" t="n">
        <v>189.2264508497848</v>
      </c>
      <c r="CU9" t="n">
        <v>189.2264508497848</v>
      </c>
      <c r="CV9" t="n">
        <v>265.2771378051285</v>
      </c>
      <c r="CW9" t="n">
        <v>420.1796864916311</v>
      </c>
      <c r="CX9" s="15" t="n">
        <v>40116.00758015438</v>
      </c>
      <c r="CY9" s="15" t="n">
        <v>171.0660850690914</v>
      </c>
      <c r="CZ9" s="15" t="n">
        <v>420.1796864916311</v>
      </c>
      <c r="DA9" s="15" t="n">
        <v>2.51051597321511</v>
      </c>
      <c r="DB9" s="15" t="n">
        <v>2.51051597321511</v>
      </c>
      <c r="DC9" s="15" t="n">
        <v>1.550197563003141</v>
      </c>
      <c r="DD9" s="15" t="n">
        <v>0</v>
      </c>
      <c r="DE9" s="15" t="n">
        <v>6.258140140688071e-05</v>
      </c>
      <c r="DF9" s="15" t="n">
        <v>0</v>
      </c>
      <c r="DG9" s="15" t="n">
        <v>12</v>
      </c>
      <c r="DH9" s="15" t="inlineStr">
        <is>
          <t>Density_Metrics</t>
        </is>
      </c>
      <c r="DI9" s="15" t="n">
        <v>2.140870239821874</v>
      </c>
      <c r="DJ9" t="n">
        <v>0.9664810087478186</v>
      </c>
      <c r="DK9" s="15" t="n">
        <v>0.545370953460538</v>
      </c>
      <c r="DL9" s="15" t="n">
        <v>5.807173137967727</v>
      </c>
      <c r="DM9" s="15" t="n">
        <v>1.443472157081931</v>
      </c>
      <c r="DN9" s="15" t="n">
        <v>1.064736211171329</v>
      </c>
      <c r="DO9" s="15" t="n">
        <v>8.040142488785591</v>
      </c>
      <c r="DP9" s="15" t="n">
        <v>1.2342729386672</v>
      </c>
      <c r="DQ9" s="15" t="n">
        <v>2.0625</v>
      </c>
      <c r="DR9" s="15" t="n">
        <v>28</v>
      </c>
      <c r="DS9" s="15" t="b">
        <v>1</v>
      </c>
      <c r="DT9" s="15" t="n">
        <v>1.401903045868126</v>
      </c>
      <c r="DU9" s="15" t="n">
        <v>10.24097152226316</v>
      </c>
      <c r="DV9" t="n">
        <v>53</v>
      </c>
      <c r="DW9" s="15" t="n">
        <v>0.1348646340286358</v>
      </c>
      <c r="DX9" s="15" t="n">
        <v>1.445796160457519</v>
      </c>
      <c r="DY9" s="15" t="n">
        <v>2.55581478809522</v>
      </c>
      <c r="DZ9" s="15" t="n">
        <v>0.1354381442977115</v>
      </c>
      <c r="EA9" s="15" t="b">
        <v>1</v>
      </c>
      <c r="EB9" s="15" t="n">
        <v>0.40287784867169</v>
      </c>
      <c r="EC9" s="15" t="n">
        <v>20000</v>
      </c>
      <c r="ED9" s="15" t="n">
        <v>4450.6413350252</v>
      </c>
      <c r="EE9" s="15" t="n">
        <v>12</v>
      </c>
      <c r="EF9" s="15" t="n">
        <v>0</v>
      </c>
      <c r="EG9" s="15" t="n">
        <v>0.02909936177846458</v>
      </c>
      <c r="EH9" s="15" t="b">
        <v>0</v>
      </c>
      <c r="EI9" s="15" t="b">
        <v>1</v>
      </c>
      <c r="EJ9" s="15" t="b">
        <v>0</v>
      </c>
      <c r="EK9" s="15" t="inlineStr">
        <is>
          <t>wf=log|dst=-90.0|ceil=20000.0|fft=adaptive_tier</t>
        </is>
      </c>
      <c r="EL9" s="15" t="inlineStr">
        <is>
          <t>wf=log|dst=runtime_configured|ceil=runtime_configured|fft=fixed</t>
        </is>
      </c>
      <c r="EM9" s="15" t="n">
        <v>0.5926228238045285</v>
      </c>
      <c r="EN9" s="15" t="n">
        <v>0.9945895161049366</v>
      </c>
      <c r="EO9" s="15" t="n">
        <v>0.2181818181818182</v>
      </c>
      <c r="EP9" s="15" t="n">
        <v>0.3434695259683536</v>
      </c>
      <c r="EQ9" s="15" t="inlineStr">
        <is>
          <t>warn:power_outlier_detected</t>
        </is>
      </c>
      <c r="ER9" s="15" t="n">
        <v>805.5797717989819</v>
      </c>
      <c r="ES9" s="15" t="inlineStr">
        <is>
          <t>winsorize_p95_for_robust_diagnostics</t>
        </is>
      </c>
      <c r="ET9" s="15" t="n">
        <v>0.1252743864530357</v>
      </c>
      <c r="EU9" s="15" t="n">
        <v>0.03248143875323094</v>
      </c>
      <c r="EV9" s="15" t="n">
        <v>0.03819460932159181</v>
      </c>
      <c r="EW9" t="inlineStr">
        <is>
          <t>computed</t>
        </is>
      </c>
      <c r="EX9" s="15" t="inlineStr">
        <is>
          <t>computed</t>
        </is>
      </c>
      <c r="EY9" s="15" t="inlineStr">
        <is>
          <t>computed</t>
        </is>
      </c>
      <c r="EZ9" s="15" t="inlineStr">
        <is>
          <t>available_from_curve</t>
        </is>
      </c>
      <c r="FA9" s="15" t="n">
        <v>20000</v>
      </c>
      <c r="FB9" s="15" t="n">
        <v>20000</v>
      </c>
      <c r="FC9" s="15" t="n">
        <v>0.2445276158553741</v>
      </c>
      <c r="FD9" s="15" t="n">
        <v>0.2774233661146823</v>
      </c>
      <c r="FE9" s="15" t="n">
        <v>2.51051597321511</v>
      </c>
      <c r="FF9" s="15" t="n">
        <v>1.550197563003141</v>
      </c>
      <c r="FG9" s="15" t="n">
        <v>1.746459601749475</v>
      </c>
      <c r="FH9" s="15" t="n">
        <v>1.514389527549605</v>
      </c>
      <c r="FI9" s="15" t="n">
        <v>0.5251174844622867</v>
      </c>
      <c r="FJ9" s="15" t="n">
        <v>0.1013632278099823</v>
      </c>
      <c r="FK9" s="15" t="n">
        <v>10029.00189503859</v>
      </c>
      <c r="FL9" s="15" t="n">
        <v>42.76652126727285</v>
      </c>
      <c r="FM9" s="15" t="n">
        <v>105.0449216229078</v>
      </c>
      <c r="FN9" s="15" t="n">
        <v>0.004582108461436966</v>
      </c>
      <c r="FO9" t="n">
        <v>1</v>
      </c>
      <c r="FP9" t="n">
        <v>0</v>
      </c>
      <c r="FQ9" t="n">
        <v>0</v>
      </c>
      <c r="FR9" t="inlineStr">
        <is>
          <t>excellent</t>
        </is>
      </c>
      <c r="FS9" s="19" t="n">
        <v>0.9056603773584906</v>
      </c>
      <c r="FT9" s="15" t="n">
        <v>5.658161441279723</v>
      </c>
      <c r="FU9" s="15" t="n">
        <v>12.80849309729288</v>
      </c>
      <c r="FV9" t="inlineStr">
        <is>
          <t>passed</t>
        </is>
      </c>
      <c r="FW9" t="n">
        <v>161.4891690187924</v>
      </c>
      <c r="FX9" t="n">
        <v>17.24874162792291</v>
      </c>
      <c r="FY9" t="n">
        <v>27.38878576012807</v>
      </c>
      <c r="FZ9" t="n">
        <v>0.9493527186574655</v>
      </c>
      <c r="GA9" t="n">
        <v>0.6806922628320754</v>
      </c>
      <c r="GB9" t="n">
        <v>0.9480145215865454</v>
      </c>
      <c r="GC9" t="n">
        <v>0.1592364912099475</v>
      </c>
      <c r="GD9" t="n">
        <v>0.4193887742614828</v>
      </c>
      <c r="GE9" t="n">
        <v>0.7229291893988556</v>
      </c>
      <c r="GF9" t="n">
        <v>0.9339479129320124</v>
      </c>
      <c r="GG9" t="n">
        <v>0.2878467319255737</v>
      </c>
      <c r="GH9" t="n">
        <v>0.4228763081269451</v>
      </c>
      <c r="GI9" t="n">
        <v>0.7211655820029522</v>
      </c>
      <c r="GJ9" t="n">
        <v>0.1120976692563818</v>
      </c>
      <c r="GK9" t="n">
        <v>0.5283018867924528</v>
      </c>
      <c r="GL9" t="n">
        <v>0.7209302325581396</v>
      </c>
      <c r="GM9" t="n">
        <v>0.1044037087596833</v>
      </c>
      <c r="GN9" t="n">
        <v>0.1044037087596833</v>
      </c>
      <c r="GO9" t="n">
        <v>0.6877129803500492</v>
      </c>
      <c r="GP9" t="n">
        <v>0.5109680264755387</v>
      </c>
      <c r="GQ9" t="n">
        <v>265.2771378051285</v>
      </c>
      <c r="GR9" t="inlineStr">
        <is>
          <t>compiled workbook density_weighted_sum = density_component_ratio_weighted_sum (per-note component ratios); research density_weighted_sum maps body-ceiling richness</t>
        </is>
      </c>
      <c r="GS9" s="15" t="inlineStr">
        <is>
          <t>individual_exact</t>
        </is>
      </c>
      <c r="GT9" s="15" t="inlineStr">
        <is>
          <t>density_weight</t>
        </is>
      </c>
      <c r="GU9" s="15" t="n">
        <v>0.5164756115488428</v>
      </c>
      <c r="GV9" s="15" t="n">
        <v>0.4835243884511572</v>
      </c>
      <c r="GW9" s="15" t="n">
        <v>0</v>
      </c>
      <c r="GX9" s="15" t="inlineStr">
        <is>
          <t>log</t>
        </is>
      </c>
      <c r="GY9" s="15" t="n">
        <v>0.5</v>
      </c>
      <c r="GZ9" s="15" t="inlineStr">
        <is>
          <t>EWSD-R v18.1</t>
        </is>
      </c>
      <c r="HA9" s="15" t="n">
        <v>3.727843059948138</v>
      </c>
      <c r="HB9" s="15" t="n">
        <v>20.78295582365449</v>
      </c>
      <c r="HC9" s="15" t="n">
        <v>0.4825636416385936</v>
      </c>
      <c r="HD9" s="15" t="n">
        <v>5.347288114399632</v>
      </c>
      <c r="HE9" s="15" t="n">
        <v>24.45707179047983</v>
      </c>
      <c r="HF9" s="15" t="n">
        <v>0.4442211154028297</v>
      </c>
      <c r="HG9" s="15" t="inlineStr">
        <is>
          <t>partials+ratios</t>
        </is>
      </c>
      <c r="HH9" s="15" t="inlineStr">
        <is>
          <t>merged_individual_exact</t>
        </is>
      </c>
      <c r="HI9" s="15" t="inlineStr">
        <is>
          <t>passed</t>
        </is>
      </c>
      <c r="HJ9" s="15" t="inlineStr">
        <is>
          <t>passed</t>
        </is>
      </c>
    </row>
    <row r="10">
      <c r="A10" t="inlineStr">
        <is>
          <t>incomplete_inference</t>
        </is>
      </c>
      <c r="B10" t="inlineStr">
        <is>
          <t>missing_instrument_technique</t>
        </is>
      </c>
      <c r="C10" t="inlineStr">
        <is>
          <t>prior_constrained_harmonic_fit</t>
        </is>
      </c>
      <c r="D10" t="inlineStr">
        <is>
          <t>IOWA_flt_pp.G4_SustainStable/G4/component_amplitude_mass_pie.png</t>
        </is>
      </c>
      <c r="E10" t="inlineStr">
        <is>
          <t>IOWA_flt_pp.G4_SustainStable/G4/component_energy_ratio_pie.png</t>
        </is>
      </c>
      <c r="F10" s="15" t="n">
        <v>392.5810305347479</v>
      </c>
      <c r="G10" s="15" t="inlineStr">
        <is>
          <t>prior_constrained_harmonic_fit</t>
        </is>
      </c>
      <c r="H10" s="15" t="inlineStr">
        <is>
          <t>fit_accepted_acoustically_verified</t>
        </is>
      </c>
      <c r="I10" s="16" t="n">
        <v>389.708469600637</v>
      </c>
      <c r="J10" t="inlineStr">
        <is>
          <t>richness_weighted_body_density_body_ceiling</t>
        </is>
      </c>
      <c r="K10" t="inlineStr">
        <is>
          <t>research_body_ceiling_richness_metric</t>
        </is>
      </c>
      <c r="L10" s="15" t="n">
        <v>39982.2892854001</v>
      </c>
      <c r="M10" s="15" t="n">
        <v>39982.2892854001</v>
      </c>
      <c r="N10" s="15" t="n">
        <v>122.8090836256245</v>
      </c>
      <c r="O10" s="15" t="n">
        <v>381.4452637213757</v>
      </c>
      <c r="P10" s="15" t="n">
        <v>-6.084669366328857</v>
      </c>
      <c r="Q10" s="15" t="n">
        <v>10</v>
      </c>
      <c r="R10" s="15" t="n">
        <v>45</v>
      </c>
      <c r="S10" s="15" t="n">
        <v>9995.627760455985</v>
      </c>
      <c r="T10" s="15" t="n">
        <v>51</v>
      </c>
      <c r="U10" s="15" t="n">
        <v>1.652931573999022</v>
      </c>
      <c r="V10" s="15" t="n">
        <v>25.56037684010139</v>
      </c>
      <c r="W10" s="15" t="n">
        <v>0.9477837793439531</v>
      </c>
      <c r="X10" s="15" t="n">
        <v>0.3077376725977132</v>
      </c>
      <c r="Y10" s="15" t="n">
        <v>11</v>
      </c>
      <c r="Z10" s="15" t="n">
        <v>50</v>
      </c>
      <c r="AA10" s="15" t="n">
        <v>0.22</v>
      </c>
      <c r="AB10" s="15" t="n">
        <v>50</v>
      </c>
      <c r="AC10" s="15" t="n">
        <v>11</v>
      </c>
      <c r="AD10" s="15" t="n">
        <v>0.22</v>
      </c>
      <c r="AE10" s="15" t="n">
        <v>526.1230010904476</v>
      </c>
      <c r="AF10" s="15" t="n">
        <v>11</v>
      </c>
      <c r="AG10" s="15" t="n">
        <v>50</v>
      </c>
      <c r="AH10" s="15" t="n">
        <v>0.22</v>
      </c>
      <c r="AI10" s="15" t="n">
        <v>526.1230010904476</v>
      </c>
      <c r="AJ10" s="15" t="n">
        <v>5</v>
      </c>
      <c r="AK10" s="15" t="n">
        <v>6</v>
      </c>
      <c r="AL10" s="15" t="n">
        <v>3.907266683835821</v>
      </c>
      <c r="AM10" s="15" t="n">
        <v>47</v>
      </c>
      <c r="AN10" s="15" t="n">
        <v>0</v>
      </c>
      <c r="AO10" s="15" t="n">
        <v>47</v>
      </c>
      <c r="AP10" s="15" t="n">
        <v>0</v>
      </c>
      <c r="AQ10" s="15" t="n">
        <v>26.30043988133391</v>
      </c>
      <c r="AR10" s="15" t="n">
        <v>13.95355111570681</v>
      </c>
      <c r="AS10" s="15" t="n">
        <v>0.3477545988641741</v>
      </c>
      <c r="AT10" s="17" t="n">
        <v>2.577865905597653</v>
      </c>
      <c r="AU10" s="18" t="n">
        <v>13.21077462887537</v>
      </c>
      <c r="AV10" s="15" t="n">
        <v>15.08673224438281</v>
      </c>
      <c r="AW10" s="15" t="b">
        <v>1</v>
      </c>
      <c r="AX10" s="15" t="n">
        <v>7.527483181208361</v>
      </c>
      <c r="AY10" s="15" t="n">
        <v>22.6472083287298</v>
      </c>
      <c r="AZ10" s="15" t="n">
        <v>0</v>
      </c>
      <c r="BA10" s="15" t="n">
        <v>1</v>
      </c>
      <c r="BB10" s="15" t="n">
        <v>0.5</v>
      </c>
      <c r="BC10" s="15" t="n">
        <v>0.25</v>
      </c>
      <c r="BD10" s="15" t="inlineStr">
        <is>
          <t>his_note_adaptive</t>
        </is>
      </c>
      <c r="BE10" s="15" t="n">
        <v>-90</v>
      </c>
      <c r="BF10" s="15" t="n">
        <v>20000</v>
      </c>
      <c r="BG10" s="15" t="n">
        <v>11</v>
      </c>
      <c r="BH10" s="15" t="n">
        <v>0.22</v>
      </c>
      <c r="BI10" s="15" t="n">
        <v>50</v>
      </c>
      <c r="BJ10" s="15" t="n">
        <v>11</v>
      </c>
      <c r="BK10" s="15" t="n">
        <v>50</v>
      </c>
      <c r="BL10" s="15" t="n">
        <v>45</v>
      </c>
      <c r="BM10" s="15" t="n">
        <v>0.9</v>
      </c>
      <c r="BN10" s="15" t="n">
        <v>0.153482078214668</v>
      </c>
      <c r="BO10" s="15" t="n">
        <v>0.3916666666666667</v>
      </c>
      <c r="BP10" s="19" t="n">
        <v>0.7852437411926503</v>
      </c>
      <c r="BQ10" s="19" t="n">
        <v>0.2147562588073496</v>
      </c>
      <c r="BR10" s="19" t="n">
        <v>0</v>
      </c>
      <c r="BS10" s="15" t="n">
        <v>0.1071168907441728</v>
      </c>
      <c r="BT10" s="19" t="n">
        <v>1</v>
      </c>
      <c r="BU10" s="19" t="n">
        <v>0</v>
      </c>
      <c r="BV10" s="19" t="n">
        <v>0</v>
      </c>
      <c r="BW10" t="inlineStr">
        <is>
          <t>G4</t>
        </is>
      </c>
      <c r="BX10" t="n">
        <v>67</v>
      </c>
      <c r="BY10" t="inlineStr">
        <is>
          <t>G</t>
        </is>
      </c>
      <c r="BZ10" t="n">
        <v>4</v>
      </c>
      <c r="CA10" t="inlineStr">
        <is>
          <t>High</t>
        </is>
      </c>
      <c r="CB10" t="inlineStr">
        <is>
          <t>pp</t>
        </is>
      </c>
      <c r="CC10" s="15" t="n">
        <v>391.9954359817492</v>
      </c>
      <c r="CD10" s="15" t="n">
        <v>392.5810305347479</v>
      </c>
      <c r="CE10" t="inlineStr">
        <is>
          <t>prior_constrained_harmonic_fit</t>
        </is>
      </c>
      <c r="CF10" t="n">
        <v>392.5810305347479</v>
      </c>
      <c r="CG10" s="15" t="n">
        <v>1</v>
      </c>
      <c r="CH10" t="n">
        <v/>
      </c>
      <c r="CI10" t="inlineStr">
        <is>
          <t>free_fit_acoustically_verified</t>
        </is>
      </c>
      <c r="CJ10" s="15" t="inlineStr">
        <is>
          <t>free_f0_fit</t>
        </is>
      </c>
      <c r="CK10" s="15" t="n">
        <v>391.9954359817492</v>
      </c>
      <c r="CL10" s="15" t="n">
        <v>392.5810305347479</v>
      </c>
      <c r="CM10" s="15" t="n">
        <v>2.584327877840719</v>
      </c>
      <c r="CN10" s="15" t="n">
        <v>20000</v>
      </c>
      <c r="CO10" s="15" t="n">
        <v>2.584327877840719</v>
      </c>
      <c r="CP10" s="15" t="n">
        <v>2.215118787068154</v>
      </c>
      <c r="CQ10" s="15" t="n">
        <v>39982.2892854001</v>
      </c>
      <c r="CR10" t="n">
        <v>1.949405482106512</v>
      </c>
      <c r="CS10" t="n">
        <v>0.03898810964213024</v>
      </c>
      <c r="CT10" t="n">
        <v>199.9114464270005</v>
      </c>
      <c r="CU10" t="n">
        <v>199.9114464270005</v>
      </c>
      <c r="CV10" t="n">
        <v>389.708469600637</v>
      </c>
      <c r="CW10" t="n">
        <v>381.4452637213757</v>
      </c>
      <c r="CX10" s="15" t="n">
        <v>39982.2892854001</v>
      </c>
      <c r="CY10" s="15" t="n">
        <v>122.8090836256245</v>
      </c>
      <c r="CZ10" s="15" t="n">
        <v>381.4452637213757</v>
      </c>
      <c r="DA10" s="15" t="n">
        <v>2.577865905597653</v>
      </c>
      <c r="DB10" s="15" t="n">
        <v>2.577865905597653</v>
      </c>
      <c r="DC10" s="15" t="n">
        <v>1.649774626397079</v>
      </c>
      <c r="DD10" s="15" t="n">
        <v>0</v>
      </c>
      <c r="DE10" s="15" t="n">
        <v>6.447519518445845e-05</v>
      </c>
      <c r="DF10" s="15" t="n">
        <v>0</v>
      </c>
      <c r="DG10" s="15" t="n">
        <v>10</v>
      </c>
      <c r="DH10" s="15" t="inlineStr">
        <is>
          <t>Density_Metrics</t>
        </is>
      </c>
      <c r="DI10" s="15" t="n">
        <v>2.215118787068154</v>
      </c>
      <c r="DJ10" t="n">
        <v>1</v>
      </c>
      <c r="DK10" s="15" t="n">
        <v>0.5536240596661506</v>
      </c>
      <c r="DL10" s="15" t="n">
        <v>5.972219732200697</v>
      </c>
      <c r="DM10" s="15" t="n">
        <v>1.998823178116754</v>
      </c>
      <c r="DN10" s="15" t="n">
        <v>1.158753792241759</v>
      </c>
      <c r="DO10" s="15" t="n">
        <v>5.475766550770913</v>
      </c>
      <c r="DP10" s="15" t="n">
        <v>0.6270133629214911</v>
      </c>
      <c r="DQ10" s="15" t="n">
        <v>4.625</v>
      </c>
      <c r="DR10" s="15" t="n">
        <v>35</v>
      </c>
      <c r="DS10" s="15" t="b">
        <v>1</v>
      </c>
      <c r="DT10" s="15" t="n">
        <v>1.958306637023969</v>
      </c>
      <c r="DU10" s="15" t="n">
        <v>15.38688362988566</v>
      </c>
      <c r="DV10" t="n">
        <v>50</v>
      </c>
      <c r="DW10" s="15" t="n">
        <v>0.1071168907441728</v>
      </c>
      <c r="DX10" s="15" t="n">
        <v>1.733711088902768</v>
      </c>
      <c r="DY10" s="15" t="n">
        <v>2.55604115752273</v>
      </c>
      <c r="DZ10" s="15" t="n">
        <v>0.0935113895205046</v>
      </c>
      <c r="EA10" s="15" t="b">
        <v>1</v>
      </c>
      <c r="EB10" s="15" t="n">
        <v>0.1377835138578776</v>
      </c>
      <c r="EC10" s="15" t="n">
        <v>20000</v>
      </c>
      <c r="ED10" s="15" t="n">
        <v>3925.810305347479</v>
      </c>
      <c r="EE10" s="15" t="n">
        <v>10</v>
      </c>
      <c r="EF10" s="15" t="n">
        <v>0</v>
      </c>
      <c r="EG10" s="15" t="n">
        <v>0.0274661400981242</v>
      </c>
      <c r="EH10" s="15" t="b">
        <v>0</v>
      </c>
      <c r="EI10" s="15" t="b">
        <v>1</v>
      </c>
      <c r="EJ10" s="15" t="b">
        <v>0</v>
      </c>
      <c r="EK10" s="15" t="inlineStr">
        <is>
          <t>wf=log|dst=-90.0|ceil=20000.0|fft=adaptive_tier</t>
        </is>
      </c>
      <c r="EL10" s="15" t="inlineStr">
        <is>
          <t>wf=log|dst=runtime_configured|ceil=runtime_configured|fft=fixed</t>
        </is>
      </c>
      <c r="EM10" s="15" t="n">
        <v>0.5862044775997488</v>
      </c>
      <c r="EN10" s="15" t="n">
        <v>0.9955618765238611</v>
      </c>
      <c r="EO10" s="15" t="n">
        <v>0.1923076923076923</v>
      </c>
      <c r="EP10" s="15" t="n">
        <v>0.3544697042815946</v>
      </c>
      <c r="EQ10" s="15" t="inlineStr">
        <is>
          <t>warn:power_outlier_detected</t>
        </is>
      </c>
      <c r="ER10" s="15" t="n">
        <v>652.3927414991971</v>
      </c>
      <c r="ES10" s="15" t="inlineStr">
        <is>
          <t>winsorize_p95_for_robust_diagnostics</t>
        </is>
      </c>
      <c r="ET10" s="15" t="n">
        <v>0.1483533045103606</v>
      </c>
      <c r="EU10" s="15" t="n">
        <v>0.03263324763482921</v>
      </c>
      <c r="EV10" s="15" t="n">
        <v>0.03973834045163739</v>
      </c>
      <c r="EW10" t="inlineStr">
        <is>
          <t>computed</t>
        </is>
      </c>
      <c r="EX10" s="15" t="inlineStr">
        <is>
          <t>computed</t>
        </is>
      </c>
      <c r="EY10" s="15" t="inlineStr">
        <is>
          <t>computed</t>
        </is>
      </c>
      <c r="EZ10" s="15" t="inlineStr">
        <is>
          <t>available_from_curve</t>
        </is>
      </c>
      <c r="FA10" s="15" t="n">
        <v>20000</v>
      </c>
      <c r="FB10" s="15" t="n">
        <v>20000</v>
      </c>
      <c r="FC10" s="15" t="n">
        <v>0.2147562588073496</v>
      </c>
      <c r="FD10" s="15" t="n">
        <v>0.4033999270647363</v>
      </c>
      <c r="FE10" s="15" t="n">
        <v>2.577865905597653</v>
      </c>
      <c r="FF10" s="15" t="n">
        <v>1.649774626397079</v>
      </c>
      <c r="FG10" s="15" t="n">
        <v>1.744579200205965</v>
      </c>
      <c r="FH10" s="15" t="n">
        <v>1.555016248657727</v>
      </c>
      <c r="FI10" s="15" t="n">
        <v>0.5588484477198133</v>
      </c>
      <c r="FJ10" s="15" t="n">
        <v>0.1012540906906135</v>
      </c>
      <c r="FK10" s="15" t="n">
        <v>9995.572321350024</v>
      </c>
      <c r="FL10" s="15" t="n">
        <v>30.70227090640613</v>
      </c>
      <c r="FM10" s="15" t="n">
        <v>95.36131593034392</v>
      </c>
      <c r="FN10" s="15" t="n">
        <v>0.004586751008607219</v>
      </c>
      <c r="FO10" t="n">
        <v>1</v>
      </c>
      <c r="FP10" t="n">
        <v>0</v>
      </c>
      <c r="FQ10" t="n">
        <v>0</v>
      </c>
      <c r="FR10" t="inlineStr">
        <is>
          <t>excellent</t>
        </is>
      </c>
      <c r="FS10" s="19" t="n">
        <v>0.9</v>
      </c>
      <c r="FT10" s="15" t="n">
        <v>4.888788480906326</v>
      </c>
      <c r="FU10" s="15" t="n">
        <v>17.50132869559275</v>
      </c>
      <c r="FV10" t="inlineStr">
        <is>
          <t>passed</t>
        </is>
      </c>
      <c r="FW10" t="n">
        <v>188.6628766973787</v>
      </c>
      <c r="FX10" t="n">
        <v>21.82259247276743</v>
      </c>
      <c r="FY10" t="n">
        <v>27.26829436519386</v>
      </c>
      <c r="FZ10" t="n">
        <v>1</v>
      </c>
      <c r="GA10" t="n">
        <v>1</v>
      </c>
      <c r="GB10" t="n">
        <v>1</v>
      </c>
      <c r="GC10" t="n">
        <v>0.3656086533733539</v>
      </c>
      <c r="GD10" t="n">
        <v>1</v>
      </c>
      <c r="GE10" t="n">
        <v>1</v>
      </c>
      <c r="GF10" t="n">
        <v>0.9025022743661464</v>
      </c>
      <c r="GG10" t="n">
        <v>0.5512929347548143</v>
      </c>
      <c r="GH10" t="n">
        <v>0.283788896449651</v>
      </c>
      <c r="GI10" t="n">
        <v>1</v>
      </c>
      <c r="GJ10" t="n">
        <v>0.0823529411764706</v>
      </c>
      <c r="GK10" t="n">
        <v>0.5</v>
      </c>
      <c r="GL10" t="n">
        <v>0.6511627906976746</v>
      </c>
      <c r="GM10" t="n">
        <v>0</v>
      </c>
      <c r="GN10" t="n">
        <v>0</v>
      </c>
      <c r="GO10" t="n">
        <v>1</v>
      </c>
      <c r="GP10" t="n">
        <v>0.4046273216275709</v>
      </c>
      <c r="GQ10" t="n">
        <v>389.708469600637</v>
      </c>
      <c r="GR10" t="inlineStr">
        <is>
          <t>compiled workbook density_weighted_sum = density_component_ratio_weighted_sum (per-note component ratios); research density_weighted_sum maps body-ceiling richness</t>
        </is>
      </c>
      <c r="GS10" s="15" t="inlineStr">
        <is>
          <t>individual_exact</t>
        </is>
      </c>
      <c r="GT10" s="15" t="inlineStr">
        <is>
          <t>density_weight</t>
        </is>
      </c>
      <c r="GU10" s="15" t="n">
        <v>0.5749877810740581</v>
      </c>
      <c r="GV10" s="15" t="n">
        <v>0.4250122189259419</v>
      </c>
      <c r="GW10" s="15" t="n">
        <v>0</v>
      </c>
      <c r="GX10" s="15" t="inlineStr">
        <is>
          <t>log</t>
        </is>
      </c>
      <c r="GY10" s="15" t="n">
        <v>0.5</v>
      </c>
      <c r="GZ10" s="15" t="inlineStr">
        <is>
          <t>EWSD-R v18.1</t>
        </is>
      </c>
      <c r="HA10" s="15" t="n">
        <v>4.976837506200923</v>
      </c>
      <c r="HB10" s="15" t="n">
        <v>24.68597286155418</v>
      </c>
      <c r="HC10" s="15" t="n">
        <v>0.3809853778255118</v>
      </c>
      <c r="HD10" s="15" t="n">
        <v>7.113237592128777</v>
      </c>
      <c r="HE10" s="15" t="n">
        <v>27.03169761248447</v>
      </c>
      <c r="HF10" s="15" t="n">
        <v>0.3313467181296739</v>
      </c>
      <c r="HG10" s="15" t="inlineStr">
        <is>
          <t>partials+ratios</t>
        </is>
      </c>
      <c r="HH10" s="15" t="inlineStr">
        <is>
          <t>merged_individual_exact</t>
        </is>
      </c>
      <c r="HI10" s="15" t="inlineStr">
        <is>
          <t>passed</t>
        </is>
      </c>
      <c r="HJ10" s="15" t="inlineStr">
        <is>
          <t>passed</t>
        </is>
      </c>
    </row>
    <row r="11">
      <c r="A11" t="inlineStr">
        <is>
          <t>incomplete_inference</t>
        </is>
      </c>
      <c r="B11" t="inlineStr">
        <is>
          <t>missing_instrument_technique</t>
        </is>
      </c>
      <c r="C11" t="inlineStr">
        <is>
          <t>prior_constrained_harmonic_fit</t>
        </is>
      </c>
      <c r="D11" t="inlineStr">
        <is>
          <t>IOWA_flt_pp.G#4_SustainStable/G#4/component_amplitude_mass_pie.png</t>
        </is>
      </c>
      <c r="E11" t="inlineStr">
        <is>
          <t>IOWA_flt_pp.G#4_SustainStable/G#4/component_energy_ratio_pie.png</t>
        </is>
      </c>
      <c r="F11" s="15" t="n">
        <v>414.9100877794747</v>
      </c>
      <c r="G11" s="15" t="inlineStr">
        <is>
          <t>prior_constrained_harmonic_fit</t>
        </is>
      </c>
      <c r="H11" s="15" t="inlineStr">
        <is>
          <t>fit_accepted_acoustically_verified</t>
        </is>
      </c>
      <c r="I11" s="16" t="n">
        <v>371.6815397913475</v>
      </c>
      <c r="J11" t="inlineStr">
        <is>
          <t>richness_weighted_body_density_body_ceiling</t>
        </is>
      </c>
      <c r="K11" t="inlineStr">
        <is>
          <t>research_body_ceiling_richness_metric</t>
        </is>
      </c>
      <c r="L11" s="15" t="n">
        <v>41977.84812386313</v>
      </c>
      <c r="M11" s="15" t="n">
        <v>41977.84812386313</v>
      </c>
      <c r="N11" s="15" t="n">
        <v>94.37517659872988</v>
      </c>
      <c r="O11" s="15" t="n">
        <v>399.9075002400625</v>
      </c>
      <c r="P11" s="15" t="n">
        <v>-7.156234029733211</v>
      </c>
      <c r="Q11" s="15" t="n">
        <v>8</v>
      </c>
      <c r="R11" s="15" t="n">
        <v>34</v>
      </c>
      <c r="S11" s="15" t="n">
        <v>10494.50091964755</v>
      </c>
      <c r="T11" s="15" t="n">
        <v>49</v>
      </c>
      <c r="U11" s="15" t="n">
        <v>0.8761048648130193</v>
      </c>
      <c r="V11" s="15" t="n">
        <v>20.098279289583</v>
      </c>
      <c r="W11" s="15" t="n">
        <v>0.9363296048252558</v>
      </c>
      <c r="X11" s="15" t="n">
        <v>0.2228695836941497</v>
      </c>
      <c r="Y11" s="15" t="n">
        <v>11</v>
      </c>
      <c r="Z11" s="15" t="n">
        <v>48</v>
      </c>
      <c r="AA11" s="15" t="n">
        <v>0.2291666666666667</v>
      </c>
      <c r="AB11" s="15" t="n">
        <v>48</v>
      </c>
      <c r="AC11" s="15" t="n">
        <v>11</v>
      </c>
      <c r="AD11" s="15" t="n">
        <v>0.2291666666666667</v>
      </c>
      <c r="AE11" s="15" t="n">
        <v>458.5546071479886</v>
      </c>
      <c r="AF11" s="15" t="n">
        <v>11</v>
      </c>
      <c r="AG11" s="15" t="n">
        <v>48</v>
      </c>
      <c r="AH11" s="15" t="n">
        <v>0.2291666666666667</v>
      </c>
      <c r="AI11" s="15" t="n">
        <v>458.5546071479886</v>
      </c>
      <c r="AJ11" s="15" t="n">
        <v>6</v>
      </c>
      <c r="AK11" s="15" t="n">
        <v>5</v>
      </c>
      <c r="AL11" s="15" t="n">
        <v>2.998670764178622</v>
      </c>
      <c r="AM11" s="15" t="n">
        <v>44</v>
      </c>
      <c r="AN11" s="15" t="n">
        <v>0</v>
      </c>
      <c r="AO11" s="15" t="n">
        <v>44</v>
      </c>
      <c r="AP11" s="15" t="n">
        <v>0</v>
      </c>
      <c r="AQ11" s="15" t="n">
        <v>25.11131007012012</v>
      </c>
      <c r="AR11" s="15" t="n">
        <v>12.85576504272458</v>
      </c>
      <c r="AS11" s="15" t="n">
        <v>0.3058890037571098</v>
      </c>
      <c r="AT11" s="17" t="n">
        <v>2.517500716329375</v>
      </c>
      <c r="AU11" s="18" t="n">
        <v>9.134629608405476</v>
      </c>
      <c r="AV11" s="15" t="n">
        <v>10.62316732223905</v>
      </c>
      <c r="AW11" s="15" t="b">
        <v>1</v>
      </c>
      <c r="AX11" s="15" t="n">
        <v>6.856111414319184</v>
      </c>
      <c r="AY11" s="15" t="n">
        <v>20.8865996364303</v>
      </c>
      <c r="AZ11" s="15" t="n">
        <v>0</v>
      </c>
      <c r="BA11" s="15" t="n">
        <v>1</v>
      </c>
      <c r="BB11" s="15" t="n">
        <v>0.5</v>
      </c>
      <c r="BC11" s="15" t="n">
        <v>0.25</v>
      </c>
      <c r="BD11" s="15" t="inlineStr">
        <is>
          <t>his_note_adaptive</t>
        </is>
      </c>
      <c r="BE11" s="15" t="n">
        <v>-90</v>
      </c>
      <c r="BF11" s="15" t="n">
        <v>20000</v>
      </c>
      <c r="BG11" s="15" t="n">
        <v>11</v>
      </c>
      <c r="BH11" s="15" t="n">
        <v>0.2291666666666667</v>
      </c>
      <c r="BI11" s="15" t="n">
        <v>48</v>
      </c>
      <c r="BJ11" s="15" t="n">
        <v>11</v>
      </c>
      <c r="BK11" s="15" t="n">
        <v>48</v>
      </c>
      <c r="BL11" s="15" t="n">
        <v>43</v>
      </c>
      <c r="BM11" s="15" t="n">
        <v>0.8958333333333334</v>
      </c>
      <c r="BN11" s="15" t="n">
        <v>0.1318306686698161</v>
      </c>
      <c r="BO11" s="15" t="n">
        <v>0.3666666666666666</v>
      </c>
      <c r="BP11" s="19" t="n">
        <v>0.7746743737191384</v>
      </c>
      <c r="BQ11" s="19" t="n">
        <v>0.2253256262808617</v>
      </c>
      <c r="BR11" s="19" t="n">
        <v>0</v>
      </c>
      <c r="BS11" s="15" t="n">
        <v>0.1066504832299211</v>
      </c>
      <c r="BT11" s="19" t="n">
        <v>1</v>
      </c>
      <c r="BU11" s="19" t="n">
        <v>0</v>
      </c>
      <c r="BV11" s="19" t="n">
        <v>0</v>
      </c>
      <c r="BW11" t="inlineStr">
        <is>
          <t>G#4</t>
        </is>
      </c>
      <c r="BX11" t="n">
        <v>68</v>
      </c>
      <c r="BY11" t="inlineStr">
        <is>
          <t>G#</t>
        </is>
      </c>
      <c r="BZ11" t="n">
        <v>4</v>
      </c>
      <c r="CA11" t="inlineStr">
        <is>
          <t>High</t>
        </is>
      </c>
      <c r="CB11" t="inlineStr">
        <is>
          <t>pp</t>
        </is>
      </c>
      <c r="CC11" s="15" t="n">
        <v>415.3046975799452</v>
      </c>
      <c r="CD11" s="15" t="n">
        <v>414.9100877794747</v>
      </c>
      <c r="CE11" t="inlineStr">
        <is>
          <t>prior_constrained_harmonic_fit</t>
        </is>
      </c>
      <c r="CF11" t="n">
        <v>414.9100877794747</v>
      </c>
      <c r="CG11" s="15" t="n">
        <v>1</v>
      </c>
      <c r="CH11" t="n">
        <v/>
      </c>
      <c r="CI11" t="inlineStr">
        <is>
          <t>free_fit_acoustically_verified</t>
        </is>
      </c>
      <c r="CJ11" s="15" t="inlineStr">
        <is>
          <t>free_f0_fit</t>
        </is>
      </c>
      <c r="CK11" s="15" t="n">
        <v>415.3046975799452</v>
      </c>
      <c r="CL11" s="15" t="n">
        <v>414.9100877794747</v>
      </c>
      <c r="CM11" s="15" t="n">
        <v>-1.645747549101646</v>
      </c>
      <c r="CN11" s="15" t="n">
        <v>20000</v>
      </c>
      <c r="CO11" s="15" t="n">
        <v>-1.645747549101646</v>
      </c>
      <c r="CP11" s="15" t="n">
        <v>2.111395364484888</v>
      </c>
      <c r="CQ11" s="15" t="n">
        <v>41977.84812386313</v>
      </c>
      <c r="CR11" t="n">
        <v>1.7000122404886</v>
      </c>
      <c r="CS11" t="n">
        <v>0.03541692167684583</v>
      </c>
      <c r="CT11" t="n">
        <v>218.6346256451204</v>
      </c>
      <c r="CU11" t="n">
        <v>218.6346256451204</v>
      </c>
      <c r="CV11" t="n">
        <v>371.6815397913475</v>
      </c>
      <c r="CW11" t="n">
        <v>399.9075002400625</v>
      </c>
      <c r="CX11" s="15" t="n">
        <v>41977.84812386313</v>
      </c>
      <c r="CY11" s="15" t="n">
        <v>94.37517659872988</v>
      </c>
      <c r="CZ11" s="15" t="n">
        <v>399.9075002400625</v>
      </c>
      <c r="DA11" s="15" t="n">
        <v>2.517500716329375</v>
      </c>
      <c r="DB11" s="15" t="n">
        <v>2.517500716329375</v>
      </c>
      <c r="DC11" s="15" t="n">
        <v>1.447667653723211</v>
      </c>
      <c r="DD11" s="15" t="n">
        <v>0</v>
      </c>
      <c r="DE11" s="15" t="n">
        <v>5.997212408080185e-05</v>
      </c>
      <c r="DF11" s="15" t="n">
        <v>0</v>
      </c>
      <c r="DG11" s="15" t="n">
        <v>8</v>
      </c>
      <c r="DH11" s="15" t="inlineStr">
        <is>
          <t>Density_Metrics</t>
        </is>
      </c>
      <c r="DI11" s="15" t="n">
        <v>2.111395364484888</v>
      </c>
      <c r="DJ11" t="n">
        <v>0.9531747808791103</v>
      </c>
      <c r="DK11" s="15" t="n">
        <v>0.5462341945496726</v>
      </c>
      <c r="DL11" s="15" t="n">
        <v>5.729598838920898</v>
      </c>
      <c r="DM11" s="15" t="n">
        <v>1.740239667141038</v>
      </c>
      <c r="DN11" s="15" t="n">
        <v>1.04932414714067</v>
      </c>
      <c r="DO11" s="15" t="n">
        <v>11.13977023190054</v>
      </c>
      <c r="DP11" s="15" t="n">
        <v>1.206431790492709</v>
      </c>
      <c r="DQ11" s="15" t="n">
        <v>6.25</v>
      </c>
      <c r="DR11" s="15" t="n">
        <v>25</v>
      </c>
      <c r="DS11" s="15" t="b">
        <v>1</v>
      </c>
      <c r="DT11" s="15" t="n">
        <v>1.7000122404886</v>
      </c>
      <c r="DU11" s="15" t="n">
        <v>10.69774001731919</v>
      </c>
      <c r="DV11" t="n">
        <v>48</v>
      </c>
      <c r="DW11" s="15" t="n">
        <v>0.1066504832299211</v>
      </c>
      <c r="DX11" s="15" t="n">
        <v>1.406051882363345</v>
      </c>
      <c r="DY11" s="15" t="n">
        <v>2.533296368099164</v>
      </c>
      <c r="DZ11" s="15" t="n">
        <v>0.1265755993207935</v>
      </c>
      <c r="EA11" s="15" t="b">
        <v>1</v>
      </c>
      <c r="EB11" s="15" t="n">
        <v>0.2265623332893673</v>
      </c>
      <c r="EC11" s="15" t="n">
        <v>20000</v>
      </c>
      <c r="ED11" s="15" t="n">
        <v>3319.280702235797</v>
      </c>
      <c r="EE11" s="15" t="n">
        <v>8</v>
      </c>
      <c r="EF11" s="15" t="n">
        <v>0</v>
      </c>
      <c r="EG11" s="15" t="n">
        <v>0.02592458410713607</v>
      </c>
      <c r="EH11" s="15" t="b">
        <v>0</v>
      </c>
      <c r="EI11" s="15" t="b">
        <v>1</v>
      </c>
      <c r="EJ11" s="15" t="b">
        <v>0</v>
      </c>
      <c r="EK11" s="15" t="inlineStr">
        <is>
          <t>wf=log|dst=-90.0|ceil=20000.0|fft=adaptive_tier</t>
        </is>
      </c>
      <c r="EL11" s="15" t="inlineStr">
        <is>
          <t>wf=log|dst=runtime_configured|ceil=runtime_configured|fft=fixed</t>
        </is>
      </c>
      <c r="EM11" s="15" t="n">
        <v>0.5755734081156423</v>
      </c>
      <c r="EN11" s="15" t="n">
        <v>0.9958081359864088</v>
      </c>
      <c r="EO11" s="15" t="n">
        <v>0.163265306122449</v>
      </c>
      <c r="EP11" s="15" t="n">
        <v>0.3515844488945057</v>
      </c>
      <c r="EQ11" s="15" t="inlineStr">
        <is>
          <t>warn:power_outlier_detected</t>
        </is>
      </c>
      <c r="ER11" s="15" t="n">
        <v>688.6615933870135</v>
      </c>
      <c r="ES11" s="15" t="inlineStr">
        <is>
          <t>winsorize_p95_for_robust_diagnostics</t>
        </is>
      </c>
      <c r="ET11" s="15" t="n">
        <v>0.2503403997635578</v>
      </c>
      <c r="EU11" s="15" t="n">
        <v>0.03329457304882068</v>
      </c>
      <c r="EV11" s="15" t="n">
        <v>0.04053852050294532</v>
      </c>
      <c r="EW11" t="inlineStr">
        <is>
          <t>computed</t>
        </is>
      </c>
      <c r="EX11" s="15" t="inlineStr">
        <is>
          <t>computed</t>
        </is>
      </c>
      <c r="EY11" s="15" t="inlineStr">
        <is>
          <t>computed</t>
        </is>
      </c>
      <c r="EZ11" s="15" t="inlineStr">
        <is>
          <t>available_from_curve</t>
        </is>
      </c>
      <c r="FA11" s="15" t="n">
        <v>20000</v>
      </c>
      <c r="FB11" s="15" t="n">
        <v>20000</v>
      </c>
      <c r="FC11" s="15" t="n">
        <v>0.2253256262808617</v>
      </c>
      <c r="FD11" s="15" t="n">
        <v>0.3326011907530185</v>
      </c>
      <c r="FE11" s="15" t="n">
        <v>2.517500716329375</v>
      </c>
      <c r="FF11" s="15" t="n">
        <v>1.447667653723211</v>
      </c>
      <c r="FG11" s="15" t="n">
        <v>1.764430468868313</v>
      </c>
      <c r="FH11" s="15" t="n">
        <v>1.518602853390874</v>
      </c>
      <c r="FI11" s="15" t="n">
        <v>0.4903862674044293</v>
      </c>
      <c r="FJ11" s="15" t="n">
        <v>0.1024062436895852</v>
      </c>
      <c r="FK11" s="15" t="n">
        <v>10494.46203096578</v>
      </c>
      <c r="FL11" s="15" t="n">
        <v>23.59379414968247</v>
      </c>
      <c r="FM11" s="15" t="n">
        <v>99.97687506001563</v>
      </c>
      <c r="FN11" s="15" t="n">
        <v>0.00486189898765907</v>
      </c>
      <c r="FO11" t="n">
        <v>1</v>
      </c>
      <c r="FP11" t="n">
        <v>0</v>
      </c>
      <c r="FQ11" t="n">
        <v>0</v>
      </c>
      <c r="FR11" t="inlineStr">
        <is>
          <t>excellent</t>
        </is>
      </c>
      <c r="FS11" s="19" t="n">
        <v>0.8958333333333334</v>
      </c>
      <c r="FT11" s="15" t="n">
        <v>4.826096547272038</v>
      </c>
      <c r="FU11" s="15" t="n">
        <v>14.28961843851743</v>
      </c>
      <c r="FV11" t="inlineStr">
        <is>
          <t>passed</t>
        </is>
      </c>
      <c r="FW11" t="n">
        <v>164.1154981848195</v>
      </c>
      <c r="FX11" t="n">
        <v>13.51643792721294</v>
      </c>
      <c r="FY11" t="n">
        <v>28.56701757419689</v>
      </c>
      <c r="FZ11" t="n">
        <v>0.9292469743824049</v>
      </c>
      <c r="GA11" t="n">
        <v>0.9537404439667261</v>
      </c>
      <c r="GB11" t="n">
        <v>0.9235805908697117</v>
      </c>
      <c r="GC11" t="n">
        <v>0.2695172873028894</v>
      </c>
      <c r="GD11" t="n">
        <v>0.7304679039503421</v>
      </c>
      <c r="GE11" t="n">
        <v>0.6809709650722748</v>
      </c>
      <c r="GF11" t="n">
        <v>0.8718588645507021</v>
      </c>
      <c r="GG11" t="n">
        <v>0.3560451369334089</v>
      </c>
      <c r="GH11" t="n">
        <v>0.2814509977139209</v>
      </c>
      <c r="GI11" t="n">
        <v>0.6420649019527955</v>
      </c>
      <c r="GJ11" t="n">
        <v>0.09313725490196084</v>
      </c>
      <c r="GK11" t="n">
        <v>0.4791666666666667</v>
      </c>
      <c r="GL11" t="n">
        <v>0.5813953488372091</v>
      </c>
      <c r="GM11" t="n">
        <v>0.03706519530495667</v>
      </c>
      <c r="GN11" t="n">
        <v>0.03706519530495667</v>
      </c>
      <c r="GO11" t="n">
        <v>0.8244949203960659</v>
      </c>
      <c r="GP11" t="n">
        <v>0.3770774445821121</v>
      </c>
      <c r="GQ11" t="n">
        <v>371.6815397913475</v>
      </c>
      <c r="GR11" t="inlineStr">
        <is>
          <t>compiled workbook density_weighted_sum = density_component_ratio_weighted_sum (per-note component ratios); research density_weighted_sum maps body-ceiling richness</t>
        </is>
      </c>
      <c r="GS11" s="15" t="inlineStr">
        <is>
          <t>individual_exact</t>
        </is>
      </c>
      <c r="GT11" s="15" t="inlineStr">
        <is>
          <t>density_weight</t>
        </is>
      </c>
      <c r="GU11" s="15" t="n">
        <v>0.5723845433296934</v>
      </c>
      <c r="GV11" s="15" t="n">
        <v>0.4276154566703065</v>
      </c>
      <c r="GW11" s="15" t="n">
        <v>0</v>
      </c>
      <c r="GX11" s="15" t="inlineStr">
        <is>
          <t>log</t>
        </is>
      </c>
      <c r="GY11" s="15" t="n">
        <v>0.5</v>
      </c>
      <c r="GZ11" s="15" t="inlineStr">
        <is>
          <t>EWSD-R v18.1</t>
        </is>
      </c>
      <c r="HA11" s="15" t="n">
        <v>3.866953373104621</v>
      </c>
      <c r="HB11" s="15" t="n">
        <v>19.89020678880903</v>
      </c>
      <c r="HC11" s="15" t="n">
        <v>0.4614621257847397</v>
      </c>
      <c r="HD11" s="15" t="n">
        <v>5.021638642361519</v>
      </c>
      <c r="HE11" s="15" t="n">
        <v>21.87670649225637</v>
      </c>
      <c r="HF11" s="15" t="n">
        <v>0.4120461016677406</v>
      </c>
      <c r="HG11" s="15" t="inlineStr">
        <is>
          <t>partials+ratios</t>
        </is>
      </c>
      <c r="HH11" s="15" t="inlineStr">
        <is>
          <t>merged_individual_exact</t>
        </is>
      </c>
      <c r="HI11" s="15" t="inlineStr">
        <is>
          <t>passed</t>
        </is>
      </c>
      <c r="HJ11" s="15" t="inlineStr">
        <is>
          <t>passed</t>
        </is>
      </c>
    </row>
    <row r="12">
      <c r="A12" t="inlineStr">
        <is>
          <t>incomplete_inference</t>
        </is>
      </c>
      <c r="B12" t="inlineStr">
        <is>
          <t>missing_instrument_technique</t>
        </is>
      </c>
      <c r="C12" t="inlineStr">
        <is>
          <t>prior_constrained_harmonic_fit</t>
        </is>
      </c>
      <c r="D12" t="inlineStr">
        <is>
          <t>IOWA_flt_pp.A4_SustainStable/A4/component_amplitude_mass_pie.png</t>
        </is>
      </c>
      <c r="E12" t="inlineStr">
        <is>
          <t>IOWA_flt_pp.A4_SustainStable/A4/component_energy_ratio_pie.png</t>
        </is>
      </c>
      <c r="F12" s="15" t="n">
        <v>440.2794333742448</v>
      </c>
      <c r="G12" s="15" t="inlineStr">
        <is>
          <t>prior_constrained_harmonic_fit</t>
        </is>
      </c>
      <c r="H12" s="15" t="inlineStr">
        <is>
          <t>fit_accepted_acoustically_verified</t>
        </is>
      </c>
      <c r="I12" s="16" t="n">
        <v>305.4005680311961</v>
      </c>
      <c r="J12" t="inlineStr">
        <is>
          <t>richness_weighted_body_density_body_ceiling</t>
        </is>
      </c>
      <c r="K12" t="inlineStr">
        <is>
          <t>research_body_ceiling_richness_metric</t>
        </is>
      </c>
      <c r="L12" s="15" t="n">
        <v>42306.15776249555</v>
      </c>
      <c r="M12" s="15" t="n">
        <v>42306.15776249555</v>
      </c>
      <c r="N12" s="15" t="n">
        <v>132.2533258334799</v>
      </c>
      <c r="O12" s="15" t="n">
        <v>241.6417398661475</v>
      </c>
      <c r="P12" s="15" t="n">
        <v>-6.29711324720742</v>
      </c>
      <c r="Q12" s="15" t="n">
        <v>9</v>
      </c>
      <c r="R12" s="15" t="n">
        <v>38</v>
      </c>
      <c r="S12" s="15" t="n">
        <v>10576.56697256462</v>
      </c>
      <c r="T12" s="15" t="n">
        <v>46</v>
      </c>
      <c r="U12" s="15" t="n">
        <v>0.5021592381750944</v>
      </c>
      <c r="V12" s="15" t="n">
        <v>16.7902400229265</v>
      </c>
      <c r="W12" s="15" t="n">
        <v>0.9506822496212796</v>
      </c>
      <c r="X12" s="15" t="n">
        <v>0.1888523843011765</v>
      </c>
      <c r="Y12" s="15" t="n">
        <v>10</v>
      </c>
      <c r="Z12" s="15" t="n">
        <v>45</v>
      </c>
      <c r="AA12" s="15" t="n">
        <v>0.2222222222222222</v>
      </c>
      <c r="AB12" s="15" t="n">
        <v>45</v>
      </c>
      <c r="AC12" s="15" t="n">
        <v>10</v>
      </c>
      <c r="AD12" s="15" t="n">
        <v>0.2222222222222222</v>
      </c>
      <c r="AE12" s="15" t="n">
        <v>427.0269787985678</v>
      </c>
      <c r="AF12" s="15" t="n">
        <v>10</v>
      </c>
      <c r="AG12" s="15" t="n">
        <v>45</v>
      </c>
      <c r="AH12" s="15" t="n">
        <v>0.2222222222222222</v>
      </c>
      <c r="AI12" s="15" t="n">
        <v>427.0269787985678</v>
      </c>
      <c r="AJ12" s="15" t="n">
        <v>5</v>
      </c>
      <c r="AK12" s="15" t="n">
        <v>5</v>
      </c>
      <c r="AL12" s="15" t="n">
        <v>7.567954148811009</v>
      </c>
      <c r="AM12" s="15" t="n">
        <v>39</v>
      </c>
      <c r="AN12" s="15" t="n">
        <v>0</v>
      </c>
      <c r="AO12" s="15" t="n">
        <v>39</v>
      </c>
      <c r="AP12" s="15" t="n">
        <v>0</v>
      </c>
      <c r="AQ12" s="15" t="n">
        <v>22.45859282592325</v>
      </c>
      <c r="AR12" s="15" t="n">
        <v>11.41003141451626</v>
      </c>
      <c r="AS12" s="15" t="n">
        <v>0.2507539458429471</v>
      </c>
      <c r="AT12" s="17" t="n">
        <v>2.48740223479574</v>
      </c>
      <c r="AU12" s="18" t="n">
        <v>9.083493476636669</v>
      </c>
      <c r="AV12" s="15" t="n">
        <v>10.74536450406078</v>
      </c>
      <c r="AW12" s="15" t="b">
        <v>1</v>
      </c>
      <c r="AX12" s="15" t="n">
        <v>6.304088467290774</v>
      </c>
      <c r="AY12" s="15" t="n">
        <v>18.18924656969196</v>
      </c>
      <c r="AZ12" s="15" t="n">
        <v>0</v>
      </c>
      <c r="BA12" s="15" t="n">
        <v>1</v>
      </c>
      <c r="BB12" s="15" t="n">
        <v>0.5</v>
      </c>
      <c r="BC12" s="15" t="n">
        <v>0.25</v>
      </c>
      <c r="BD12" s="15" t="inlineStr">
        <is>
          <t>his_note_adaptive</t>
        </is>
      </c>
      <c r="BE12" s="15" t="n">
        <v>-90</v>
      </c>
      <c r="BF12" s="15" t="n">
        <v>20000</v>
      </c>
      <c r="BG12" s="15" t="n">
        <v>10</v>
      </c>
      <c r="BH12" s="15" t="n">
        <v>0.2222222222222222</v>
      </c>
      <c r="BI12" s="15" t="n">
        <v>45</v>
      </c>
      <c r="BJ12" s="15" t="n">
        <v>10</v>
      </c>
      <c r="BK12" s="15" t="n">
        <v>45</v>
      </c>
      <c r="BL12" s="15" t="n">
        <v>40</v>
      </c>
      <c r="BM12" s="15" t="n">
        <v>0.8888888888888888</v>
      </c>
      <c r="BN12" s="15" t="n">
        <v>0.09736241536888425</v>
      </c>
      <c r="BO12" s="15" t="n">
        <v>0.325</v>
      </c>
      <c r="BP12" s="19" t="n">
        <v>0.7611557193294999</v>
      </c>
      <c r="BQ12" s="19" t="n">
        <v>0.2388442806705001</v>
      </c>
      <c r="BR12" s="19" t="n">
        <v>0</v>
      </c>
      <c r="BS12" s="15" t="n">
        <v>0.1019822741216366</v>
      </c>
      <c r="BT12" s="19" t="n">
        <v>1</v>
      </c>
      <c r="BU12" s="19" t="n">
        <v>0</v>
      </c>
      <c r="BV12" s="19" t="n">
        <v>0</v>
      </c>
      <c r="BW12" t="inlineStr">
        <is>
          <t>A4</t>
        </is>
      </c>
      <c r="BX12" t="n">
        <v>69</v>
      </c>
      <c r="BY12" t="inlineStr">
        <is>
          <t>A</t>
        </is>
      </c>
      <c r="BZ12" t="n">
        <v>4</v>
      </c>
      <c r="CA12" t="inlineStr">
        <is>
          <t>High</t>
        </is>
      </c>
      <c r="CB12" t="inlineStr">
        <is>
          <t>pp</t>
        </is>
      </c>
      <c r="CC12" s="15" t="n">
        <v>439.9999999999999</v>
      </c>
      <c r="CD12" s="15" t="n">
        <v>440.2794333742448</v>
      </c>
      <c r="CE12" t="inlineStr">
        <is>
          <t>prior_constrained_harmonic_fit</t>
        </is>
      </c>
      <c r="CF12" t="n">
        <v>440.2794333742448</v>
      </c>
      <c r="CG12" s="15" t="n">
        <v>1</v>
      </c>
      <c r="CH12" t="n">
        <v/>
      </c>
      <c r="CI12" t="inlineStr">
        <is>
          <t>free_fit_acoustically_verified</t>
        </is>
      </c>
      <c r="CJ12" s="15" t="inlineStr">
        <is>
          <t>free_f0_fit</t>
        </is>
      </c>
      <c r="CK12" s="15" t="n">
        <v>439.9999999999999</v>
      </c>
      <c r="CL12" s="15" t="n">
        <v>440.2794333742448</v>
      </c>
      <c r="CM12" s="15" t="n">
        <v>1.099115962150769</v>
      </c>
      <c r="CN12" s="15" t="n">
        <v>20000</v>
      </c>
      <c r="CO12" s="15" t="n">
        <v>1.099115962150769</v>
      </c>
      <c r="CP12" s="15" t="n">
        <v>2.117780811359492</v>
      </c>
      <c r="CQ12" s="15" t="n">
        <v>42306.15776249555</v>
      </c>
      <c r="CR12" t="n">
        <v>1.299387728713765</v>
      </c>
      <c r="CS12" t="n">
        <v>0.02887528286030589</v>
      </c>
      <c r="CT12" t="n">
        <v>235.0342097916419</v>
      </c>
      <c r="CU12" t="n">
        <v>235.0342097916419</v>
      </c>
      <c r="CV12" t="n">
        <v>305.4005680311961</v>
      </c>
      <c r="CW12" t="n">
        <v>241.6417398661475</v>
      </c>
      <c r="CX12" s="15" t="n">
        <v>42306.15776249555</v>
      </c>
      <c r="CY12" s="15" t="n">
        <v>132.2533258334799</v>
      </c>
      <c r="CZ12" s="15" t="n">
        <v>241.6417398661475</v>
      </c>
      <c r="DA12" s="15" t="n">
        <v>2.48740223479574</v>
      </c>
      <c r="DB12" s="15" t="n">
        <v>2.48740223479574</v>
      </c>
      <c r="DC12" s="15" t="n">
        <v>1.538287168642253</v>
      </c>
      <c r="DD12" s="15" t="n">
        <v>0</v>
      </c>
      <c r="DE12" s="15" t="n">
        <v>5.879527629901728e-05</v>
      </c>
      <c r="DF12" s="15" t="n">
        <v>0</v>
      </c>
      <c r="DG12" s="15" t="n">
        <v>9</v>
      </c>
      <c r="DH12" s="15" t="inlineStr">
        <is>
          <t>Density_Metrics</t>
        </is>
      </c>
      <c r="DI12" s="15" t="n">
        <v>2.117780811359492</v>
      </c>
      <c r="DJ12" t="n">
        <v>0.9560574465455667</v>
      </c>
      <c r="DK12" s="15" t="n">
        <v>0.5425020415192542</v>
      </c>
      <c r="DL12" s="15" t="n">
        <v>5.684066547844997</v>
      </c>
      <c r="DM12" s="15" t="n">
        <v>1.32244591085551</v>
      </c>
      <c r="DN12" s="15" t="n">
        <v>1.03159911068519</v>
      </c>
      <c r="DO12" s="15" t="n">
        <v>12.13005059723772</v>
      </c>
      <c r="DP12" s="15" t="n">
        <v>1.863266212967343</v>
      </c>
      <c r="DQ12" s="15" t="n">
        <v>3.875</v>
      </c>
      <c r="DR12" s="15" t="n">
        <v>27</v>
      </c>
      <c r="DS12" s="15" t="b">
        <v>1</v>
      </c>
      <c r="DT12" s="15" t="n">
        <v>1.299387728713765</v>
      </c>
      <c r="DU12" s="15" t="n">
        <v>8.498357293552941</v>
      </c>
      <c r="DV12" t="n">
        <v>45</v>
      </c>
      <c r="DW12" s="15" t="n">
        <v>0.1019822741216366</v>
      </c>
      <c r="DX12" s="15" t="n">
        <v>1.331237624973129</v>
      </c>
      <c r="DY12" s="15" t="n">
        <v>2.557243455815527</v>
      </c>
      <c r="DZ12" s="15" t="n">
        <v>0.1443581083164174</v>
      </c>
      <c r="EA12" s="15" t="b">
        <v>1</v>
      </c>
      <c r="EB12" s="15" t="n">
        <v>0.3022727893783202</v>
      </c>
      <c r="EC12" s="15" t="n">
        <v>20000</v>
      </c>
      <c r="ED12" s="15" t="n">
        <v>4402.794333742448</v>
      </c>
      <c r="EE12" s="15" t="n">
        <v>10</v>
      </c>
      <c r="EF12" s="15" t="n">
        <v>0</v>
      </c>
      <c r="EG12" s="15" t="n">
        <v>0.02446954900568182</v>
      </c>
      <c r="EH12" s="15" t="b">
        <v>0</v>
      </c>
      <c r="EI12" s="15" t="b">
        <v>1</v>
      </c>
      <c r="EJ12" s="15" t="b">
        <v>0</v>
      </c>
      <c r="EK12" s="15" t="inlineStr">
        <is>
          <t>wf=log|dst=-90.0|ceil=20000.0|fft=adaptive_tier</t>
        </is>
      </c>
      <c r="EL12" s="15" t="inlineStr">
        <is>
          <t>wf=log|dst=runtime_configured|ceil=runtime_configured|fft=fixed</t>
        </is>
      </c>
      <c r="EM12" s="15" t="n">
        <v>0.5857040539317563</v>
      </c>
      <c r="EN12" s="15" t="n">
        <v>0.9976959617995222</v>
      </c>
      <c r="EO12" s="15" t="n">
        <v>0.1956521739130435</v>
      </c>
      <c r="EP12" s="15" t="n">
        <v>0.3413130512620307</v>
      </c>
      <c r="EQ12" s="15" t="inlineStr">
        <is>
          <t>warn:power_outlier_detected</t>
        </is>
      </c>
      <c r="ER12" s="15" t="n">
        <v>840.8668284522869</v>
      </c>
      <c r="ES12" s="15" t="inlineStr">
        <is>
          <t>winsorize_p95_for_robust_diagnostics</t>
        </is>
      </c>
      <c r="ET12" s="15" t="n">
        <v>0.1904497205202763</v>
      </c>
      <c r="EU12" s="15" t="n">
        <v>0.02938216634051886</v>
      </c>
      <c r="EV12" s="15" t="n">
        <v>0.03387143502237626</v>
      </c>
      <c r="EW12" t="inlineStr">
        <is>
          <t>computed</t>
        </is>
      </c>
      <c r="EX12" s="15" t="inlineStr">
        <is>
          <t>computed</t>
        </is>
      </c>
      <c r="EY12" s="15" t="inlineStr">
        <is>
          <t>computed</t>
        </is>
      </c>
      <c r="EZ12" s="15" t="inlineStr">
        <is>
          <t>available_from_curve</t>
        </is>
      </c>
      <c r="FA12" s="15" t="n">
        <v>20000</v>
      </c>
      <c r="FB12" s="15" t="n">
        <v>20000</v>
      </c>
      <c r="FC12" s="15" t="n">
        <v>0.2388442806705001</v>
      </c>
      <c r="FD12" s="15" t="n">
        <v>0.2040142764801667</v>
      </c>
      <c r="FE12" s="15" t="n">
        <v>2.48740223479574</v>
      </c>
      <c r="FF12" s="15" t="n">
        <v>1.538287168642253</v>
      </c>
      <c r="FG12" s="15" t="n">
        <v>1.658377144407004</v>
      </c>
      <c r="FH12" s="15" t="n">
        <v>1.50044689433067</v>
      </c>
      <c r="FI12" s="15" t="n">
        <v>0.5210829301093387</v>
      </c>
      <c r="FJ12" s="15" t="n">
        <v>0.0962509869194835</v>
      </c>
      <c r="FK12" s="15" t="n">
        <v>10576.53944062389</v>
      </c>
      <c r="FL12" s="15" t="n">
        <v>33.06333145836997</v>
      </c>
      <c r="FM12" s="15" t="n">
        <v>60.41043496653687</v>
      </c>
      <c r="FN12" s="15" t="n">
        <v>0.004882261752130388</v>
      </c>
      <c r="FO12" t="n">
        <v>1</v>
      </c>
      <c r="FP12" t="n">
        <v>0</v>
      </c>
      <c r="FQ12" t="n">
        <v>0</v>
      </c>
      <c r="FR12" t="inlineStr">
        <is>
          <t>excellent</t>
        </is>
      </c>
      <c r="FS12" s="19" t="n">
        <v>0.8888888888888888</v>
      </c>
      <c r="FT12" s="15" t="n">
        <v>4.980566546494792</v>
      </c>
      <c r="FU12" s="15" t="n">
        <v>15.75028700781062</v>
      </c>
      <c r="FV12" t="inlineStr">
        <is>
          <t>passed</t>
        </is>
      </c>
      <c r="FW12" t="n">
        <v>153.0932885711639</v>
      </c>
      <c r="FX12" t="n">
        <v>16.76860171405542</v>
      </c>
      <c r="FY12" t="n">
        <v>22.26916733085261</v>
      </c>
      <c r="FZ12" t="n">
        <v>0.9336026895627052</v>
      </c>
      <c r="GA12" t="n">
        <v>0.7836544470989419</v>
      </c>
      <c r="GB12" t="n">
        <v>0.9092390775180322</v>
      </c>
      <c r="GC12" t="n">
        <v>0.1142623268233816</v>
      </c>
      <c r="GD12" t="n">
        <v>0.3124132893867005</v>
      </c>
      <c r="GE12" t="n">
        <v>0.4877557093974138</v>
      </c>
      <c r="GF12" t="n">
        <v>0.9102565662534419</v>
      </c>
      <c r="GG12" t="n">
        <v>0.2777850587893518</v>
      </c>
      <c r="GH12" t="n">
        <v>0.2580512885778189</v>
      </c>
      <c r="GI12" t="n">
        <v>0.4697635856460715</v>
      </c>
      <c r="GJ12" t="n">
        <v>0.0849673202614379</v>
      </c>
      <c r="GK12" t="n">
        <v>0.4444444444444441</v>
      </c>
      <c r="GL12" t="n">
        <v>0.4651162790697675</v>
      </c>
      <c r="GM12" t="n">
        <v>0.08447309993765049</v>
      </c>
      <c r="GN12" t="n">
        <v>0.08447309993765049</v>
      </c>
      <c r="GO12" t="n">
        <v>0.5057370187561465</v>
      </c>
      <c r="GP12" t="n">
        <v>0.3156190291721122</v>
      </c>
      <c r="GQ12" t="n">
        <v>305.4005680311961</v>
      </c>
      <c r="GR12" t="inlineStr">
        <is>
          <t>compiled workbook density_weighted_sum = density_component_ratio_weighted_sum (per-note component ratios); research density_weighted_sum maps body-ceiling richness</t>
        </is>
      </c>
      <c r="GS12" s="15" t="inlineStr">
        <is>
          <t>individual_exact</t>
        </is>
      </c>
      <c r="GT12" s="15" t="inlineStr">
        <is>
          <t>density_weight</t>
        </is>
      </c>
      <c r="GU12" s="15" t="n">
        <v>0.5703933508302328</v>
      </c>
      <c r="GV12" s="15" t="n">
        <v>0.4296066491697672</v>
      </c>
      <c r="GW12" s="15" t="n">
        <v>0</v>
      </c>
      <c r="GX12" s="15" t="inlineStr">
        <is>
          <t>log</t>
        </is>
      </c>
      <c r="GY12" s="15" t="n">
        <v>0.5</v>
      </c>
      <c r="GZ12" s="15" t="inlineStr">
        <is>
          <t>EWSD-R v18.1</t>
        </is>
      </c>
      <c r="HA12" s="15" t="n">
        <v>3.541868836321891</v>
      </c>
      <c r="HB12" s="15" t="n">
        <v>18.85761305639404</v>
      </c>
      <c r="HC12" s="15" t="n">
        <v>0.4509460596102276</v>
      </c>
      <c r="HD12" s="15" t="n">
        <v>4.724563606320558</v>
      </c>
      <c r="HE12" s="15" t="n">
        <v>21.30015239885876</v>
      </c>
      <c r="HF12" s="15" t="n">
        <v>0.4081088774099869</v>
      </c>
      <c r="HG12" s="15" t="inlineStr">
        <is>
          <t>partials+ratios</t>
        </is>
      </c>
      <c r="HH12" s="15" t="inlineStr">
        <is>
          <t>merged_individual_exact</t>
        </is>
      </c>
      <c r="HI12" s="15" t="inlineStr">
        <is>
          <t>passed</t>
        </is>
      </c>
      <c r="HJ12" s="15" t="inlineStr">
        <is>
          <t>passed</t>
        </is>
      </c>
    </row>
    <row r="13">
      <c r="A13" t="inlineStr">
        <is>
          <t>incomplete_inference</t>
        </is>
      </c>
      <c r="B13" t="inlineStr">
        <is>
          <t>missing_instrument_technique</t>
        </is>
      </c>
      <c r="C13" t="inlineStr">
        <is>
          <t>prior_constrained_harmonic_fit</t>
        </is>
      </c>
      <c r="D13" t="inlineStr">
        <is>
          <t>IOWA_flt_pp.A#4_SustainStable/A#4/component_amplitude_mass_pie.png</t>
        </is>
      </c>
      <c r="E13" t="inlineStr">
        <is>
          <t>IOWA_flt_pp.A#4_SustainStable/A#4/component_energy_ratio_pie.png</t>
        </is>
      </c>
      <c r="F13" s="15" t="n">
        <v>466.6777408353979</v>
      </c>
      <c r="G13" s="15" t="inlineStr">
        <is>
          <t>prior_constrained_harmonic_fit</t>
        </is>
      </c>
      <c r="H13" s="15" t="inlineStr">
        <is>
          <t>fit_accepted_acoustically_verified</t>
        </is>
      </c>
      <c r="I13" s="16" t="n">
        <v>280.3332751903304</v>
      </c>
      <c r="J13" t="inlineStr">
        <is>
          <t>richness_weighted_body_density_body_ceiling</t>
        </is>
      </c>
      <c r="K13" t="inlineStr">
        <is>
          <t>research_body_ceiling_richness_metric</t>
        </is>
      </c>
      <c r="L13" s="15" t="n">
        <v>42460.9004836176</v>
      </c>
      <c r="M13" s="15" t="n">
        <v>42460.9004836176</v>
      </c>
      <c r="N13" s="15" t="n">
        <v>95.26126712115061</v>
      </c>
      <c r="O13" s="15" t="n">
        <v>185.216808175456</v>
      </c>
      <c r="P13" s="15" t="n">
        <v>-5.566866260100466</v>
      </c>
      <c r="Q13" s="15" t="n">
        <v>12</v>
      </c>
      <c r="R13" s="15" t="n">
        <v>40</v>
      </c>
      <c r="S13" s="15" t="n">
        <v>10615.24495760014</v>
      </c>
      <c r="T13" s="15" t="n">
        <v>43</v>
      </c>
      <c r="U13" s="15" t="n">
        <v>0.172378275273281</v>
      </c>
      <c r="V13" s="15" t="n">
        <v>13.64849748015052</v>
      </c>
      <c r="W13" s="15" t="n">
        <v>0.9647591785795427</v>
      </c>
      <c r="X13" s="15" t="n">
        <v>0.1818959279179536</v>
      </c>
      <c r="Y13" s="15" t="n">
        <v>10</v>
      </c>
      <c r="Z13" s="15" t="n">
        <v>42</v>
      </c>
      <c r="AA13" s="15" t="n">
        <v>0.2380952380952381</v>
      </c>
      <c r="AB13" s="15" t="n">
        <v>42</v>
      </c>
      <c r="AC13" s="15" t="n">
        <v>10</v>
      </c>
      <c r="AD13" s="15" t="n">
        <v>0.2380952380952381</v>
      </c>
      <c r="AE13" s="15" t="n">
        <v>387.1953826042984</v>
      </c>
      <c r="AF13" s="15" t="n">
        <v>10</v>
      </c>
      <c r="AG13" s="15" t="n">
        <v>42</v>
      </c>
      <c r="AH13" s="15" t="n">
        <v>0.2380952380952381</v>
      </c>
      <c r="AI13" s="15" t="n">
        <v>387.1953826042984</v>
      </c>
      <c r="AJ13" s="15" t="n">
        <v>5</v>
      </c>
      <c r="AK13" s="15" t="n">
        <v>5</v>
      </c>
      <c r="AL13" s="15" t="n">
        <v>25.45750448931064</v>
      </c>
      <c r="AM13" s="15" t="n">
        <v>33</v>
      </c>
      <c r="AN13" s="15" t="n">
        <v>0</v>
      </c>
      <c r="AO13" s="15" t="n">
        <v>33</v>
      </c>
      <c r="AP13" s="15" t="n">
        <v>0</v>
      </c>
      <c r="AQ13" s="15" t="n">
        <v>18.84123066130054</v>
      </c>
      <c r="AR13" s="15" t="n">
        <v>9.573758269115165</v>
      </c>
      <c r="AS13" s="15" t="n">
        <v>0.1807251215543538</v>
      </c>
      <c r="AT13" s="17" t="n">
        <v>2.445854398066974</v>
      </c>
      <c r="AU13" s="18" t="n">
        <v>6.817249262281074</v>
      </c>
      <c r="AV13" s="15" t="n">
        <v>8.863296543517116</v>
      </c>
      <c r="AW13" s="15" t="b">
        <v>1</v>
      </c>
      <c r="AX13" s="15" t="n">
        <v>6.029763244005411</v>
      </c>
      <c r="AY13" s="15" t="n">
        <v>15.24928128398991</v>
      </c>
      <c r="AZ13" s="15" t="n">
        <v>0</v>
      </c>
      <c r="BA13" s="15" t="n">
        <v>1</v>
      </c>
      <c r="BB13" s="15" t="n">
        <v>0.5</v>
      </c>
      <c r="BC13" s="15" t="n">
        <v>0.25</v>
      </c>
      <c r="BD13" s="15" t="inlineStr">
        <is>
          <t>his_note_adaptive</t>
        </is>
      </c>
      <c r="BE13" s="15" t="n">
        <v>-90</v>
      </c>
      <c r="BF13" s="15" t="n">
        <v>20000</v>
      </c>
      <c r="BG13" s="15" t="n">
        <v>10</v>
      </c>
      <c r="BH13" s="15" t="n">
        <v>0.2380952380952381</v>
      </c>
      <c r="BI13" s="15" t="n">
        <v>42</v>
      </c>
      <c r="BJ13" s="15" t="n">
        <v>10</v>
      </c>
      <c r="BK13" s="15" t="n">
        <v>42</v>
      </c>
      <c r="BL13" s="15" t="n">
        <v>38</v>
      </c>
      <c r="BM13" s="15" t="n">
        <v>0.9047619047619048</v>
      </c>
      <c r="BN13" s="15" t="n">
        <v>0.1047133496314724</v>
      </c>
      <c r="BO13" s="15" t="n">
        <v>0.275</v>
      </c>
      <c r="BP13" s="19" t="n">
        <v>0.756770658624083</v>
      </c>
      <c r="BQ13" s="19" t="n">
        <v>0.2432293413759169</v>
      </c>
      <c r="BR13" s="19" t="n">
        <v>0</v>
      </c>
      <c r="BS13" s="15" t="n">
        <v>0.0883861816207161</v>
      </c>
      <c r="BT13" s="19" t="n">
        <v>1</v>
      </c>
      <c r="BU13" s="19" t="n">
        <v>0</v>
      </c>
      <c r="BV13" s="19" t="n">
        <v>0</v>
      </c>
      <c r="BW13" t="inlineStr">
        <is>
          <t>A#4</t>
        </is>
      </c>
      <c r="BX13" t="n">
        <v>70</v>
      </c>
      <c r="BY13" t="inlineStr">
        <is>
          <t>A#</t>
        </is>
      </c>
      <c r="BZ13" t="n">
        <v>4</v>
      </c>
      <c r="CA13" t="inlineStr">
        <is>
          <t>High</t>
        </is>
      </c>
      <c r="CB13" t="inlineStr">
        <is>
          <t>pp</t>
        </is>
      </c>
      <c r="CC13" s="15" t="n">
        <v>466.1637615180898</v>
      </c>
      <c r="CD13" s="15" t="n">
        <v>466.6777408353979</v>
      </c>
      <c r="CE13" t="inlineStr">
        <is>
          <t>prior_constrained_harmonic_fit</t>
        </is>
      </c>
      <c r="CF13" t="n">
        <v>466.6777408353979</v>
      </c>
      <c r="CG13" s="15" t="n">
        <v>1</v>
      </c>
      <c r="CH13" t="n">
        <v/>
      </c>
      <c r="CI13" t="inlineStr">
        <is>
          <t>free_fit_acoustically_verified</t>
        </is>
      </c>
      <c r="CJ13" s="15" t="inlineStr">
        <is>
          <t>free_f0_fit</t>
        </is>
      </c>
      <c r="CK13" s="15" t="n">
        <v>466.1637615180898</v>
      </c>
      <c r="CL13" s="15" t="n">
        <v>466.6777408353979</v>
      </c>
      <c r="CM13" s="15" t="n">
        <v>1.907759426310213</v>
      </c>
      <c r="CN13" s="15" t="n">
        <v>20000</v>
      </c>
      <c r="CO13" s="15" t="n">
        <v>1.907759426310213</v>
      </c>
      <c r="CP13" s="15" t="n">
        <v>2.0660514989885</v>
      </c>
      <c r="CQ13" s="15" t="n">
        <v>42460.9004836176</v>
      </c>
      <c r="CR13" t="n">
        <v>1.109161362466776</v>
      </c>
      <c r="CS13" t="n">
        <v>0.02640860386825657</v>
      </c>
      <c r="CT13" t="n">
        <v>252.7434552596287</v>
      </c>
      <c r="CU13" t="n">
        <v>252.7434552596287</v>
      </c>
      <c r="CV13" t="n">
        <v>280.3332751903304</v>
      </c>
      <c r="CW13" t="n">
        <v>185.216808175456</v>
      </c>
      <c r="CX13" s="15" t="n">
        <v>42460.9004836176</v>
      </c>
      <c r="CY13" s="15" t="n">
        <v>95.26126712115061</v>
      </c>
      <c r="CZ13" s="15" t="n">
        <v>185.216808175456</v>
      </c>
      <c r="DA13" s="15" t="n">
        <v>2.445854398066974</v>
      </c>
      <c r="DB13" s="15" t="n">
        <v>2.445854398066974</v>
      </c>
      <c r="DC13" s="15" t="n">
        <v>1.471626065854411</v>
      </c>
      <c r="DD13" s="15" t="n">
        <v>0</v>
      </c>
      <c r="DE13" s="15" t="n">
        <v>5.760250890135128e-05</v>
      </c>
      <c r="DF13" s="15" t="n">
        <v>0</v>
      </c>
      <c r="DG13" s="15" t="n">
        <v>12</v>
      </c>
      <c r="DH13" s="15" t="inlineStr">
        <is>
          <t>Density_Metrics</t>
        </is>
      </c>
      <c r="DI13" s="15" t="n">
        <v>2.0660514989885</v>
      </c>
      <c r="DJ13" t="n">
        <v>0.9327046075587876</v>
      </c>
      <c r="DK13" s="15" t="n">
        <v>0.5372969227196698</v>
      </c>
      <c r="DL13" s="15" t="n">
        <v>5.505457747775137</v>
      </c>
      <c r="DM13" s="15" t="n">
        <v>1.123857920372341</v>
      </c>
      <c r="DN13" s="15" t="n">
        <v>1.020007727375821</v>
      </c>
      <c r="DO13" s="15" t="n">
        <v>13.59641807879803</v>
      </c>
      <c r="DP13" s="15" t="n">
        <v>2.276304637967263</v>
      </c>
      <c r="DQ13" s="15" t="n">
        <v>5.75</v>
      </c>
      <c r="DR13" s="15" t="n">
        <v>30</v>
      </c>
      <c r="DS13" s="15" t="b">
        <v>1</v>
      </c>
      <c r="DT13" s="15" t="n">
        <v>1.109161362466776</v>
      </c>
      <c r="DU13" s="15" t="n">
        <v>7.639628972554053</v>
      </c>
      <c r="DV13" t="n">
        <v>42</v>
      </c>
      <c r="DW13" s="15" t="n">
        <v>0.0883861816207161</v>
      </c>
      <c r="DX13" s="15" t="n">
        <v>1.239423386951177</v>
      </c>
      <c r="DY13" s="15" t="n">
        <v>2.528450733322056</v>
      </c>
      <c r="DZ13" s="15" t="n">
        <v>0.1710660033962685</v>
      </c>
      <c r="EA13" s="15" t="b">
        <v>1</v>
      </c>
      <c r="EB13" s="15" t="n">
        <v>0.2489206778661071</v>
      </c>
      <c r="EC13" s="15" t="n">
        <v>20000</v>
      </c>
      <c r="ED13" s="15" t="n">
        <v>5600.132890024775</v>
      </c>
      <c r="EE13" s="15" t="n">
        <v>12</v>
      </c>
      <c r="EF13" s="15" t="n">
        <v>0</v>
      </c>
      <c r="EG13" s="15" t="n">
        <v>0.02309617874936895</v>
      </c>
      <c r="EH13" s="15" t="b">
        <v>0</v>
      </c>
      <c r="EI13" s="15" t="b">
        <v>1</v>
      </c>
      <c r="EJ13" s="15" t="b">
        <v>0</v>
      </c>
      <c r="EK13" s="15" t="inlineStr">
        <is>
          <t>wf=log|dst=-90.0|ceil=20000.0|fft=adaptive_tier</t>
        </is>
      </c>
      <c r="EL13" s="15" t="inlineStr">
        <is>
          <t>wf=log|dst=runtime_configured|ceil=runtime_configured|fft=fixed</t>
        </is>
      </c>
      <c r="EM13" s="15" t="n">
        <v>0.6142120470734778</v>
      </c>
      <c r="EN13" s="15" t="n">
        <v>0.9981024329989955</v>
      </c>
      <c r="EO13" s="15" t="n">
        <v>0.2790697674418605</v>
      </c>
      <c r="EP13" s="15" t="n">
        <v>0.336957668096393</v>
      </c>
      <c r="EQ13" s="15" t="inlineStr">
        <is>
          <t>warn:power_outlier_detected</t>
        </is>
      </c>
      <c r="ER13" s="15" t="n">
        <v>918.3929609458944</v>
      </c>
      <c r="ES13" s="15" t="inlineStr">
        <is>
          <t>winsorize_p95_for_robust_diagnostics</t>
        </is>
      </c>
      <c r="ET13" s="15" t="n">
        <v>0.1762410627857919</v>
      </c>
      <c r="EU13" s="15" t="n">
        <v>0.02437331359365073</v>
      </c>
      <c r="EV13" s="15" t="n">
        <v>0.02862769172456846</v>
      </c>
      <c r="EW13" t="inlineStr">
        <is>
          <t>computed</t>
        </is>
      </c>
      <c r="EX13" s="15" t="inlineStr">
        <is>
          <t>computed</t>
        </is>
      </c>
      <c r="EY13" s="15" t="inlineStr">
        <is>
          <t>computed</t>
        </is>
      </c>
      <c r="EZ13" s="15" t="inlineStr">
        <is>
          <t>available_from_curve</t>
        </is>
      </c>
      <c r="FA13" s="15" t="n">
        <v>20000</v>
      </c>
      <c r="FB13" s="15" t="n">
        <v>20000</v>
      </c>
      <c r="FC13" s="15" t="n">
        <v>0.2432293413759169</v>
      </c>
      <c r="FD13" s="15" t="n">
        <v>0.110239751193673</v>
      </c>
      <c r="FE13" s="15" t="n">
        <v>2.445854398066974</v>
      </c>
      <c r="FF13" s="15" t="n">
        <v>1.471626065854411</v>
      </c>
      <c r="FG13" s="15" t="n">
        <v>1.587977283853751</v>
      </c>
      <c r="FH13" s="15" t="n">
        <v>1.475384473097076</v>
      </c>
      <c r="FI13" s="15" t="n">
        <v>0.4985019949802577</v>
      </c>
      <c r="FJ13" s="15" t="n">
        <v>0.092165030911167</v>
      </c>
      <c r="FK13" s="15" t="n">
        <v>10615.2251209044</v>
      </c>
      <c r="FL13" s="15" t="n">
        <v>23.81531678028765</v>
      </c>
      <c r="FM13" s="15" t="n">
        <v>46.30420204386399</v>
      </c>
      <c r="FN13" s="15" t="n">
        <v>0.00491772997750839</v>
      </c>
      <c r="FO13" t="n">
        <v>1</v>
      </c>
      <c r="FP13" t="n">
        <v>0</v>
      </c>
      <c r="FQ13" t="n">
        <v>0</v>
      </c>
      <c r="FR13" t="inlineStr">
        <is>
          <t>excellent</t>
        </is>
      </c>
      <c r="FS13" s="19" t="n">
        <v>0.9047619047619048</v>
      </c>
      <c r="FT13" s="15" t="n">
        <v>5.568256322197279</v>
      </c>
      <c r="FU13" s="15" t="n">
        <v>17.61108108068625</v>
      </c>
      <c r="FV13" t="inlineStr">
        <is>
          <t>passed</t>
        </is>
      </c>
      <c r="FW13" t="n">
        <v>139.0803883782596</v>
      </c>
      <c r="FX13" t="n">
        <v>14.31139861666641</v>
      </c>
      <c r="FY13" t="n">
        <v>18.86186948036529</v>
      </c>
      <c r="FZ13" t="n">
        <v>0.8983164902432873</v>
      </c>
      <c r="GA13" t="n">
        <v>0.7193283610686432</v>
      </c>
      <c r="GB13" t="n">
        <v>0.8529818492872061</v>
      </c>
      <c r="GC13" t="n">
        <v>0.04046569834265761</v>
      </c>
      <c r="GD13" t="n">
        <v>0.1139106818729522</v>
      </c>
      <c r="GE13" t="n">
        <v>0.3042534774905389</v>
      </c>
      <c r="GF13" t="n">
        <v>0.9479166440099677</v>
      </c>
      <c r="GG13" t="n">
        <v>0.2617810128986955</v>
      </c>
      <c r="GH13" t="n">
        <v>0.1898999691897313</v>
      </c>
      <c r="GI13" t="n">
        <v>0.3178118312914222</v>
      </c>
      <c r="GJ13" t="n">
        <v>0.1036414565826331</v>
      </c>
      <c r="GK13" t="n">
        <v>0.5238095238095237</v>
      </c>
      <c r="GL13" t="n">
        <v>0.3255813953488373</v>
      </c>
      <c r="GM13" t="n">
        <v>0.09985085379829442</v>
      </c>
      <c r="GN13" t="n">
        <v>0.09985085379829442</v>
      </c>
      <c r="GO13" t="n">
        <v>0.2732765769092023</v>
      </c>
      <c r="GP13" t="n">
        <v>0.2318116248631364</v>
      </c>
      <c r="GQ13" t="n">
        <v>280.3332751903304</v>
      </c>
      <c r="GR13" t="inlineStr">
        <is>
          <t>compiled workbook density_weighted_sum = density_component_ratio_weighted_sum (per-note component ratios); research density_weighted_sum maps body-ceiling richness</t>
        </is>
      </c>
      <c r="GS13" s="15" t="inlineStr">
        <is>
          <t>individual_exact</t>
        </is>
      </c>
      <c r="GT13" s="15" t="inlineStr">
        <is>
          <t>density_weight</t>
        </is>
      </c>
      <c r="GU13" s="15" t="n">
        <v>0.6155986668999766</v>
      </c>
      <c r="GV13" s="15" t="n">
        <v>0.3844013331000233</v>
      </c>
      <c r="GW13" s="15" t="n">
        <v>0</v>
      </c>
      <c r="GX13" s="15" t="inlineStr">
        <is>
          <t>log</t>
        </is>
      </c>
      <c r="GY13" s="15" t="n">
        <v>0.5</v>
      </c>
      <c r="GZ13" s="15" t="inlineStr">
        <is>
          <t>EWSD-R v18.1</t>
        </is>
      </c>
      <c r="HA13" s="15" t="n">
        <v>2.175771506340746</v>
      </c>
      <c r="HB13" s="15" t="n">
        <v>14.77812558434471</v>
      </c>
      <c r="HC13" s="15" t="n">
        <v>0.4991483323908544</v>
      </c>
      <c r="HD13" s="15" t="n">
        <v>3.712847175732962</v>
      </c>
      <c r="HE13" s="15" t="n">
        <v>19.04511007605847</v>
      </c>
      <c r="HF13" s="15" t="n">
        <v>0.4689592873983898</v>
      </c>
      <c r="HG13" s="15" t="inlineStr">
        <is>
          <t>partials+ratios</t>
        </is>
      </c>
      <c r="HH13" s="15" t="inlineStr">
        <is>
          <t>merged_individual_exact</t>
        </is>
      </c>
      <c r="HI13" s="15" t="inlineStr">
        <is>
          <t>passed</t>
        </is>
      </c>
      <c r="HJ13" s="15" t="inlineStr">
        <is>
          <t>passed</t>
        </is>
      </c>
    </row>
    <row r="14">
      <c r="A14" t="inlineStr">
        <is>
          <t>incomplete_inference</t>
        </is>
      </c>
      <c r="B14" t="inlineStr">
        <is>
          <t>missing_instrument_technique</t>
        </is>
      </c>
      <c r="C14" t="inlineStr">
        <is>
          <t>prior_constrained_harmonic_fit</t>
        </is>
      </c>
      <c r="D14" t="inlineStr">
        <is>
          <t>IOWA_flt_pp.B4_SustainStable/B4/component_amplitude_mass_pie.png</t>
        </is>
      </c>
      <c r="E14" t="inlineStr">
        <is>
          <t>IOWA_flt_pp.B4_SustainStable/B4/component_energy_ratio_pie.png</t>
        </is>
      </c>
      <c r="F14" s="15" t="n">
        <v>493.6807486752511</v>
      </c>
      <c r="G14" s="15" t="inlineStr">
        <is>
          <t>prior_constrained_harmonic_fit</t>
        </is>
      </c>
      <c r="H14" s="15" t="inlineStr">
        <is>
          <t>fit_accepted_acoustically_verified</t>
        </is>
      </c>
      <c r="I14" s="16" t="n">
        <v>265.0927811376121</v>
      </c>
      <c r="J14" t="inlineStr">
        <is>
          <t>richness_weighted_body_density_body_ceiling</t>
        </is>
      </c>
      <c r="K14" t="inlineStr">
        <is>
          <t>research_body_ceiling_richness_metric</t>
        </is>
      </c>
      <c r="L14" s="15" t="n">
        <v>40870.13139564732</v>
      </c>
      <c r="M14" s="15" t="n">
        <v>40870.13139564732</v>
      </c>
      <c r="N14" s="15" t="n">
        <v>89.57412801839432</v>
      </c>
      <c r="O14" s="15" t="n">
        <v>112.5907888685148</v>
      </c>
      <c r="P14" s="15" t="n">
        <v>-5.742385374205094</v>
      </c>
      <c r="Q14" s="15" t="n">
        <v>10</v>
      </c>
      <c r="R14" s="15" t="n">
        <v>31</v>
      </c>
      <c r="S14" s="15" t="n">
        <v>10217.54740899703</v>
      </c>
      <c r="T14" s="15" t="n">
        <v>41</v>
      </c>
      <c r="U14" s="15" t="n">
        <v>-0.1217707987397589</v>
      </c>
      <c r="V14" s="15" t="n">
        <v>11.15431283568557</v>
      </c>
      <c r="W14" s="15" t="n">
        <v>0.9806371558144246</v>
      </c>
      <c r="X14" s="15" t="n">
        <v>0.1506481481770914</v>
      </c>
      <c r="Y14" s="15" t="n">
        <v>8</v>
      </c>
      <c r="Z14" s="15" t="n">
        <v>40</v>
      </c>
      <c r="AA14" s="15" t="n">
        <v>0.2</v>
      </c>
      <c r="AB14" s="15" t="n">
        <v>40</v>
      </c>
      <c r="AC14" s="15" t="n">
        <v>8</v>
      </c>
      <c r="AD14" s="15" t="n">
        <v>0.2</v>
      </c>
      <c r="AE14" s="15" t="n">
        <v>338.768714393761</v>
      </c>
      <c r="AF14" s="15" t="n">
        <v>8</v>
      </c>
      <c r="AG14" s="15" t="n">
        <v>40</v>
      </c>
      <c r="AH14" s="15" t="n">
        <v>0.2</v>
      </c>
      <c r="AI14" s="15" t="n">
        <v>338.768714393761</v>
      </c>
      <c r="AJ14" s="15" t="n">
        <v>4</v>
      </c>
      <c r="AK14" s="15" t="n">
        <v>4</v>
      </c>
      <c r="AL14" s="15" t="n">
        <v>67.76771132641227</v>
      </c>
      <c r="AM14" s="15" t="n">
        <v>28</v>
      </c>
      <c r="AN14" s="15" t="n">
        <v>0</v>
      </c>
      <c r="AO14" s="15" t="n">
        <v>28</v>
      </c>
      <c r="AP14" s="15" t="n">
        <v>0</v>
      </c>
      <c r="AQ14" s="15" t="n">
        <v>15.76263684362999</v>
      </c>
      <c r="AR14" s="15" t="n">
        <v>7.805171981703813</v>
      </c>
      <c r="AS14" s="15" t="n">
        <v>0.1132776295129165</v>
      </c>
      <c r="AT14" s="17" t="n">
        <v>2.388165178109013</v>
      </c>
      <c r="AU14" s="18" t="n">
        <v>5.285438318231447</v>
      </c>
      <c r="AV14" s="15" t="n">
        <v>6.975593999091949</v>
      </c>
      <c r="AW14" s="15" t="b">
        <v>1</v>
      </c>
      <c r="AX14" s="15" t="n">
        <v>4.826918955325418</v>
      </c>
      <c r="AY14" s="15" t="n">
        <v>12.50022143326458</v>
      </c>
      <c r="AZ14" s="15" t="n">
        <v>0</v>
      </c>
      <c r="BA14" s="15" t="n">
        <v>1</v>
      </c>
      <c r="BB14" s="15" t="n">
        <v>0.5</v>
      </c>
      <c r="BC14" s="15" t="n">
        <v>0.25</v>
      </c>
      <c r="BD14" s="15" t="inlineStr">
        <is>
          <t>his_note_adaptive</t>
        </is>
      </c>
      <c r="BE14" s="15" t="n">
        <v>-90</v>
      </c>
      <c r="BF14" s="15" t="n">
        <v>20000</v>
      </c>
      <c r="BG14" s="15" t="n">
        <v>8</v>
      </c>
      <c r="BH14" s="15" t="n">
        <v>0.2</v>
      </c>
      <c r="BI14" s="15" t="n">
        <v>40</v>
      </c>
      <c r="BJ14" s="15" t="n">
        <v>8</v>
      </c>
      <c r="BK14" s="15" t="n">
        <v>40</v>
      </c>
      <c r="BL14" s="15" t="n">
        <v>37</v>
      </c>
      <c r="BM14" s="15" t="n">
        <v>0.925</v>
      </c>
      <c r="BN14" s="15" t="n">
        <v>0.1011031052441805</v>
      </c>
      <c r="BO14" s="15" t="n">
        <v>0.2333333333333333</v>
      </c>
      <c r="BP14" s="19" t="n">
        <v>0.754635504618057</v>
      </c>
      <c r="BQ14" s="19" t="n">
        <v>0.2453644953819431</v>
      </c>
      <c r="BR14" s="19" t="n">
        <v>0</v>
      </c>
      <c r="BS14" s="15" t="n">
        <v>0.07586671345141233</v>
      </c>
      <c r="BT14" s="19" t="n">
        <v>1</v>
      </c>
      <c r="BU14" s="19" t="n">
        <v>0</v>
      </c>
      <c r="BV14" s="19" t="n">
        <v>0</v>
      </c>
      <c r="BW14" t="inlineStr">
        <is>
          <t>B4</t>
        </is>
      </c>
      <c r="BX14" t="n">
        <v>71</v>
      </c>
      <c r="BY14" t="inlineStr">
        <is>
          <t>B</t>
        </is>
      </c>
      <c r="BZ14" t="n">
        <v>4</v>
      </c>
      <c r="CA14" t="inlineStr">
        <is>
          <t>High</t>
        </is>
      </c>
      <c r="CB14" t="inlineStr">
        <is>
          <t>pp</t>
        </is>
      </c>
      <c r="CC14" s="15" t="n">
        <v>493.8833012561242</v>
      </c>
      <c r="CD14" s="15" t="n">
        <v>493.6807486752511</v>
      </c>
      <c r="CE14" t="inlineStr">
        <is>
          <t>prior_constrained_harmonic_fit</t>
        </is>
      </c>
      <c r="CF14" t="n">
        <v>493.6807486752511</v>
      </c>
      <c r="CG14" s="15" t="n">
        <v>1</v>
      </c>
      <c r="CH14" t="n">
        <v/>
      </c>
      <c r="CI14" t="inlineStr">
        <is>
          <t>free_fit_acoustically_verified</t>
        </is>
      </c>
      <c r="CJ14" s="15" t="inlineStr">
        <is>
          <t>free_f0_fit</t>
        </is>
      </c>
      <c r="CK14" s="15" t="n">
        <v>493.8833012561242</v>
      </c>
      <c r="CL14" s="15" t="n">
        <v>493.6807486752511</v>
      </c>
      <c r="CM14" s="15" t="n">
        <v>-0.7101634160851574</v>
      </c>
      <c r="CN14" s="15" t="n">
        <v>20000</v>
      </c>
      <c r="CO14" s="15" t="n">
        <v>-0.7101634160851574</v>
      </c>
      <c r="CP14" s="15" t="n">
        <v>1.999475802119832</v>
      </c>
      <c r="CQ14" s="15" t="n">
        <v>40870.13139564732</v>
      </c>
      <c r="CR14" t="n">
        <v>1.037795659901771</v>
      </c>
      <c r="CS14" t="n">
        <v>0.02594489149754428</v>
      </c>
      <c r="CT14" t="n">
        <v>255.4383212227959</v>
      </c>
      <c r="CU14" t="n">
        <v>255.4383212227959</v>
      </c>
      <c r="CV14" t="n">
        <v>265.0927811376121</v>
      </c>
      <c r="CW14" t="n">
        <v>112.5907888685148</v>
      </c>
      <c r="CX14" s="15" t="n">
        <v>40870.13139564732</v>
      </c>
      <c r="CY14" s="15" t="n">
        <v>89.57412801839432</v>
      </c>
      <c r="CZ14" s="15" t="n">
        <v>112.5907888685148</v>
      </c>
      <c r="DA14" s="15" t="n">
        <v>2.388165178109013</v>
      </c>
      <c r="DB14" s="15" t="n">
        <v>2.388165178109013</v>
      </c>
      <c r="DC14" s="15" t="n">
        <v>1.395225680971788</v>
      </c>
      <c r="DD14" s="15" t="n">
        <v>0</v>
      </c>
      <c r="DE14" s="15" t="n">
        <v>5.84330193360561e-05</v>
      </c>
      <c r="DF14" s="15" t="n">
        <v>0</v>
      </c>
      <c r="DG14" s="15" t="n">
        <v>10</v>
      </c>
      <c r="DH14" s="15" t="inlineStr">
        <is>
          <t>Density_Metrics</t>
        </is>
      </c>
      <c r="DI14" s="15" t="n">
        <v>1.999475802119832</v>
      </c>
      <c r="DJ14" t="n">
        <v>0.9026494713478823</v>
      </c>
      <c r="DK14" s="15" t="n">
        <v>0.5299645746789261</v>
      </c>
      <c r="DL14" s="15" t="n">
        <v>5.269773921651605</v>
      </c>
      <c r="DM14" s="15" t="n">
        <v>1.048085577762321</v>
      </c>
      <c r="DN14" s="15" t="n">
        <v>1.011862186786541</v>
      </c>
      <c r="DO14" s="15" t="n">
        <v>13.24644234830578</v>
      </c>
      <c r="DP14" s="15" t="n">
        <v>2.541991757675444</v>
      </c>
      <c r="DQ14" s="15" t="n">
        <v>4.3125</v>
      </c>
      <c r="DR14" s="15" t="n">
        <v>26</v>
      </c>
      <c r="DS14" s="15" t="b">
        <v>1</v>
      </c>
      <c r="DT14" s="15" t="n">
        <v>1.037795659901771</v>
      </c>
      <c r="DU14" s="15" t="n">
        <v>6.025925927083656</v>
      </c>
      <c r="DV14" t="n">
        <v>40</v>
      </c>
      <c r="DW14" s="15" t="n">
        <v>0.07586671345141233</v>
      </c>
      <c r="DX14" s="15" t="n">
        <v>1.109780025589608</v>
      </c>
      <c r="DY14" s="15" t="n">
        <v>2.511831240294421</v>
      </c>
      <c r="DZ14" s="15" t="n">
        <v>0.2102778137445247</v>
      </c>
      <c r="EA14" s="15" t="b">
        <v>1</v>
      </c>
      <c r="EB14" s="15" t="n">
        <v>0.2169780008732082</v>
      </c>
      <c r="EC14" s="15" t="n">
        <v>20000</v>
      </c>
      <c r="ED14" s="15" t="n">
        <v>5430.488235427762</v>
      </c>
      <c r="EE14" s="15" t="n">
        <v>11</v>
      </c>
      <c r="EF14" s="15" t="n">
        <v>0</v>
      </c>
      <c r="EG14" s="15" t="n">
        <v>0.02179988984263414</v>
      </c>
      <c r="EH14" s="15" t="b">
        <v>0</v>
      </c>
      <c r="EI14" s="15" t="b">
        <v>1</v>
      </c>
      <c r="EJ14" s="15" t="b">
        <v>0</v>
      </c>
      <c r="EK14" s="15" t="inlineStr">
        <is>
          <t>wf=log|dst=-90.0|ceil=20000.0|fft=adaptive_tier</t>
        </is>
      </c>
      <c r="EL14" s="15" t="inlineStr">
        <is>
          <t>wf=log|dst=runtime_configured|ceil=runtime_configured|fft=fixed</t>
        </is>
      </c>
      <c r="EM14" s="15" t="n">
        <v>0.6017488345403481</v>
      </c>
      <c r="EN14" s="15" t="n">
        <v>0.9985555179380469</v>
      </c>
      <c r="EO14" s="15" t="n">
        <v>0.2439024390243902</v>
      </c>
      <c r="EP14" s="15" t="n">
        <v>0.3351649890484522</v>
      </c>
      <c r="EQ14" s="15" t="inlineStr">
        <is>
          <t>warn:power_outlier_detected</t>
        </is>
      </c>
      <c r="ER14" s="15" t="n">
        <v>952.9532150958178</v>
      </c>
      <c r="ES14" s="15" t="inlineStr">
        <is>
          <t>winsorize_p95_for_robust_diagnostics</t>
        </is>
      </c>
      <c r="ET14" s="15" t="n">
        <v>0.2503386647362935</v>
      </c>
      <c r="EU14" s="15" t="n">
        <v>0.0227433516366226</v>
      </c>
      <c r="EV14" s="15" t="n">
        <v>0.02605774163578125</v>
      </c>
      <c r="EW14" t="inlineStr">
        <is>
          <t>computed</t>
        </is>
      </c>
      <c r="EX14" s="15" t="inlineStr">
        <is>
          <t>computed</t>
        </is>
      </c>
      <c r="EY14" s="15" t="inlineStr">
        <is>
          <t>computed</t>
        </is>
      </c>
      <c r="EZ14" s="15" t="inlineStr">
        <is>
          <t>available_from_curve</t>
        </is>
      </c>
      <c r="FA14" s="15" t="n">
        <v>20000</v>
      </c>
      <c r="FB14" s="15" t="n">
        <v>20000</v>
      </c>
      <c r="FC14" s="15" t="n">
        <v>0.2453644953819431</v>
      </c>
      <c r="FD14" s="15" t="n">
        <v>0.05526430108608648</v>
      </c>
      <c r="FE14" s="15" t="n">
        <v>2.388165178109013</v>
      </c>
      <c r="FF14" s="15" t="n">
        <v>1.395225680971788</v>
      </c>
      <c r="FG14" s="15" t="n">
        <v>1.486383062570804</v>
      </c>
      <c r="FH14" s="15" t="n">
        <v>1.440585271861579</v>
      </c>
      <c r="FI14" s="15" t="n">
        <v>0.472621953055929</v>
      </c>
      <c r="FJ14" s="15" t="n">
        <v>0.08626857720232342</v>
      </c>
      <c r="FK14" s="15" t="n">
        <v>10217.53284891183</v>
      </c>
      <c r="FL14" s="15" t="n">
        <v>22.39353200459858</v>
      </c>
      <c r="FM14" s="15" t="n">
        <v>28.14769721712871</v>
      </c>
      <c r="FN14" s="15" t="n">
        <v>0.004733819422353746</v>
      </c>
      <c r="FO14" t="n">
        <v>1</v>
      </c>
      <c r="FP14" t="n">
        <v>0</v>
      </c>
      <c r="FQ14" t="n">
        <v>0</v>
      </c>
      <c r="FR14" t="inlineStr">
        <is>
          <t>excellent</t>
        </is>
      </c>
      <c r="FS14" s="19" t="n">
        <v>0.925</v>
      </c>
      <c r="FT14" s="15" t="n">
        <v>5.461170580793497</v>
      </c>
      <c r="FU14" s="15" t="n">
        <v>17.00620377401736</v>
      </c>
      <c r="FV14" t="inlineStr">
        <is>
          <t>passed</t>
        </is>
      </c>
      <c r="FW14" t="n">
        <v>121.7180027819688</v>
      </c>
      <c r="FX14" t="n">
        <v>11.92211899924375</v>
      </c>
      <c r="FY14" t="n">
        <v>14.82332690740899</v>
      </c>
      <c r="FZ14" t="n">
        <v>0.8529031027099485</v>
      </c>
      <c r="GA14" t="n">
        <v>0.6802191785253574</v>
      </c>
      <c r="GB14" t="n">
        <v>0.7787474398328018</v>
      </c>
      <c r="GC14" t="n">
        <v>0.01230818789552064</v>
      </c>
      <c r="GD14" t="n">
        <v>0.03944004814486711</v>
      </c>
      <c r="GE14" t="n">
        <v>0.1585736699265592</v>
      </c>
      <c r="GF14" t="n">
        <v>0.9903950751404302</v>
      </c>
      <c r="GG14" t="n">
        <v>0.1898922704981877</v>
      </c>
      <c r="GH14" t="n">
        <v>0.127145300985065</v>
      </c>
      <c r="GI14" t="n">
        <v>0.1822780289615872</v>
      </c>
      <c r="GJ14" t="n">
        <v>0.05882352941176473</v>
      </c>
      <c r="GK14" t="n">
        <v>0.6250000000000001</v>
      </c>
      <c r="GL14" t="n">
        <v>0.2093023255813953</v>
      </c>
      <c r="GM14" t="n">
        <v>0.1073385204385029</v>
      </c>
      <c r="GN14" t="n">
        <v>0.1073385204385029</v>
      </c>
      <c r="GO14" t="n">
        <v>0.1369963090677948</v>
      </c>
      <c r="GP14" t="n">
        <v>0.1604864588889024</v>
      </c>
      <c r="GQ14" t="n">
        <v>265.0927811376121</v>
      </c>
      <c r="GR14" t="inlineStr">
        <is>
          <t>compiled workbook density_weighted_sum = density_component_ratio_weighted_sum (per-note component ratios); research density_weighted_sum maps body-ceiling richness</t>
        </is>
      </c>
      <c r="GS14" s="15" t="inlineStr">
        <is>
          <t>individual_exact</t>
        </is>
      </c>
      <c r="GT14" s="15" t="inlineStr">
        <is>
          <t>density_weight</t>
        </is>
      </c>
      <c r="GU14" s="15" t="n">
        <v>0.6118681578185003</v>
      </c>
      <c r="GV14" s="15" t="n">
        <v>0.3881318421814997</v>
      </c>
      <c r="GW14" s="15" t="n">
        <v>0</v>
      </c>
      <c r="GX14" s="15" t="inlineStr">
        <is>
          <t>log</t>
        </is>
      </c>
      <c r="GY14" s="15" t="n">
        <v>0.5</v>
      </c>
      <c r="GZ14" s="15" t="inlineStr">
        <is>
          <t>EWSD-R v18.1</t>
        </is>
      </c>
      <c r="HA14" s="15" t="n">
        <v>1.753460855571389</v>
      </c>
      <c r="HB14" s="15" t="n">
        <v>11.77403929636649</v>
      </c>
      <c r="HC14" s="15" t="n">
        <v>0.4873810802494609</v>
      </c>
      <c r="HD14" s="15" t="n">
        <v>2.987250455105229</v>
      </c>
      <c r="HE14" s="15" t="n">
        <v>15.29867386470187</v>
      </c>
      <c r="HF14" s="15" t="n">
        <v>0.472179930032882</v>
      </c>
      <c r="HG14" s="15" t="inlineStr">
        <is>
          <t>partials+ratios</t>
        </is>
      </c>
      <c r="HH14" s="15" t="inlineStr">
        <is>
          <t>merged_individual_exact</t>
        </is>
      </c>
      <c r="HI14" s="15" t="inlineStr">
        <is>
          <t>passed</t>
        </is>
      </c>
      <c r="HJ14" s="15" t="inlineStr">
        <is>
          <t>passed</t>
        </is>
      </c>
    </row>
    <row r="15">
      <c r="A15" t="inlineStr">
        <is>
          <t>incomplete_inference</t>
        </is>
      </c>
      <c r="B15" t="inlineStr">
        <is>
          <t>missing_instrument_technique</t>
        </is>
      </c>
      <c r="C15" t="inlineStr">
        <is>
          <t>prior_constrained_harmonic_fit</t>
        </is>
      </c>
      <c r="D15" t="inlineStr">
        <is>
          <t>IOWA_flt_pp.C5_SustainStable/C5/component_amplitude_mass_pie.png</t>
        </is>
      </c>
      <c r="E15" t="inlineStr">
        <is>
          <t>IOWA_flt_pp.C5_SustainStable/C5/component_energy_ratio_pie.png</t>
        </is>
      </c>
      <c r="F15" s="15" t="n">
        <v>523.4580744924493</v>
      </c>
      <c r="G15" s="15" t="inlineStr">
        <is>
          <t>prior_constrained_harmonic_fit</t>
        </is>
      </c>
      <c r="H15" s="15" t="inlineStr">
        <is>
          <t>fit_accepted_acoustically_verified</t>
        </is>
      </c>
      <c r="I15" s="16" t="n">
        <v>65.52763993076428</v>
      </c>
      <c r="J15" t="inlineStr">
        <is>
          <t>richness_weighted_body_density_body_ceiling</t>
        </is>
      </c>
      <c r="K15" t="inlineStr">
        <is>
          <t>research_body_ceiling_richness_metric</t>
        </is>
      </c>
      <c r="L15" s="15" t="n">
        <v>38962.95937760389</v>
      </c>
      <c r="M15" s="15" t="n">
        <v>38962.95937760389</v>
      </c>
      <c r="N15" s="15" t="n">
        <v>314.0791635258537</v>
      </c>
      <c r="O15" s="15" t="n">
        <v>200.5503905106525</v>
      </c>
      <c r="P15" s="15" t="n">
        <v>-6.928135057355877</v>
      </c>
      <c r="Q15" s="15" t="n">
        <v>8</v>
      </c>
      <c r="R15" s="15" t="n">
        <v>21</v>
      </c>
      <c r="S15" s="15" t="n">
        <v>2435.187390337689</v>
      </c>
      <c r="T15" s="15" t="n">
        <v>39</v>
      </c>
      <c r="U15" s="15" t="n">
        <v>-0.3632477905766353</v>
      </c>
      <c r="V15" s="15" t="n">
        <v>10.23755013544561</v>
      </c>
      <c r="W15" s="15" t="n">
        <v>0.9598988020475092</v>
      </c>
      <c r="X15" s="15" t="n">
        <v>0.08164649373248829</v>
      </c>
      <c r="Y15" s="15" t="n">
        <v>8</v>
      </c>
      <c r="Z15" s="15" t="n">
        <v>38</v>
      </c>
      <c r="AA15" s="15" t="n">
        <v>0.2105263157894737</v>
      </c>
      <c r="AB15" s="15" t="n">
        <v>38</v>
      </c>
      <c r="AC15" s="15" t="n">
        <v>8</v>
      </c>
      <c r="AD15" s="15" t="n">
        <v>0.2105263157894737</v>
      </c>
      <c r="AE15" s="15" t="n">
        <v>161.3973515595627</v>
      </c>
      <c r="AF15" s="15" t="n">
        <v>8</v>
      </c>
      <c r="AG15" s="15" t="n">
        <v>38</v>
      </c>
      <c r="AH15" s="15" t="n">
        <v>0.2105263157894737</v>
      </c>
      <c r="AI15" s="15" t="n">
        <v>161.3973515595627</v>
      </c>
      <c r="AJ15" s="15" t="n">
        <v>4</v>
      </c>
      <c r="AK15" s="15" t="n">
        <v>4</v>
      </c>
      <c r="AL15" s="15" t="n">
        <v>120.1769620726263</v>
      </c>
      <c r="AM15" s="15" t="n">
        <v>36</v>
      </c>
      <c r="AN15" s="15" t="n">
        <v>0</v>
      </c>
      <c r="AO15" s="15" t="n">
        <v>36</v>
      </c>
      <c r="AP15" s="15" t="n">
        <v>0</v>
      </c>
      <c r="AQ15" s="15" t="n">
        <v>20.50982324090302</v>
      </c>
      <c r="AR15" s="15" t="n">
        <v>10.2906888928193</v>
      </c>
      <c r="AS15" s="15" t="n">
        <v>0.2080662656538729</v>
      </c>
      <c r="AT15" s="17" t="n">
        <v>2.366477172318856</v>
      </c>
      <c r="AU15" s="18" t="n">
        <v>5.044557297729831</v>
      </c>
      <c r="AV15" s="15" t="n">
        <v>6.14134895514664</v>
      </c>
      <c r="AW15" s="15" t="b">
        <v>1</v>
      </c>
      <c r="AX15" s="15" t="n">
        <v>4.799219122691222</v>
      </c>
      <c r="AY15" s="15" t="n">
        <v>17.09045222827482</v>
      </c>
      <c r="AZ15" s="15" t="n">
        <v>0</v>
      </c>
      <c r="BA15" s="15" t="n">
        <v>1</v>
      </c>
      <c r="BB15" s="15" t="n">
        <v>0.5</v>
      </c>
      <c r="BC15" s="15" t="n">
        <v>0.25</v>
      </c>
      <c r="BD15" s="15" t="inlineStr">
        <is>
          <t>his_note_adaptive</t>
        </is>
      </c>
      <c r="BE15" s="15" t="n">
        <v>-90</v>
      </c>
      <c r="BF15" s="15" t="n">
        <v>20000</v>
      </c>
      <c r="BG15" s="15" t="n">
        <v>8</v>
      </c>
      <c r="BH15" s="15" t="n">
        <v>0.2105263157894737</v>
      </c>
      <c r="BI15" s="15" t="n">
        <v>38</v>
      </c>
      <c r="BJ15" s="15" t="n">
        <v>8</v>
      </c>
      <c r="BK15" s="15" t="n">
        <v>38</v>
      </c>
      <c r="BL15" s="15" t="n">
        <v>34</v>
      </c>
      <c r="BM15" s="15" t="n">
        <v>0.8947368421052632</v>
      </c>
      <c r="BN15" s="15" t="n">
        <v>0.05474000765628758</v>
      </c>
      <c r="BO15" s="15" t="n">
        <v>0.3</v>
      </c>
      <c r="BP15" s="19" t="n">
        <v>0.7521997590804294</v>
      </c>
      <c r="BQ15" s="19" t="n">
        <v>0.2478002409195706</v>
      </c>
      <c r="BR15" s="19" t="n">
        <v>0</v>
      </c>
      <c r="BS15" s="15" t="n">
        <v>0.09883022611806278</v>
      </c>
      <c r="BT15" s="19" t="n">
        <v>1</v>
      </c>
      <c r="BU15" s="19" t="n">
        <v>0</v>
      </c>
      <c r="BV15" s="19" t="n">
        <v>0</v>
      </c>
      <c r="BW15" t="inlineStr">
        <is>
          <t>C5</t>
        </is>
      </c>
      <c r="BX15" t="n">
        <v>72</v>
      </c>
      <c r="BY15" t="inlineStr">
        <is>
          <t>C</t>
        </is>
      </c>
      <c r="BZ15" t="n">
        <v>5</v>
      </c>
      <c r="CA15" t="inlineStr">
        <is>
          <t>Very high</t>
        </is>
      </c>
      <c r="CB15" t="inlineStr">
        <is>
          <t>pp</t>
        </is>
      </c>
      <c r="CC15" s="15" t="n">
        <v>523.2511306011972</v>
      </c>
      <c r="CD15" s="15" t="n">
        <v>523.4580744924493</v>
      </c>
      <c r="CE15" t="inlineStr">
        <is>
          <t>prior_constrained_harmonic_fit</t>
        </is>
      </c>
      <c r="CF15" t="n">
        <v>523.4580744924493</v>
      </c>
      <c r="CG15" s="15" t="n">
        <v>1</v>
      </c>
      <c r="CH15" t="n">
        <v/>
      </c>
      <c r="CI15" t="inlineStr">
        <is>
          <t>free_fit_acoustically_verified</t>
        </is>
      </c>
      <c r="CJ15" s="15" t="inlineStr">
        <is>
          <t>free_f0_fit</t>
        </is>
      </c>
      <c r="CK15" s="15" t="n">
        <v>523.2511306011972</v>
      </c>
      <c r="CL15" s="15" t="n">
        <v>523.4580744924493</v>
      </c>
      <c r="CM15" s="15" t="n">
        <v>0.6845613159922435</v>
      </c>
      <c r="CN15" s="15" t="n">
        <v>20000</v>
      </c>
      <c r="CO15" s="15" t="n">
        <v>0.6845613159922435</v>
      </c>
      <c r="CP15" s="15" t="n">
        <v>2.086930988274133</v>
      </c>
      <c r="CQ15" s="15" t="n">
        <v>38962.95937760389</v>
      </c>
      <c r="CR15" t="n">
        <v>1.022530262442164</v>
      </c>
      <c r="CS15" t="n">
        <v>0.02690869111689905</v>
      </c>
      <c r="CT15" t="n">
        <v>64.08381476579588</v>
      </c>
      <c r="CU15" t="n">
        <v>64.08381476579588</v>
      </c>
      <c r="CV15" t="n">
        <v>65.52763993076428</v>
      </c>
      <c r="CW15" t="n">
        <v>200.5503905106525</v>
      </c>
      <c r="CX15" s="15" t="n">
        <v>38962.95937760389</v>
      </c>
      <c r="CY15" s="15" t="n">
        <v>314.0791635258537</v>
      </c>
      <c r="CZ15" s="15" t="n">
        <v>200.5503905106525</v>
      </c>
      <c r="DA15" s="15" t="n">
        <v>2.366477172318856</v>
      </c>
      <c r="DB15" s="15" t="n">
        <v>2.366477172318856</v>
      </c>
      <c r="DC15" s="15" t="n">
        <v>1.695201150572765</v>
      </c>
      <c r="DD15" s="15" t="n">
        <v>0</v>
      </c>
      <c r="DE15" s="15" t="n">
        <v>6.073658700779077e-05</v>
      </c>
      <c r="DF15" s="15" t="n">
        <v>0</v>
      </c>
      <c r="DG15" s="15" t="n">
        <v>8</v>
      </c>
      <c r="DH15" s="15" t="inlineStr">
        <is>
          <t>Density_Metrics</t>
        </is>
      </c>
      <c r="DI15" s="15" t="n">
        <v>2.086930988274133</v>
      </c>
      <c r="DJ15" t="n">
        <v>0.9421305080601636</v>
      </c>
      <c r="DK15" s="15" t="n">
        <v>0.5271756739147415</v>
      </c>
      <c r="DL15" s="15" t="n">
        <v>5.529512068527703</v>
      </c>
      <c r="DM15" s="15" t="n">
        <v>1.049699123306585</v>
      </c>
      <c r="DN15" s="15" t="n">
        <v>1.027222240928723</v>
      </c>
      <c r="DO15" s="15" t="n">
        <v>12.56039546446691</v>
      </c>
      <c r="DP15" s="15" t="n">
        <v>3.471879355155796</v>
      </c>
      <c r="DQ15" s="15" t="n">
        <v>4.0625</v>
      </c>
      <c r="DR15" s="15" t="n">
        <v>21</v>
      </c>
      <c r="DS15" s="15" t="b">
        <v>1</v>
      </c>
      <c r="DT15" s="15" t="n">
        <v>1.022530262442164</v>
      </c>
      <c r="DU15" s="15" t="n">
        <v>3.102566761834555</v>
      </c>
      <c r="DV15" t="n">
        <v>38</v>
      </c>
      <c r="DW15" s="15" t="n">
        <v>0.09883022611806278</v>
      </c>
      <c r="DX15" s="15" t="n">
        <v>0.9632189350219548</v>
      </c>
      <c r="DY15" s="15" t="n">
        <v>2.188799267119531</v>
      </c>
      <c r="DZ15" s="15" t="n">
        <v>0.2330456026283955</v>
      </c>
      <c r="EA15" s="15" t="b">
        <v>1</v>
      </c>
      <c r="EB15" s="15" t="n">
        <v>0.3146468910281096</v>
      </c>
      <c r="EC15" s="15" t="n">
        <v>20000</v>
      </c>
      <c r="ED15" s="15" t="n">
        <v>4711.122670432044</v>
      </c>
      <c r="EE15" s="15" t="n">
        <v>9</v>
      </c>
      <c r="EF15" s="15" t="n">
        <v>0</v>
      </c>
      <c r="EG15" s="15" t="n">
        <v>0.04115271208350588</v>
      </c>
      <c r="EH15" s="15" t="b">
        <v>0</v>
      </c>
      <c r="EI15" s="15" t="b">
        <v>1</v>
      </c>
      <c r="EJ15" s="15" t="b">
        <v>0</v>
      </c>
      <c r="EK15" s="15" t="inlineStr">
        <is>
          <t>wf=log|dst=-90.0|ceil=20000.0|fft=adaptive_tier</t>
        </is>
      </c>
      <c r="EL15" s="15" t="inlineStr">
        <is>
          <t>wf=log|dst=runtime_configured|ceil=runtime_configured|fft=fixed</t>
        </is>
      </c>
      <c r="EM15" s="15" t="n">
        <v>0.5866586605082894</v>
      </c>
      <c r="EN15" s="15" t="n">
        <v>0.9789145357236824</v>
      </c>
      <c r="EO15" s="15" t="n">
        <v>0.2051282051282051</v>
      </c>
      <c r="EP15" s="15" t="n">
        <v>0.3717612381888027</v>
      </c>
      <c r="EQ15" s="15" t="inlineStr">
        <is>
          <t>warn:power_outlier_detected</t>
        </is>
      </c>
      <c r="ER15" s="15" t="n">
        <v>479.6643745798439</v>
      </c>
      <c r="ES15" s="15" t="inlineStr">
        <is>
          <t>winsorize_p95_for_robust_diagnostics</t>
        </is>
      </c>
      <c r="ET15" s="15" t="n">
        <v>0.1980013628536426</v>
      </c>
      <c r="EU15" s="15" t="n">
        <v>0.01268423864935572</v>
      </c>
      <c r="EV15" s="15" t="n">
        <v>0.01435977075386748</v>
      </c>
      <c r="EW15" t="inlineStr">
        <is>
          <t>computed</t>
        </is>
      </c>
      <c r="EX15" s="15" t="inlineStr">
        <is>
          <t>computed</t>
        </is>
      </c>
      <c r="EY15" s="15" t="inlineStr">
        <is>
          <t>computed</t>
        </is>
      </c>
      <c r="EZ15" s="15" t="inlineStr">
        <is>
          <t>available_from_curve</t>
        </is>
      </c>
      <c r="FA15" s="15" t="n">
        <v>20000</v>
      </c>
      <c r="FB15" s="15" t="n">
        <v>20000</v>
      </c>
      <c r="FC15" s="15" t="n">
        <v>0.2478002409195706</v>
      </c>
      <c r="FD15" s="15" t="n">
        <v>0.03972293163290085</v>
      </c>
      <c r="FE15" s="15" t="n">
        <v>2.366477172318856</v>
      </c>
      <c r="FF15" s="15" t="n">
        <v>1.695201150572765</v>
      </c>
      <c r="FG15" s="15" t="n">
        <v>1.467833745636082</v>
      </c>
      <c r="FH15" s="15" t="n">
        <v>1.427502666854295</v>
      </c>
      <c r="FI15" s="15" t="n">
        <v>0.5742363328980027</v>
      </c>
      <c r="FJ15" s="15" t="n">
        <v>0.08519198852183503</v>
      </c>
      <c r="FK15" s="15" t="n">
        <v>2435.184961100243</v>
      </c>
      <c r="FL15" s="15" t="n">
        <v>19.62994772036586</v>
      </c>
      <c r="FM15" s="15" t="n">
        <v>12.53439940691578</v>
      </c>
      <c r="FN15" s="15" t="n">
        <v>0.004518975046180945</v>
      </c>
      <c r="FO15" t="n">
        <v>1</v>
      </c>
      <c r="FP15" t="n">
        <v>0</v>
      </c>
      <c r="FQ15" t="n">
        <v>0</v>
      </c>
      <c r="FR15" t="inlineStr">
        <is>
          <t>excellent</t>
        </is>
      </c>
      <c r="FS15" s="19" t="n">
        <v>0.8947368421052632</v>
      </c>
      <c r="FT15" s="15" t="n">
        <v>4.631921890961023</v>
      </c>
      <c r="FU15" s="15" t="n">
        <v>13.52483779136041</v>
      </c>
      <c r="FV15" t="inlineStr">
        <is>
          <t>passed</t>
        </is>
      </c>
      <c r="FW15" t="n">
        <v>57.88225647943138</v>
      </c>
      <c r="FX15" t="n">
        <v>12.14199299481362</v>
      </c>
      <c r="FY15" t="n">
        <v>7.091313228408663</v>
      </c>
      <c r="FZ15" t="n">
        <v>0.9125590499613948</v>
      </c>
      <c r="GA15" t="n">
        <v>0.1681078578727878</v>
      </c>
      <c r="GB15" t="n">
        <v>0.8605583483845928</v>
      </c>
      <c r="GC15" t="n">
        <v>0.01290779223603022</v>
      </c>
      <c r="GD15" t="n">
        <v>0.02351049400234971</v>
      </c>
      <c r="GE15" t="n">
        <v>0.1050275886253324</v>
      </c>
      <c r="GF15" t="n">
        <v>0.9349136546033237</v>
      </c>
      <c r="GG15" t="n">
        <v>0.0311468427361557</v>
      </c>
      <c r="GH15" t="n">
        <v>0.2422514379807743</v>
      </c>
      <c r="GI15" t="n">
        <v>0.07101371514847803</v>
      </c>
      <c r="GJ15" t="n">
        <v>0.07120743034055731</v>
      </c>
      <c r="GK15" t="n">
        <v>0.4736842105263157</v>
      </c>
      <c r="GL15" t="n">
        <v>0.3953488372093023</v>
      </c>
      <c r="GM15" t="n">
        <v>0.1158803167467111</v>
      </c>
      <c r="GN15" t="n">
        <v>0.1158803167467111</v>
      </c>
      <c r="GO15" t="n">
        <v>0.09847034907005882</v>
      </c>
      <c r="GP15" t="n">
        <v>0.2704697427351376</v>
      </c>
      <c r="GQ15" t="n">
        <v>65.52763993076428</v>
      </c>
      <c r="GR15" t="inlineStr">
        <is>
          <t>compiled workbook density_weighted_sum = density_component_ratio_weighted_sum (per-note component ratios); research density_weighted_sum maps body-ceiling richness</t>
        </is>
      </c>
      <c r="GS15" s="15" t="inlineStr">
        <is>
          <t>individual_exact</t>
        </is>
      </c>
      <c r="GT15" s="15" t="inlineStr">
        <is>
          <t>density_weight</t>
        </is>
      </c>
      <c r="GU15" s="15" t="n">
        <v>0.5532205985391779</v>
      </c>
      <c r="GV15" s="15" t="n">
        <v>0.4467794014608221</v>
      </c>
      <c r="GW15" s="15" t="n">
        <v>0</v>
      </c>
      <c r="GX15" s="15" t="inlineStr">
        <is>
          <t>log</t>
        </is>
      </c>
      <c r="GY15" s="15" t="n">
        <v>0.5</v>
      </c>
      <c r="GZ15" s="15" t="inlineStr">
        <is>
          <t>EWSD-R v18.1</t>
        </is>
      </c>
      <c r="HA15" s="15" t="n">
        <v>1.578014464090064</v>
      </c>
      <c r="HB15" s="15" t="n">
        <v>9.631530643535774</v>
      </c>
      <c r="HC15" s="15" t="n">
        <v>0.4023150413787546</v>
      </c>
      <c r="HD15" s="15" t="n">
        <v>3.014733926022695</v>
      </c>
      <c r="HE15" s="15" t="n">
        <v>12.08278657380059</v>
      </c>
      <c r="HF15" s="15" t="n">
        <v>0.4016842693318124</v>
      </c>
      <c r="HG15" s="15" t="inlineStr">
        <is>
          <t>partials+ratios</t>
        </is>
      </c>
      <c r="HH15" s="15" t="inlineStr">
        <is>
          <t>merged_individual_exact</t>
        </is>
      </c>
      <c r="HI15" s="15" t="inlineStr">
        <is>
          <t>passed</t>
        </is>
      </c>
      <c r="HJ15" s="15" t="inlineStr">
        <is>
          <t>passed</t>
        </is>
      </c>
    </row>
    <row r="16">
      <c r="A16" t="inlineStr">
        <is>
          <t>incomplete_inference</t>
        </is>
      </c>
      <c r="B16" t="inlineStr">
        <is>
          <t>missing_instrument_technique</t>
        </is>
      </c>
      <c r="C16" t="inlineStr">
        <is>
          <t>prior_constrained_harmonic_fit</t>
        </is>
      </c>
      <c r="D16" t="inlineStr">
        <is>
          <t>IOWA_flt_pp.C#5_SustainStable/C#5/component_amplitude_mass_pie.png</t>
        </is>
      </c>
      <c r="E16" t="inlineStr">
        <is>
          <t>IOWA_flt_pp.C#5_SustainStable/C#5/component_energy_ratio_pie.png</t>
        </is>
      </c>
      <c r="F16" s="15" t="n">
        <v>552.9701018631929</v>
      </c>
      <c r="G16" s="15" t="inlineStr">
        <is>
          <t>prior_constrained_harmonic_fit</t>
        </is>
      </c>
      <c r="H16" s="15" t="inlineStr">
        <is>
          <t>fit_accepted_acoustically_verified</t>
        </is>
      </c>
      <c r="I16" s="16" t="n">
        <v>72.8860094830515</v>
      </c>
      <c r="J16" t="inlineStr">
        <is>
          <t>richness_weighted_body_density_body_ceiling</t>
        </is>
      </c>
      <c r="K16" t="inlineStr">
        <is>
          <t>research_body_ceiling_richness_metric</t>
        </is>
      </c>
      <c r="L16" s="15" t="n">
        <v>40154.26026622356</v>
      </c>
      <c r="M16" s="15" t="n">
        <v>40154.26026622356</v>
      </c>
      <c r="N16" s="15" t="n">
        <v>295.483370231408</v>
      </c>
      <c r="O16" s="15" t="n">
        <v>293.4629420174156</v>
      </c>
      <c r="P16" s="15" t="n">
        <v>-8.772987533258162</v>
      </c>
      <c r="Q16" s="15" t="n">
        <v>7</v>
      </c>
      <c r="R16" s="15" t="n">
        <v>15</v>
      </c>
      <c r="S16" s="15" t="n">
        <v>2509.642930003921</v>
      </c>
      <c r="T16" s="15" t="n">
        <v>37</v>
      </c>
      <c r="U16" s="15" t="n">
        <v>-0.2993531374227154</v>
      </c>
      <c r="V16" s="15" t="n">
        <v>10.91190681924303</v>
      </c>
      <c r="W16" s="15" t="n">
        <v>0.9494276273488637</v>
      </c>
      <c r="X16" s="15" t="n">
        <v>0.09871920618041224</v>
      </c>
      <c r="Y16" s="15" t="n">
        <v>7</v>
      </c>
      <c r="Z16" s="15" t="n">
        <v>36</v>
      </c>
      <c r="AA16" s="15" t="n">
        <v>0.1944444444444444</v>
      </c>
      <c r="AB16" s="15" t="n">
        <v>36</v>
      </c>
      <c r="AC16" s="15" t="n">
        <v>7</v>
      </c>
      <c r="AD16" s="15" t="n">
        <v>0.1944444444444444</v>
      </c>
      <c r="AE16" s="15" t="n">
        <v>173.1486042716625</v>
      </c>
      <c r="AF16" s="15" t="n">
        <v>7</v>
      </c>
      <c r="AG16" s="15" t="n">
        <v>36</v>
      </c>
      <c r="AH16" s="15" t="n">
        <v>0.1944444444444444</v>
      </c>
      <c r="AI16" s="15" t="n">
        <v>173.1486042716625</v>
      </c>
      <c r="AJ16" s="15" t="n">
        <v>4</v>
      </c>
      <c r="AK16" s="15" t="n">
        <v>3</v>
      </c>
      <c r="AL16" s="15" t="n">
        <v>133.7204334115619</v>
      </c>
      <c r="AM16" s="15" t="n">
        <v>36</v>
      </c>
      <c r="AN16" s="15" t="n">
        <v>0</v>
      </c>
      <c r="AO16" s="15" t="n">
        <v>36</v>
      </c>
      <c r="AP16" s="15" t="n">
        <v>0</v>
      </c>
      <c r="AQ16" s="15" t="n">
        <v>20.25144687935841</v>
      </c>
      <c r="AR16" s="15" t="n">
        <v>10.39838488592547</v>
      </c>
      <c r="AS16" s="15" t="n">
        <v>0.2121734017826704</v>
      </c>
      <c r="AT16" s="17" t="n">
        <v>2.397054539120351</v>
      </c>
      <c r="AU16" s="18" t="n">
        <v>5.39634139796461</v>
      </c>
      <c r="AV16" s="15" t="n">
        <v>6.577113694819033</v>
      </c>
      <c r="AW16" s="15" t="b">
        <v>1</v>
      </c>
      <c r="AX16" s="15" t="n">
        <v>4.601143105733806</v>
      </c>
      <c r="AY16" s="15" t="n">
        <v>17.28806047831418</v>
      </c>
      <c r="AZ16" s="15" t="n">
        <v>0</v>
      </c>
      <c r="BA16" s="15" t="n">
        <v>1</v>
      </c>
      <c r="BB16" s="15" t="n">
        <v>0.5</v>
      </c>
      <c r="BC16" s="15" t="n">
        <v>0.25</v>
      </c>
      <c r="BD16" s="15" t="inlineStr">
        <is>
          <t>his_note_adaptive</t>
        </is>
      </c>
      <c r="BE16" s="15" t="n">
        <v>-90</v>
      </c>
      <c r="BF16" s="15" t="n">
        <v>20000</v>
      </c>
      <c r="BG16" s="15" t="n">
        <v>7</v>
      </c>
      <c r="BH16" s="15" t="n">
        <v>0.1944444444444444</v>
      </c>
      <c r="BI16" s="15" t="n">
        <v>36</v>
      </c>
      <c r="BJ16" s="15" t="n">
        <v>7</v>
      </c>
      <c r="BK16" s="15" t="n">
        <v>36</v>
      </c>
      <c r="BL16" s="15" t="n">
        <v>32</v>
      </c>
      <c r="BM16" s="15" t="n">
        <v>0.8888888888888888</v>
      </c>
      <c r="BN16" s="15" t="n">
        <v>0.06041664982368807</v>
      </c>
      <c r="BO16" s="15" t="n">
        <v>0.3</v>
      </c>
      <c r="BP16" s="19" t="n">
        <v>0.7531017622540715</v>
      </c>
      <c r="BQ16" s="19" t="n">
        <v>0.2468982377459285</v>
      </c>
      <c r="BR16" s="19" t="n">
        <v>0</v>
      </c>
      <c r="BS16" s="15" t="n">
        <v>0.09835254016945182</v>
      </c>
      <c r="BT16" s="19" t="n">
        <v>1</v>
      </c>
      <c r="BU16" s="19" t="n">
        <v>0</v>
      </c>
      <c r="BV16" s="19" t="n">
        <v>0</v>
      </c>
      <c r="BW16" t="inlineStr">
        <is>
          <t>C#5</t>
        </is>
      </c>
      <c r="BX16" t="n">
        <v>73</v>
      </c>
      <c r="BY16" t="inlineStr">
        <is>
          <t>C#</t>
        </is>
      </c>
      <c r="BZ16" t="n">
        <v>5</v>
      </c>
      <c r="CA16" t="inlineStr">
        <is>
          <t>Very high</t>
        </is>
      </c>
      <c r="CB16" t="inlineStr">
        <is>
          <t>pp</t>
        </is>
      </c>
      <c r="CC16" s="15" t="n">
        <v>554.365261953744</v>
      </c>
      <c r="CD16" s="15" t="n">
        <v>552.9701018631929</v>
      </c>
      <c r="CE16" t="inlineStr">
        <is>
          <t>prior_constrained_harmonic_fit</t>
        </is>
      </c>
      <c r="CF16" t="n">
        <v>552.9701018631929</v>
      </c>
      <c r="CG16" s="15" t="n">
        <v>1</v>
      </c>
      <c r="CH16" t="n">
        <v/>
      </c>
      <c r="CI16" t="inlineStr">
        <is>
          <t>free_fit_acoustically_verified</t>
        </is>
      </c>
      <c r="CJ16" s="15" t="inlineStr">
        <is>
          <t>free_f0_fit</t>
        </is>
      </c>
      <c r="CK16" s="15" t="n">
        <v>554.365261953744</v>
      </c>
      <c r="CL16" s="15" t="n">
        <v>552.9701018631929</v>
      </c>
      <c r="CM16" s="15" t="n">
        <v>-4.362454247624226</v>
      </c>
      <c r="CN16" s="15" t="n">
        <v>20000</v>
      </c>
      <c r="CO16" s="15" t="n">
        <v>-4.362454247624226</v>
      </c>
      <c r="CP16" s="15" t="n">
        <v>2.101724099888519</v>
      </c>
      <c r="CQ16" s="15" t="n">
        <v>40154.26026622356</v>
      </c>
      <c r="CR16" t="n">
        <v>1.045526456816634</v>
      </c>
      <c r="CS16" t="n">
        <v>0.02904240157823983</v>
      </c>
      <c r="CT16" t="n">
        <v>69.71225740663812</v>
      </c>
      <c r="CU16" t="n">
        <v>69.71225740663812</v>
      </c>
      <c r="CV16" t="n">
        <v>72.8860094830515</v>
      </c>
      <c r="CW16" t="n">
        <v>293.4629420174156</v>
      </c>
      <c r="CX16" s="15" t="n">
        <v>40154.26026622356</v>
      </c>
      <c r="CY16" s="15" t="n">
        <v>295.483370231408</v>
      </c>
      <c r="CZ16" s="15" t="n">
        <v>293.4629420174156</v>
      </c>
      <c r="DA16" s="15" t="n">
        <v>2.397054539120351</v>
      </c>
      <c r="DB16" s="15" t="n">
        <v>2.397054539120351</v>
      </c>
      <c r="DC16" s="15" t="n">
        <v>1.668263215299607</v>
      </c>
      <c r="DD16" s="15" t="n">
        <v>0</v>
      </c>
      <c r="DE16" s="15" t="n">
        <v>5.969614489789704e-05</v>
      </c>
      <c r="DF16" s="15" t="n">
        <v>0</v>
      </c>
      <c r="DG16" s="15" t="n">
        <v>7</v>
      </c>
      <c r="DH16" s="15" t="inlineStr">
        <is>
          <t>Density_Metrics</t>
        </is>
      </c>
      <c r="DI16" s="15" t="n">
        <v>2.101724099888519</v>
      </c>
      <c r="DJ16" t="n">
        <v>0.9488087556109258</v>
      </c>
      <c r="DK16" s="15" t="n">
        <v>0.5311025194484436</v>
      </c>
      <c r="DL16" s="15" t="n">
        <v>5.627454872575692</v>
      </c>
      <c r="DM16" s="15" t="n">
        <v>1.076388348432581</v>
      </c>
      <c r="DN16" s="15" t="n">
        <v>1.03361272305635</v>
      </c>
      <c r="DO16" s="15" t="n">
        <v>10.40403854123383</v>
      </c>
      <c r="DP16" s="15" t="n">
        <v>2.567037091740198</v>
      </c>
      <c r="DQ16" s="15" t="n">
        <v>12.875</v>
      </c>
      <c r="DR16" s="15" t="n">
        <v>21</v>
      </c>
      <c r="DS16" s="15" t="b">
        <v>0</v>
      </c>
      <c r="DT16" s="15" t="n">
        <v>1.047336571544375</v>
      </c>
      <c r="DU16" s="15" t="n">
        <v>3.553891422494841</v>
      </c>
      <c r="DV16" t="n">
        <v>36</v>
      </c>
      <c r="DW16" s="15" t="n">
        <v>0.09835254016945182</v>
      </c>
      <c r="DX16" s="15" t="n">
        <v>0.9842991640430818</v>
      </c>
      <c r="DY16" s="15" t="n">
        <v>2.203003913528439</v>
      </c>
      <c r="DZ16" s="15" t="n">
        <v>0.2136784657627132</v>
      </c>
      <c r="EA16" s="15" t="b">
        <v>1</v>
      </c>
      <c r="EB16" s="15" t="n">
        <v>0.2156711048565375</v>
      </c>
      <c r="EC16" s="15" t="n">
        <v>20000</v>
      </c>
      <c r="ED16" s="15" t="n">
        <v>3870.79071304235</v>
      </c>
      <c r="EE16" s="15" t="n">
        <v>7</v>
      </c>
      <c r="EF16" s="15" t="n">
        <v>0</v>
      </c>
      <c r="EG16" s="15" t="n">
        <v>0.03884298783280674</v>
      </c>
      <c r="EH16" s="15" t="b">
        <v>0</v>
      </c>
      <c r="EI16" s="15" t="b">
        <v>1</v>
      </c>
      <c r="EJ16" s="15" t="b">
        <v>0</v>
      </c>
      <c r="EK16" s="15" t="inlineStr">
        <is>
          <t>wf=log|dst=-90.0|ceil=20000.0|fft=adaptive_tier</t>
        </is>
      </c>
      <c r="EL16" s="15" t="inlineStr">
        <is>
          <t>wf=log|dst=runtime_configured|ceil=runtime_configured|fft=fixed</t>
        </is>
      </c>
      <c r="EM16" s="15" t="n">
        <v>0.589755171136261</v>
      </c>
      <c r="EN16" s="15" t="n">
        <v>0.9978724751919028</v>
      </c>
      <c r="EO16" s="15" t="n">
        <v>0.1891891891891892</v>
      </c>
      <c r="EP16" s="15" t="n">
        <v>0.3724817054184419</v>
      </c>
      <c r="EQ16" s="15" t="inlineStr">
        <is>
          <t>warn:power_outlier_detected</t>
        </is>
      </c>
      <c r="ER16" s="15" t="n">
        <v>473.8331398398602</v>
      </c>
      <c r="ES16" s="15" t="inlineStr">
        <is>
          <t>winsorize_p95_for_robust_diagnostics</t>
        </is>
      </c>
      <c r="ET16" s="15" t="n">
        <v>0.2095466755289783</v>
      </c>
      <c r="EU16" s="15" t="n">
        <v>0.01419562946405883</v>
      </c>
      <c r="EV16" s="15" t="n">
        <v>0.01612898992575087</v>
      </c>
      <c r="EW16" t="inlineStr">
        <is>
          <t>computed</t>
        </is>
      </c>
      <c r="EX16" s="15" t="inlineStr">
        <is>
          <t>computed</t>
        </is>
      </c>
      <c r="EY16" s="15" t="inlineStr">
        <is>
          <t>computed</t>
        </is>
      </c>
      <c r="EZ16" s="15" t="inlineStr">
        <is>
          <t>available_from_curve</t>
        </is>
      </c>
      <c r="FA16" s="15" t="n">
        <v>20000</v>
      </c>
      <c r="FB16" s="15" t="n">
        <v>20000</v>
      </c>
      <c r="FC16" s="15" t="n">
        <v>0.2468982377459285</v>
      </c>
      <c r="FD16" s="15" t="n">
        <v>0.06654062751389243</v>
      </c>
      <c r="FE16" s="15" t="n">
        <v>2.397054539120351</v>
      </c>
      <c r="FF16" s="15" t="n">
        <v>1.668263215299607</v>
      </c>
      <c r="FG16" s="15" t="n">
        <v>1.562137118155733</v>
      </c>
      <c r="FH16" s="15" t="n">
        <v>1.445947498338449</v>
      </c>
      <c r="FI16" s="15" t="n">
        <v>0.5651113148068603</v>
      </c>
      <c r="FJ16" s="15" t="n">
        <v>0.0906652867432102</v>
      </c>
      <c r="FK16" s="15" t="n">
        <v>2509.641266638972</v>
      </c>
      <c r="FL16" s="15" t="n">
        <v>18.467710639463</v>
      </c>
      <c r="FM16" s="15" t="n">
        <v>18.34143387608847</v>
      </c>
      <c r="FN16" s="15" t="n">
        <v>0.004651553576205118</v>
      </c>
      <c r="FO16" t="n">
        <v>1</v>
      </c>
      <c r="FP16" t="n">
        <v>0</v>
      </c>
      <c r="FQ16" t="n">
        <v>0</v>
      </c>
      <c r="FR16" t="inlineStr">
        <is>
          <t>excellent</t>
        </is>
      </c>
      <c r="FS16" s="19" t="n">
        <v>0.8888888888888888</v>
      </c>
      <c r="FT16" s="15" t="n">
        <v>7.383510011737704</v>
      </c>
      <c r="FU16" s="15" t="n">
        <v>16.44654112776318</v>
      </c>
      <c r="FV16" t="inlineStr">
        <is>
          <t>passed</t>
        </is>
      </c>
      <c r="FW16" t="n">
        <v>62.12270050571838</v>
      </c>
      <c r="FX16" t="n">
        <v>11.3967089858561</v>
      </c>
      <c r="FY16" t="n">
        <v>8.871728187320157</v>
      </c>
      <c r="FZ16" t="n">
        <v>0.9226498990574742</v>
      </c>
      <c r="GA16" t="n">
        <v>0.1869904358945959</v>
      </c>
      <c r="GB16" t="n">
        <v>0.8914078400039286</v>
      </c>
      <c r="GC16" t="n">
        <v>0.02282568720173029</v>
      </c>
      <c r="GD16" t="n">
        <v>0.04939605937759044</v>
      </c>
      <c r="GE16" t="n">
        <v>0.1444152707454611</v>
      </c>
      <c r="GF16" t="n">
        <v>0.906900069074665</v>
      </c>
      <c r="GG16" t="n">
        <v>0.07042437980999079</v>
      </c>
      <c r="GH16" t="n">
        <v>0.239857005341486</v>
      </c>
      <c r="GI16" t="n">
        <v>0.1004541793741544</v>
      </c>
      <c r="GJ16" t="n">
        <v>0.05228758169934635</v>
      </c>
      <c r="GK16" t="n">
        <v>0.4444444444444441</v>
      </c>
      <c r="GL16" t="n">
        <v>0.3953488372093023</v>
      </c>
      <c r="GM16" t="n">
        <v>0.1127171261508193</v>
      </c>
      <c r="GN16" t="n">
        <v>0.1127171261508193</v>
      </c>
      <c r="GO16" t="n">
        <v>0.164949527874392</v>
      </c>
      <c r="GP16" t="n">
        <v>0.2644836536430298</v>
      </c>
      <c r="GQ16" t="n">
        <v>72.8860094830515</v>
      </c>
      <c r="GR16" t="inlineStr">
        <is>
          <t>compiled workbook density_weighted_sum = density_component_ratio_weighted_sum (per-note component ratios); research density_weighted_sum maps body-ceiling richness</t>
        </is>
      </c>
      <c r="GS16" s="15" t="inlineStr">
        <is>
          <t>individual_exact</t>
        </is>
      </c>
      <c r="GT16" s="15" t="inlineStr">
        <is>
          <t>density_weight</t>
        </is>
      </c>
      <c r="GU16" s="15" t="n">
        <v>0.5430535558841929</v>
      </c>
      <c r="GV16" s="15" t="n">
        <v>0.4569464441158071</v>
      </c>
      <c r="GW16" s="15" t="n">
        <v>0</v>
      </c>
      <c r="GX16" s="15" t="inlineStr">
        <is>
          <t>log</t>
        </is>
      </c>
      <c r="GY16" s="15" t="n">
        <v>0.5</v>
      </c>
      <c r="GZ16" s="15" t="inlineStr">
        <is>
          <t>EWSD-R v18.1</t>
        </is>
      </c>
      <c r="HA16" s="15" t="n">
        <v>1.950905823056314</v>
      </c>
      <c r="HB16" s="15" t="n">
        <v>11.55847928180239</v>
      </c>
      <c r="HC16" s="15" t="n">
        <v>0.4695118598313721</v>
      </c>
      <c r="HD16" s="15" t="n">
        <v>3.067600061178927</v>
      </c>
      <c r="HE16" s="15" t="n">
        <v>13.51644243909634</v>
      </c>
      <c r="HF16" s="15" t="n">
        <v>0.4327286271328706</v>
      </c>
      <c r="HG16" s="15" t="inlineStr">
        <is>
          <t>partials+ratios</t>
        </is>
      </c>
      <c r="HH16" s="15" t="inlineStr">
        <is>
          <t>merged_individual_exact</t>
        </is>
      </c>
      <c r="HI16" s="15" t="inlineStr">
        <is>
          <t>passed</t>
        </is>
      </c>
      <c r="HJ16" s="15" t="inlineStr">
        <is>
          <t>passed</t>
        </is>
      </c>
    </row>
    <row r="17">
      <c r="A17" t="inlineStr">
        <is>
          <t>incomplete_inference</t>
        </is>
      </c>
      <c r="B17" t="inlineStr">
        <is>
          <t>missing_instrument_technique</t>
        </is>
      </c>
      <c r="C17" t="inlineStr">
        <is>
          <t>prior_constrained_harmonic_fit</t>
        </is>
      </c>
      <c r="D17" t="inlineStr">
        <is>
          <t>IOWA_flt_pp.D5_SustainStable/D5/component_amplitude_mass_pie.png</t>
        </is>
      </c>
      <c r="E17" t="inlineStr">
        <is>
          <t>IOWA_flt_pp.D5_SustainStable/D5/component_energy_ratio_pie.png</t>
        </is>
      </c>
      <c r="F17" s="15" t="n">
        <v>587.1695474110808</v>
      </c>
      <c r="G17" s="15" t="inlineStr">
        <is>
          <t>prior_constrained_harmonic_fit</t>
        </is>
      </c>
      <c r="H17" s="15" t="inlineStr">
        <is>
          <t>fit_accepted_acoustically_verified</t>
        </is>
      </c>
      <c r="I17" s="16" t="n">
        <v>72.20879274745204</v>
      </c>
      <c r="J17" t="inlineStr">
        <is>
          <t>richness_weighted_body_density_body_ceiling</t>
        </is>
      </c>
      <c r="K17" t="inlineStr">
        <is>
          <t>research_body_ceiling_richness_metric</t>
        </is>
      </c>
      <c r="L17" s="15" t="n">
        <v>38286.91852409489</v>
      </c>
      <c r="M17" s="15" t="n">
        <v>38286.91852409489</v>
      </c>
      <c r="N17" s="15" t="n">
        <v>226.9829581169795</v>
      </c>
      <c r="O17" s="15" t="n">
        <v>59.63631910518936</v>
      </c>
      <c r="P17" s="15" t="n">
        <v>-8.686078018298142</v>
      </c>
      <c r="Q17" s="15" t="n">
        <v>7</v>
      </c>
      <c r="R17" s="15" t="n">
        <v>11</v>
      </c>
      <c r="S17" s="15" t="n">
        <v>2392.93282680225</v>
      </c>
      <c r="T17" s="15" t="n">
        <v>35</v>
      </c>
      <c r="U17" s="15" t="n">
        <v>-0.3668002778045779</v>
      </c>
      <c r="V17" s="15" t="n">
        <v>9.782610198874776</v>
      </c>
      <c r="W17" s="15" t="n">
        <v>0.9842273726422215</v>
      </c>
      <c r="X17" s="15" t="n">
        <v>0.09017237830594765</v>
      </c>
      <c r="Y17" s="15" t="n">
        <v>6</v>
      </c>
      <c r="Z17" s="15" t="n">
        <v>34</v>
      </c>
      <c r="AA17" s="15" t="n">
        <v>0.1764705882352941</v>
      </c>
      <c r="AB17" s="15" t="n">
        <v>34</v>
      </c>
      <c r="AC17" s="15" t="n">
        <v>6</v>
      </c>
      <c r="AD17" s="15" t="n">
        <v>0.1764705882352941</v>
      </c>
      <c r="AE17" s="15" t="n">
        <v>158.8052606978322</v>
      </c>
      <c r="AF17" s="15" t="n">
        <v>6</v>
      </c>
      <c r="AG17" s="15" t="n">
        <v>34</v>
      </c>
      <c r="AH17" s="15" t="n">
        <v>0.1764705882352941</v>
      </c>
      <c r="AI17" s="15" t="n">
        <v>158.8052606978322</v>
      </c>
      <c r="AJ17" s="15" t="n">
        <v>3</v>
      </c>
      <c r="AK17" s="15" t="n">
        <v>3</v>
      </c>
      <c r="AL17" s="15" t="n">
        <v>244.9406373452105</v>
      </c>
      <c r="AM17" s="15" t="n">
        <v>26</v>
      </c>
      <c r="AN17" s="15" t="n">
        <v>0</v>
      </c>
      <c r="AO17" s="15" t="n">
        <v>26</v>
      </c>
      <c r="AP17" s="15" t="n">
        <v>0</v>
      </c>
      <c r="AQ17" s="15" t="n">
        <v>14.33182934777758</v>
      </c>
      <c r="AR17" s="15" t="n">
        <v>7.515841611888962</v>
      </c>
      <c r="AS17" s="15" t="n">
        <v>0.1022436144047272</v>
      </c>
      <c r="AT17" s="17" t="n">
        <v>2.359925263663174</v>
      </c>
      <c r="AU17" s="18" t="n">
        <v>4.102000300525885</v>
      </c>
      <c r="AV17" s="15" t="n">
        <v>5.2106984178589</v>
      </c>
      <c r="AW17" s="15" t="b">
        <v>1</v>
      </c>
      <c r="AX17" s="15" t="n">
        <v>3.905878628518369</v>
      </c>
      <c r="AY17" s="15" t="n">
        <v>12.57135371853209</v>
      </c>
      <c r="AZ17" s="15" t="n">
        <v>0</v>
      </c>
      <c r="BA17" s="15" t="n">
        <v>1</v>
      </c>
      <c r="BB17" s="15" t="n">
        <v>0.5</v>
      </c>
      <c r="BC17" s="15" t="n">
        <v>0.25</v>
      </c>
      <c r="BD17" s="15" t="inlineStr">
        <is>
          <t>his_note_adaptive</t>
        </is>
      </c>
      <c r="BE17" s="15" t="n">
        <v>-90</v>
      </c>
      <c r="BF17" s="15" t="n">
        <v>20000</v>
      </c>
      <c r="BG17" s="15" t="n">
        <v>6</v>
      </c>
      <c r="BH17" s="15" t="n">
        <v>0.1764705882352941</v>
      </c>
      <c r="BI17" s="15" t="n">
        <v>34</v>
      </c>
      <c r="BJ17" s="15" t="n">
        <v>6</v>
      </c>
      <c r="BK17" s="15" t="n">
        <v>34</v>
      </c>
      <c r="BL17" s="15" t="n">
        <v>31</v>
      </c>
      <c r="BM17" s="15" t="n">
        <v>0.9117647058823529</v>
      </c>
      <c r="BN17" s="15" t="n">
        <v>0.06178079750759678</v>
      </c>
      <c r="BO17" s="15" t="n">
        <v>0.2166666666666667</v>
      </c>
      <c r="BP17" s="19" t="n">
        <v>0.7456739592721136</v>
      </c>
      <c r="BQ17" s="19" t="n">
        <v>0.2543260407278865</v>
      </c>
      <c r="BR17" s="19" t="n">
        <v>0</v>
      </c>
      <c r="BS17" s="15" t="n">
        <v>0.07389821624565193</v>
      </c>
      <c r="BT17" s="19" t="n">
        <v>1</v>
      </c>
      <c r="BU17" s="19" t="n">
        <v>0</v>
      </c>
      <c r="BV17" s="19" t="n">
        <v>0</v>
      </c>
      <c r="BW17" t="inlineStr">
        <is>
          <t>D5</t>
        </is>
      </c>
      <c r="BX17" t="n">
        <v>74</v>
      </c>
      <c r="BY17" t="inlineStr">
        <is>
          <t>D</t>
        </is>
      </c>
      <c r="BZ17" t="n">
        <v>5</v>
      </c>
      <c r="CA17" t="inlineStr">
        <is>
          <t>Very high</t>
        </is>
      </c>
      <c r="CB17" t="inlineStr">
        <is>
          <t>pp</t>
        </is>
      </c>
      <c r="CC17" s="15" t="n">
        <v>587.3295358348153</v>
      </c>
      <c r="CD17" s="15" t="n">
        <v>587.1695474110808</v>
      </c>
      <c r="CE17" t="inlineStr">
        <is>
          <t>prior_constrained_harmonic_fit</t>
        </is>
      </c>
      <c r="CF17" t="n">
        <v>587.1695474110808</v>
      </c>
      <c r="CG17" s="15" t="n">
        <v>1</v>
      </c>
      <c r="CH17" t="n">
        <v/>
      </c>
      <c r="CI17" t="inlineStr">
        <is>
          <t>free_fit_acoustically_verified</t>
        </is>
      </c>
      <c r="CJ17" s="15" t="inlineStr">
        <is>
          <t>free_f0_fit</t>
        </is>
      </c>
      <c r="CK17" s="15" t="n">
        <v>587.3295358348153</v>
      </c>
      <c r="CL17" s="15" t="n">
        <v>587.1695474110808</v>
      </c>
      <c r="CM17" s="15" t="n">
        <v>-0.471651978771025</v>
      </c>
      <c r="CN17" s="15" t="n">
        <v>20000</v>
      </c>
      <c r="CO17" s="15" t="n">
        <v>-0.471651978771025</v>
      </c>
      <c r="CP17" s="15" t="n">
        <v>2.030330546443863</v>
      </c>
      <c r="CQ17" s="15" t="n">
        <v>38286.91852409489</v>
      </c>
      <c r="CR17" t="n">
        <v>1.025979231781034</v>
      </c>
      <c r="CS17" t="n">
        <v>0.03017585975826571</v>
      </c>
      <c r="CT17" t="n">
        <v>70.38036493399794</v>
      </c>
      <c r="CU17" t="n">
        <v>70.38036493399794</v>
      </c>
      <c r="CV17" t="n">
        <v>72.20879274745204</v>
      </c>
      <c r="CW17" t="n">
        <v>59.63631910518936</v>
      </c>
      <c r="CX17" s="15" t="n">
        <v>38286.91852409489</v>
      </c>
      <c r="CY17" s="15" t="n">
        <v>226.9829581169795</v>
      </c>
      <c r="CZ17" s="15" t="n">
        <v>59.63631910518936</v>
      </c>
      <c r="DA17" s="15" t="n">
        <v>2.359925263663174</v>
      </c>
      <c r="DB17" s="15" t="n">
        <v>2.359925263663174</v>
      </c>
      <c r="DC17" s="15" t="n">
        <v>1.583919647890139</v>
      </c>
      <c r="DD17" s="15" t="n">
        <v>0</v>
      </c>
      <c r="DE17" s="15" t="n">
        <v>6.163790021853067e-05</v>
      </c>
      <c r="DF17" s="15" t="n">
        <v>0</v>
      </c>
      <c r="DG17" s="15" t="n">
        <v>7</v>
      </c>
      <c r="DH17" s="15" t="inlineStr">
        <is>
          <t>Density_Metrics</t>
        </is>
      </c>
      <c r="DI17" s="15" t="n">
        <v>2.030330546443863</v>
      </c>
      <c r="DJ17" t="n">
        <v>0.9165786314923229</v>
      </c>
      <c r="DK17" s="15" t="n">
        <v>0.5263296172887539</v>
      </c>
      <c r="DL17" s="15" t="n">
        <v>5.154052059674687</v>
      </c>
      <c r="DM17" s="15" t="n">
        <v>1.041389408449943</v>
      </c>
      <c r="DN17" s="15" t="n">
        <v>1.017516786746943</v>
      </c>
      <c r="DO17" s="15" t="n">
        <v>8.386590592418649</v>
      </c>
      <c r="DP17" s="15" t="n">
        <v>2.136776883081234</v>
      </c>
      <c r="DQ17" s="15" t="n">
        <v>10</v>
      </c>
      <c r="DR17" s="15" t="n">
        <v>19</v>
      </c>
      <c r="DS17" s="15" t="b">
        <v>0</v>
      </c>
      <c r="DT17" s="15" t="n">
        <v>1.025979231781034</v>
      </c>
      <c r="DU17" s="15" t="n">
        <v>3.06586086240222</v>
      </c>
      <c r="DV17" t="n">
        <v>34</v>
      </c>
      <c r="DW17" s="15" t="n">
        <v>0.07389821624565193</v>
      </c>
      <c r="DX17" s="15" t="n">
        <v>0.8649170646902156</v>
      </c>
      <c r="DY17" s="15" t="n">
        <v>2.186380082120718</v>
      </c>
      <c r="DZ17" s="15" t="n">
        <v>0.2461778899687642</v>
      </c>
      <c r="EA17" s="15" t="b">
        <v>1</v>
      </c>
      <c r="EB17" s="15" t="n">
        <v>0.1617674637213037</v>
      </c>
      <c r="EC17" s="15" t="n">
        <v>20000</v>
      </c>
      <c r="ED17" s="15" t="n">
        <v>4697.356379288646</v>
      </c>
      <c r="EE17" s="15" t="n">
        <v>8</v>
      </c>
      <c r="EF17" s="15" t="n">
        <v>0</v>
      </c>
      <c r="EG17" s="15" t="n">
        <v>0.03666289844319382</v>
      </c>
      <c r="EH17" s="15" t="b">
        <v>0</v>
      </c>
      <c r="EI17" s="15" t="b">
        <v>1</v>
      </c>
      <c r="EJ17" s="15" t="b">
        <v>0</v>
      </c>
      <c r="EK17" s="15" t="inlineStr">
        <is>
          <t>wf=log|dst=-90.0|ceil=20000.0|fft=adaptive_tier</t>
        </is>
      </c>
      <c r="EL17" s="15" t="inlineStr">
        <is>
          <t>wf=log|dst=runtime_configured|ceil=runtime_configured|fft=fixed</t>
        </is>
      </c>
      <c r="EM17" s="15" t="n">
        <v>0.5942249989572167</v>
      </c>
      <c r="EN17" s="15" t="n">
        <v>0.9992600505962063</v>
      </c>
      <c r="EO17" s="15" t="n">
        <v>0.2</v>
      </c>
      <c r="EP17" s="15" t="n">
        <v>0.3727898809446193</v>
      </c>
      <c r="EQ17" s="15" t="inlineStr">
        <is>
          <t>warn:power_outlier_detected</t>
        </is>
      </c>
      <c r="ER17" s="15" t="n">
        <v>471.3669234852359</v>
      </c>
      <c r="ES17" s="15" t="inlineStr">
        <is>
          <t>winsorize_p95_for_robust_diagnostics</t>
        </is>
      </c>
      <c r="ET17" s="15" t="n">
        <v>0.146617123383436</v>
      </c>
      <c r="EU17" s="15" t="n">
        <v>0.008889487693138385</v>
      </c>
      <c r="EV17" s="15" t="n">
        <v>0.01048061698268799</v>
      </c>
      <c r="EW17" t="inlineStr">
        <is>
          <t>computed</t>
        </is>
      </c>
      <c r="EX17" s="15" t="inlineStr">
        <is>
          <t>computed</t>
        </is>
      </c>
      <c r="EY17" s="15" t="inlineStr">
        <is>
          <t>computed</t>
        </is>
      </c>
      <c r="EZ17" s="15" t="inlineStr">
        <is>
          <t>available_from_curve</t>
        </is>
      </c>
      <c r="FA17" s="15" t="n">
        <v>20000</v>
      </c>
      <c r="FB17" s="15" t="n">
        <v>20000</v>
      </c>
      <c r="FC17" s="15" t="n">
        <v>0.2543260407278865</v>
      </c>
      <c r="FD17" s="15" t="n">
        <v>0.0423130105100409</v>
      </c>
      <c r="FE17" s="15" t="n">
        <v>2.359925263663174</v>
      </c>
      <c r="FF17" s="15" t="n">
        <v>1.583919647890139</v>
      </c>
      <c r="FG17" s="15" t="n">
        <v>1.210207148121375</v>
      </c>
      <c r="FH17" s="15" t="n">
        <v>1.423550434739668</v>
      </c>
      <c r="FI17" s="15" t="n">
        <v>0.5365405809819189</v>
      </c>
      <c r="FJ17" s="15" t="n">
        <v>0.07023953072227591</v>
      </c>
      <c r="FK17" s="15" t="n">
        <v>2392.93240775593</v>
      </c>
      <c r="FL17" s="15" t="n">
        <v>14.18643488231122</v>
      </c>
      <c r="FM17" s="15" t="n">
        <v>3.727269944074335</v>
      </c>
      <c r="FN17" s="15" t="n">
        <v>0.004435645878405827</v>
      </c>
      <c r="FO17" t="n">
        <v>1</v>
      </c>
      <c r="FP17" t="n">
        <v>0</v>
      </c>
      <c r="FQ17" t="n">
        <v>0</v>
      </c>
      <c r="FR17" t="inlineStr">
        <is>
          <t>excellent</t>
        </is>
      </c>
      <c r="FS17" s="19" t="n">
        <v>0.9117647058823529</v>
      </c>
      <c r="FT17" s="15" t="n">
        <v>5.653265554738316</v>
      </c>
      <c r="FU17" s="15" t="n">
        <v>17.97109433254084</v>
      </c>
      <c r="FV17" t="inlineStr">
        <is>
          <t>passed</t>
        </is>
      </c>
      <c r="FW17" t="n">
        <v>57.01183646650104</v>
      </c>
      <c r="FX17" t="n">
        <v>9.34090648692554</v>
      </c>
      <c r="FY17" t="n">
        <v>3.806459616633018</v>
      </c>
      <c r="FZ17" t="n">
        <v>0.8739500992437352</v>
      </c>
      <c r="GA17" t="n">
        <v>0.1852526055563987</v>
      </c>
      <c r="GB17" t="n">
        <v>0.7422979972634253</v>
      </c>
      <c r="GC17" t="n">
        <v>0.009819846491857255</v>
      </c>
      <c r="GD17" t="n">
        <v>0.0271095187879661</v>
      </c>
      <c r="GE17" t="n">
        <v>0.07845555332718958</v>
      </c>
      <c r="GF17" t="n">
        <v>1</v>
      </c>
      <c r="GG17" t="n">
        <v>0.05076152016030512</v>
      </c>
      <c r="GH17" t="n">
        <v>0.1172780776063441</v>
      </c>
      <c r="GI17" t="n">
        <v>0.06937685090422785</v>
      </c>
      <c r="GJ17" t="n">
        <v>0.03114186851211071</v>
      </c>
      <c r="GK17" t="n">
        <v>0.5588235294117645</v>
      </c>
      <c r="GL17" t="n">
        <v>0.1627906976744188</v>
      </c>
      <c r="GM17" t="n">
        <v>0.1387653233492777</v>
      </c>
      <c r="GN17" t="n">
        <v>0.1387653233492777</v>
      </c>
      <c r="GO17" t="n">
        <v>0.1048909721375598</v>
      </c>
      <c r="GP17" t="n">
        <v>0.1273373693490325</v>
      </c>
      <c r="GQ17" t="n">
        <v>72.20879274745204</v>
      </c>
      <c r="GR17" t="inlineStr">
        <is>
          <t>compiled workbook density_weighted_sum = density_component_ratio_weighted_sum (per-note component ratios); research density_weighted_sum maps body-ceiling richness</t>
        </is>
      </c>
      <c r="GS17" s="15" t="inlineStr">
        <is>
          <t>individual_exact</t>
        </is>
      </c>
      <c r="GT17" s="15" t="inlineStr">
        <is>
          <t>density_weight</t>
        </is>
      </c>
      <c r="GU17" s="15" t="n">
        <v>0.5834085326111211</v>
      </c>
      <c r="GV17" s="15" t="n">
        <v>0.4165914673888788</v>
      </c>
      <c r="GW17" s="15" t="n">
        <v>0</v>
      </c>
      <c r="GX17" s="15" t="inlineStr">
        <is>
          <t>log</t>
        </is>
      </c>
      <c r="GY17" s="15" t="n">
        <v>0.5</v>
      </c>
      <c r="GZ17" s="15" t="inlineStr">
        <is>
          <t>EWSD-R v18.1</t>
        </is>
      </c>
      <c r="HA17" s="15" t="n">
        <v>1.465896088192578</v>
      </c>
      <c r="HB17" s="15" t="n">
        <v>9.942280354486241</v>
      </c>
      <c r="HC17" s="15" t="n">
        <v>0.5219151786317311</v>
      </c>
      <c r="HD17" s="15" t="n">
        <v>2.454113923668465</v>
      </c>
      <c r="HE17" s="15" t="n">
        <v>12.23273967477254</v>
      </c>
      <c r="HF17" s="15" t="n">
        <v>0.4808681515373523</v>
      </c>
      <c r="HG17" s="15" t="inlineStr">
        <is>
          <t>partials+ratios</t>
        </is>
      </c>
      <c r="HH17" s="15" t="inlineStr">
        <is>
          <t>merged_individual_exact</t>
        </is>
      </c>
      <c r="HI17" s="15" t="inlineStr">
        <is>
          <t>passed</t>
        </is>
      </c>
      <c r="HJ17" s="15" t="inlineStr">
        <is>
          <t>passed</t>
        </is>
      </c>
    </row>
    <row r="18">
      <c r="A18" t="inlineStr">
        <is>
          <t>incomplete_inference</t>
        </is>
      </c>
      <c r="B18" t="inlineStr">
        <is>
          <t>missing_instrument_technique</t>
        </is>
      </c>
      <c r="C18" t="inlineStr">
        <is>
          <t>prior_constrained_harmonic_fit</t>
        </is>
      </c>
      <c r="D18" t="inlineStr">
        <is>
          <t>IOWA_flt_pp.D#5_SustainStable/D#5/component_amplitude_mass_pie.png</t>
        </is>
      </c>
      <c r="E18" t="inlineStr">
        <is>
          <t>IOWA_flt_pp.D#5_SustainStable/D#5/component_energy_ratio_pie.png</t>
        </is>
      </c>
      <c r="F18" s="15" t="n">
        <v>621.6191607679255</v>
      </c>
      <c r="G18" s="15" t="inlineStr">
        <is>
          <t>prior_constrained_harmonic_fit</t>
        </is>
      </c>
      <c r="H18" s="15" t="inlineStr">
        <is>
          <t>fit_accepted_acoustically_verified</t>
        </is>
      </c>
      <c r="I18" s="16" t="n">
        <v>72.12908839899895</v>
      </c>
      <c r="J18" t="inlineStr">
        <is>
          <t>richness_weighted_body_density_body_ceiling</t>
        </is>
      </c>
      <c r="K18" t="inlineStr">
        <is>
          <t>research_body_ceiling_richness_metric</t>
        </is>
      </c>
      <c r="L18" s="15" t="n">
        <v>35443.67301057061</v>
      </c>
      <c r="M18" s="15" t="n">
        <v>35443.67301057061</v>
      </c>
      <c r="N18" s="15" t="n">
        <v>286.9591429132574</v>
      </c>
      <c r="O18" s="15" t="n">
        <v>258.2435896196055</v>
      </c>
      <c r="P18" s="15" t="n">
        <v>-8.784169840938354</v>
      </c>
      <c r="Q18" s="15" t="n">
        <v>7</v>
      </c>
      <c r="R18" s="15" t="n">
        <v>18</v>
      </c>
      <c r="S18" s="15" t="n">
        <v>2215.232933132277</v>
      </c>
      <c r="T18" s="15" t="n">
        <v>33</v>
      </c>
      <c r="U18" s="15" t="n">
        <v>-0.2467343503133975</v>
      </c>
      <c r="V18" s="15" t="n">
        <v>10.83834331478208</v>
      </c>
      <c r="W18" s="15" t="n">
        <v>0.9581174098563072</v>
      </c>
      <c r="X18" s="15" t="n">
        <v>0.1070844439106944</v>
      </c>
      <c r="Y18" s="15" t="n">
        <v>8</v>
      </c>
      <c r="Z18" s="15" t="n">
        <v>32</v>
      </c>
      <c r="AA18" s="15" t="n">
        <v>0.25</v>
      </c>
      <c r="AB18" s="15" t="n">
        <v>32</v>
      </c>
      <c r="AC18" s="15" t="n">
        <v>8</v>
      </c>
      <c r="AD18" s="15" t="n">
        <v>0.25</v>
      </c>
      <c r="AE18" s="15" t="n">
        <v>161.364490826184</v>
      </c>
      <c r="AF18" s="15" t="n">
        <v>8</v>
      </c>
      <c r="AG18" s="15" t="n">
        <v>32</v>
      </c>
      <c r="AH18" s="15" t="n">
        <v>0.25</v>
      </c>
      <c r="AI18" s="15" t="n">
        <v>161.364490826184</v>
      </c>
      <c r="AJ18" s="15" t="n">
        <v>4</v>
      </c>
      <c r="AK18" s="15" t="n">
        <v>4</v>
      </c>
      <c r="AL18" s="15" t="n">
        <v>127.4560263041527</v>
      </c>
      <c r="AM18" s="15" t="n">
        <v>39</v>
      </c>
      <c r="AN18" s="15" t="n">
        <v>0</v>
      </c>
      <c r="AO18" s="15" t="n">
        <v>39</v>
      </c>
      <c r="AP18" s="15" t="n">
        <v>0</v>
      </c>
      <c r="AQ18" s="15" t="n">
        <v>20.86024568646377</v>
      </c>
      <c r="AR18" s="15" t="n">
        <v>10.44067453870927</v>
      </c>
      <c r="AS18" s="15" t="n">
        <v>0.2137861763698496</v>
      </c>
      <c r="AT18" s="17" t="n">
        <v>2.366231348006611</v>
      </c>
      <c r="AU18" s="18" t="n">
        <v>4.868046776885847</v>
      </c>
      <c r="AV18" s="15" t="n">
        <v>6.020649593791646</v>
      </c>
      <c r="AW18" s="15" t="b">
        <v>1</v>
      </c>
      <c r="AX18" s="15" t="n">
        <v>4.86130080546921</v>
      </c>
      <c r="AY18" s="15" t="n">
        <v>18.31054508487624</v>
      </c>
      <c r="AZ18" s="15" t="n">
        <v>0</v>
      </c>
      <c r="BA18" s="15" t="n">
        <v>1</v>
      </c>
      <c r="BB18" s="15" t="n">
        <v>0.5</v>
      </c>
      <c r="BC18" s="15" t="n">
        <v>0.25</v>
      </c>
      <c r="BD18" s="15" t="inlineStr">
        <is>
          <t>his_note_adaptive</t>
        </is>
      </c>
      <c r="BE18" s="15" t="n">
        <v>-90</v>
      </c>
      <c r="BF18" s="15" t="n">
        <v>20000</v>
      </c>
      <c r="BG18" s="15" t="n">
        <v>8</v>
      </c>
      <c r="BH18" s="15" t="n">
        <v>0.25</v>
      </c>
      <c r="BI18" s="15" t="n">
        <v>32</v>
      </c>
      <c r="BJ18" s="15" t="n">
        <v>8</v>
      </c>
      <c r="BK18" s="15" t="n">
        <v>32</v>
      </c>
      <c r="BL18" s="15" t="n">
        <v>28</v>
      </c>
      <c r="BM18" s="15" t="n">
        <v>0.875</v>
      </c>
      <c r="BN18" s="15" t="n">
        <v>0.06761283068911274</v>
      </c>
      <c r="BO18" s="15" t="n">
        <v>0.325</v>
      </c>
      <c r="BP18" s="19" t="n">
        <v>0.7560052705659043</v>
      </c>
      <c r="BQ18" s="19" t="n">
        <v>0.2439947294340957</v>
      </c>
      <c r="BR18" s="19" t="n">
        <v>0</v>
      </c>
      <c r="BS18" s="15" t="n">
        <v>0.1048911828441655</v>
      </c>
      <c r="BT18" s="19" t="n">
        <v>1</v>
      </c>
      <c r="BU18" s="19" t="n">
        <v>0</v>
      </c>
      <c r="BV18" s="19" t="n">
        <v>0</v>
      </c>
      <c r="BW18" t="inlineStr">
        <is>
          <t>D#5</t>
        </is>
      </c>
      <c r="BX18" t="n">
        <v>75</v>
      </c>
      <c r="BY18" t="inlineStr">
        <is>
          <t>D#</t>
        </is>
      </c>
      <c r="BZ18" t="n">
        <v>5</v>
      </c>
      <c r="CA18" t="inlineStr">
        <is>
          <t>Very high</t>
        </is>
      </c>
      <c r="CB18" t="inlineStr">
        <is>
          <t>pp</t>
        </is>
      </c>
      <c r="CC18" s="15" t="n">
        <v>622.2539674441617</v>
      </c>
      <c r="CD18" s="15" t="n">
        <v>621.6191607679255</v>
      </c>
      <c r="CE18" t="inlineStr">
        <is>
          <t>prior_constrained_harmonic_fit</t>
        </is>
      </c>
      <c r="CF18" t="n">
        <v>621.6191607679255</v>
      </c>
      <c r="CG18" s="15" t="n">
        <v>1</v>
      </c>
      <c r="CH18" t="n">
        <v/>
      </c>
      <c r="CI18" t="inlineStr">
        <is>
          <t>free_fit_acoustically_verified</t>
        </is>
      </c>
      <c r="CJ18" s="15" t="inlineStr">
        <is>
          <t>free_f0_fit</t>
        </is>
      </c>
      <c r="CK18" s="15" t="n">
        <v>622.2539674441617</v>
      </c>
      <c r="CL18" s="15" t="n">
        <v>621.6191607679255</v>
      </c>
      <c r="CM18" s="15" t="n">
        <v>-1.767059683116761</v>
      </c>
      <c r="CN18" s="15" t="n">
        <v>20000</v>
      </c>
      <c r="CO18" s="15" t="n">
        <v>-1.767059683116761</v>
      </c>
      <c r="CP18" s="15" t="n">
        <v>2.067687668207781</v>
      </c>
      <c r="CQ18" s="15" t="n">
        <v>35443.67301057061</v>
      </c>
      <c r="CR18" t="n">
        <v>1.04193753421869</v>
      </c>
      <c r="CS18" t="n">
        <v>0.03256054794433406</v>
      </c>
      <c r="CT18" t="n">
        <v>69.22592384877071</v>
      </c>
      <c r="CU18" t="n">
        <v>69.22592384877071</v>
      </c>
      <c r="CV18" t="n">
        <v>72.12908839899895</v>
      </c>
      <c r="CW18" t="n">
        <v>258.2435896196055</v>
      </c>
      <c r="CX18" s="15" t="n">
        <v>35443.67301057061</v>
      </c>
      <c r="CY18" s="15" t="n">
        <v>286.9591429132574</v>
      </c>
      <c r="CZ18" s="15" t="n">
        <v>258.2435896196055</v>
      </c>
      <c r="DA18" s="15" t="n">
        <v>2.366231348006611</v>
      </c>
      <c r="DB18" s="15" t="n">
        <v>2.366231348006611</v>
      </c>
      <c r="DC18" s="15" t="n">
        <v>1.627884260350769</v>
      </c>
      <c r="DD18" s="15" t="n">
        <v>0</v>
      </c>
      <c r="DE18" s="15" t="n">
        <v>6.676033116829945e-05</v>
      </c>
      <c r="DF18" s="15" t="n">
        <v>0</v>
      </c>
      <c r="DG18" s="15" t="n">
        <v>7</v>
      </c>
      <c r="DH18" s="15" t="inlineStr">
        <is>
          <t>Density_Metrics</t>
        </is>
      </c>
      <c r="DI18" s="15" t="n">
        <v>2.067687668207781</v>
      </c>
      <c r="DJ18" t="n">
        <v>0.9334432447952341</v>
      </c>
      <c r="DK18" s="15" t="n">
        <v>0.5271439600385056</v>
      </c>
      <c r="DL18" s="15" t="n">
        <v>5.525837893985242</v>
      </c>
      <c r="DM18" s="15" t="n">
        <v>1.07420213997368</v>
      </c>
      <c r="DN18" s="15" t="n">
        <v>1.040011800096021</v>
      </c>
      <c r="DO18" s="15" t="n">
        <v>10.17532809313455</v>
      </c>
      <c r="DP18" s="15" t="n">
        <v>2.650538669336251</v>
      </c>
      <c r="DQ18" s="15" t="n">
        <v>6.3125</v>
      </c>
      <c r="DR18" s="15" t="n">
        <v>19</v>
      </c>
      <c r="DS18" s="15" t="b">
        <v>1</v>
      </c>
      <c r="DT18" s="15" t="n">
        <v>1.04193753421869</v>
      </c>
      <c r="DU18" s="15" t="n">
        <v>3.426702205142221</v>
      </c>
      <c r="DV18" t="n">
        <v>32</v>
      </c>
      <c r="DW18" s="15" t="n">
        <v>0.1048911828441655</v>
      </c>
      <c r="DX18" s="15" t="n">
        <v>0.9570132425428953</v>
      </c>
      <c r="DY18" s="15" t="n">
        <v>2.171747730344859</v>
      </c>
      <c r="DZ18" s="15" t="n">
        <v>0.2202452602489146</v>
      </c>
      <c r="EA18" s="15" t="b">
        <v>1</v>
      </c>
      <c r="EB18" s="15" t="n">
        <v>0.2131684290508898</v>
      </c>
      <c r="EC18" s="15" t="n">
        <v>20000</v>
      </c>
      <c r="ED18" s="15" t="n">
        <v>4351.334125375478</v>
      </c>
      <c r="EE18" s="15" t="n">
        <v>7</v>
      </c>
      <c r="EF18" s="15" t="n">
        <v>0</v>
      </c>
      <c r="EG18" s="15" t="n">
        <v>0.03460516806898831</v>
      </c>
      <c r="EH18" s="15" t="b">
        <v>0</v>
      </c>
      <c r="EI18" s="15" t="b">
        <v>1</v>
      </c>
      <c r="EJ18" s="15" t="b">
        <v>0</v>
      </c>
      <c r="EK18" s="15" t="inlineStr">
        <is>
          <t>wf=log|dst=-90.0|ceil=20000.0|fft=adaptive_tier</t>
        </is>
      </c>
      <c r="EL18" s="15" t="inlineStr">
        <is>
          <t>wf=log|dst=runtime_configured|ceil=runtime_configured|fft=fixed</t>
        </is>
      </c>
      <c r="EM18" s="15" t="n">
        <v>0.5979997247773506</v>
      </c>
      <c r="EN18" s="15" t="n">
        <v>0.9984542297036816</v>
      </c>
      <c r="EO18" s="15" t="n">
        <v>0.2121212121212121</v>
      </c>
      <c r="EP18" s="15" t="n">
        <v>0.372264485841348</v>
      </c>
      <c r="EQ18" s="15" t="inlineStr">
        <is>
          <t>warn:power_outlier_detected</t>
        </is>
      </c>
      <c r="ER18" s="15" t="n">
        <v>475.5815254280711</v>
      </c>
      <c r="ES18" s="15" t="inlineStr">
        <is>
          <t>winsorize_p95_for_robust_diagnostics</t>
        </is>
      </c>
      <c r="ET18" s="15" t="n">
        <v>0.2060536145709581</v>
      </c>
      <c r="EU18" s="15" t="n">
        <v>0.0156082877679047</v>
      </c>
      <c r="EV18" s="15" t="n">
        <v>0.01871454290426934</v>
      </c>
      <c r="EW18" t="inlineStr">
        <is>
          <t>computed</t>
        </is>
      </c>
      <c r="EX18" s="15" t="inlineStr">
        <is>
          <t>computed</t>
        </is>
      </c>
      <c r="EY18" s="15" t="inlineStr">
        <is>
          <t>computed</t>
        </is>
      </c>
      <c r="EZ18" s="15" t="inlineStr">
        <is>
          <t>available_from_curve</t>
        </is>
      </c>
      <c r="FA18" s="15" t="n">
        <v>20000</v>
      </c>
      <c r="FB18" s="15" t="n">
        <v>20000</v>
      </c>
      <c r="FC18" s="15" t="n">
        <v>0.2439947294340957</v>
      </c>
      <c r="FD18" s="15" t="n">
        <v>0.06087835548790062</v>
      </c>
      <c r="FE18" s="15" t="n">
        <v>2.366231348006611</v>
      </c>
      <c r="FF18" s="15" t="n">
        <v>1.627884260350769</v>
      </c>
      <c r="FG18" s="15" t="n">
        <v>1.531722285627862</v>
      </c>
      <c r="FH18" s="15" t="n">
        <v>1.427354381096287</v>
      </c>
      <c r="FI18" s="15" t="n">
        <v>0.5514332548266387</v>
      </c>
      <c r="FJ18" s="15" t="n">
        <v>0.08890003228485525</v>
      </c>
      <c r="FK18" s="15" t="n">
        <v>2215.229563160663</v>
      </c>
      <c r="FL18" s="15" t="n">
        <v>17.93494643207859</v>
      </c>
      <c r="FM18" s="15" t="n">
        <v>16.14022435122535</v>
      </c>
      <c r="FN18" s="15" t="n">
        <v>0.004103847045156143</v>
      </c>
      <c r="FO18" t="n">
        <v>1</v>
      </c>
      <c r="FP18" t="n">
        <v>0</v>
      </c>
      <c r="FQ18" t="n">
        <v>0</v>
      </c>
      <c r="FR18" t="inlineStr">
        <is>
          <t>excellent</t>
        </is>
      </c>
      <c r="FS18" s="19" t="n">
        <v>0.875</v>
      </c>
      <c r="FT18" s="15" t="n">
        <v>4.516230754456437</v>
      </c>
      <c r="FU18" s="15" t="n">
        <v>13.72384916034196</v>
      </c>
      <c r="FV18" t="inlineStr">
        <is>
          <t>passed</t>
        </is>
      </c>
      <c r="FW18" t="n">
        <v>57.84936110787791</v>
      </c>
      <c r="FX18" t="n">
        <v>10.36266044359808</v>
      </c>
      <c r="FY18" t="n">
        <v>8.254764538301094</v>
      </c>
      <c r="FZ18" t="n">
        <v>0.8994325729930014</v>
      </c>
      <c r="GA18" t="n">
        <v>0.1850480733475108</v>
      </c>
      <c r="GB18" t="n">
        <v>0.8594010768743746</v>
      </c>
      <c r="GC18" t="n">
        <v>0.02201327748334607</v>
      </c>
      <c r="GD18" t="n">
        <v>0.04376212435398288</v>
      </c>
      <c r="GE18" t="n">
        <v>0.1401185891836586</v>
      </c>
      <c r="GF18" t="n">
        <v>0.9301478872520468</v>
      </c>
      <c r="GG18" t="n">
        <v>0.08966947259093053</v>
      </c>
      <c r="GH18" t="n">
        <v>0.2726323873314822</v>
      </c>
      <c r="GI18" t="n">
        <v>0.1246991113523996</v>
      </c>
      <c r="GJ18" t="n">
        <v>0.1176470588235294</v>
      </c>
      <c r="GK18" t="n">
        <v>0.3749999999999998</v>
      </c>
      <c r="GL18" t="n">
        <v>0.4651162790697675</v>
      </c>
      <c r="GM18" t="n">
        <v>0.1025349555604458</v>
      </c>
      <c r="GN18" t="n">
        <v>0.1025349555604458</v>
      </c>
      <c r="GO18" t="n">
        <v>0.1509131544243712</v>
      </c>
      <c r="GP18" t="n">
        <v>0.2785883646031011</v>
      </c>
      <c r="GQ18" t="n">
        <v>72.12908839899895</v>
      </c>
      <c r="GR18" t="inlineStr">
        <is>
          <t>compiled workbook density_weighted_sum = density_component_ratio_weighted_sum (per-note component ratios); research density_weighted_sum maps body-ceiling richness</t>
        </is>
      </c>
      <c r="GS18" s="15" t="inlineStr">
        <is>
          <t>individual_exact</t>
        </is>
      </c>
      <c r="GT18" s="15" t="inlineStr">
        <is>
          <t>density_weight</t>
        </is>
      </c>
      <c r="GU18" s="15" t="n">
        <v>0.5851533649527816</v>
      </c>
      <c r="GV18" s="15" t="n">
        <v>0.4148466350472184</v>
      </c>
      <c r="GW18" s="15" t="n">
        <v>0</v>
      </c>
      <c r="GX18" s="15" t="inlineStr">
        <is>
          <t>log</t>
        </is>
      </c>
      <c r="GY18" s="15" t="n">
        <v>0.5</v>
      </c>
      <c r="GZ18" s="15" t="inlineStr">
        <is>
          <t>EWSD-R v18.1</t>
        </is>
      </c>
      <c r="HA18" s="15" t="n">
        <v>1.814336728951119</v>
      </c>
      <c r="HB18" s="15" t="n">
        <v>11.61251212525208</v>
      </c>
      <c r="HC18" s="15" t="n">
        <v>0.5080897840570118</v>
      </c>
      <c r="HD18" s="15" t="n">
        <v>2.799226835181648</v>
      </c>
      <c r="HE18" s="15" t="n">
        <v>13.36028672161544</v>
      </c>
      <c r="HF18" s="15" t="n">
        <v>0.4739080545596521</v>
      </c>
      <c r="HG18" s="15" t="inlineStr">
        <is>
          <t>partials+ratios</t>
        </is>
      </c>
      <c r="HH18" s="15" t="inlineStr">
        <is>
          <t>merged_individual_exact</t>
        </is>
      </c>
      <c r="HI18" s="15" t="inlineStr">
        <is>
          <t>passed</t>
        </is>
      </c>
      <c r="HJ18" s="15" t="inlineStr">
        <is>
          <t>passed</t>
        </is>
      </c>
    </row>
    <row r="19">
      <c r="A19" t="inlineStr">
        <is>
          <t>incomplete_inference</t>
        </is>
      </c>
      <c r="B19" t="inlineStr">
        <is>
          <t>missing_instrument_technique</t>
        </is>
      </c>
      <c r="C19" t="inlineStr">
        <is>
          <t>prior_constrained_harmonic_fit</t>
        </is>
      </c>
      <c r="D19" t="inlineStr">
        <is>
          <t>IOWA_flt_pp.E5_SustainStable/E5/component_amplitude_mass_pie.png</t>
        </is>
      </c>
      <c r="E19" t="inlineStr">
        <is>
          <t>IOWA_flt_pp.E5_SustainStable/E5/component_energy_ratio_pie.png</t>
        </is>
      </c>
      <c r="F19" s="15" t="n">
        <v>660.6082828993534</v>
      </c>
      <c r="G19" s="15" t="inlineStr">
        <is>
          <t>prior_constrained_harmonic_fit</t>
        </is>
      </c>
      <c r="H19" s="15" t="inlineStr">
        <is>
          <t>fit_accepted_acoustically_verified</t>
        </is>
      </c>
      <c r="I19" s="16" t="n">
        <v>84.68891471048509</v>
      </c>
      <c r="J19" t="inlineStr">
        <is>
          <t>richness_weighted_body_density_body_ceiling</t>
        </is>
      </c>
      <c r="K19" t="inlineStr">
        <is>
          <t>research_body_ceiling_richness_metric</t>
        </is>
      </c>
      <c r="L19" s="15" t="n">
        <v>39638.17599407305</v>
      </c>
      <c r="M19" s="15" t="n">
        <v>39638.17599407305</v>
      </c>
      <c r="N19" s="15" t="n">
        <v>369.8931882281732</v>
      </c>
      <c r="O19" s="15" t="n">
        <v>120.376262105361</v>
      </c>
      <c r="P19" s="15" t="n">
        <v>-11.68173670380303</v>
      </c>
      <c r="Q19" s="15" t="n">
        <v>5</v>
      </c>
      <c r="R19" s="15" t="n">
        <v>12</v>
      </c>
      <c r="S19" s="15" t="n">
        <v>2477.387391021108</v>
      </c>
      <c r="T19" s="15" t="n">
        <v>31</v>
      </c>
      <c r="U19" s="15" t="n">
        <v>-0.3974643455977783</v>
      </c>
      <c r="V19" s="15" t="n">
        <v>9.801561654679517</v>
      </c>
      <c r="W19" s="15" t="n">
        <v>0.9732255768391069</v>
      </c>
      <c r="X19" s="15" t="n">
        <v>0.1008527768374433</v>
      </c>
      <c r="Y19" s="15" t="n">
        <v>5</v>
      </c>
      <c r="Z19" s="15" t="n">
        <v>30</v>
      </c>
      <c r="AA19" s="15" t="n">
        <v>0.1666666666666667</v>
      </c>
      <c r="AB19" s="15" t="n">
        <v>30</v>
      </c>
      <c r="AC19" s="15" t="n">
        <v>5</v>
      </c>
      <c r="AD19" s="15" t="n">
        <v>0.1666666666666667</v>
      </c>
      <c r="AE19" s="15" t="n">
        <v>161.1414575487683</v>
      </c>
      <c r="AF19" s="15" t="n">
        <v>5</v>
      </c>
      <c r="AG19" s="15" t="n">
        <v>30</v>
      </c>
      <c r="AH19" s="15" t="n">
        <v>0.1666666666666667</v>
      </c>
      <c r="AI19" s="15" t="n">
        <v>161.1414575487683</v>
      </c>
      <c r="AJ19" s="15" t="n">
        <v>3</v>
      </c>
      <c r="AK19" s="15" t="n">
        <v>2</v>
      </c>
      <c r="AL19" s="15" t="n">
        <v>183.3113382381438</v>
      </c>
      <c r="AM19" s="15" t="n">
        <v>25</v>
      </c>
      <c r="AN19" s="15" t="n">
        <v>0</v>
      </c>
      <c r="AO19" s="15" t="n">
        <v>25</v>
      </c>
      <c r="AP19" s="15" t="n">
        <v>0</v>
      </c>
      <c r="AQ19" s="15" t="n">
        <v>13.01865227223404</v>
      </c>
      <c r="AR19" s="15" t="n">
        <v>6.927134863917458</v>
      </c>
      <c r="AS19" s="15" t="n">
        <v>0.07979246572107063</v>
      </c>
      <c r="AT19" s="17" t="n">
        <v>2.365948298392226</v>
      </c>
      <c r="AU19" s="18" t="n">
        <v>4.64788409144092</v>
      </c>
      <c r="AV19" s="15" t="n">
        <v>5.543251885582499</v>
      </c>
      <c r="AW19" s="15" t="b">
        <v>1</v>
      </c>
      <c r="AX19" s="15" t="n">
        <v>3.485478096185623</v>
      </c>
      <c r="AY19" s="15" t="n">
        <v>12.0696058295933</v>
      </c>
      <c r="AZ19" s="15" t="n">
        <v>0</v>
      </c>
      <c r="BA19" s="15" t="n">
        <v>1</v>
      </c>
      <c r="BB19" s="15" t="n">
        <v>0.5</v>
      </c>
      <c r="BC19" s="15" t="n">
        <v>0.25</v>
      </c>
      <c r="BD19" s="15" t="inlineStr">
        <is>
          <t>his_note_adaptive</t>
        </is>
      </c>
      <c r="BE19" s="15" t="n">
        <v>-90</v>
      </c>
      <c r="BF19" s="15" t="n">
        <v>20000</v>
      </c>
      <c r="BG19" s="15" t="n">
        <v>5</v>
      </c>
      <c r="BH19" s="15" t="n">
        <v>0.1666666666666667</v>
      </c>
      <c r="BI19" s="15" t="n">
        <v>30</v>
      </c>
      <c r="BJ19" s="15" t="n">
        <v>5</v>
      </c>
      <c r="BK19" s="15" t="n">
        <v>30</v>
      </c>
      <c r="BL19" s="15" t="n">
        <v>27</v>
      </c>
      <c r="BM19" s="15" t="n">
        <v>0.9</v>
      </c>
      <c r="BN19" s="15" t="n">
        <v>0.06997551316802655</v>
      </c>
      <c r="BO19" s="15" t="n">
        <v>0.2083333333333333</v>
      </c>
      <c r="BP19" s="19" t="n">
        <v>0.7525485158785286</v>
      </c>
      <c r="BQ19" s="19" t="n">
        <v>0.2474514841214714</v>
      </c>
      <c r="BR19" s="19" t="n">
        <v>0</v>
      </c>
      <c r="BS19" s="15" t="n">
        <v>0.06850374618721297</v>
      </c>
      <c r="BT19" s="19" t="n">
        <v>1</v>
      </c>
      <c r="BU19" s="19" t="n">
        <v>0</v>
      </c>
      <c r="BV19" s="19" t="n">
        <v>0</v>
      </c>
      <c r="BW19" t="inlineStr">
        <is>
          <t>E5</t>
        </is>
      </c>
      <c r="BX19" t="n">
        <v>76</v>
      </c>
      <c r="BY19" t="inlineStr">
        <is>
          <t>E</t>
        </is>
      </c>
      <c r="BZ19" t="n">
        <v>5</v>
      </c>
      <c r="CA19" t="inlineStr">
        <is>
          <t>Very high</t>
        </is>
      </c>
      <c r="CB19" t="inlineStr">
        <is>
          <t>pp</t>
        </is>
      </c>
      <c r="CC19" s="15" t="n">
        <v>659.2551138257397</v>
      </c>
      <c r="CD19" s="15" t="n">
        <v>660.6082828993534</v>
      </c>
      <c r="CE19" t="inlineStr">
        <is>
          <t>prior_constrained_harmonic_fit</t>
        </is>
      </c>
      <c r="CF19" t="n">
        <v>660.6082828993534</v>
      </c>
      <c r="CG19" s="15" t="n">
        <v>1</v>
      </c>
      <c r="CH19" t="n">
        <v/>
      </c>
      <c r="CI19" t="inlineStr">
        <is>
          <t>free_fit_acoustically_verified</t>
        </is>
      </c>
      <c r="CJ19" s="15" t="inlineStr">
        <is>
          <t>free_f0_fit</t>
        </is>
      </c>
      <c r="CK19" s="15" t="n">
        <v>659.2551138257397</v>
      </c>
      <c r="CL19" s="15" t="n">
        <v>660.6082828993534</v>
      </c>
      <c r="CM19" s="15" t="n">
        <v>3.549841901803743</v>
      </c>
      <c r="CN19" s="15" t="n">
        <v>20000</v>
      </c>
      <c r="CO19" s="15" t="n">
        <v>3.549841901803743</v>
      </c>
      <c r="CP19" s="15" t="n">
        <v>2.057604216821959</v>
      </c>
      <c r="CQ19" s="15" t="n">
        <v>39638.17599407305</v>
      </c>
      <c r="CR19" t="n">
        <v>1.025543634175074</v>
      </c>
      <c r="CS19" t="n">
        <v>0.0341847878058358</v>
      </c>
      <c r="CT19" t="n">
        <v>82.57953332098552</v>
      </c>
      <c r="CU19" t="n">
        <v>82.57953332098552</v>
      </c>
      <c r="CV19" t="n">
        <v>84.68891471048509</v>
      </c>
      <c r="CW19" t="n">
        <v>120.376262105361</v>
      </c>
      <c r="CX19" s="15" t="n">
        <v>39638.17599407305</v>
      </c>
      <c r="CY19" s="15" t="n">
        <v>369.8931882281732</v>
      </c>
      <c r="CZ19" s="15" t="n">
        <v>120.376262105361</v>
      </c>
      <c r="DA19" s="15" t="n">
        <v>2.365948298392226</v>
      </c>
      <c r="DB19" s="15" t="n">
        <v>2.365948298392226</v>
      </c>
      <c r="DC19" s="15" t="n">
        <v>1.627895390053738</v>
      </c>
      <c r="DD19" s="15" t="n">
        <v>0</v>
      </c>
      <c r="DE19" s="15" t="n">
        <v>5.968862691224736e-05</v>
      </c>
      <c r="DF19" s="15" t="n">
        <v>0</v>
      </c>
      <c r="DG19" s="15" t="n">
        <v>5</v>
      </c>
      <c r="DH19" s="15" t="inlineStr">
        <is>
          <t>Density_Metrics</t>
        </is>
      </c>
      <c r="DI19" s="15" t="n">
        <v>2.057604216821959</v>
      </c>
      <c r="DJ19" t="n">
        <v>0.9288911406621785</v>
      </c>
      <c r="DK19" s="15" t="n">
        <v>0.5271074408449721</v>
      </c>
      <c r="DL19" s="15" t="n">
        <v>5.354707829767907</v>
      </c>
      <c r="DM19" s="15" t="n">
        <v>1.051043010763795</v>
      </c>
      <c r="DN19" s="15" t="n">
        <v>1.029836364047012</v>
      </c>
      <c r="DO19" s="15" t="n">
        <v>8.700725175381949</v>
      </c>
      <c r="DP19" s="15" t="n">
        <v>2.517060053099347</v>
      </c>
      <c r="DQ19" s="15" t="n">
        <v>9.6875</v>
      </c>
      <c r="DR19" s="15" t="n">
        <v>15</v>
      </c>
      <c r="DS19" s="15" t="b">
        <v>1</v>
      </c>
      <c r="DT19" s="15" t="n">
        <v>1.025543634175074</v>
      </c>
      <c r="DU19" s="15" t="n">
        <v>3.025583305123299</v>
      </c>
      <c r="DV19" t="n">
        <v>30</v>
      </c>
      <c r="DW19" s="15" t="n">
        <v>0.06850374618721297</v>
      </c>
      <c r="DX19" s="15" t="n">
        <v>0.9257981035224216</v>
      </c>
      <c r="DY19" s="15" t="n">
        <v>2.182148048246336</v>
      </c>
      <c r="DZ19" s="15" t="n">
        <v>0.2338881365459909</v>
      </c>
      <c r="EA19" s="15" t="b">
        <v>1</v>
      </c>
      <c r="EB19" s="15" t="n">
        <v>0.2566028668507444</v>
      </c>
      <c r="EC19" s="15" t="n">
        <v>20000</v>
      </c>
      <c r="ED19" s="15" t="n">
        <v>3303.041414496767</v>
      </c>
      <c r="EE19" s="15" t="n">
        <v>5</v>
      </c>
      <c r="EF19" s="15" t="n">
        <v>0</v>
      </c>
      <c r="EG19" s="15" t="n">
        <v>0.03266292922635083</v>
      </c>
      <c r="EH19" s="15" t="b">
        <v>0</v>
      </c>
      <c r="EI19" s="15" t="b">
        <v>1</v>
      </c>
      <c r="EJ19" s="15" t="b">
        <v>0</v>
      </c>
      <c r="EK19" s="15" t="inlineStr">
        <is>
          <t>wf=log|dst=-90.0|ceil=20000.0|fft=adaptive_tier</t>
        </is>
      </c>
      <c r="EL19" s="15" t="inlineStr">
        <is>
          <t>wf=log|dst=runtime_configured|ceil=runtime_configured|fft=fixed</t>
        </is>
      </c>
      <c r="EM19" s="15" t="n">
        <v>0.5801475239403746</v>
      </c>
      <c r="EN19" s="15" t="n">
        <v>0.9983449847319333</v>
      </c>
      <c r="EO19" s="15" t="n">
        <v>0.1612903225806452</v>
      </c>
      <c r="EP19" s="15" t="n">
        <v>0.372203339538894</v>
      </c>
      <c r="EQ19" s="15" t="inlineStr">
        <is>
          <t>warn:power_outlier_detected</t>
        </is>
      </c>
      <c r="ER19" s="15" t="n">
        <v>476.0751955495213</v>
      </c>
      <c r="ES19" s="15" t="inlineStr">
        <is>
          <t>winsorize_p95_for_robust_diagnostics</t>
        </is>
      </c>
      <c r="ET19" s="15" t="n">
        <v>0.2247960218160286</v>
      </c>
      <c r="EU19" s="15" t="n">
        <v>0.01237200928954175</v>
      </c>
      <c r="EV19" s="15" t="n">
        <v>0.01427712399140764</v>
      </c>
      <c r="EW19" t="inlineStr">
        <is>
          <t>computed</t>
        </is>
      </c>
      <c r="EX19" s="15" t="inlineStr">
        <is>
          <t>computed</t>
        </is>
      </c>
      <c r="EY19" s="15" t="inlineStr">
        <is>
          <t>computed</t>
        </is>
      </c>
      <c r="EZ19" s="15" t="inlineStr">
        <is>
          <t>available_from_curve</t>
        </is>
      </c>
      <c r="FA19" s="15" t="n">
        <v>20000</v>
      </c>
      <c r="FB19" s="15" t="n">
        <v>20000</v>
      </c>
      <c r="FC19" s="15" t="n">
        <v>0.2474514841214714</v>
      </c>
      <c r="FD19" s="15" t="n">
        <v>0.0481731349073982</v>
      </c>
      <c r="FE19" s="15" t="n">
        <v>2.365948298392226</v>
      </c>
      <c r="FF19" s="15" t="n">
        <v>1.627895390053738</v>
      </c>
      <c r="FG19" s="15" t="n">
        <v>1.360864141321943</v>
      </c>
      <c r="FH19" s="15" t="n">
        <v>1.427183640349614</v>
      </c>
      <c r="FI19" s="15" t="n">
        <v>0.551437024927796</v>
      </c>
      <c r="FJ19" s="15" t="n">
        <v>0.07898355154454897</v>
      </c>
      <c r="FK19" s="15" t="n">
        <v>2477.385999629566</v>
      </c>
      <c r="FL19" s="15" t="n">
        <v>23.11832426426082</v>
      </c>
      <c r="FM19" s="15" t="n">
        <v>7.523516381585059</v>
      </c>
      <c r="FN19" s="15" t="n">
        <v>0.004589156048966748</v>
      </c>
      <c r="FO19" t="n">
        <v>1</v>
      </c>
      <c r="FP19" t="n">
        <v>0</v>
      </c>
      <c r="FQ19" t="n">
        <v>0</v>
      </c>
      <c r="FR19" t="inlineStr">
        <is>
          <t>excellent</t>
        </is>
      </c>
      <c r="FS19" s="19" t="n">
        <v>0.9</v>
      </c>
      <c r="FT19" s="15" t="n">
        <v>6.346545971844654</v>
      </c>
      <c r="FU19" s="15" t="n">
        <v>16.42583011240751</v>
      </c>
      <c r="FV19" t="inlineStr">
        <is>
          <t>passed</t>
        </is>
      </c>
      <c r="FW19" t="n">
        <v>57.81150742880516</v>
      </c>
      <c r="FX19" t="n">
        <v>10.36293241866769</v>
      </c>
      <c r="FY19" t="n">
        <v>5.488576162678356</v>
      </c>
      <c r="FZ19" t="n">
        <v>0.8925543320282655</v>
      </c>
      <c r="GA19" t="n">
        <v>0.2172782975271701</v>
      </c>
      <c r="GB19" t="n">
        <v>0.805499460178753</v>
      </c>
      <c r="GC19" t="n">
        <v>0.0134071898237611</v>
      </c>
      <c r="GD19" t="n">
        <v>0.02665496949327213</v>
      </c>
      <c r="GE19" t="n">
        <v>0.07956246593721576</v>
      </c>
      <c r="GF19" t="n">
        <v>0.9705668412027112</v>
      </c>
      <c r="GG19" t="n">
        <v>0.07533287931390964</v>
      </c>
      <c r="GH19" t="n">
        <v>0.09023793707646331</v>
      </c>
      <c r="GI19" t="n">
        <v>0.05524790041591851</v>
      </c>
      <c r="GJ19" t="n">
        <v>0.01960784313725496</v>
      </c>
      <c r="GK19" t="n">
        <v>0.5</v>
      </c>
      <c r="GL19" t="n">
        <v>0.1395348837209302</v>
      </c>
      <c r="GM19" t="n">
        <v>0.1146572786729687</v>
      </c>
      <c r="GN19" t="n">
        <v>0.1146572786729687</v>
      </c>
      <c r="GO19" t="n">
        <v>0.1194178076776586</v>
      </c>
      <c r="GP19" t="n">
        <v>0.09691355301798656</v>
      </c>
      <c r="GQ19" t="n">
        <v>84.68891471048509</v>
      </c>
      <c r="GR19" t="inlineStr">
        <is>
          <t>compiled workbook density_weighted_sum = density_component_ratio_weighted_sum (per-note component ratios); research density_weighted_sum maps body-ceiling richness</t>
        </is>
      </c>
      <c r="GS19" s="15" t="inlineStr">
        <is>
          <t>individual_exact</t>
        </is>
      </c>
      <c r="GT19" s="15" t="inlineStr">
        <is>
          <t>density_weight</t>
        </is>
      </c>
      <c r="GU19" s="15" t="n">
        <v>0.599067386388298</v>
      </c>
      <c r="GV19" s="15" t="n">
        <v>0.400932613611702</v>
      </c>
      <c r="GW19" s="15" t="n">
        <v>0</v>
      </c>
      <c r="GX19" s="15" t="inlineStr">
        <is>
          <t>log</t>
        </is>
      </c>
      <c r="GY19" s="15" t="n">
        <v>0.5</v>
      </c>
      <c r="GZ19" s="15" t="inlineStr">
        <is>
          <t>EWSD-R v18.1</t>
        </is>
      </c>
      <c r="HA19" s="15" t="n">
        <v>2.544908867707295</v>
      </c>
      <c r="HB19" s="15" t="n">
        <v>12.83025094275049</v>
      </c>
      <c r="HC19" s="15" t="n">
        <v>0.543805803883655</v>
      </c>
      <c r="HD19" s="15" t="n">
        <v>2.979485519275001</v>
      </c>
      <c r="HE19" s="15" t="n">
        <v>13.78610917021572</v>
      </c>
      <c r="HF19" s="15" t="n">
        <v>0.4858750400846211</v>
      </c>
      <c r="HG19" s="15" t="inlineStr">
        <is>
          <t>partials+ratios</t>
        </is>
      </c>
      <c r="HH19" s="15" t="inlineStr">
        <is>
          <t>merged_individual_exact</t>
        </is>
      </c>
      <c r="HI19" s="15" t="inlineStr">
        <is>
          <t>passed</t>
        </is>
      </c>
      <c r="HJ19" s="15" t="inlineStr">
        <is>
          <t>passed</t>
        </is>
      </c>
    </row>
    <row r="20">
      <c r="A20" t="inlineStr">
        <is>
          <t>incomplete_inference</t>
        </is>
      </c>
      <c r="B20" t="inlineStr">
        <is>
          <t>missing_instrument_technique</t>
        </is>
      </c>
      <c r="C20" t="inlineStr">
        <is>
          <t>prior_constrained_harmonic_fit</t>
        </is>
      </c>
      <c r="D20" t="inlineStr">
        <is>
          <t>IOWA_flt_pp.F5_SustainStable/F5/component_amplitude_mass_pie.png</t>
        </is>
      </c>
      <c r="E20" t="inlineStr">
        <is>
          <t>IOWA_flt_pp.F5_SustainStable/F5/component_energy_ratio_pie.png</t>
        </is>
      </c>
      <c r="F20" s="15" t="n">
        <v>699.2963670262352</v>
      </c>
      <c r="G20" s="15" t="inlineStr">
        <is>
          <t>prior_constrained_harmonic_fit</t>
        </is>
      </c>
      <c r="H20" s="15" t="inlineStr">
        <is>
          <t>fit_accepted_acoustically_verified</t>
        </is>
      </c>
      <c r="I20" s="16" t="n">
        <v>94.72629130256867</v>
      </c>
      <c r="J20" t="inlineStr">
        <is>
          <t>richness_weighted_body_density_body_ceiling</t>
        </is>
      </c>
      <c r="K20" t="inlineStr">
        <is>
          <t>research_body_ceiling_richness_metric</t>
        </is>
      </c>
      <c r="L20" s="15" t="n">
        <v>41409.90673016354</v>
      </c>
      <c r="M20" s="15" t="n">
        <v>41409.90673016354</v>
      </c>
      <c r="N20" s="15" t="n">
        <v>263.3446388676874</v>
      </c>
      <c r="O20" s="15" t="n">
        <v>90.50929866168858</v>
      </c>
      <c r="P20" s="15" t="n">
        <v>-12.52659521578513</v>
      </c>
      <c r="Q20" s="15" t="n">
        <v>4</v>
      </c>
      <c r="R20" s="15" t="n">
        <v>11</v>
      </c>
      <c r="S20" s="15" t="n">
        <v>2588.120080980681</v>
      </c>
      <c r="T20" s="15" t="n">
        <v>29</v>
      </c>
      <c r="U20" s="15" t="n">
        <v>-0.3608562676701021</v>
      </c>
      <c r="V20" s="15" t="n">
        <v>9.836709359051888</v>
      </c>
      <c r="W20" s="15" t="n">
        <v>0.9522558422704779</v>
      </c>
      <c r="X20" s="15" t="n">
        <v>0.1415853310081709</v>
      </c>
      <c r="Y20" s="15" t="n">
        <v>5</v>
      </c>
      <c r="Z20" s="15" t="n">
        <v>28</v>
      </c>
      <c r="AA20" s="15" t="n">
        <v>0.1785714285714286</v>
      </c>
      <c r="AB20" s="15" t="n">
        <v>28</v>
      </c>
      <c r="AC20" s="15" t="n">
        <v>5</v>
      </c>
      <c r="AD20" s="15" t="n">
        <v>0.1785714285714286</v>
      </c>
      <c r="AE20" s="15" t="n">
        <v>162.8918633253791</v>
      </c>
      <c r="AF20" s="15" t="n">
        <v>5</v>
      </c>
      <c r="AG20" s="15" t="n">
        <v>28</v>
      </c>
      <c r="AH20" s="15" t="n">
        <v>0.1785714285714286</v>
      </c>
      <c r="AI20" s="15" t="n">
        <v>162.8918633253791</v>
      </c>
      <c r="AJ20" s="15" t="n">
        <v>3</v>
      </c>
      <c r="AK20" s="15" t="n">
        <v>2</v>
      </c>
      <c r="AL20" s="15" t="n">
        <v>92.44630722223825</v>
      </c>
      <c r="AM20" s="15" t="n">
        <v>33</v>
      </c>
      <c r="AN20" s="15" t="n">
        <v>0</v>
      </c>
      <c r="AO20" s="15" t="n">
        <v>33</v>
      </c>
      <c r="AP20" s="15" t="n">
        <v>0</v>
      </c>
      <c r="AQ20" s="15" t="n">
        <v>16.85674956623809</v>
      </c>
      <c r="AR20" s="15" t="n">
        <v>8.248287740562365</v>
      </c>
      <c r="AS20" s="15" t="n">
        <v>0.1301764638145172</v>
      </c>
      <c r="AT20" s="17" t="n">
        <v>2.370007180592821</v>
      </c>
      <c r="AU20" s="18" t="n">
        <v>4.442696299966359</v>
      </c>
      <c r="AV20" s="15" t="n">
        <v>5.132766033095764</v>
      </c>
      <c r="AW20" s="15" t="b">
        <v>1</v>
      </c>
      <c r="AX20" s="15" t="n">
        <v>3.416013444576159</v>
      </c>
      <c r="AY20" s="15" t="n">
        <v>14.82754571416958</v>
      </c>
      <c r="AZ20" s="15" t="n">
        <v>0</v>
      </c>
      <c r="BA20" s="15" t="n">
        <v>1</v>
      </c>
      <c r="BB20" s="15" t="n">
        <v>0.5</v>
      </c>
      <c r="BC20" s="15" t="n">
        <v>0.25</v>
      </c>
      <c r="BD20" s="15" t="inlineStr">
        <is>
          <t>his_note_adaptive</t>
        </is>
      </c>
      <c r="BE20" s="15" t="n">
        <v>-90</v>
      </c>
      <c r="BF20" s="15" t="n">
        <v>20000</v>
      </c>
      <c r="BG20" s="15" t="n">
        <v>5</v>
      </c>
      <c r="BH20" s="15" t="n">
        <v>0.1785714285714286</v>
      </c>
      <c r="BI20" s="15" t="n">
        <v>28</v>
      </c>
      <c r="BJ20" s="15" t="n">
        <v>5</v>
      </c>
      <c r="BK20" s="15" t="n">
        <v>28</v>
      </c>
      <c r="BL20" s="15" t="n">
        <v>25</v>
      </c>
      <c r="BM20" s="15" t="n">
        <v>0.8928571428571429</v>
      </c>
      <c r="BN20" s="15" t="n">
        <v>0.1099049619888495</v>
      </c>
      <c r="BO20" s="15" t="n">
        <v>0.275</v>
      </c>
      <c r="BP20" s="19" t="n">
        <v>0.7651378644758958</v>
      </c>
      <c r="BQ20" s="19" t="n">
        <v>0.2348621355241043</v>
      </c>
      <c r="BR20" s="19" t="n">
        <v>0</v>
      </c>
      <c r="BS20" s="15" t="n">
        <v>0.0844123526854465</v>
      </c>
      <c r="BT20" s="19" t="n">
        <v>1</v>
      </c>
      <c r="BU20" s="19" t="n">
        <v>0</v>
      </c>
      <c r="BV20" s="19" t="n">
        <v>0</v>
      </c>
      <c r="BW20" t="inlineStr">
        <is>
          <t>F5</t>
        </is>
      </c>
      <c r="BX20" t="n">
        <v>77</v>
      </c>
      <c r="BY20" t="inlineStr">
        <is>
          <t>F</t>
        </is>
      </c>
      <c r="BZ20" t="n">
        <v>5</v>
      </c>
      <c r="CA20" t="inlineStr">
        <is>
          <t>Very high</t>
        </is>
      </c>
      <c r="CB20" t="inlineStr">
        <is>
          <t>pp</t>
        </is>
      </c>
      <c r="CC20" s="15" t="n">
        <v>698.4564628660079</v>
      </c>
      <c r="CD20" s="15" t="n">
        <v>699.2963670262352</v>
      </c>
      <c r="CE20" t="inlineStr">
        <is>
          <t>prior_constrained_harmonic_fit</t>
        </is>
      </c>
      <c r="CF20" t="n">
        <v>699.2963670262352</v>
      </c>
      <c r="CG20" s="15" t="n">
        <v>1</v>
      </c>
      <c r="CH20" t="n">
        <v/>
      </c>
      <c r="CI20" t="inlineStr">
        <is>
          <t>free_fit_acoustically_verified</t>
        </is>
      </c>
      <c r="CJ20" s="15" t="inlineStr">
        <is>
          <t>free_f0_fit</t>
        </is>
      </c>
      <c r="CK20" s="15" t="n">
        <v>698.4564628660079</v>
      </c>
      <c r="CL20" s="15" t="n">
        <v>699.2963670262352</v>
      </c>
      <c r="CM20" s="15" t="n">
        <v>2.080583668373577</v>
      </c>
      <c r="CN20" s="15" t="n">
        <v>20000</v>
      </c>
      <c r="CO20" s="15" t="n">
        <v>2.080583668373577</v>
      </c>
      <c r="CP20" s="15" t="n">
        <v>2.012917522694586</v>
      </c>
      <c r="CQ20" s="15" t="n">
        <v>41409.90673016354</v>
      </c>
      <c r="CR20" t="n">
        <v>1.024812221386599</v>
      </c>
      <c r="CS20" t="n">
        <v>0.03660043647809282</v>
      </c>
      <c r="CT20" t="n">
        <v>92.43282752268645</v>
      </c>
      <c r="CU20" t="n">
        <v>92.43282752268645</v>
      </c>
      <c r="CV20" t="n">
        <v>94.72629130256867</v>
      </c>
      <c r="CW20" t="n">
        <v>90.50929866168858</v>
      </c>
      <c r="CX20" s="15" t="n">
        <v>41409.90673016354</v>
      </c>
      <c r="CY20" s="15" t="n">
        <v>263.3446388676874</v>
      </c>
      <c r="CZ20" s="15" t="n">
        <v>90.50929866168858</v>
      </c>
      <c r="DA20" s="15" t="n">
        <v>2.370007180592821</v>
      </c>
      <c r="DB20" s="15" t="n">
        <v>2.370007180592821</v>
      </c>
      <c r="DC20" s="15" t="n">
        <v>1.497152787309554</v>
      </c>
      <c r="DD20" s="15" t="n">
        <v>0</v>
      </c>
      <c r="DE20" s="15" t="n">
        <v>5.723285483438377e-05</v>
      </c>
      <c r="DF20" s="15" t="n">
        <v>0</v>
      </c>
      <c r="DG20" s="15" t="n">
        <v>4</v>
      </c>
      <c r="DH20" s="15" t="inlineStr">
        <is>
          <t>Density_Metrics</t>
        </is>
      </c>
      <c r="DI20" s="15" t="n">
        <v>2.012917522694586</v>
      </c>
      <c r="DJ20" t="n">
        <v>0.9087176427945906</v>
      </c>
      <c r="DK20" s="15" t="n">
        <v>0.527630826238851</v>
      </c>
      <c r="DL20" s="15" t="n">
        <v>5.178970470208311</v>
      </c>
      <c r="DM20" s="15" t="n">
        <v>1.042384160106946</v>
      </c>
      <c r="DN20" s="15" t="n">
        <v>1.017325208011425</v>
      </c>
      <c r="DO20" s="15" t="n">
        <v>7.945045872492887</v>
      </c>
      <c r="DP20" s="15" t="n">
        <v>1.896068718130665</v>
      </c>
      <c r="DQ20" s="15" t="n">
        <v>5.5625</v>
      </c>
      <c r="DR20" s="15" t="n">
        <v>13</v>
      </c>
      <c r="DS20" s="15" t="b">
        <v>1</v>
      </c>
      <c r="DT20" s="15" t="n">
        <v>1.024812221386599</v>
      </c>
      <c r="DU20" s="15" t="n">
        <v>3.964389268228785</v>
      </c>
      <c r="DV20" t="n">
        <v>28</v>
      </c>
      <c r="DW20" s="15" t="n">
        <v>0.0844123526854465</v>
      </c>
      <c r="DX20" s="15" t="n">
        <v>0.8582924631514854</v>
      </c>
      <c r="DY20" s="15" t="n">
        <v>2.186189309805983</v>
      </c>
      <c r="DZ20" s="15" t="n">
        <v>0.2417157664295149</v>
      </c>
      <c r="EA20" s="15" t="b">
        <v>1</v>
      </c>
      <c r="EB20" s="15" t="n">
        <v>0.2435166867288105</v>
      </c>
      <c r="EC20" s="15" t="n">
        <v>20000</v>
      </c>
      <c r="ED20" s="15" t="n">
        <v>2797.185468104941</v>
      </c>
      <c r="EE20" s="15" t="n">
        <v>4</v>
      </c>
      <c r="EF20" s="15" t="n">
        <v>0</v>
      </c>
      <c r="EG20" s="15" t="n">
        <v>0.03082969987369268</v>
      </c>
      <c r="EH20" s="15" t="b">
        <v>0</v>
      </c>
      <c r="EI20" s="15" t="b">
        <v>1</v>
      </c>
      <c r="EJ20" s="15" t="b">
        <v>0</v>
      </c>
      <c r="EK20" s="15" t="inlineStr">
        <is>
          <t>wf=log|dst=-90.0|ceil=20000.0|fft=adaptive_tier</t>
        </is>
      </c>
      <c r="EL20" s="15" t="inlineStr">
        <is>
          <t>wf=log|dst=runtime_configured|ceil=runtime_configured|fft=fixed</t>
        </is>
      </c>
      <c r="EM20" s="15" t="n">
        <v>0.5722099124790622</v>
      </c>
      <c r="EN20" s="15" t="n">
        <v>0.9994581794133937</v>
      </c>
      <c r="EO20" s="15" t="n">
        <v>0.1379310344827586</v>
      </c>
      <c r="EP20" s="15" t="n">
        <v>0.3708893483703474</v>
      </c>
      <c r="EQ20" s="15" t="inlineStr">
        <is>
          <t>warn:power_outlier_detected</t>
        </is>
      </c>
      <c r="ER20" s="15" t="n">
        <v>486.8461676990221</v>
      </c>
      <c r="ES20" s="15" t="inlineStr">
        <is>
          <t>winsorize_p95_for_robust_diagnostics</t>
        </is>
      </c>
      <c r="ET20" s="15" t="n">
        <v>0.1699421229598504</v>
      </c>
      <c r="EU20" s="15" t="n">
        <v>0.01107118698359868</v>
      </c>
      <c r="EV20" s="15" t="n">
        <v>0.01442381753086125</v>
      </c>
      <c r="EW20" t="inlineStr">
        <is>
          <t>computed</t>
        </is>
      </c>
      <c r="EX20" s="15" t="inlineStr">
        <is>
          <t>computed</t>
        </is>
      </c>
      <c r="EY20" s="15" t="inlineStr">
        <is>
          <t>computed</t>
        </is>
      </c>
      <c r="EZ20" s="15" t="inlineStr">
        <is>
          <t>available_from_curve</t>
        </is>
      </c>
      <c r="FA20" s="15" t="n">
        <v>20000</v>
      </c>
      <c r="FB20" s="15" t="n">
        <v>20000</v>
      </c>
      <c r="FC20" s="15" t="n">
        <v>0.2348621355241043</v>
      </c>
      <c r="FD20" s="15" t="n">
        <v>0.05609760253756187</v>
      </c>
      <c r="FE20" s="15" t="n">
        <v>2.370007180592821</v>
      </c>
      <c r="FF20" s="15" t="n">
        <v>1.497152787309554</v>
      </c>
      <c r="FG20" s="15" t="n">
        <v>1.311810502305936</v>
      </c>
      <c r="FH20" s="15" t="n">
        <v>1.429632032936524</v>
      </c>
      <c r="FI20" s="15" t="n">
        <v>0.5071489752600655</v>
      </c>
      <c r="FJ20" s="15" t="n">
        <v>0.0761365144979964</v>
      </c>
      <c r="FK20" s="15" t="n">
        <v>2588.119170635221</v>
      </c>
      <c r="FL20" s="15" t="n">
        <v>16.45903992923046</v>
      </c>
      <c r="FM20" s="15" t="n">
        <v>5.656831166355536</v>
      </c>
      <c r="FN20" s="15" t="n">
        <v>0.004798541266801267</v>
      </c>
      <c r="FO20" t="n">
        <v>1</v>
      </c>
      <c r="FP20" t="n">
        <v>0</v>
      </c>
      <c r="FQ20" t="n">
        <v>0</v>
      </c>
      <c r="FR20" t="inlineStr">
        <is>
          <t>excellent</t>
        </is>
      </c>
      <c r="FS20" s="19" t="n">
        <v>0.8928571428571429</v>
      </c>
      <c r="FT20" s="15" t="n">
        <v>8.650761363373965</v>
      </c>
      <c r="FU20" s="15" t="n">
        <v>17.63165831336629</v>
      </c>
      <c r="FV20" t="inlineStr">
        <is>
          <t>passed</t>
        </is>
      </c>
      <c r="FW20" t="n">
        <v>58.35668937365201</v>
      </c>
      <c r="FX20" t="n">
        <v>7.604034343400342</v>
      </c>
      <c r="FY20" t="n">
        <v>4.875668452743162</v>
      </c>
      <c r="FZ20" t="n">
        <v>0.8620721252555231</v>
      </c>
      <c r="GA20" t="n">
        <v>0.2430355723266366</v>
      </c>
      <c r="GB20" t="n">
        <v>0.750146662659482</v>
      </c>
      <c r="GC20" t="n">
        <v>0.01018950287582999</v>
      </c>
      <c r="GD20" t="n">
        <v>0.02589173488733597</v>
      </c>
      <c r="GE20" t="n">
        <v>0.08161536559748971</v>
      </c>
      <c r="GF20" t="n">
        <v>0.9144664064608913</v>
      </c>
      <c r="GG20" t="n">
        <v>0.1690423242209662</v>
      </c>
      <c r="GH20" t="n">
        <v>0.1699808869282031</v>
      </c>
      <c r="GI20" t="n">
        <v>0.07211564686105915</v>
      </c>
      <c r="GJ20" t="n">
        <v>0.03361344537815131</v>
      </c>
      <c r="GK20" t="n">
        <v>0.4642857142857144</v>
      </c>
      <c r="GL20" t="n">
        <v>0.3255813953488373</v>
      </c>
      <c r="GM20" t="n">
        <v>0.07050831084750438</v>
      </c>
      <c r="GN20" t="n">
        <v>0.07050831084750438</v>
      </c>
      <c r="GO20" t="n">
        <v>0.1390620046605995</v>
      </c>
      <c r="GP20" t="n">
        <v>0.1858349706304065</v>
      </c>
      <c r="GQ20" t="n">
        <v>94.72629130256867</v>
      </c>
      <c r="GR20" t="inlineStr">
        <is>
          <t>compiled workbook density_weighted_sum = density_component_ratio_weighted_sum (per-note component ratios); research density_weighted_sum maps body-ceiling richness</t>
        </is>
      </c>
      <c r="GS20" s="15" t="inlineStr">
        <is>
          <t>individual_exact</t>
        </is>
      </c>
      <c r="GT20" s="15" t="inlineStr">
        <is>
          <t>density_weight</t>
        </is>
      </c>
      <c r="GU20" s="15" t="n">
        <v>0.5765446583486395</v>
      </c>
      <c r="GV20" s="15" t="n">
        <v>0.4234553416513603</v>
      </c>
      <c r="GW20" s="15" t="n">
        <v>0</v>
      </c>
      <c r="GX20" s="15" t="inlineStr">
        <is>
          <t>log</t>
        </is>
      </c>
      <c r="GY20" s="15" t="n">
        <v>0.5</v>
      </c>
      <c r="GZ20" s="15" t="inlineStr">
        <is>
          <t>EWSD-R v18.1</t>
        </is>
      </c>
      <c r="HA20" s="15" t="n">
        <v>2.455557773287813</v>
      </c>
      <c r="HB20" s="15" t="n">
        <v>11.26480368700122</v>
      </c>
      <c r="HC20" s="15" t="n">
        <v>0.551491646329144</v>
      </c>
      <c r="HD20" s="15" t="n">
        <v>2.988168687946112</v>
      </c>
      <c r="HE20" s="15" t="n">
        <v>12.0561725591232</v>
      </c>
      <c r="HF20" s="15" t="n">
        <v>0.4994114362197314</v>
      </c>
      <c r="HG20" s="15" t="inlineStr">
        <is>
          <t>partials+ratios</t>
        </is>
      </c>
      <c r="HH20" s="15" t="inlineStr">
        <is>
          <t>merged_individual_exact</t>
        </is>
      </c>
      <c r="HI20" s="15" t="inlineStr">
        <is>
          <t>passed</t>
        </is>
      </c>
      <c r="HJ20" s="15" t="inlineStr">
        <is>
          <t>passed</t>
        </is>
      </c>
    </row>
    <row r="21">
      <c r="A21" t="inlineStr">
        <is>
          <t>incomplete_inference</t>
        </is>
      </c>
      <c r="B21" t="inlineStr">
        <is>
          <t>missing_instrument_technique</t>
        </is>
      </c>
      <c r="C21" t="inlineStr">
        <is>
          <t>prior_constrained_harmonic_fit</t>
        </is>
      </c>
      <c r="D21" t="inlineStr">
        <is>
          <t>IOWA_flt_pp.F#5_SustainStable/F#5/component_amplitude_mass_pie.png</t>
        </is>
      </c>
      <c r="E21" t="inlineStr">
        <is>
          <t>IOWA_flt_pp.F#5_SustainStable/F#5/component_energy_ratio_pie.png</t>
        </is>
      </c>
      <c r="F21" s="15" t="n">
        <v>740.1348320063811</v>
      </c>
      <c r="G21" s="15" t="inlineStr">
        <is>
          <t>prior_constrained_harmonic_fit</t>
        </is>
      </c>
      <c r="H21" s="15" t="inlineStr">
        <is>
          <t>fit_accepted_acoustically_verified</t>
        </is>
      </c>
      <c r="I21" s="16" t="n">
        <v>95.80981879439895</v>
      </c>
      <c r="J21" t="inlineStr">
        <is>
          <t>richness_weighted_body_density_body_ceiling</t>
        </is>
      </c>
      <c r="K21" t="inlineStr">
        <is>
          <t>research_body_ceiling_richness_metric</t>
        </is>
      </c>
      <c r="L21" s="15" t="n">
        <v>38991.74088579877</v>
      </c>
      <c r="M21" s="15" t="n">
        <v>38991.74088579877</v>
      </c>
      <c r="N21" s="15" t="n">
        <v>230.2117047340521</v>
      </c>
      <c r="O21" s="15" t="n">
        <v>101.7268017511306</v>
      </c>
      <c r="P21" s="15" t="n">
        <v>-11.57891261597906</v>
      </c>
      <c r="Q21" s="15" t="n">
        <v>5</v>
      </c>
      <c r="R21" s="15" t="n">
        <v>12</v>
      </c>
      <c r="S21" s="15" t="n">
        <v>2436.98585619913</v>
      </c>
      <c r="T21" s="15" t="n">
        <v>28</v>
      </c>
      <c r="U21" s="15" t="n">
        <v>-0.1476782970540816</v>
      </c>
      <c r="V21" s="15" t="n">
        <v>10.79463055520198</v>
      </c>
      <c r="W21" s="15" t="n">
        <v>0.9616629277665419</v>
      </c>
      <c r="X21" s="15" t="n">
        <v>0.1657865760869426</v>
      </c>
      <c r="Y21" s="15" t="n">
        <v>5</v>
      </c>
      <c r="Z21" s="15" t="n">
        <v>27</v>
      </c>
      <c r="AA21" s="15" t="n">
        <v>0.1851851851851852</v>
      </c>
      <c r="AB21" s="15" t="n">
        <v>27</v>
      </c>
      <c r="AC21" s="15" t="n">
        <v>5</v>
      </c>
      <c r="AD21" s="15" t="n">
        <v>0.1851851851851852</v>
      </c>
      <c r="AE21" s="15" t="n">
        <v>164.6658715962578</v>
      </c>
      <c r="AF21" s="15" t="n">
        <v>5</v>
      </c>
      <c r="AG21" s="15" t="n">
        <v>27</v>
      </c>
      <c r="AH21" s="15" t="n">
        <v>0.1851851851851852</v>
      </c>
      <c r="AI21" s="15" t="n">
        <v>164.6658715962578</v>
      </c>
      <c r="AJ21" s="15" t="n">
        <v>2</v>
      </c>
      <c r="AK21" s="15" t="n">
        <v>3</v>
      </c>
      <c r="AL21" s="15" t="n">
        <v>34.34649666717858</v>
      </c>
      <c r="AM21" s="15" t="n">
        <v>37</v>
      </c>
      <c r="AN21" s="15" t="n">
        <v>0</v>
      </c>
      <c r="AO21" s="15" t="n">
        <v>37</v>
      </c>
      <c r="AP21" s="15" t="n">
        <v>0</v>
      </c>
      <c r="AQ21" s="15" t="n">
        <v>19.87089361997641</v>
      </c>
      <c r="AR21" s="15" t="n">
        <v>9.647673317587865</v>
      </c>
      <c r="AS21" s="15" t="n">
        <v>0.1835439744873943</v>
      </c>
      <c r="AT21" s="17" t="n">
        <v>2.375338402798072</v>
      </c>
      <c r="AU21" s="18" t="n">
        <v>3.987740900775346</v>
      </c>
      <c r="AV21" s="15" t="n">
        <v>4.869183438420118</v>
      </c>
      <c r="AW21" s="15" t="b">
        <v>1</v>
      </c>
      <c r="AX21" s="15" t="n">
        <v>3.336559565365961</v>
      </c>
      <c r="AY21" s="15" t="n">
        <v>16.91715836675939</v>
      </c>
      <c r="AZ21" s="15" t="n">
        <v>0</v>
      </c>
      <c r="BA21" s="15" t="n">
        <v>1</v>
      </c>
      <c r="BB21" s="15" t="n">
        <v>0.5</v>
      </c>
      <c r="BC21" s="15" t="n">
        <v>0.25</v>
      </c>
      <c r="BD21" s="15" t="inlineStr">
        <is>
          <t>his_note_adaptive</t>
        </is>
      </c>
      <c r="BE21" s="15" t="n">
        <v>-90</v>
      </c>
      <c r="BF21" s="15" t="n">
        <v>20000</v>
      </c>
      <c r="BG21" s="15" t="n">
        <v>5</v>
      </c>
      <c r="BH21" s="15" t="n">
        <v>0.1851851851851852</v>
      </c>
      <c r="BI21" s="15" t="n">
        <v>27</v>
      </c>
      <c r="BJ21" s="15" t="n">
        <v>5</v>
      </c>
      <c r="BK21" s="15" t="n">
        <v>27</v>
      </c>
      <c r="BL21" s="15" t="n">
        <v>24</v>
      </c>
      <c r="BM21" s="15" t="n">
        <v>0.8888888888888888</v>
      </c>
      <c r="BN21" s="15" t="n">
        <v>0.1197688832922798</v>
      </c>
      <c r="BO21" s="15" t="n">
        <v>0.3083333333333333</v>
      </c>
      <c r="BP21" s="19" t="n">
        <v>0.7558842136914404</v>
      </c>
      <c r="BQ21" s="19" t="n">
        <v>0.2441157863085597</v>
      </c>
      <c r="BR21" s="19" t="n">
        <v>0</v>
      </c>
      <c r="BS21" s="15" t="n">
        <v>0.09957746536896386</v>
      </c>
      <c r="BT21" s="19" t="n">
        <v>1</v>
      </c>
      <c r="BU21" s="19" t="n">
        <v>0</v>
      </c>
      <c r="BV21" s="19" t="n">
        <v>0</v>
      </c>
      <c r="BW21" t="inlineStr">
        <is>
          <t>F#5</t>
        </is>
      </c>
      <c r="BX21" t="n">
        <v>78</v>
      </c>
      <c r="BY21" t="inlineStr">
        <is>
          <t>F#</t>
        </is>
      </c>
      <c r="BZ21" t="n">
        <v>5</v>
      </c>
      <c r="CA21" t="inlineStr">
        <is>
          <t>Very high</t>
        </is>
      </c>
      <c r="CB21" t="inlineStr">
        <is>
          <t>pp</t>
        </is>
      </c>
      <c r="CC21" s="15" t="n">
        <v>739.9888454232688</v>
      </c>
      <c r="CD21" s="15" t="n">
        <v>740.1348320063811</v>
      </c>
      <c r="CE21" t="inlineStr">
        <is>
          <t>prior_constrained_harmonic_fit</t>
        </is>
      </c>
      <c r="CF21" t="n">
        <v>740.1348320063811</v>
      </c>
      <c r="CG21" s="15" t="n">
        <v>1</v>
      </c>
      <c r="CH21" t="n">
        <v/>
      </c>
      <c r="CI21" t="inlineStr">
        <is>
          <t>free_fit_acoustically_verified</t>
        </is>
      </c>
      <c r="CJ21" s="15" t="inlineStr">
        <is>
          <t>free_f0_fit</t>
        </is>
      </c>
      <c r="CK21" s="15" t="n">
        <v>739.9888454232688</v>
      </c>
      <c r="CL21" s="15" t="n">
        <v>740.1348320063811</v>
      </c>
      <c r="CM21" s="15" t="n">
        <v>0.3415078727061915</v>
      </c>
      <c r="CN21" s="15" t="n">
        <v>20000</v>
      </c>
      <c r="CO21" s="15" t="n">
        <v>0.3415078727061915</v>
      </c>
      <c r="CP21" s="15" t="n">
        <v>2.020036837993785</v>
      </c>
      <c r="CQ21" s="15" t="n">
        <v>38991.74088579877</v>
      </c>
      <c r="CR21" t="n">
        <v>1.061502789537027</v>
      </c>
      <c r="CS21" t="n">
        <v>0.039314918131001</v>
      </c>
      <c r="CT21" t="n">
        <v>90.25865945786754</v>
      </c>
      <c r="CU21" t="n">
        <v>90.25865945786754</v>
      </c>
      <c r="CV21" t="n">
        <v>95.80981879439895</v>
      </c>
      <c r="CW21" t="n">
        <v>101.7268017511306</v>
      </c>
      <c r="CX21" s="15" t="n">
        <v>38991.74088579877</v>
      </c>
      <c r="CY21" s="15" t="n">
        <v>230.2117047340521</v>
      </c>
      <c r="CZ21" s="15" t="n">
        <v>101.7268017511306</v>
      </c>
      <c r="DA21" s="15" t="n">
        <v>2.375338402798072</v>
      </c>
      <c r="DB21" s="15" t="n">
        <v>2.375338402798072</v>
      </c>
      <c r="DC21" s="15" t="n">
        <v>1.505145514680024</v>
      </c>
      <c r="DD21" s="15" t="n">
        <v>0</v>
      </c>
      <c r="DE21" s="15" t="n">
        <v>6.091901384334438e-05</v>
      </c>
      <c r="DF21" s="15" t="n">
        <v>0</v>
      </c>
      <c r="DG21" s="15" t="n">
        <v>5</v>
      </c>
      <c r="DH21" s="15" t="inlineStr">
        <is>
          <t>Density_Metrics</t>
        </is>
      </c>
      <c r="DI21" s="15" t="n">
        <v>2.020036837993785</v>
      </c>
      <c r="DJ21" t="n">
        <v>0.9119316082671249</v>
      </c>
      <c r="DK21" s="15" t="n">
        <v>0.5283173206041921</v>
      </c>
      <c r="DL21" s="15" t="n">
        <v>5.2129002798104</v>
      </c>
      <c r="DM21" s="15" t="n">
        <v>1.079636231432818</v>
      </c>
      <c r="DN21" s="15" t="n">
        <v>1.016908609131157</v>
      </c>
      <c r="DO21" s="15" t="n">
        <v>8.566777928588902</v>
      </c>
      <c r="DP21" s="15" t="n">
        <v>1.839816563717251</v>
      </c>
      <c r="DQ21" s="15" t="n">
        <v>11.3125</v>
      </c>
      <c r="DR21" s="15" t="n">
        <v>15</v>
      </c>
      <c r="DS21" s="15" t="b">
        <v>0</v>
      </c>
      <c r="DT21" s="15" t="n">
        <v>1.061502789537027</v>
      </c>
      <c r="DU21" s="15" t="n">
        <v>4.476237554347449</v>
      </c>
      <c r="DV21" t="n">
        <v>27</v>
      </c>
      <c r="DW21" s="15" t="n">
        <v>0.09957746536896386</v>
      </c>
      <c r="DX21" s="15" t="n">
        <v>0.8249614519954388</v>
      </c>
      <c r="DY21" s="15" t="n">
        <v>2.186932843584982</v>
      </c>
      <c r="DZ21" s="15" t="n">
        <v>0.2283333565807767</v>
      </c>
      <c r="EA21" s="15" t="b">
        <v>1</v>
      </c>
      <c r="EB21" s="15" t="n">
        <v>0.2599323134545515</v>
      </c>
      <c r="EC21" s="15" t="n">
        <v>20000</v>
      </c>
      <c r="ED21" s="15" t="n">
        <v>4440.808992038286</v>
      </c>
      <c r="EE21" s="15" t="n">
        <v>6</v>
      </c>
      <c r="EF21" s="15" t="n">
        <v>0</v>
      </c>
      <c r="EG21" s="15" t="n">
        <v>0.02909936177846458</v>
      </c>
      <c r="EH21" s="15" t="b">
        <v>0</v>
      </c>
      <c r="EI21" s="15" t="b">
        <v>1</v>
      </c>
      <c r="EJ21" s="15" t="b">
        <v>0</v>
      </c>
      <c r="EK21" s="15" t="inlineStr">
        <is>
          <t>wf=log|dst=-90.0|ceil=20000.0|fft=adaptive_tier</t>
        </is>
      </c>
      <c r="EL21" s="15" t="inlineStr">
        <is>
          <t>wf=log|dst=runtime_configured|ceil=runtime_configured|fft=fixed</t>
        </is>
      </c>
      <c r="EM21" s="15" t="n">
        <v>0.5858172879955816</v>
      </c>
      <c r="EN21" s="15" t="n">
        <v>0.9970652388511911</v>
      </c>
      <c r="EO21" s="15" t="n">
        <v>0.1785714285714286</v>
      </c>
      <c r="EP21" s="15" t="n">
        <v>0.373189652562728</v>
      </c>
      <c r="EQ21" s="15" t="inlineStr">
        <is>
          <t>warn:power_outlier_detected</t>
        </is>
      </c>
      <c r="ER21" s="15" t="n">
        <v>468.1924317425769</v>
      </c>
      <c r="ES21" s="15" t="inlineStr">
        <is>
          <t>winsorize_p95_for_robust_diagnostics</t>
        </is>
      </c>
      <c r="ET21" s="15" t="n">
        <v>0.1777402883168356</v>
      </c>
      <c r="EU21" s="15" t="n">
        <v>0.01485304494494499</v>
      </c>
      <c r="EV21" s="15" t="n">
        <v>0.01803352599095853</v>
      </c>
      <c r="EW21" t="inlineStr">
        <is>
          <t>computed</t>
        </is>
      </c>
      <c r="EX21" s="15" t="inlineStr">
        <is>
          <t>computed</t>
        </is>
      </c>
      <c r="EY21" s="15" t="inlineStr">
        <is>
          <t>computed</t>
        </is>
      </c>
      <c r="EZ21" s="15" t="inlineStr">
        <is>
          <t>available_from_curve</t>
        </is>
      </c>
      <c r="FA21" s="15" t="n">
        <v>20000</v>
      </c>
      <c r="FB21" s="15" t="n">
        <v>20000</v>
      </c>
      <c r="FC21" s="15" t="n">
        <v>0.2441157863085597</v>
      </c>
      <c r="FD21" s="15" t="n">
        <v>0.0876278229897464</v>
      </c>
      <c r="FE21" s="15" t="n">
        <v>2.375338402798072</v>
      </c>
      <c r="FF21" s="15" t="n">
        <v>1.505145514680024</v>
      </c>
      <c r="FG21" s="15" t="n">
        <v>1.332416362332304</v>
      </c>
      <c r="FH21" s="15" t="n">
        <v>1.432847924475478</v>
      </c>
      <c r="FI21" s="15" t="n">
        <v>0.5098564500948491</v>
      </c>
      <c r="FJ21" s="15" t="n">
        <v>0.07733246342345741</v>
      </c>
      <c r="FK21" s="15" t="n">
        <v>2436.983805362423</v>
      </c>
      <c r="FL21" s="15" t="n">
        <v>14.38823154587825</v>
      </c>
      <c r="FM21" s="15" t="n">
        <v>6.357925109445662</v>
      </c>
      <c r="FN21" s="15" t="n">
        <v>0.004514845439148724</v>
      </c>
      <c r="FO21" t="n">
        <v>1</v>
      </c>
      <c r="FP21" t="n">
        <v>0</v>
      </c>
      <c r="FQ21" t="n">
        <v>0</v>
      </c>
      <c r="FR21" t="inlineStr">
        <is>
          <t>excellent</t>
        </is>
      </c>
      <c r="FS21" s="19" t="n">
        <v>0.8888888888888888</v>
      </c>
      <c r="FT21" s="15" t="n">
        <v>5.979814698271601</v>
      </c>
      <c r="FU21" s="15" t="n">
        <v>17.23803524331503</v>
      </c>
      <c r="FV21" t="inlineStr">
        <is>
          <t>passed</t>
        </is>
      </c>
      <c r="FW21" t="n">
        <v>59.08055507679277</v>
      </c>
      <c r="FX21" t="n">
        <v>7.749917777137322</v>
      </c>
      <c r="FY21" t="n">
        <v>5.124726518540924</v>
      </c>
      <c r="FZ21" t="n">
        <v>0.8669284352884823</v>
      </c>
      <c r="GA21" t="n">
        <v>0.245816051379486</v>
      </c>
      <c r="GB21" t="n">
        <v>0.760833689512955</v>
      </c>
      <c r="GC21" t="n">
        <v>0.02403262229651728</v>
      </c>
      <c r="GD21" t="n">
        <v>0.06417861168949489</v>
      </c>
      <c r="GE21" t="n">
        <v>0.1375654235959178</v>
      </c>
      <c r="GF21" t="n">
        <v>0.9396332288760958</v>
      </c>
      <c r="GG21" t="n">
        <v>0.2247197863532365</v>
      </c>
      <c r="GH21" t="n">
        <v>0.2459970245045514</v>
      </c>
      <c r="GI21" t="n">
        <v>0.1703407425119338</v>
      </c>
      <c r="GJ21" t="n">
        <v>0.0413943355119826</v>
      </c>
      <c r="GK21" t="n">
        <v>0.4444444444444441</v>
      </c>
      <c r="GL21" t="n">
        <v>0.4186046511627906</v>
      </c>
      <c r="GM21" t="n">
        <v>0.1029594839635179</v>
      </c>
      <c r="GN21" t="n">
        <v>0.1029594839635179</v>
      </c>
      <c r="GO21" t="n">
        <v>0.2172231998834352</v>
      </c>
      <c r="GP21" t="n">
        <v>0.2556669581011688</v>
      </c>
      <c r="GQ21" t="n">
        <v>95.80981879439895</v>
      </c>
      <c r="GR21" t="inlineStr">
        <is>
          <t>compiled workbook density_weighted_sum = density_component_ratio_weighted_sum (per-note component ratios); research density_weighted_sum maps body-ceiling richness</t>
        </is>
      </c>
      <c r="GS21" s="15" t="inlineStr">
        <is>
          <t>individual_exact</t>
        </is>
      </c>
      <c r="GT21" s="15" t="inlineStr">
        <is>
          <t>density_weight</t>
        </is>
      </c>
      <c r="GU21" s="15" t="n">
        <v>0.5352845743757372</v>
      </c>
      <c r="GV21" s="15" t="n">
        <v>0.4647154256242629</v>
      </c>
      <c r="GW21" s="15" t="n">
        <v>0</v>
      </c>
      <c r="GX21" s="15" t="inlineStr">
        <is>
          <t>log</t>
        </is>
      </c>
      <c r="GY21" s="15" t="n">
        <v>0.5</v>
      </c>
      <c r="GZ21" s="15" t="inlineStr">
        <is>
          <t>EWSD-R v18.1</t>
        </is>
      </c>
      <c r="HA21" s="15" t="n">
        <v>1.122901910287734</v>
      </c>
      <c r="HB21" s="15" t="n">
        <v>11.37910746958098</v>
      </c>
      <c r="HC21" s="15" t="n">
        <v>0.7057428204449655</v>
      </c>
      <c r="HD21" s="15" t="n">
        <v>2.10421484846752</v>
      </c>
      <c r="HE21" s="15" t="n">
        <v>12.36479011959808</v>
      </c>
      <c r="HF21" s="15" t="n">
        <v>0.6063300880999841</v>
      </c>
      <c r="HG21" s="15" t="inlineStr">
        <is>
          <t>partials+ratios</t>
        </is>
      </c>
      <c r="HH21" s="15" t="inlineStr">
        <is>
          <t>merged_individual_exact</t>
        </is>
      </c>
      <c r="HI21" s="15" t="inlineStr">
        <is>
          <t>passed</t>
        </is>
      </c>
      <c r="HJ21" s="15" t="inlineStr">
        <is>
          <t>passed</t>
        </is>
      </c>
    </row>
    <row r="22">
      <c r="A22" t="inlineStr">
        <is>
          <t>incomplete_inference</t>
        </is>
      </c>
      <c r="B22" t="inlineStr">
        <is>
          <t>missing_instrument_technique</t>
        </is>
      </c>
      <c r="C22" t="inlineStr">
        <is>
          <t>prior_constrained_harmonic_fit</t>
        </is>
      </c>
      <c r="D22" t="inlineStr">
        <is>
          <t>IOWA_flt_pp.G5_SustainStable/G5/component_amplitude_mass_pie.png</t>
        </is>
      </c>
      <c r="E22" t="inlineStr">
        <is>
          <t>IOWA_flt_pp.G5_SustainStable/G5/component_energy_ratio_pie.png</t>
        </is>
      </c>
      <c r="F22" s="15" t="n">
        <v>784.1211132206306</v>
      </c>
      <c r="G22" s="15" t="inlineStr">
        <is>
          <t>prior_constrained_harmonic_fit</t>
        </is>
      </c>
      <c r="H22" s="15" t="inlineStr">
        <is>
          <t>fit_accepted_acoustically_verified</t>
        </is>
      </c>
      <c r="I22" s="16" t="n">
        <v>112.3069831219306</v>
      </c>
      <c r="J22" t="inlineStr">
        <is>
          <t>richness_weighted_body_density_body_ceiling</t>
        </is>
      </c>
      <c r="K22" t="inlineStr">
        <is>
          <t>research_body_ceiling_richness_metric</t>
        </is>
      </c>
      <c r="L22" s="15" t="n">
        <v>41416.17321743431</v>
      </c>
      <c r="M22" s="15" t="n">
        <v>41416.17321743431</v>
      </c>
      <c r="N22" s="15" t="n">
        <v>198.0864135399148</v>
      </c>
      <c r="O22" s="15" t="n">
        <v>83.92855383653982</v>
      </c>
      <c r="P22" s="15" t="n">
        <v>-11.8709501746566</v>
      </c>
      <c r="Q22" s="15" t="n">
        <v>6</v>
      </c>
      <c r="R22" s="15" t="n">
        <v>14</v>
      </c>
      <c r="S22" s="15" t="n">
        <v>2588.512749120972</v>
      </c>
      <c r="T22" s="15" t="n">
        <v>26</v>
      </c>
      <c r="U22" s="15" t="n">
        <v>-0.2361585080710901</v>
      </c>
      <c r="V22" s="15" t="n">
        <v>11.09000424837235</v>
      </c>
      <c r="W22" s="15" t="n">
        <v>0.9211356355416374</v>
      </c>
      <c r="X22" s="15" t="n">
        <v>0.1932233019575639</v>
      </c>
      <c r="Y22" s="15" t="n">
        <v>6</v>
      </c>
      <c r="Z22" s="15" t="n">
        <v>25</v>
      </c>
      <c r="AA22" s="15" t="n">
        <v>0.24</v>
      </c>
      <c r="AB22" s="15" t="n">
        <v>25</v>
      </c>
      <c r="AC22" s="15" t="n">
        <v>6</v>
      </c>
      <c r="AD22" s="15" t="n">
        <v>0.24</v>
      </c>
      <c r="AE22" s="15" t="n">
        <v>177.8234938192606</v>
      </c>
      <c r="AF22" s="15" t="n">
        <v>6</v>
      </c>
      <c r="AG22" s="15" t="n">
        <v>25</v>
      </c>
      <c r="AH22" s="15" t="n">
        <v>0.24</v>
      </c>
      <c r="AI22" s="15" t="n">
        <v>177.8234938192606</v>
      </c>
      <c r="AJ22" s="15" t="n">
        <v>3</v>
      </c>
      <c r="AK22" s="15" t="n">
        <v>3</v>
      </c>
      <c r="AL22" s="15" t="n">
        <v>28.88178475273322</v>
      </c>
      <c r="AM22" s="15" t="n">
        <v>35</v>
      </c>
      <c r="AN22" s="15" t="n">
        <v>0</v>
      </c>
      <c r="AO22" s="15" t="n">
        <v>35</v>
      </c>
      <c r="AP22" s="15" t="n">
        <v>0</v>
      </c>
      <c r="AQ22" s="15" t="n">
        <v>16.73744211569963</v>
      </c>
      <c r="AR22" s="15" t="n">
        <v>8.240320998862607</v>
      </c>
      <c r="AS22" s="15" t="n">
        <v>0.1298726410656837</v>
      </c>
      <c r="AT22" s="17" t="n">
        <v>2.408592678823542</v>
      </c>
      <c r="AU22" s="18" t="n">
        <v>4.356011104414806</v>
      </c>
      <c r="AV22" s="15" t="n">
        <v>5.499256230739802</v>
      </c>
      <c r="AW22" s="15" t="b">
        <v>1</v>
      </c>
      <c r="AX22" s="15" t="n">
        <v>3.870727709630668</v>
      </c>
      <c r="AY22" s="15" t="n">
        <v>15.67225399701774</v>
      </c>
      <c r="AZ22" s="15" t="n">
        <v>0</v>
      </c>
      <c r="BA22" s="15" t="n">
        <v>1</v>
      </c>
      <c r="BB22" s="15" t="n">
        <v>0.5</v>
      </c>
      <c r="BC22" s="15" t="n">
        <v>0.25</v>
      </c>
      <c r="BD22" s="15" t="inlineStr">
        <is>
          <t>his_note_adaptive</t>
        </is>
      </c>
      <c r="BE22" s="15" t="n">
        <v>-90</v>
      </c>
      <c r="BF22" s="15" t="n">
        <v>20000</v>
      </c>
      <c r="BG22" s="15" t="n">
        <v>6</v>
      </c>
      <c r="BH22" s="15" t="n">
        <v>0.24</v>
      </c>
      <c r="BI22" s="15" t="n">
        <v>25</v>
      </c>
      <c r="BJ22" s="15" t="n">
        <v>6</v>
      </c>
      <c r="BK22" s="15" t="n">
        <v>25</v>
      </c>
      <c r="BL22" s="15" t="n">
        <v>22</v>
      </c>
      <c r="BM22" s="15" t="n">
        <v>0.88</v>
      </c>
      <c r="BN22" s="15" t="n">
        <v>0.1338744216492602</v>
      </c>
      <c r="BO22" s="15" t="n">
        <v>0.2916666666666667</v>
      </c>
      <c r="BP22" s="19" t="n">
        <v>0.7660735569203622</v>
      </c>
      <c r="BQ22" s="19" t="n">
        <v>0.2339264430796378</v>
      </c>
      <c r="BR22" s="19" t="n">
        <v>0</v>
      </c>
      <c r="BS22" s="15" t="n">
        <v>0.08906265629701202</v>
      </c>
      <c r="BT22" s="19" t="n">
        <v>1</v>
      </c>
      <c r="BU22" s="19" t="n">
        <v>0</v>
      </c>
      <c r="BV22" s="19" t="n">
        <v>0</v>
      </c>
      <c r="BW22" t="inlineStr">
        <is>
          <t>G5</t>
        </is>
      </c>
      <c r="BX22" t="n">
        <v>79</v>
      </c>
      <c r="BY22" t="inlineStr">
        <is>
          <t>G</t>
        </is>
      </c>
      <c r="BZ22" t="n">
        <v>5</v>
      </c>
      <c r="CA22" t="inlineStr">
        <is>
          <t>Very high</t>
        </is>
      </c>
      <c r="CB22" t="inlineStr">
        <is>
          <t>pp</t>
        </is>
      </c>
      <c r="CC22" s="15" t="n">
        <v>783.9908719634984</v>
      </c>
      <c r="CD22" s="15" t="n">
        <v>784.1211132206306</v>
      </c>
      <c r="CE22" t="inlineStr">
        <is>
          <t>prior_constrained_harmonic_fit</t>
        </is>
      </c>
      <c r="CF22" t="n">
        <v>784.1211132206306</v>
      </c>
      <c r="CG22" s="15" t="n">
        <v>1</v>
      </c>
      <c r="CH22" t="n">
        <v/>
      </c>
      <c r="CI22" t="inlineStr">
        <is>
          <t>free_fit_acoustically_verified</t>
        </is>
      </c>
      <c r="CJ22" s="15" t="inlineStr">
        <is>
          <t>free_f0_fit</t>
        </is>
      </c>
      <c r="CK22" s="15" t="n">
        <v>783.9908719634984</v>
      </c>
      <c r="CL22" s="15" t="n">
        <v>784.1211132206306</v>
      </c>
      <c r="CM22" s="15" t="n">
        <v>0.2875790780115368</v>
      </c>
      <c r="CN22" s="15" t="n">
        <v>20000</v>
      </c>
      <c r="CO22" s="15" t="n">
        <v>0.2875790780115368</v>
      </c>
      <c r="CP22" s="15" t="n">
        <v>2.046837962861864</v>
      </c>
      <c r="CQ22" s="15" t="n">
        <v>41416.17321743431</v>
      </c>
      <c r="CR22" t="n">
        <v>1.084667890800249</v>
      </c>
      <c r="CS22" t="n">
        <v>0.04338671563200996</v>
      </c>
      <c r="CT22" t="n">
        <v>103.5404330435858</v>
      </c>
      <c r="CU22" t="n">
        <v>103.5404330435858</v>
      </c>
      <c r="CV22" t="n">
        <v>112.3069831219306</v>
      </c>
      <c r="CW22" t="n">
        <v>83.92855383653982</v>
      </c>
      <c r="CX22" s="15" t="n">
        <v>41416.17321743431</v>
      </c>
      <c r="CY22" s="15" t="n">
        <v>198.0864135399148</v>
      </c>
      <c r="CZ22" s="15" t="n">
        <v>83.92855383653982</v>
      </c>
      <c r="DA22" s="15" t="n">
        <v>2.408592678823542</v>
      </c>
      <c r="DB22" s="15" t="n">
        <v>2.408592678823542</v>
      </c>
      <c r="DC22" s="15" t="n">
        <v>1.533304471608818</v>
      </c>
      <c r="DD22" s="15" t="n">
        <v>0</v>
      </c>
      <c r="DE22" s="15" t="n">
        <v>5.815584810741604e-05</v>
      </c>
      <c r="DF22" s="15" t="n">
        <v>0</v>
      </c>
      <c r="DG22" s="15" t="n">
        <v>6</v>
      </c>
      <c r="DH22" s="15" t="inlineStr">
        <is>
          <t>Density_Metrics</t>
        </is>
      </c>
      <c r="DI22" s="15" t="n">
        <v>2.046837962861864</v>
      </c>
      <c r="DJ22" t="n">
        <v>0.9240307900466955</v>
      </c>
      <c r="DK22" s="15" t="n">
        <v>0.532575106858593</v>
      </c>
      <c r="DL22" s="15" t="n">
        <v>5.226120319782576</v>
      </c>
      <c r="DM22" s="15" t="n">
        <v>1.099482356638717</v>
      </c>
      <c r="DN22" s="15" t="n">
        <v>1.016469211078041</v>
      </c>
      <c r="DO22" s="15" t="n">
        <v>7.009587058759325</v>
      </c>
      <c r="DP22" s="15" t="n">
        <v>1.475076305732784</v>
      </c>
      <c r="DQ22" s="15" t="n">
        <v>10.6875</v>
      </c>
      <c r="DR22" s="15" t="n">
        <v>17</v>
      </c>
      <c r="DS22" s="15" t="b">
        <v>0</v>
      </c>
      <c r="DT22" s="15" t="n">
        <v>1.084667890800249</v>
      </c>
      <c r="DU22" s="15" t="n">
        <v>4.830582548939097</v>
      </c>
      <c r="DV22" t="n">
        <v>25</v>
      </c>
      <c r="DW22" s="15" t="n">
        <v>0.08906265629701202</v>
      </c>
      <c r="DX22" s="15" t="n">
        <v>0.8715314195677593</v>
      </c>
      <c r="DY22" s="15" t="n">
        <v>2.202074502176548</v>
      </c>
      <c r="DZ22" s="15" t="n">
        <v>0.2099135532812943</v>
      </c>
      <c r="EA22" s="15" t="b">
        <v>1</v>
      </c>
      <c r="EB22" s="15" t="n">
        <v>0.3000208855242201</v>
      </c>
      <c r="EC22" s="15" t="n">
        <v>20000</v>
      </c>
      <c r="ED22" s="15" t="n">
        <v>4704.726679323783</v>
      </c>
      <c r="EE22" s="15" t="n">
        <v>6</v>
      </c>
      <c r="EF22" s="15" t="n">
        <v>0</v>
      </c>
      <c r="EG22" s="15" t="n">
        <v>0.0274661400981242</v>
      </c>
      <c r="EH22" s="15" t="b">
        <v>0</v>
      </c>
      <c r="EI22" s="15" t="b">
        <v>1</v>
      </c>
      <c r="EJ22" s="15" t="b">
        <v>0</v>
      </c>
      <c r="EK22" s="15" t="inlineStr">
        <is>
          <t>wf=log|dst=-90.0|ceil=20000.0|fft=adaptive_tier</t>
        </is>
      </c>
      <c r="EL22" s="15" t="inlineStr">
        <is>
          <t>wf=log|dst=runtime_configured|ceil=runtime_configured|fft=fixed</t>
        </is>
      </c>
      <c r="EM22" s="15" t="n">
        <v>0.6052632376709922</v>
      </c>
      <c r="EN22" s="15" t="n">
        <v>0.9997433056334754</v>
      </c>
      <c r="EO22" s="15" t="n">
        <v>0.2307692307692308</v>
      </c>
      <c r="EP22" s="15" t="n">
        <v>0.3730475968334872</v>
      </c>
      <c r="EQ22" s="15" t="inlineStr">
        <is>
          <t>warn:power_outlier_detected</t>
        </is>
      </c>
      <c r="ER22" s="15" t="n">
        <v>469.3172791046619</v>
      </c>
      <c r="ES22" s="15" t="inlineStr">
        <is>
          <t>winsorize_p95_for_robust_diagnostics</t>
        </is>
      </c>
      <c r="ET22" s="15" t="n">
        <v>0.1738258606972385</v>
      </c>
      <c r="EU22" s="15" t="n">
        <v>0.0131705553962802</v>
      </c>
      <c r="EV22" s="15" t="n">
        <v>0.01590842398469195</v>
      </c>
      <c r="EW22" t="inlineStr">
        <is>
          <t>computed</t>
        </is>
      </c>
      <c r="EX22" s="15" t="inlineStr">
        <is>
          <t>computed</t>
        </is>
      </c>
      <c r="EY22" s="15" t="inlineStr">
        <is>
          <t>computed</t>
        </is>
      </c>
      <c r="EZ22" s="15" t="inlineStr">
        <is>
          <t>available_from_curve</t>
        </is>
      </c>
      <c r="FA22" s="15" t="n">
        <v>20000</v>
      </c>
      <c r="FB22" s="15" t="n">
        <v>20000</v>
      </c>
      <c r="FC22" s="15" t="n">
        <v>0.2339264430796378</v>
      </c>
      <c r="FD22" s="15" t="n">
        <v>0.1059079931428766</v>
      </c>
      <c r="FE22" s="15" t="n">
        <v>2.408592678823542</v>
      </c>
      <c r="FF22" s="15" t="n">
        <v>1.533304471608818</v>
      </c>
      <c r="FG22" s="15" t="n">
        <v>1.284223169350216</v>
      </c>
      <c r="FH22" s="15" t="n">
        <v>1.452907516964237</v>
      </c>
      <c r="FI22" s="15" t="n">
        <v>0.5193950798672275</v>
      </c>
      <c r="FJ22" s="15" t="n">
        <v>0.07453536603039987</v>
      </c>
      <c r="FK22" s="15" t="n">
        <v>2588.510826089644</v>
      </c>
      <c r="FL22" s="15" t="n">
        <v>12.38040084624467</v>
      </c>
      <c r="FM22" s="15" t="n">
        <v>5.245534614783739</v>
      </c>
      <c r="FN22" s="15" t="n">
        <v>0.004795995338338395</v>
      </c>
      <c r="FO22" t="n">
        <v>1</v>
      </c>
      <c r="FP22" t="n">
        <v>0</v>
      </c>
      <c r="FQ22" t="n">
        <v>0</v>
      </c>
      <c r="FR22" t="inlineStr">
        <is>
          <t>excellent</t>
        </is>
      </c>
      <c r="FS22" s="19" t="n">
        <v>0.88</v>
      </c>
      <c r="FT22" s="15" t="n">
        <v>3.504873906388483</v>
      </c>
      <c r="FU22" s="15" t="n">
        <v>15.87682089472917</v>
      </c>
      <c r="FV22" t="inlineStr">
        <is>
          <t>passed</t>
        </is>
      </c>
      <c r="FW22" t="n">
        <v>63.80199889661219</v>
      </c>
      <c r="FX22" t="n">
        <v>8.285804905361729</v>
      </c>
      <c r="FY22" t="n">
        <v>4.560200487795969</v>
      </c>
      <c r="FZ22" t="n">
        <v>0.8852103298417523</v>
      </c>
      <c r="GA22" t="n">
        <v>0.2881500209279955</v>
      </c>
      <c r="GB22" t="n">
        <v>0.7649976657876093</v>
      </c>
      <c r="GC22" t="n">
        <v>0.0314075754597892</v>
      </c>
      <c r="GD22" t="n">
        <v>0.08835156465490622</v>
      </c>
      <c r="GE22" t="n">
        <v>0.1548175476020587</v>
      </c>
      <c r="GF22" t="n">
        <v>0.8312103632797305</v>
      </c>
      <c r="GG22" t="n">
        <v>0.2878408059835426</v>
      </c>
      <c r="GH22" t="n">
        <v>0.1932908435691955</v>
      </c>
      <c r="GI22" t="n">
        <v>0.1295720966465055</v>
      </c>
      <c r="GJ22" t="n">
        <v>0.1058823529411765</v>
      </c>
      <c r="GK22" t="n">
        <v>0.3999999999999999</v>
      </c>
      <c r="GL22" t="n">
        <v>0.3720930232558141</v>
      </c>
      <c r="GM22" t="n">
        <v>0.06722697700359753</v>
      </c>
      <c r="GN22" t="n">
        <v>0.06722697700359753</v>
      </c>
      <c r="GO22" t="n">
        <v>0.2625384538700743</v>
      </c>
      <c r="GP22" t="n">
        <v>0.1830708438194012</v>
      </c>
      <c r="GQ22" t="n">
        <v>112.3069831219306</v>
      </c>
      <c r="GR22" t="inlineStr">
        <is>
          <t>compiled workbook density_weighted_sum = density_component_ratio_weighted_sum (per-note component ratios); research density_weighted_sum maps body-ceiling richness</t>
        </is>
      </c>
      <c r="GS22" s="15" t="inlineStr">
        <is>
          <t>individual_exact</t>
        </is>
      </c>
      <c r="GT22" s="15" t="inlineStr">
        <is>
          <t>density_weight</t>
        </is>
      </c>
      <c r="GU22" s="15" t="n">
        <v>0.6297433753207023</v>
      </c>
      <c r="GV22" s="15" t="n">
        <v>0.3702566246792977</v>
      </c>
      <c r="GW22" s="15" t="n">
        <v>0</v>
      </c>
      <c r="GX22" s="15" t="inlineStr">
        <is>
          <t>log</t>
        </is>
      </c>
      <c r="GY22" s="15" t="n">
        <v>0.5</v>
      </c>
      <c r="GZ22" s="15" t="inlineStr">
        <is>
          <t>EWSD-R v18.1</t>
        </is>
      </c>
      <c r="HA22" s="15" t="n">
        <v>1.086510965717174</v>
      </c>
      <c r="HB22" s="15" t="n">
        <v>13.12947754343559</v>
      </c>
      <c r="HC22" s="15" t="n">
        <v>0.726101563216172</v>
      </c>
      <c r="HD22" s="15" t="n">
        <v>2.011084729352943</v>
      </c>
      <c r="HE22" s="15" t="n">
        <v>14.71539123421316</v>
      </c>
      <c r="HF22" s="15" t="n">
        <v>0.6098927916925292</v>
      </c>
      <c r="HG22" s="15" t="inlineStr">
        <is>
          <t>partials+ratios</t>
        </is>
      </c>
      <c r="HH22" s="15" t="inlineStr">
        <is>
          <t>merged_individual_exact</t>
        </is>
      </c>
      <c r="HI22" s="15" t="inlineStr">
        <is>
          <t>passed</t>
        </is>
      </c>
      <c r="HJ22" s="15" t="inlineStr">
        <is>
          <t>passed</t>
        </is>
      </c>
    </row>
    <row r="23">
      <c r="A23" t="inlineStr">
        <is>
          <t>incomplete_inference</t>
        </is>
      </c>
      <c r="B23" t="inlineStr">
        <is>
          <t>missing_instrument_technique</t>
        </is>
      </c>
      <c r="C23" t="inlineStr">
        <is>
          <t>prior_constrained_harmonic_fit</t>
        </is>
      </c>
      <c r="D23" t="inlineStr">
        <is>
          <t>IOWA_flt_pp.G#5_SustainStable/G#5/component_amplitude_mass_pie.png</t>
        </is>
      </c>
      <c r="E23" t="inlineStr">
        <is>
          <t>IOWA_flt_pp.G#5_SustainStable/G#5/component_energy_ratio_pie.png</t>
        </is>
      </c>
      <c r="F23" s="15" t="n">
        <v>829.8428596536518</v>
      </c>
      <c r="G23" s="15" t="inlineStr">
        <is>
          <t>prior_constrained_harmonic_fit</t>
        </is>
      </c>
      <c r="H23" s="15" t="inlineStr">
        <is>
          <t>fit_accepted_acoustically_verified</t>
        </is>
      </c>
      <c r="I23" s="16" t="n">
        <v>113.5521536062888</v>
      </c>
      <c r="J23" t="inlineStr">
        <is>
          <t>richness_weighted_body_density_body_ceiling</t>
        </is>
      </c>
      <c r="K23" t="inlineStr">
        <is>
          <t>research_body_ceiling_richness_metric</t>
        </is>
      </c>
      <c r="L23" s="15" t="n">
        <v>41255.03776382818</v>
      </c>
      <c r="M23" s="15" t="n">
        <v>41255.03776382818</v>
      </c>
      <c r="N23" s="15" t="n">
        <v>214.2053617025745</v>
      </c>
      <c r="O23" s="15" t="n">
        <v>23.13209714794408</v>
      </c>
      <c r="P23" s="15" t="n">
        <v>-14.18272503646304</v>
      </c>
      <c r="Q23" s="15" t="n">
        <v>5</v>
      </c>
      <c r="R23" s="15" t="n">
        <v>13</v>
      </c>
      <c r="S23" s="15" t="n">
        <v>2578.441003863875</v>
      </c>
      <c r="T23" s="15" t="n">
        <v>25</v>
      </c>
      <c r="U23" s="15" t="n">
        <v>-0.3023238544326854</v>
      </c>
      <c r="V23" s="15" t="n">
        <v>9.980181342098438</v>
      </c>
      <c r="W23" s="15" t="n">
        <v>0.9678130184685402</v>
      </c>
      <c r="X23" s="15" t="n">
        <v>0.1783050923371456</v>
      </c>
      <c r="Y23" s="15" t="n">
        <v>5</v>
      </c>
      <c r="Z23" s="15" t="n">
        <v>24</v>
      </c>
      <c r="AA23" s="15" t="n">
        <v>0.2083333333333333</v>
      </c>
      <c r="AB23" s="15" t="n">
        <v>24</v>
      </c>
      <c r="AC23" s="15" t="n">
        <v>5</v>
      </c>
      <c r="AD23" s="15" t="n">
        <v>0.2083333333333333</v>
      </c>
      <c r="AE23" s="15" t="n">
        <v>167.5037665226031</v>
      </c>
      <c r="AF23" s="15" t="n">
        <v>5</v>
      </c>
      <c r="AG23" s="15" t="n">
        <v>24</v>
      </c>
      <c r="AH23" s="15" t="n">
        <v>0.2083333333333333</v>
      </c>
      <c r="AI23" s="15" t="n">
        <v>167.5037665226031</v>
      </c>
      <c r="AJ23" s="15" t="n">
        <v>3</v>
      </c>
      <c r="AK23" s="15" t="n">
        <v>2</v>
      </c>
      <c r="AL23" s="15" t="n">
        <v>36.27092022534935</v>
      </c>
      <c r="AM23" s="15" t="n">
        <v>20</v>
      </c>
      <c r="AN23" s="15" t="n">
        <v>0</v>
      </c>
      <c r="AO23" s="15" t="n">
        <v>20</v>
      </c>
      <c r="AP23" s="15" t="n">
        <v>0</v>
      </c>
      <c r="AQ23" s="15" t="n">
        <v>9.155039931170881</v>
      </c>
      <c r="AR23" s="15" t="n">
        <v>4.97499290926309</v>
      </c>
      <c r="AS23" s="15" t="n">
        <v>0.005344823619861625</v>
      </c>
      <c r="AT23" s="17" t="n">
        <v>2.38270224616838</v>
      </c>
      <c r="AU23" s="18" t="n">
        <v>3.757156250480754</v>
      </c>
      <c r="AV23" s="15" t="n">
        <v>4.972352622264547</v>
      </c>
      <c r="AW23" s="15" t="b">
        <v>1</v>
      </c>
      <c r="AX23" s="15" t="n">
        <v>3.314924267160696</v>
      </c>
      <c r="AY23" s="15" t="n">
        <v>9.307894261198483</v>
      </c>
      <c r="AZ23" s="15" t="n">
        <v>0</v>
      </c>
      <c r="BA23" s="15" t="n">
        <v>1</v>
      </c>
      <c r="BB23" s="15" t="n">
        <v>0.5</v>
      </c>
      <c r="BC23" s="15" t="n">
        <v>0.25</v>
      </c>
      <c r="BD23" s="15" t="inlineStr">
        <is>
          <t>his_note_adaptive</t>
        </is>
      </c>
      <c r="BE23" s="15" t="n">
        <v>-90</v>
      </c>
      <c r="BF23" s="15" t="n">
        <v>20000</v>
      </c>
      <c r="BG23" s="15" t="n">
        <v>5</v>
      </c>
      <c r="BH23" s="15" t="n">
        <v>0.2083333333333333</v>
      </c>
      <c r="BI23" s="15" t="n">
        <v>24</v>
      </c>
      <c r="BJ23" s="15" t="n">
        <v>5</v>
      </c>
      <c r="BK23" s="15" t="n">
        <v>24</v>
      </c>
      <c r="BL23" s="15" t="n">
        <v>22</v>
      </c>
      <c r="BM23" s="15" t="n">
        <v>0.9166666666666666</v>
      </c>
      <c r="BN23" s="15" t="n">
        <v>0.1341837248352354</v>
      </c>
      <c r="BO23" s="15" t="n">
        <v>0.1666666666666667</v>
      </c>
      <c r="BP23" s="19" t="n">
        <v>0.7674547450206517</v>
      </c>
      <c r="BQ23" s="19" t="n">
        <v>0.2325452549793482</v>
      </c>
      <c r="BR23" s="19" t="n">
        <v>0</v>
      </c>
      <c r="BS23" s="15" t="n">
        <v>0.0505014044776218</v>
      </c>
      <c r="BT23" s="19" t="n">
        <v>1</v>
      </c>
      <c r="BU23" s="19" t="n">
        <v>0</v>
      </c>
      <c r="BV23" s="19" t="n">
        <v>0</v>
      </c>
      <c r="BW23" t="inlineStr">
        <is>
          <t>G#5</t>
        </is>
      </c>
      <c r="BX23" t="n">
        <v>80</v>
      </c>
      <c r="BY23" t="inlineStr">
        <is>
          <t>G#</t>
        </is>
      </c>
      <c r="BZ23" t="n">
        <v>5</v>
      </c>
      <c r="CA23" t="inlineStr">
        <is>
          <t>Very high</t>
        </is>
      </c>
      <c r="CB23" t="inlineStr">
        <is>
          <t>pp</t>
        </is>
      </c>
      <c r="CC23" s="15" t="n">
        <v>830.6093951598904</v>
      </c>
      <c r="CD23" s="15" t="n">
        <v>829.8428596536518</v>
      </c>
      <c r="CE23" t="inlineStr">
        <is>
          <t>prior_constrained_harmonic_fit</t>
        </is>
      </c>
      <c r="CF23" t="n">
        <v>829.8428596536518</v>
      </c>
      <c r="CG23" s="15" t="n">
        <v>1</v>
      </c>
      <c r="CH23" t="n">
        <v/>
      </c>
      <c r="CI23" t="inlineStr">
        <is>
          <t>free_fit_acoustically_verified</t>
        </is>
      </c>
      <c r="CJ23" s="15" t="inlineStr">
        <is>
          <t>free_f0_fit</t>
        </is>
      </c>
      <c r="CK23" s="15" t="n">
        <v>830.6093951598904</v>
      </c>
      <c r="CL23" s="15" t="n">
        <v>829.8428596536518</v>
      </c>
      <c r="CM23" s="15" t="n">
        <v>-1.598422909954794</v>
      </c>
      <c r="CN23" s="15" t="n">
        <v>20000</v>
      </c>
      <c r="CO23" s="15" t="n">
        <v>-1.598422909954794</v>
      </c>
      <c r="CP23" s="15" t="n">
        <v>2.013834904207992</v>
      </c>
      <c r="CQ23" s="15" t="n">
        <v>41255.03776382818</v>
      </c>
      <c r="CR23" t="n">
        <v>1.056938239505049</v>
      </c>
      <c r="CS23" t="n">
        <v>0.04403909331271038</v>
      </c>
      <c r="CT23" t="n">
        <v>107.4349941766359</v>
      </c>
      <c r="CU23" t="n">
        <v>107.4349941766359</v>
      </c>
      <c r="CV23" t="n">
        <v>113.5521536062888</v>
      </c>
      <c r="CW23" t="n">
        <v>23.13209714794408</v>
      </c>
      <c r="CX23" s="15" t="n">
        <v>41255.03776382818</v>
      </c>
      <c r="CY23" s="15" t="n">
        <v>214.2053617025745</v>
      </c>
      <c r="CZ23" s="15" t="n">
        <v>23.13209714794408</v>
      </c>
      <c r="DA23" s="15" t="n">
        <v>2.38270224616838</v>
      </c>
      <c r="DB23" s="15" t="n">
        <v>2.38270224616838</v>
      </c>
      <c r="DC23" s="15" t="n">
        <v>1.526091538178958</v>
      </c>
      <c r="DD23" s="15" t="n">
        <v>0</v>
      </c>
      <c r="DE23" s="15" t="n">
        <v>5.775542516306939e-05</v>
      </c>
      <c r="DF23" s="15" t="n">
        <v>0</v>
      </c>
      <c r="DG23" s="15" t="n">
        <v>5</v>
      </c>
      <c r="DH23" s="15" t="inlineStr">
        <is>
          <t>Density_Metrics</t>
        </is>
      </c>
      <c r="DI23" s="15" t="n">
        <v>2.013834904207992</v>
      </c>
      <c r="DJ23" t="n">
        <v>0.9091317883107418</v>
      </c>
      <c r="DK23" s="15" t="n">
        <v>0.5292637717941616</v>
      </c>
      <c r="DL23" s="15" t="n">
        <v>4.935568014743697</v>
      </c>
      <c r="DM23" s="15" t="n">
        <v>1.069125161667427</v>
      </c>
      <c r="DN23" s="15" t="n">
        <v>1.008911392038611</v>
      </c>
      <c r="DO23" s="15" t="n">
        <v>6.881604407409559</v>
      </c>
      <c r="DP23" s="15" t="n">
        <v>1.539895794931011</v>
      </c>
      <c r="DQ23" s="15" t="n">
        <v>11.3125</v>
      </c>
      <c r="DR23" s="15" t="n">
        <v>17</v>
      </c>
      <c r="DS23" s="15" t="b">
        <v>0</v>
      </c>
      <c r="DT23" s="15" t="n">
        <v>1.061541110301956</v>
      </c>
      <c r="DU23" s="15" t="n">
        <v>4.279322216091495</v>
      </c>
      <c r="DV23" t="n">
        <v>24</v>
      </c>
      <c r="DW23" s="15" t="n">
        <v>0.0505014044776218</v>
      </c>
      <c r="DX23" s="15" t="n">
        <v>0.8137765151662206</v>
      </c>
      <c r="DY23" s="15" t="n">
        <v>2.18646192918301</v>
      </c>
      <c r="DZ23" s="15" t="n">
        <v>0.2311731139035494</v>
      </c>
      <c r="EA23" s="15" t="b">
        <v>1</v>
      </c>
      <c r="EB23" s="15" t="n">
        <v>0.1931041128241972</v>
      </c>
      <c r="EC23" s="15" t="n">
        <v>20000</v>
      </c>
      <c r="ED23" s="15" t="n">
        <v>4149.214298268259</v>
      </c>
      <c r="EE23" s="15" t="n">
        <v>5</v>
      </c>
      <c r="EF23" s="15" t="n">
        <v>0</v>
      </c>
      <c r="EG23" s="15" t="n">
        <v>0.02592458410713607</v>
      </c>
      <c r="EH23" s="15" t="b">
        <v>0</v>
      </c>
      <c r="EI23" s="15" t="b">
        <v>1</v>
      </c>
      <c r="EJ23" s="15" t="b">
        <v>0</v>
      </c>
      <c r="EK23" s="15" t="inlineStr">
        <is>
          <t>wf=log|dst=-90.0|ceil=20000.0|fft=adaptive_tier</t>
        </is>
      </c>
      <c r="EL23" s="15" t="inlineStr">
        <is>
          <t>wf=log|dst=runtime_configured|ceil=runtime_configured|fft=fixed</t>
        </is>
      </c>
      <c r="EM23" s="15" t="n">
        <v>0.587834651340235</v>
      </c>
      <c r="EN23" s="15" t="n">
        <v>0.9853771871120669</v>
      </c>
      <c r="EO23" s="15" t="n">
        <v>0.2</v>
      </c>
      <c r="EP23" s="15" t="n">
        <v>0.3720745856990249</v>
      </c>
      <c r="EQ23" s="15" t="inlineStr">
        <is>
          <t>warn:power_outlier_detected</t>
        </is>
      </c>
      <c r="ER23" s="15" t="n">
        <v>477.1168747834184</v>
      </c>
      <c r="ES23" s="15" t="inlineStr">
        <is>
          <t>winsorize_p95_for_robust_diagnostics</t>
        </is>
      </c>
      <c r="ET23" s="15" t="n">
        <v>0.1758087703459642</v>
      </c>
      <c r="EU23" s="15" t="n">
        <v>0.01033367327898785</v>
      </c>
      <c r="EV23" s="15" t="n">
        <v>0.01236878544348323</v>
      </c>
      <c r="EW23" t="inlineStr">
        <is>
          <t>computed</t>
        </is>
      </c>
      <c r="EX23" s="15" t="inlineStr">
        <is>
          <t>computed</t>
        </is>
      </c>
      <c r="EY23" s="15" t="inlineStr">
        <is>
          <t>computed</t>
        </is>
      </c>
      <c r="EZ23" s="15" t="inlineStr">
        <is>
          <t>available_from_curve</t>
        </is>
      </c>
      <c r="FA23" s="15" t="n">
        <v>20000</v>
      </c>
      <c r="FB23" s="15" t="n">
        <v>20000</v>
      </c>
      <c r="FC23" s="15" t="n">
        <v>0.2325452549793482</v>
      </c>
      <c r="FD23" s="15" t="n">
        <v>0.08803979618753238</v>
      </c>
      <c r="FE23" s="15" t="n">
        <v>2.38270224616838</v>
      </c>
      <c r="FF23" s="15" t="n">
        <v>1.526091538178958</v>
      </c>
      <c r="FG23" s="15" t="n">
        <v>1.026774230396359</v>
      </c>
      <c r="FH23" s="15" t="n">
        <v>1.437289930581588</v>
      </c>
      <c r="FI23" s="15" t="n">
        <v>0.5169517542236596</v>
      </c>
      <c r="FJ23" s="15" t="n">
        <v>0.05959321940274404</v>
      </c>
      <c r="FK23" s="15" t="n">
        <v>2578.439860239261</v>
      </c>
      <c r="FL23" s="15" t="n">
        <v>13.38783510641091</v>
      </c>
      <c r="FM23" s="15" t="n">
        <v>1.445756071746505</v>
      </c>
      <c r="FN23" s="15" t="n">
        <v>0.004784835739874981</v>
      </c>
      <c r="FO23" t="n">
        <v>1</v>
      </c>
      <c r="FP23" t="n">
        <v>0</v>
      </c>
      <c r="FQ23" t="n">
        <v>0</v>
      </c>
      <c r="FR23" t="inlineStr">
        <is>
          <t>excellent</t>
        </is>
      </c>
      <c r="FS23" s="19" t="n">
        <v>0.9166666666666666</v>
      </c>
      <c r="FT23" s="15" t="n">
        <v>5.593972974192592</v>
      </c>
      <c r="FU23" s="15" t="n">
        <v>17.33608022600296</v>
      </c>
      <c r="FV23" t="inlineStr">
        <is>
          <t>passed</t>
        </is>
      </c>
      <c r="FW23" t="n">
        <v>60.09513383817671</v>
      </c>
      <c r="FX23" t="n">
        <v>8.145209665273569</v>
      </c>
      <c r="FY23" t="n">
        <v>2.408974908199834</v>
      </c>
      <c r="FZ23" t="n">
        <v>0.862697900187574</v>
      </c>
      <c r="GA23" t="n">
        <v>0.2913452979053576</v>
      </c>
      <c r="GB23" t="n">
        <v>0.6734810813238459</v>
      </c>
      <c r="GC23" t="n">
        <v>0.02012663831166363</v>
      </c>
      <c r="GD23" t="n">
        <v>0.06421859968858468</v>
      </c>
      <c r="GE23" t="n">
        <v>0.08999524674519349</v>
      </c>
      <c r="GF23" t="n">
        <v>0.9560865969888178</v>
      </c>
      <c r="GG23" t="n">
        <v>0.253519925032228</v>
      </c>
      <c r="GH23" t="n">
        <v>0</v>
      </c>
      <c r="GI23" t="n">
        <v>0.09908537488834018</v>
      </c>
      <c r="GJ23" t="n">
        <v>0.06862745098039211</v>
      </c>
      <c r="GK23" t="n">
        <v>0.583333333333333</v>
      </c>
      <c r="GL23" t="n">
        <v>0.02325581395348859</v>
      </c>
      <c r="GM23" t="n">
        <v>0.06238335634054347</v>
      </c>
      <c r="GN23" t="n">
        <v>0.06238335634054347</v>
      </c>
      <c r="GO23" t="n">
        <v>0.2182444524175733</v>
      </c>
      <c r="GP23" t="n">
        <v>0.007401000272414092</v>
      </c>
      <c r="GQ23" t="n">
        <v>113.5521536062888</v>
      </c>
      <c r="GR23" t="inlineStr">
        <is>
          <t>compiled workbook density_weighted_sum = density_component_ratio_weighted_sum (per-note component ratios); research density_weighted_sum maps body-ceiling richness</t>
        </is>
      </c>
      <c r="GS23" s="15" t="inlineStr">
        <is>
          <t>individual_exact</t>
        </is>
      </c>
      <c r="GT23" s="15" t="inlineStr">
        <is>
          <t>density_weight</t>
        </is>
      </c>
      <c r="GU23" s="15" t="n">
        <v>0.7229973379219412</v>
      </c>
      <c r="GV23" s="15" t="n">
        <v>0.2770026620780587</v>
      </c>
      <c r="GW23" s="15" t="n">
        <v>0</v>
      </c>
      <c r="GX23" s="15" t="inlineStr">
        <is>
          <t>log</t>
        </is>
      </c>
      <c r="GY23" s="15" t="n">
        <v>0.5</v>
      </c>
      <c r="GZ23" s="15" t="inlineStr">
        <is>
          <t>EWSD-R v18.1</t>
        </is>
      </c>
      <c r="HA23" s="15" t="n">
        <v>1.102195349843504</v>
      </c>
      <c r="HB23" s="15" t="n">
        <v>11.00051664793823</v>
      </c>
      <c r="HC23" s="15" t="n">
        <v>0.6810940762448237</v>
      </c>
      <c r="HD23" s="15" t="n">
        <v>2.180873790023498</v>
      </c>
      <c r="HE23" s="15" t="n">
        <v>12.10699268769761</v>
      </c>
      <c r="HF23" s="15" t="n">
        <v>0.5458912652954047</v>
      </c>
      <c r="HG23" s="15" t="inlineStr">
        <is>
          <t>partials+ratios</t>
        </is>
      </c>
      <c r="HH23" s="15" t="inlineStr">
        <is>
          <t>merged_individual_exact</t>
        </is>
      </c>
      <c r="HI23" s="15" t="inlineStr">
        <is>
          <t>passed</t>
        </is>
      </c>
      <c r="HJ23" s="15" t="inlineStr">
        <is>
          <t>passed</t>
        </is>
      </c>
    </row>
    <row r="24">
      <c r="A24" t="inlineStr">
        <is>
          <t>incomplete_inference</t>
        </is>
      </c>
      <c r="B24" t="inlineStr">
        <is>
          <t>missing_instrument_technique</t>
        </is>
      </c>
      <c r="C24" t="inlineStr">
        <is>
          <t>prior_constrained_harmonic_fit</t>
        </is>
      </c>
      <c r="D24" t="inlineStr">
        <is>
          <t>IOWA_flt_pp.A5_SustainStable/A5/component_amplitude_mass_pie.png</t>
        </is>
      </c>
      <c r="E24" t="inlineStr">
        <is>
          <t>IOWA_flt_pp.A5_SustainStable/A5/component_energy_ratio_pie.png</t>
        </is>
      </c>
      <c r="F24" s="15" t="n">
        <v>878.087950137004</v>
      </c>
      <c r="G24" s="15" t="inlineStr">
        <is>
          <t>prior_constrained_harmonic_fit</t>
        </is>
      </c>
      <c r="H24" s="15" t="inlineStr">
        <is>
          <t>fit_accepted_acoustically_verified</t>
        </is>
      </c>
      <c r="I24" s="16" t="n">
        <v>110.5332325239148</v>
      </c>
      <c r="J24" t="inlineStr">
        <is>
          <t>richness_weighted_body_density_body_ceiling</t>
        </is>
      </c>
      <c r="K24" t="inlineStr">
        <is>
          <t>research_body_ceiling_richness_metric</t>
        </is>
      </c>
      <c r="L24" s="15" t="n">
        <v>38638.76876761203</v>
      </c>
      <c r="M24" s="15" t="n">
        <v>38638.76876761203</v>
      </c>
      <c r="N24" s="15" t="n">
        <v>159.5469915569081</v>
      </c>
      <c r="O24" s="15" t="n">
        <v>26.65774201250974</v>
      </c>
      <c r="P24" s="15" t="n">
        <v>-12.71868391412589</v>
      </c>
      <c r="Q24" s="15" t="n">
        <v>4</v>
      </c>
      <c r="R24" s="15" t="n">
        <v>7</v>
      </c>
      <c r="S24" s="15" t="n">
        <v>2414.92389254583</v>
      </c>
      <c r="T24" s="15" t="n">
        <v>23</v>
      </c>
      <c r="U24" s="15" t="n">
        <v>-0.349818535989768</v>
      </c>
      <c r="V24" s="15" t="n">
        <v>8.870184134811876</v>
      </c>
      <c r="W24" s="15" t="n">
        <v>0.9672108592637809</v>
      </c>
      <c r="X24" s="15" t="n">
        <v>0.2034072143564745</v>
      </c>
      <c r="Y24" s="15" t="n">
        <v>5</v>
      </c>
      <c r="Z24" s="15" t="n">
        <v>22</v>
      </c>
      <c r="AA24" s="15" t="n">
        <v>0.2272727272727273</v>
      </c>
      <c r="AB24" s="15" t="n">
        <v>22</v>
      </c>
      <c r="AC24" s="15" t="n">
        <v>5</v>
      </c>
      <c r="AD24" s="15" t="n">
        <v>0.2272727272727273</v>
      </c>
      <c r="AE24" s="15" t="n">
        <v>148.0355898116194</v>
      </c>
      <c r="AF24" s="15" t="n">
        <v>5</v>
      </c>
      <c r="AG24" s="15" t="n">
        <v>22</v>
      </c>
      <c r="AH24" s="15" t="n">
        <v>0.2272727272727273</v>
      </c>
      <c r="AI24" s="15" t="n">
        <v>148.0355898116194</v>
      </c>
      <c r="AJ24" s="15" t="n">
        <v>3</v>
      </c>
      <c r="AK24" s="15" t="n">
        <v>2</v>
      </c>
      <c r="AL24" s="15" t="n">
        <v>366.1634400187814</v>
      </c>
      <c r="AM24" s="15" t="n">
        <v>22</v>
      </c>
      <c r="AN24" s="15" t="n">
        <v>0</v>
      </c>
      <c r="AO24" s="15" t="n">
        <v>22</v>
      </c>
      <c r="AP24" s="15" t="n">
        <v>0</v>
      </c>
      <c r="AQ24" s="15" t="n">
        <v>10.49310571012457</v>
      </c>
      <c r="AR24" s="15" t="n">
        <v>5.287202806703764</v>
      </c>
      <c r="AS24" s="15" t="n">
        <v>0.01725138126015052</v>
      </c>
      <c r="AT24" s="17" t="n">
        <v>2.328784804098659</v>
      </c>
      <c r="AU24" s="18" t="n">
        <v>3.394023609864566</v>
      </c>
      <c r="AV24" s="15" t="n">
        <v>4.219952505899564</v>
      </c>
      <c r="AW24" s="15" t="b">
        <v>1</v>
      </c>
      <c r="AX24" s="15" t="n">
        <v>3.112735055012248</v>
      </c>
      <c r="AY24" s="15" t="n">
        <v>9.842252695756409</v>
      </c>
      <c r="AZ24" s="15" t="n">
        <v>0</v>
      </c>
      <c r="BA24" s="15" t="n">
        <v>1</v>
      </c>
      <c r="BB24" s="15" t="n">
        <v>0.5</v>
      </c>
      <c r="BC24" s="15" t="n">
        <v>0.25</v>
      </c>
      <c r="BD24" s="15" t="inlineStr">
        <is>
          <t>his_note_adaptive</t>
        </is>
      </c>
      <c r="BE24" s="15" t="n">
        <v>-90</v>
      </c>
      <c r="BF24" s="15" t="n">
        <v>20000</v>
      </c>
      <c r="BG24" s="15" t="n">
        <v>5</v>
      </c>
      <c r="BH24" s="15" t="n">
        <v>0.2272727272727273</v>
      </c>
      <c r="BI24" s="15" t="n">
        <v>22</v>
      </c>
      <c r="BJ24" s="15" t="n">
        <v>5</v>
      </c>
      <c r="BK24" s="15" t="n">
        <v>22</v>
      </c>
      <c r="BL24" s="15" t="n">
        <v>20</v>
      </c>
      <c r="BM24" s="15" t="n">
        <v>0.9090909090909091</v>
      </c>
      <c r="BN24" s="15" t="n">
        <v>0.1772096689473702</v>
      </c>
      <c r="BO24" s="15" t="n">
        <v>0.1833333333333333</v>
      </c>
      <c r="BP24" s="19" t="n">
        <v>0.7425652073912564</v>
      </c>
      <c r="BQ24" s="19" t="n">
        <v>0.2574347926087436</v>
      </c>
      <c r="BR24" s="19" t="n">
        <v>0</v>
      </c>
      <c r="BS24" s="15" t="n">
        <v>0.06355856452087801</v>
      </c>
      <c r="BT24" s="19" t="n">
        <v>1</v>
      </c>
      <c r="BU24" s="19" t="n">
        <v>0</v>
      </c>
      <c r="BV24" s="19" t="n">
        <v>0</v>
      </c>
      <c r="BW24" t="inlineStr">
        <is>
          <t>A5</t>
        </is>
      </c>
      <c r="BX24" t="n">
        <v>81</v>
      </c>
      <c r="BY24" t="inlineStr">
        <is>
          <t>A</t>
        </is>
      </c>
      <c r="BZ24" t="n">
        <v>5</v>
      </c>
      <c r="CA24" t="inlineStr">
        <is>
          <t>Very high</t>
        </is>
      </c>
      <c r="CB24" t="inlineStr">
        <is>
          <t>pp</t>
        </is>
      </c>
      <c r="CC24" s="15" t="n">
        <v>879.9999999999999</v>
      </c>
      <c r="CD24" s="15" t="n">
        <v>878.087950137004</v>
      </c>
      <c r="CE24" t="inlineStr">
        <is>
          <t>prior_constrained_harmonic_fit</t>
        </is>
      </c>
      <c r="CF24" t="n">
        <v>878.087950137004</v>
      </c>
      <c r="CG24" s="15" t="n">
        <v>1</v>
      </c>
      <c r="CH24" t="n">
        <v/>
      </c>
      <c r="CI24" t="inlineStr">
        <is>
          <t>free_fit_acoustically_verified</t>
        </is>
      </c>
      <c r="CJ24" s="15" t="inlineStr">
        <is>
          <t>free_f0_fit</t>
        </is>
      </c>
      <c r="CK24" s="15" t="n">
        <v>879.9999999999999</v>
      </c>
      <c r="CL24" s="15" t="n">
        <v>878.087950137004</v>
      </c>
      <c r="CM24" s="15" t="n">
        <v>-3.765690028415746</v>
      </c>
      <c r="CN24" s="15" t="n">
        <v>20000</v>
      </c>
      <c r="CO24" s="15" t="n">
        <v>-3.765690028415746</v>
      </c>
      <c r="CP24" s="15" t="n">
        <v>1.945582901115043</v>
      </c>
      <c r="CQ24" s="15" t="n">
        <v>38638.76876761203</v>
      </c>
      <c r="CR24" t="n">
        <v>1.006960084117158</v>
      </c>
      <c r="CS24" t="n">
        <v>0.04577091291441625</v>
      </c>
      <c r="CT24" t="n">
        <v>109.7692294534433</v>
      </c>
      <c r="CU24" t="n">
        <v>109.7692294534433</v>
      </c>
      <c r="CV24" t="n">
        <v>110.5332325239148</v>
      </c>
      <c r="CW24" t="n">
        <v>26.65774201250974</v>
      </c>
      <c r="CX24" s="15" t="n">
        <v>38638.76876761203</v>
      </c>
      <c r="CY24" s="15" t="n">
        <v>159.5469915569081</v>
      </c>
      <c r="CZ24" s="15" t="n">
        <v>26.65774201250974</v>
      </c>
      <c r="DA24" s="15" t="n">
        <v>2.328784804098659</v>
      </c>
      <c r="DB24" s="15" t="n">
        <v>2.328784804098659</v>
      </c>
      <c r="DC24" s="15" t="n">
        <v>1.414035026383615</v>
      </c>
      <c r="DD24" s="15" t="n">
        <v>0</v>
      </c>
      <c r="DE24" s="15" t="n">
        <v>6.02706783465291e-05</v>
      </c>
      <c r="DF24" s="15" t="n">
        <v>0</v>
      </c>
      <c r="DG24" s="15" t="n">
        <v>4</v>
      </c>
      <c r="DH24" s="15" t="inlineStr">
        <is>
          <t>Density_Metrics</t>
        </is>
      </c>
      <c r="DI24" s="15" t="n">
        <v>1.945582901115043</v>
      </c>
      <c r="DJ24" t="n">
        <v>0.8783198952910969</v>
      </c>
      <c r="DK24" s="15" t="n">
        <v>0.5222857202352744</v>
      </c>
      <c r="DL24" s="15" t="n">
        <v>4.808021021296175</v>
      </c>
      <c r="DM24" s="15" t="n">
        <v>1.01668379146532</v>
      </c>
      <c r="DN24" s="15" t="n">
        <v>1.009287679888518</v>
      </c>
      <c r="DO24" s="15" t="n">
        <v>8.349693572319522</v>
      </c>
      <c r="DP24" s="15" t="n">
        <v>2.423679906453036</v>
      </c>
      <c r="DQ24" s="15" t="n">
        <v>5.375</v>
      </c>
      <c r="DR24" s="15" t="n">
        <v>13</v>
      </c>
      <c r="DS24" s="15" t="b">
        <v>1</v>
      </c>
      <c r="DT24" s="15" t="n">
        <v>1.006960084117158</v>
      </c>
      <c r="DU24" s="15" t="n">
        <v>4.47495871584244</v>
      </c>
      <c r="DV24" t="n">
        <v>22</v>
      </c>
      <c r="DW24" s="15" t="n">
        <v>0.06355856452087801</v>
      </c>
      <c r="DX24" s="15" t="n">
        <v>0.7408418252550619</v>
      </c>
      <c r="DY24" s="15" t="n">
        <v>2.172662898062554</v>
      </c>
      <c r="DZ24" s="15" t="n">
        <v>0.2864262503109027</v>
      </c>
      <c r="EA24" s="15" t="b">
        <v>1</v>
      </c>
      <c r="EB24" s="15" t="n">
        <v>0.3374375105029147</v>
      </c>
      <c r="EC24" s="15" t="n">
        <v>20000</v>
      </c>
      <c r="ED24" s="15" t="n">
        <v>4390.43975068502</v>
      </c>
      <c r="EE24" s="15" t="n">
        <v>5</v>
      </c>
      <c r="EF24" s="15" t="n">
        <v>0</v>
      </c>
      <c r="EG24" s="15" t="n">
        <v>0.02446954900568182</v>
      </c>
      <c r="EH24" s="15" t="b">
        <v>0</v>
      </c>
      <c r="EI24" s="15" t="b">
        <v>1</v>
      </c>
      <c r="EJ24" s="15" t="b">
        <v>0</v>
      </c>
      <c r="EK24" s="15" t="inlineStr">
        <is>
          <t>wf=log|dst=-90.0|ceil=20000.0|fft=adaptive_tier</t>
        </is>
      </c>
      <c r="EL24" s="15" t="inlineStr">
        <is>
          <t>wf=log|dst=runtime_configured|ceil=runtime_configured|fft=fixed</t>
        </is>
      </c>
      <c r="EM24" s="15" t="n">
        <v>0.5796666120339533</v>
      </c>
      <c r="EN24" s="15" t="n">
        <v>0.9869704868591652</v>
      </c>
      <c r="EO24" s="15" t="n">
        <v>0.1739130434782609</v>
      </c>
      <c r="EP24" s="15" t="n">
        <v>0.3733016386496884</v>
      </c>
      <c r="EQ24" s="15" t="inlineStr">
        <is>
          <t>warn:power_outlier_detected</t>
        </is>
      </c>
      <c r="ER24" s="15" t="n">
        <v>467.308149092116</v>
      </c>
      <c r="ES24" s="15" t="inlineStr">
        <is>
          <t>winsorize_p95_for_robust_diagnostics</t>
        </is>
      </c>
      <c r="ET24" s="15" t="n">
        <v>0.2239057274080129</v>
      </c>
      <c r="EU24" s="15" t="n">
        <v>0.01036744831331118</v>
      </c>
      <c r="EV24" s="15" t="n">
        <v>0.01183735652105333</v>
      </c>
      <c r="EW24" t="inlineStr">
        <is>
          <t>computed</t>
        </is>
      </c>
      <c r="EX24" s="15" t="inlineStr">
        <is>
          <t>computed</t>
        </is>
      </c>
      <c r="EY24" s="15" t="inlineStr">
        <is>
          <t>computed</t>
        </is>
      </c>
      <c r="EZ24" s="15" t="inlineStr">
        <is>
          <t>available_from_curve</t>
        </is>
      </c>
      <c r="FA24" s="15" t="n">
        <v>20000</v>
      </c>
      <c r="FB24" s="15" t="n">
        <v>20000</v>
      </c>
      <c r="FC24" s="15" t="n">
        <v>0.2574347926087436</v>
      </c>
      <c r="FD24" s="15" t="n">
        <v>0.02427072012546208</v>
      </c>
      <c r="FE24" s="15" t="n">
        <v>2.328784804098659</v>
      </c>
      <c r="FF24" s="15" t="n">
        <v>1.414035026383615</v>
      </c>
      <c r="FG24" s="15" t="n">
        <v>1.065201190813901</v>
      </c>
      <c r="FH24" s="15" t="n">
        <v>1.404765935317747</v>
      </c>
      <c r="FI24" s="15" t="n">
        <v>0.4789934739399551</v>
      </c>
      <c r="FJ24" s="15" t="n">
        <v>0.0618234918573411</v>
      </c>
      <c r="FK24" s="15" t="n">
        <v>2414.923047975752</v>
      </c>
      <c r="FL24" s="15" t="n">
        <v>9.971686972306754</v>
      </c>
      <c r="FM24" s="15" t="n">
        <v>1.666108875781859</v>
      </c>
      <c r="FN24" s="15" t="n">
        <v>0.004479496871671074</v>
      </c>
      <c r="FO24" t="n">
        <v>1</v>
      </c>
      <c r="FP24" t="n">
        <v>0</v>
      </c>
      <c r="FQ24" t="n">
        <v>0</v>
      </c>
      <c r="FR24" t="inlineStr">
        <is>
          <t>excellent</t>
        </is>
      </c>
      <c r="FS24" s="19" t="n">
        <v>0.9090909090909091</v>
      </c>
      <c r="FT24" s="15" t="n">
        <v>4.416159845872933</v>
      </c>
      <c r="FU24" s="15" t="n">
        <v>16.40895323374479</v>
      </c>
      <c r="FV24" t="inlineStr">
        <is>
          <t>passed</t>
        </is>
      </c>
      <c r="FW24" t="n">
        <v>53.04970591363431</v>
      </c>
      <c r="FX24" t="n">
        <v>6.235971485773328</v>
      </c>
      <c r="FY24" t="n">
        <v>2.654966974938743</v>
      </c>
      <c r="FZ24" t="n">
        <v>0.8161410511845342</v>
      </c>
      <c r="GA24" t="n">
        <v>0.2835983354193692</v>
      </c>
      <c r="GB24" t="n">
        <v>0.6333070231714685</v>
      </c>
      <c r="GC24" t="n">
        <v>0.0006390736084344754</v>
      </c>
      <c r="GD24" t="n">
        <v>0.007262898792783691</v>
      </c>
      <c r="GE24" t="n">
        <v>0.02516276535175997</v>
      </c>
      <c r="GF24" t="n">
        <v>0.9544756374861963</v>
      </c>
      <c r="GG24" t="n">
        <v>0.3112699475464311</v>
      </c>
      <c r="GH24" t="n">
        <v>0.06544988454212727</v>
      </c>
      <c r="GI24" t="n">
        <v>0.07720145496279004</v>
      </c>
      <c r="GJ24" t="n">
        <v>0.09090909090909094</v>
      </c>
      <c r="GK24" t="n">
        <v>0.5454545454545452</v>
      </c>
      <c r="GL24" t="n">
        <v>0.06976744186046509</v>
      </c>
      <c r="GM24" t="n">
        <v>0.1496672525240734</v>
      </c>
      <c r="GN24" t="n">
        <v>0.1496672525240734</v>
      </c>
      <c r="GO24" t="n">
        <v>0.0601654053387253</v>
      </c>
      <c r="GP24" t="n">
        <v>0.03840144054502159</v>
      </c>
      <c r="GQ24" t="n">
        <v>110.5332325239148</v>
      </c>
      <c r="GR24" t="inlineStr">
        <is>
          <t>compiled workbook density_weighted_sum = density_component_ratio_weighted_sum (per-note component ratios); research density_weighted_sum maps body-ceiling richness</t>
        </is>
      </c>
      <c r="GS24" s="15" t="inlineStr">
        <is>
          <t>individual_exact</t>
        </is>
      </c>
      <c r="GT24" s="15" t="inlineStr">
        <is>
          <t>density_weight</t>
        </is>
      </c>
      <c r="GU24" s="15" t="n">
        <v>0.6768761346985548</v>
      </c>
      <c r="GV24" s="15" t="n">
        <v>0.3231238653014452</v>
      </c>
      <c r="GW24" s="15" t="n">
        <v>0</v>
      </c>
      <c r="GX24" s="15" t="inlineStr">
        <is>
          <t>log</t>
        </is>
      </c>
      <c r="GY24" s="15" t="n">
        <v>0.5</v>
      </c>
      <c r="GZ24" s="15" t="inlineStr">
        <is>
          <t>EWSD-R v18.1</t>
        </is>
      </c>
      <c r="HA24" s="15" t="n">
        <v>1.880685285420892</v>
      </c>
      <c r="HB24" s="15" t="n">
        <v>8.994461837418976</v>
      </c>
      <c r="HC24" s="15" t="n">
        <v>0.6144183693168157</v>
      </c>
      <c r="HD24" s="15" t="n">
        <v>2.431445439825725</v>
      </c>
      <c r="HE24" s="15" t="n">
        <v>10.30881498786201</v>
      </c>
      <c r="HF24" s="15" t="n">
        <v>0.5415260600231491</v>
      </c>
      <c r="HG24" s="15" t="inlineStr">
        <is>
          <t>partials+ratios</t>
        </is>
      </c>
      <c r="HH24" s="15" t="inlineStr">
        <is>
          <t>merged_individual_exact</t>
        </is>
      </c>
      <c r="HI24" s="15" t="inlineStr">
        <is>
          <t>passed</t>
        </is>
      </c>
      <c r="HJ24" s="15" t="inlineStr">
        <is>
          <t>passed</t>
        </is>
      </c>
    </row>
    <row r="25">
      <c r="A25" t="inlineStr">
        <is>
          <t>incomplete_inference</t>
        </is>
      </c>
      <c r="B25" t="inlineStr">
        <is>
          <t>missing_instrument_technique</t>
        </is>
      </c>
      <c r="C25" t="inlineStr">
        <is>
          <t>prior_constrained_harmonic_fit</t>
        </is>
      </c>
      <c r="D25" t="inlineStr">
        <is>
          <t>IOWA_flt_pp.A#5_SustainStable/A#5/component_amplitude_mass_pie.png</t>
        </is>
      </c>
      <c r="E25" t="inlineStr">
        <is>
          <t>IOWA_flt_pp.A#5_SustainStable/A#5/component_energy_ratio_pie.png</t>
        </is>
      </c>
      <c r="F25" s="15" t="n">
        <v>931.0979714336125</v>
      </c>
      <c r="G25" s="15" t="inlineStr">
        <is>
          <t>prior_constrained_harmonic_fit</t>
        </is>
      </c>
      <c r="H25" s="15" t="inlineStr">
        <is>
          <t>fit_accepted_acoustically_verified</t>
        </is>
      </c>
      <c r="I25" s="16" t="n">
        <v>118.914132332669</v>
      </c>
      <c r="J25" t="inlineStr">
        <is>
          <t>richness_weighted_body_density_body_ceiling</t>
        </is>
      </c>
      <c r="K25" t="inlineStr">
        <is>
          <t>research_body_ceiling_richness_metric</t>
        </is>
      </c>
      <c r="L25" s="15" t="n">
        <v>39255.31797860546</v>
      </c>
      <c r="M25" s="15" t="n">
        <v>39258.40650489388</v>
      </c>
      <c r="N25" s="15" t="n">
        <v>261.4177054411139</v>
      </c>
      <c r="O25" s="15" t="n">
        <v>43.75551000864215</v>
      </c>
      <c r="P25" s="15" t="n">
        <v>-9.926978339052644</v>
      </c>
      <c r="Q25" s="15" t="n">
        <v>7</v>
      </c>
      <c r="R25" s="15" t="n">
        <v>13</v>
      </c>
      <c r="S25" s="15" t="n">
        <v>2453.651928671757</v>
      </c>
      <c r="T25" s="15" t="n">
        <v>22</v>
      </c>
      <c r="U25" s="15" t="n">
        <v>-0.3492982607698422</v>
      </c>
      <c r="V25" s="15" t="n">
        <v>9.169884895819598</v>
      </c>
      <c r="W25" s="15" t="n">
        <v>0.9524167183221312</v>
      </c>
      <c r="X25" s="15" t="n">
        <v>0.2269496091815559</v>
      </c>
      <c r="Y25" s="15" t="n">
        <v>6</v>
      </c>
      <c r="Z25" s="15" t="n">
        <v>21</v>
      </c>
      <c r="AA25" s="15" t="n">
        <v>0.2857142857142857</v>
      </c>
      <c r="AB25" s="15" t="n">
        <v>21</v>
      </c>
      <c r="AC25" s="15" t="n">
        <v>6</v>
      </c>
      <c r="AD25" s="15" t="n">
        <v>0.2857142857142857</v>
      </c>
      <c r="AE25" s="15" t="n">
        <v>155.9446227355815</v>
      </c>
      <c r="AF25" s="15" t="n">
        <v>6</v>
      </c>
      <c r="AG25" s="15" t="n">
        <v>21</v>
      </c>
      <c r="AH25" s="15" t="n">
        <v>0.2857142857142857</v>
      </c>
      <c r="AI25" s="15" t="n">
        <v>155.9446227355815</v>
      </c>
      <c r="AJ25" s="15" t="n">
        <v>3</v>
      </c>
      <c r="AK25" s="15" t="n">
        <v>3</v>
      </c>
      <c r="AL25" s="15" t="n">
        <v>137.8776803419958</v>
      </c>
      <c r="AM25" s="15" t="n">
        <v>19</v>
      </c>
      <c r="AN25" s="15" t="n">
        <v>0</v>
      </c>
      <c r="AO25" s="15" t="n">
        <v>19</v>
      </c>
      <c r="AP25" s="15" t="n">
        <v>0</v>
      </c>
      <c r="AQ25" s="15" t="n">
        <v>9.26513603946854</v>
      </c>
      <c r="AR25" s="15" t="n">
        <v>5.119973184902237</v>
      </c>
      <c r="AS25" s="15" t="n">
        <v>0.01087384759620912</v>
      </c>
      <c r="AT25" s="17" t="n">
        <v>2.352086253712388</v>
      </c>
      <c r="AU25" s="18" t="n">
        <v>3.211041231585999</v>
      </c>
      <c r="AV25" s="15" t="n">
        <v>4.564035240249701</v>
      </c>
      <c r="AW25" s="15" t="b">
        <v>1</v>
      </c>
      <c r="AX25" s="15" t="n">
        <v>3.722267943134264</v>
      </c>
      <c r="AY25" s="15" t="n">
        <v>9.287171801149679</v>
      </c>
      <c r="AZ25" s="15" t="n">
        <v>0</v>
      </c>
      <c r="BA25" s="15" t="n">
        <v>1</v>
      </c>
      <c r="BB25" s="15" t="n">
        <v>0.5</v>
      </c>
      <c r="BC25" s="15" t="n">
        <v>0.25</v>
      </c>
      <c r="BD25" s="15" t="inlineStr">
        <is>
          <t>his_note_adaptive</t>
        </is>
      </c>
      <c r="BE25" s="15" t="n">
        <v>-90</v>
      </c>
      <c r="BF25" s="15" t="n">
        <v>20000</v>
      </c>
      <c r="BG25" s="15" t="n">
        <v>6</v>
      </c>
      <c r="BH25" s="15" t="n">
        <v>0.2857142857142857</v>
      </c>
      <c r="BI25" s="15" t="n">
        <v>21</v>
      </c>
      <c r="BJ25" s="15" t="n">
        <v>6</v>
      </c>
      <c r="BK25" s="15" t="n">
        <v>21</v>
      </c>
      <c r="BL25" s="15" t="n">
        <v>18</v>
      </c>
      <c r="BM25" s="15" t="n">
        <v>0.8571428571428571</v>
      </c>
      <c r="BN25" s="15" t="n">
        <v>0.1879680447516716</v>
      </c>
      <c r="BO25" s="15" t="n">
        <v>0.1583333333333333</v>
      </c>
      <c r="BP25" s="19" t="n">
        <v>0.7434467407731031</v>
      </c>
      <c r="BQ25" s="19" t="n">
        <v>0.2565532592268969</v>
      </c>
      <c r="BR25" s="19" t="n">
        <v>0</v>
      </c>
      <c r="BS25" s="15" t="n">
        <v>0.05463433134094851</v>
      </c>
      <c r="BT25" s="19" t="n">
        <v>0.9999208009032621</v>
      </c>
      <c r="BU25" s="19" t="n">
        <v>7.919909673797214e-05</v>
      </c>
      <c r="BV25" s="19" t="n">
        <v>0</v>
      </c>
      <c r="BW25" t="inlineStr">
        <is>
          <t>A#5</t>
        </is>
      </c>
      <c r="BX25" t="n">
        <v>82</v>
      </c>
      <c r="BY25" t="inlineStr">
        <is>
          <t>A#</t>
        </is>
      </c>
      <c r="BZ25" t="n">
        <v>5</v>
      </c>
      <c r="CA25" t="inlineStr">
        <is>
          <t>Very high</t>
        </is>
      </c>
      <c r="CB25" t="inlineStr">
        <is>
          <t>pp</t>
        </is>
      </c>
      <c r="CC25" s="15" t="n">
        <v>932.3275230361796</v>
      </c>
      <c r="CD25" s="15" t="n">
        <v>931.0979714336125</v>
      </c>
      <c r="CE25" t="inlineStr">
        <is>
          <t>prior_constrained_harmonic_fit</t>
        </is>
      </c>
      <c r="CF25" t="n">
        <v>931.0979714336125</v>
      </c>
      <c r="CG25" s="15" t="n">
        <v>1</v>
      </c>
      <c r="CH25" t="n">
        <v/>
      </c>
      <c r="CI25" t="inlineStr">
        <is>
          <t>free_fit_acoustically_verified</t>
        </is>
      </c>
      <c r="CJ25" s="15" t="inlineStr">
        <is>
          <t>free_f0_fit</t>
        </is>
      </c>
      <c r="CK25" s="15" t="n">
        <v>932.3275230361796</v>
      </c>
      <c r="CL25" s="15" t="n">
        <v>931.0979714336125</v>
      </c>
      <c r="CM25" s="15" t="n">
        <v>-2.284654701451164</v>
      </c>
      <c r="CN25" s="15" t="n">
        <v>20000</v>
      </c>
      <c r="CO25" s="15" t="n">
        <v>-2.284654701451164</v>
      </c>
      <c r="CP25" s="15" t="n">
        <v>2.021574069155666</v>
      </c>
      <c r="CQ25" s="15" t="n">
        <v>39255.31797860546</v>
      </c>
      <c r="CR25" t="n">
        <v>1.017828191068661</v>
      </c>
      <c r="CS25" t="n">
        <v>0.04846800909850765</v>
      </c>
      <c r="CT25" t="n">
        <v>116.8312426165128</v>
      </c>
      <c r="CU25" t="n">
        <v>116.8404955502794</v>
      </c>
      <c r="CV25" t="n">
        <v>118.914132332669</v>
      </c>
      <c r="CW25" t="n">
        <v>43.75551000864215</v>
      </c>
      <c r="CX25" s="15" t="n">
        <v>39258.40650489388</v>
      </c>
      <c r="CY25" s="15" t="n">
        <v>261.4177054411139</v>
      </c>
      <c r="CZ25" s="15" t="n">
        <v>43.75551000864215</v>
      </c>
      <c r="DA25" s="15" t="n">
        <v>2.352086253712388</v>
      </c>
      <c r="DB25" s="15" t="n">
        <v>2.352147306675997</v>
      </c>
      <c r="DC25" s="15" t="n">
        <v>1.581267762293805</v>
      </c>
      <c r="DD25" s="15" t="n">
        <v>0</v>
      </c>
      <c r="DE25" s="15" t="n">
        <v>5.991764618985633e-05</v>
      </c>
      <c r="DF25" s="15" t="n">
        <v>0</v>
      </c>
      <c r="DG25" s="15" t="n">
        <v>7</v>
      </c>
      <c r="DH25" s="15" t="inlineStr">
        <is>
          <t>Density_Metrics</t>
        </is>
      </c>
      <c r="DI25" s="15" t="n">
        <v>2.021574069155666</v>
      </c>
      <c r="DJ25" t="n">
        <v>0.9126255806043446</v>
      </c>
      <c r="DK25" s="15" t="n">
        <v>0.5253151850863379</v>
      </c>
      <c r="DL25" s="15" t="n">
        <v>5.089066658683276</v>
      </c>
      <c r="DM25" s="15" t="n">
        <v>1.033698874834495</v>
      </c>
      <c r="DN25" s="15" t="n">
        <v>1.013905676552392</v>
      </c>
      <c r="DO25" s="15" t="n">
        <v>7.381924088841576</v>
      </c>
      <c r="DP25" s="15" t="n">
        <v>1.976359909079024</v>
      </c>
      <c r="DQ25" s="15" t="n">
        <v>9.25</v>
      </c>
      <c r="DR25" s="15" t="n">
        <v>19</v>
      </c>
      <c r="DS25" s="15" t="b">
        <v>1</v>
      </c>
      <c r="DT25" s="15" t="n">
        <v>1.017828191068661</v>
      </c>
      <c r="DU25" s="15" t="n">
        <v>4.765941792812674</v>
      </c>
      <c r="DV25" t="n">
        <v>21</v>
      </c>
      <c r="DW25" s="15" t="n">
        <v>0.05463433134094851</v>
      </c>
      <c r="DX25" s="15" t="n">
        <v>0.8290091126798709</v>
      </c>
      <c r="DY25" s="15" t="n">
        <v>2.188476871869339</v>
      </c>
      <c r="DZ25" s="15" t="n">
        <v>0.2568099192239543</v>
      </c>
      <c r="EA25" s="15" t="b">
        <v>1</v>
      </c>
      <c r="EB25" s="15" t="n">
        <v>0.2421135762758655</v>
      </c>
      <c r="EC25" s="15" t="n">
        <v>20000</v>
      </c>
      <c r="ED25" s="15" t="n">
        <v>6517.685800035288</v>
      </c>
      <c r="EE25" s="15" t="n">
        <v>7</v>
      </c>
      <c r="EF25" s="15" t="n">
        <v>0</v>
      </c>
      <c r="EG25" s="15" t="n">
        <v>0.02309617874936895</v>
      </c>
      <c r="EH25" s="15" t="b">
        <v>0</v>
      </c>
      <c r="EI25" s="15" t="b">
        <v>1</v>
      </c>
      <c r="EJ25" s="15" t="b">
        <v>0</v>
      </c>
      <c r="EK25" s="15" t="inlineStr">
        <is>
          <t>wf=log|dst=-90.0|ceil=20000.0|fft=adaptive_tier</t>
        </is>
      </c>
      <c r="EL25" s="15" t="inlineStr">
        <is>
          <t>wf=log|dst=runtime_configured|ceil=runtime_configured|fft=fixed</t>
        </is>
      </c>
      <c r="EM25" s="15" t="n">
        <v>0.6356161788733961</v>
      </c>
      <c r="EN25" s="15" t="n">
        <v>0.9987904573788084</v>
      </c>
      <c r="EO25" s="15" t="n">
        <v>0.3181818181818182</v>
      </c>
      <c r="EP25" s="15" t="n">
        <v>0.3739841834464799</v>
      </c>
      <c r="EQ25" s="15" t="inlineStr">
        <is>
          <t>warn:power_outlier_detected</t>
        </is>
      </c>
      <c r="ER25" s="15" t="n">
        <v>461.965085157895</v>
      </c>
      <c r="ES25" s="15" t="inlineStr">
        <is>
          <t>winsorize_p95_for_robust_diagnostics</t>
        </is>
      </c>
      <c r="ET25" s="15" t="n">
        <v>0.2029905889254648</v>
      </c>
      <c r="EU25" s="15" t="n">
        <v>0.01199725535338204</v>
      </c>
      <c r="EV25" s="15" t="n">
        <v>0.01353778980008584</v>
      </c>
      <c r="EW25" t="inlineStr">
        <is>
          <t>computed</t>
        </is>
      </c>
      <c r="EX25" s="15" t="inlineStr">
        <is>
          <t>computed</t>
        </is>
      </c>
      <c r="EY25" s="15" t="inlineStr">
        <is>
          <t>computed</t>
        </is>
      </c>
      <c r="EZ25" s="15" t="inlineStr">
        <is>
          <t>available_from_curve</t>
        </is>
      </c>
      <c r="FA25" s="15" t="n">
        <v>20000</v>
      </c>
      <c r="FB25" s="15" t="n">
        <v>20000</v>
      </c>
      <c r="FC25" s="15" t="n">
        <v>0.2565532592268969</v>
      </c>
      <c r="FD25" s="15" t="n">
        <v>0.02958114815545839</v>
      </c>
      <c r="FE25" s="15" t="n">
        <v>2.352147306675997</v>
      </c>
      <c r="FF25" s="15" t="n">
        <v>1.581267762293805</v>
      </c>
      <c r="FG25" s="15" t="n">
        <v>1.155651589713474</v>
      </c>
      <c r="FH25" s="15" t="n">
        <v>1.418858627663839</v>
      </c>
      <c r="FI25" s="15" t="n">
        <v>0.5356422751616398</v>
      </c>
      <c r="FJ25" s="15" t="n">
        <v>0.06707316633018721</v>
      </c>
      <c r="FK25" s="15" t="n">
        <v>2453.650406555867</v>
      </c>
      <c r="FL25" s="15" t="n">
        <v>16.33860659006962</v>
      </c>
      <c r="FM25" s="15" t="n">
        <v>2.734719375540134</v>
      </c>
      <c r="FN25" s="15" t="n">
        <v>0.004514739761564091</v>
      </c>
      <c r="FO25" t="n">
        <v>0.9999208009032621</v>
      </c>
      <c r="FP25" t="n">
        <v>7.919909673797214e-05</v>
      </c>
      <c r="FQ25" t="n">
        <v>0</v>
      </c>
      <c r="FR25" t="inlineStr">
        <is>
          <t>excellent</t>
        </is>
      </c>
      <c r="FS25" s="19" t="n">
        <v>0.8571428571428571</v>
      </c>
      <c r="FT25" s="15" t="n">
        <v>1.047292149031751</v>
      </c>
      <c r="FU25" s="15" t="n">
        <v>4.144727658877779</v>
      </c>
      <c r="FV25" t="inlineStr">
        <is>
          <t>passed</t>
        </is>
      </c>
      <c r="FW25" t="n">
        <v>55.99543958527824</v>
      </c>
      <c r="FX25" t="n">
        <v>9.282521006033615</v>
      </c>
      <c r="FY25" t="n">
        <v>3.327598488502373</v>
      </c>
      <c r="FZ25" t="n">
        <v>0.8679770292614529</v>
      </c>
      <c r="GA25" t="n">
        <v>0.3051048652840684</v>
      </c>
      <c r="GB25" t="n">
        <v>0.7218292491736582</v>
      </c>
      <c r="GC25" t="n">
        <v>0.006961992647539123</v>
      </c>
      <c r="GD25" t="n">
        <v>0.01860384805851569</v>
      </c>
      <c r="GE25" t="n">
        <v>0.04266762381814238</v>
      </c>
      <c r="GF25" t="n">
        <v>0.9148967989586008</v>
      </c>
      <c r="GG25" t="n">
        <v>0.3654316566696607</v>
      </c>
      <c r="GH25" t="n">
        <v>0.02071657122449819</v>
      </c>
      <c r="GI25" t="n">
        <v>0.07744117993575189</v>
      </c>
      <c r="GJ25" t="n">
        <v>0.1596638655462185</v>
      </c>
      <c r="GK25" t="n">
        <v>0.2857142857142853</v>
      </c>
      <c r="GL25" t="n">
        <v>0</v>
      </c>
      <c r="GM25" t="n">
        <v>0.1465758464349321</v>
      </c>
      <c r="GN25" t="n">
        <v>0.1465758464349321</v>
      </c>
      <c r="GO25" t="n">
        <v>0.07332958230979378</v>
      </c>
      <c r="GP25" t="n">
        <v>0.009951717795581716</v>
      </c>
      <c r="GQ25" t="n">
        <v>118.914132332669</v>
      </c>
      <c r="GR25" t="inlineStr">
        <is>
          <t>compiled workbook density_weighted_sum = density_component_ratio_weighted_sum (per-note component ratios); research density_weighted_sum maps body-ceiling richness</t>
        </is>
      </c>
      <c r="GS25" s="15" t="inlineStr">
        <is>
          <t>individual_exact</t>
        </is>
      </c>
      <c r="GT25" s="15" t="inlineStr">
        <is>
          <t>density_weight</t>
        </is>
      </c>
      <c r="GU25" s="15" t="n">
        <v>0.7488356892716508</v>
      </c>
      <c r="GV25" s="15" t="n">
        <v>0.2511643107283493</v>
      </c>
      <c r="GW25" s="15" t="n">
        <v>0</v>
      </c>
      <c r="GX25" s="15" t="inlineStr">
        <is>
          <t>log</t>
        </is>
      </c>
      <c r="GY25" s="15" t="n">
        <v>0.5</v>
      </c>
      <c r="GZ25" s="15" t="inlineStr">
        <is>
          <t>EWSD-R v18.1</t>
        </is>
      </c>
      <c r="HA25" s="15" t="n">
        <v>0.9721317985122266</v>
      </c>
      <c r="HB25" s="15" t="n">
        <v>9.085259353561435</v>
      </c>
      <c r="HC25" s="15" t="n">
        <v>0.6571548220362964</v>
      </c>
      <c r="HD25" s="15" t="n">
        <v>2.066183836887166</v>
      </c>
      <c r="HE25" s="15" t="n">
        <v>11.55233427677188</v>
      </c>
      <c r="HF25" s="15" t="n">
        <v>0.5527825546924987</v>
      </c>
      <c r="HG25" s="15" t="inlineStr">
        <is>
          <t>partials+ratios</t>
        </is>
      </c>
      <c r="HH25" s="15" t="inlineStr">
        <is>
          <t>merged_individual_exact</t>
        </is>
      </c>
      <c r="HI25" s="15" t="inlineStr">
        <is>
          <t>passed</t>
        </is>
      </c>
      <c r="HJ25" s="15" t="inlineStr">
        <is>
          <t>passed</t>
        </is>
      </c>
    </row>
    <row r="26">
      <c r="A26" t="inlineStr">
        <is>
          <t>incomplete_inference</t>
        </is>
      </c>
      <c r="B26" t="inlineStr">
        <is>
          <t>missing_instrument_technique</t>
        </is>
      </c>
      <c r="C26" t="inlineStr">
        <is>
          <t>filename_note_nominal_fallback_fit_rejected</t>
        </is>
      </c>
      <c r="D26" t="inlineStr">
        <is>
          <t>IOWA_flt_pp.B5_SustainStable/B5/component_amplitude_mass_pie.png</t>
        </is>
      </c>
      <c r="E26" t="inlineStr">
        <is>
          <t>IOWA_flt_pp.B5_SustainStable/B5/component_energy_ratio_pie.png</t>
        </is>
      </c>
      <c r="F26" s="15" t="n">
        <v>987.7666025122484</v>
      </c>
      <c r="G26" s="15" t="inlineStr">
        <is>
          <t>filename_note_nominal_fallback_fit_rejected</t>
        </is>
      </c>
      <c r="H26" s="15" t="inlineStr">
        <is>
          <t>nominal_fallback_used_not_acoustically_verified</t>
        </is>
      </c>
      <c r="I26" s="16" t="n">
        <v>0.1169078370448059</v>
      </c>
      <c r="J26" t="inlineStr">
        <is>
          <t>richness_weighted_body_density_body_ceiling</t>
        </is>
      </c>
      <c r="K26" t="inlineStr">
        <is>
          <t>research_body_ceiling_richness_metric</t>
        </is>
      </c>
      <c r="L26" s="15" t="n">
        <v>19.64245015874831</v>
      </c>
      <c r="M26" s="15" t="n">
        <v>19.64245015874831</v>
      </c>
      <c r="N26" s="15" t="n">
        <v>113.1982159544975</v>
      </c>
      <c r="O26" s="15" t="n">
        <v>856.2698824626701</v>
      </c>
      <c r="P26" s="15" t="n">
        <v/>
      </c>
      <c r="Q26" s="15" t="n">
        <v>2</v>
      </c>
      <c r="R26" s="15" t="n">
        <v>7</v>
      </c>
      <c r="S26" s="15" t="n">
        <v>1.229434156685639</v>
      </c>
      <c r="T26" s="15" t="n">
        <v>21</v>
      </c>
      <c r="U26" s="15" t="n">
        <v>1.053323327331833</v>
      </c>
      <c r="V26" s="15" t="n">
        <v>13.85425133485697</v>
      </c>
      <c r="W26" s="15" t="n">
        <v>0.9447928795592863</v>
      </c>
      <c r="X26" s="15" t="n">
        <v>0.5027765489886181</v>
      </c>
      <c r="Y26" s="15" t="n">
        <v>3</v>
      </c>
      <c r="Z26" s="15" t="n">
        <v>20</v>
      </c>
      <c r="AA26" s="15" t="n">
        <v>0.15</v>
      </c>
      <c r="AB26" s="15" t="n">
        <v>20</v>
      </c>
      <c r="AC26" s="15" t="n">
        <v>3</v>
      </c>
      <c r="AD26" s="15" t="n">
        <v>0.15</v>
      </c>
      <c r="AE26" s="15" t="n">
        <v>4.994258278709752</v>
      </c>
      <c r="AF26" s="15" t="n">
        <v>3</v>
      </c>
      <c r="AG26" s="15" t="n">
        <v>20</v>
      </c>
      <c r="AH26" s="15" t="n">
        <v>0.15</v>
      </c>
      <c r="AI26" s="15" t="n">
        <v>4.994258278709752</v>
      </c>
      <c r="AJ26" s="15" t="n">
        <v>2</v>
      </c>
      <c r="AK26" s="15" t="n">
        <v>1</v>
      </c>
      <c r="AL26" s="15" t="n">
        <v>0.7119926811759592</v>
      </c>
      <c r="AM26" s="15" t="n">
        <v>52</v>
      </c>
      <c r="AN26" s="15" t="n">
        <v>0</v>
      </c>
      <c r="AO26" s="15" t="n">
        <v>52</v>
      </c>
      <c r="AP26" s="15" t="n">
        <v>0</v>
      </c>
      <c r="AQ26" s="15" t="n">
        <v>51.99839125391748</v>
      </c>
      <c r="AR26" s="15" t="n">
        <v>31.05651873631512</v>
      </c>
      <c r="AS26" s="15" t="n">
        <v>1</v>
      </c>
      <c r="AT26" s="17" t="n">
        <v>0.8590109889545239</v>
      </c>
      <c r="AU26" s="18" t="n">
        <v>1.297421453626349</v>
      </c>
      <c r="AV26" s="15" t="n">
        <v>1.297421593246611</v>
      </c>
      <c r="AW26" s="15" t="b">
        <v>1</v>
      </c>
      <c r="AX26" s="15" t="n">
        <v>1.680536245563536</v>
      </c>
      <c r="AY26" s="15" t="n">
        <v>31.05748322709824</v>
      </c>
      <c r="AZ26" s="15" t="n">
        <v>0</v>
      </c>
      <c r="BA26" s="15" t="n">
        <v>1</v>
      </c>
      <c r="BB26" s="15" t="n">
        <v>0.5</v>
      </c>
      <c r="BC26" s="15" t="n">
        <v>0.25</v>
      </c>
      <c r="BD26" s="15" t="inlineStr">
        <is>
          <t>his_note_adaptive</t>
        </is>
      </c>
      <c r="BE26" s="15" t="n">
        <v>-90</v>
      </c>
      <c r="BF26" s="15" t="n">
        <v>20000</v>
      </c>
      <c r="BG26" s="15" t="n">
        <v>3</v>
      </c>
      <c r="BH26" s="15" t="n">
        <v>0.15</v>
      </c>
      <c r="BI26" s="15" t="n">
        <v>20</v>
      </c>
      <c r="BJ26" s="15" t="n">
        <v>3</v>
      </c>
      <c r="BK26" s="15" t="n">
        <v>20</v>
      </c>
      <c r="BL26" s="15" t="n">
        <v>20</v>
      </c>
      <c r="BM26" s="15" t="n">
        <v>1</v>
      </c>
      <c r="BN26" s="15" t="n">
        <v>0.4146491057848073</v>
      </c>
      <c r="BO26" s="15" t="n">
        <v>0.4333333333333333</v>
      </c>
      <c r="BP26" s="19" t="n">
        <v>0.500307978082734</v>
      </c>
      <c r="BQ26" s="19" t="n">
        <v>0.499692021917266</v>
      </c>
      <c r="BR26" s="19" t="n">
        <v>0</v>
      </c>
      <c r="BS26" s="15" t="n">
        <v>0.25</v>
      </c>
      <c r="BT26" s="19" t="n">
        <v>1</v>
      </c>
      <c r="BU26" s="19" t="n">
        <v>0</v>
      </c>
      <c r="BV26" s="19" t="n">
        <v>0</v>
      </c>
      <c r="BW26" t="inlineStr">
        <is>
          <t>B5</t>
        </is>
      </c>
      <c r="BX26" t="n">
        <v>83</v>
      </c>
      <c r="BY26" t="inlineStr">
        <is>
          <t>B</t>
        </is>
      </c>
      <c r="BZ26" t="n">
        <v>5</v>
      </c>
      <c r="CA26" t="inlineStr">
        <is>
          <t>Very high</t>
        </is>
      </c>
      <c r="CB26" t="inlineStr">
        <is>
          <t>pp</t>
        </is>
      </c>
      <c r="CC26" s="15" t="n">
        <v>987.7666025122484</v>
      </c>
      <c r="CD26" s="15" t="n">
        <v>987.7666025122484</v>
      </c>
      <c r="CE26" t="inlineStr">
        <is>
          <t>filename_note_nominal_fallback_fit_rejected</t>
        </is>
      </c>
      <c r="CF26" t="n">
        <v>987.7666025122484</v>
      </c>
      <c r="CG26" s="15" t="n">
        <v>0</v>
      </c>
      <c r="CH26" t="inlineStr">
        <is>
          <t>insufficient_strict_harmonic_peaks</t>
        </is>
      </c>
      <c r="CI26" t="inlineStr">
        <is>
          <t>nominal_fallback_not_verified</t>
        </is>
      </c>
      <c r="CJ26" s="15" t="inlineStr">
        <is>
          <t>nominal_fallback_not_verified</t>
        </is>
      </c>
      <c r="CK26" s="15" t="n">
        <v>987.7666025122484</v>
      </c>
      <c r="CL26" s="15" t="n">
        <v>987.7666025122484</v>
      </c>
      <c r="CM26" s="15" t="n">
        <v>0</v>
      </c>
      <c r="CN26" s="15" t="n">
        <v>20000</v>
      </c>
      <c r="CO26" s="15" t="n">
        <v>0</v>
      </c>
      <c r="CP26" s="15" t="n">
        <v>0.9826667397928215</v>
      </c>
      <c r="CQ26" s="15" t="n">
        <v>19.64245015874831</v>
      </c>
      <c r="CR26" t="n">
        <v>1.90457440655264</v>
      </c>
      <c r="CS26" t="n">
        <v>0.09522872032763199</v>
      </c>
      <c r="CT26" t="n">
        <v>0.06138265674608848</v>
      </c>
      <c r="CU26" t="n">
        <v>0.06138265674608848</v>
      </c>
      <c r="CV26" t="n">
        <v>0.1169078370448059</v>
      </c>
      <c r="CW26" t="n">
        <v>856.2698824626701</v>
      </c>
      <c r="CX26" s="15" t="n">
        <v>19.64245015874831</v>
      </c>
      <c r="CY26" s="15" t="n">
        <v>113.1982159544975</v>
      </c>
      <c r="CZ26" s="15" t="n">
        <v>856.2698824626701</v>
      </c>
      <c r="DA26" s="15" t="n">
        <v>0.8590109889545239</v>
      </c>
      <c r="DB26" s="15" t="n">
        <v>0.8590109889545239</v>
      </c>
      <c r="DC26" s="15" t="n">
        <v>1.065933019546697</v>
      </c>
      <c r="DD26" s="15" t="n">
        <v>0</v>
      </c>
      <c r="DE26" s="15" t="n">
        <v>0.04373237462801653</v>
      </c>
      <c r="DF26" s="15" t="n">
        <v>0</v>
      </c>
      <c r="DG26" s="15" t="n">
        <v>2</v>
      </c>
      <c r="DH26" s="15" t="inlineStr">
        <is>
          <t>Density_Metrics</t>
        </is>
      </c>
      <c r="DI26" s="15" t="n">
        <v>0.9826667397928215</v>
      </c>
      <c r="DJ26" t="n">
        <v>0.4436180784207249</v>
      </c>
      <c r="DK26" s="15" t="n">
        <v>0.2692819569737309</v>
      </c>
      <c r="DL26" s="15" t="n">
        <v>3.706821762955276</v>
      </c>
      <c r="DM26" s="15" t="n">
        <v>3.70598115132151</v>
      </c>
      <c r="DN26" s="15" t="n">
        <v>2.504238322230789</v>
      </c>
      <c r="DO26" s="15" t="n">
        <v>6.134631258126507</v>
      </c>
      <c r="DP26" s="15" t="n">
        <v>0.2541029130644589</v>
      </c>
      <c r="DQ26" s="15" t="n">
        <v>12.8125</v>
      </c>
      <c r="DR26" s="15" t="n">
        <v>8</v>
      </c>
      <c r="DS26" s="15" t="b">
        <v>0</v>
      </c>
      <c r="DT26" s="15" t="n">
        <v>1.90457440655264</v>
      </c>
      <c r="DU26" s="15" t="n">
        <v>10.05553097977236</v>
      </c>
      <c r="DV26" t="n">
        <v>20</v>
      </c>
      <c r="DW26" s="15" t="n">
        <v>0.4327998332692481</v>
      </c>
      <c r="DX26" s="15" t="n">
        <v>0.881159433895719</v>
      </c>
      <c r="DY26" s="15" t="n">
        <v>1.271226360890858</v>
      </c>
      <c r="DZ26" s="15" t="n">
        <v>0.2519453852883531</v>
      </c>
      <c r="EA26" s="15" t="b">
        <v>1</v>
      </c>
      <c r="EB26" s="15" t="n">
        <v>0.06851848298080214</v>
      </c>
      <c r="EC26" s="15" t="n">
        <v>20000</v>
      </c>
      <c r="ED26" s="15" t="n">
        <v>1975.533205024497</v>
      </c>
      <c r="EE26" s="15" t="n">
        <v>2</v>
      </c>
      <c r="EF26" s="15" t="n">
        <v>0</v>
      </c>
      <c r="EG26" s="15" t="n">
        <v>0.02179988984263414</v>
      </c>
      <c r="EH26" s="15" t="b">
        <v>0</v>
      </c>
      <c r="EI26" s="15" t="b">
        <v>0</v>
      </c>
      <c r="EJ26" s="15" t="b">
        <v>0</v>
      </c>
      <c r="EK26" s="15" t="inlineStr">
        <is>
          <t>wf=log|dst=-90.0|ceil=20000.0|fft=adaptive_tier</t>
        </is>
      </c>
      <c r="EL26" s="15" t="inlineStr">
        <is>
          <t>wf=log|dst=runtime_configured|ceil=runtime_configured|fft=fixed</t>
        </is>
      </c>
      <c r="EM26" s="15" t="n">
        <v>0.19403155225246</v>
      </c>
      <c r="EN26" s="15" t="n">
        <v>0.15</v>
      </c>
      <c r="EO26" s="15" t="n">
        <v>0.09523809523809523</v>
      </c>
      <c r="EP26" s="15" t="n">
        <v>0.4659910945956332</v>
      </c>
      <c r="EQ26" s="15" t="inlineStr">
        <is>
          <t>warn:f0_not_acoustically_verified|power_outlier_detected|low_confidence</t>
        </is>
      </c>
      <c r="ER26" s="15" t="n">
        <v>129.9470527655414</v>
      </c>
      <c r="ES26" s="15" t="inlineStr">
        <is>
          <t>winsorize_p95_for_robust_diagnostics</t>
        </is>
      </c>
      <c r="ET26" s="15" t="n">
        <v>0.1007018836063239</v>
      </c>
      <c r="EU26" s="15" t="n">
        <v>0.02053638355541073</v>
      </c>
      <c r="EV26" s="15" t="n">
        <v>0.02353318188888155</v>
      </c>
      <c r="EW26" t="inlineStr">
        <is>
          <t>computed</t>
        </is>
      </c>
      <c r="EX26" s="15" t="inlineStr">
        <is>
          <t>computed</t>
        </is>
      </c>
      <c r="EY26" s="15" t="inlineStr">
        <is>
          <t>computed</t>
        </is>
      </c>
      <c r="EZ26" s="15" t="inlineStr">
        <is>
          <t>available_from_curve</t>
        </is>
      </c>
      <c r="FA26" s="15" t="n">
        <v>20000</v>
      </c>
      <c r="FB26" s="15" t="n">
        <v>20000</v>
      </c>
      <c r="FC26" s="15" t="n">
        <v>0.499692021917266</v>
      </c>
      <c r="FD26" s="15" t="n">
        <v>0</v>
      </c>
      <c r="FE26" s="15" t="n">
        <v>0.8590109889545239</v>
      </c>
      <c r="FF26" s="15" t="n">
        <v>1.065933019546697</v>
      </c>
      <c r="FG26" s="15" t="n">
        <v>1.781877754454055</v>
      </c>
      <c r="FH26" s="15" t="n">
        <v>0.5181712682181354</v>
      </c>
      <c r="FI26" s="15" t="n">
        <v>0.3610766002916989</v>
      </c>
      <c r="FJ26" s="15" t="n">
        <v>0.1034188712829872</v>
      </c>
      <c r="FK26" s="15" t="n">
        <v>1.22765313492177</v>
      </c>
      <c r="FL26" s="15" t="n">
        <v>7.074888497156091</v>
      </c>
      <c r="FM26" s="15" t="n">
        <v>53.51686765391688</v>
      </c>
      <c r="FN26" s="15" t="n">
        <v>6.85757579409434e-06</v>
      </c>
      <c r="FO26" t="n">
        <v>1</v>
      </c>
      <c r="FP26" t="n">
        <v>0</v>
      </c>
      <c r="FQ26" t="n">
        <v>0</v>
      </c>
      <c r="FR26" t="inlineStr">
        <is>
          <t>good</t>
        </is>
      </c>
      <c r="FS26" s="19" t="n">
        <v>1</v>
      </c>
      <c r="FT26" s="15" t="n">
        <v>10.04706227884025</v>
      </c>
      <c r="FU26" s="15" t="n">
        <v>17.89794294663424</v>
      </c>
      <c r="FV26" t="inlineStr">
        <is>
          <t>passed</t>
        </is>
      </c>
      <c r="FW26" t="n">
        <v>1.55697023019991</v>
      </c>
      <c r="FX26" t="n">
        <v>2.659866255501598</v>
      </c>
      <c r="FY26" t="n">
        <v>14.87926267290147</v>
      </c>
      <c r="FZ26" t="n">
        <v>0.1593054962746942</v>
      </c>
      <c r="GA26" t="n">
        <v>0.0002550144613920676</v>
      </c>
      <c r="GB26" t="n">
        <v>0.2864572712002936</v>
      </c>
      <c r="GC26" t="n">
        <v>1</v>
      </c>
      <c r="GD26" t="n">
        <v>0.9439300236527683</v>
      </c>
      <c r="GE26" t="n">
        <v>0.3162711049848389</v>
      </c>
      <c r="GF26" t="n">
        <v>0.8945007053601162</v>
      </c>
      <c r="GG26" t="n">
        <v>1</v>
      </c>
      <c r="GH26" t="n">
        <v>1</v>
      </c>
      <c r="GI26" t="n">
        <v>0.7237210898867996</v>
      </c>
      <c r="GJ26" t="n">
        <v>0</v>
      </c>
      <c r="GK26" t="n">
        <v>1</v>
      </c>
      <c r="GL26" t="n">
        <v>0.7674418604651162</v>
      </c>
      <c r="GM26" t="n">
        <v>0.9992272229632815</v>
      </c>
      <c r="GN26" t="n">
        <v>0.9992272229632815</v>
      </c>
      <c r="GO26" t="n">
        <v>0</v>
      </c>
      <c r="GP26" t="n">
        <v>1</v>
      </c>
      <c r="GQ26" t="n">
        <v>0.1169078370448059</v>
      </c>
      <c r="GR26" t="inlineStr">
        <is>
          <t>compiled workbook density_weighted_sum = density_component_ratio_weighted_sum (per-note component ratios); research density_weighted_sum maps body-ceiling richness</t>
        </is>
      </c>
      <c r="GS26" s="15" t="inlineStr">
        <is>
          <t>individual_exact</t>
        </is>
      </c>
      <c r="GT26" s="15" t="inlineStr">
        <is>
          <t>density_weight</t>
        </is>
      </c>
      <c r="GU26" s="15" t="n">
        <v>3.283155270453971e-05</v>
      </c>
      <c r="GV26" s="15" t="n">
        <v>0.9999671684472955</v>
      </c>
      <c r="GW26" s="15" t="n">
        <v>0</v>
      </c>
      <c r="GX26" s="15" t="inlineStr">
        <is>
          <t>log</t>
        </is>
      </c>
      <c r="GY26" s="15" t="n">
        <v>0.5</v>
      </c>
      <c r="GZ26" s="15" t="inlineStr">
        <is>
          <t>EWSD-R v18.1</t>
        </is>
      </c>
      <c r="HA26" s="15" t="n">
        <v>2.664274920538771</v>
      </c>
      <c r="HB26" s="15" t="n">
        <v>2.66707595603042</v>
      </c>
      <c r="HC26" s="15" t="n">
        <v>0.000796105975449676</v>
      </c>
      <c r="HD26" s="15" t="n">
        <v>2.664274920538771</v>
      </c>
      <c r="HE26" s="15" t="n">
        <v>2.66707595603042</v>
      </c>
      <c r="HF26" s="15" t="n">
        <v>0.0007951478856140149</v>
      </c>
      <c r="HG26" s="15" t="inlineStr">
        <is>
          <t>partials+ratios</t>
        </is>
      </c>
      <c r="HH26" s="15" t="inlineStr">
        <is>
          <t>merged_individual_exact</t>
        </is>
      </c>
      <c r="HI26" s="15" t="inlineStr">
        <is>
          <t>passed</t>
        </is>
      </c>
      <c r="HJ26" s="15" t="inlineStr">
        <is>
          <t>nominal_fallback_used_not_acoustically_verified</t>
        </is>
      </c>
    </row>
    <row r="27">
      <c r="A27" t="inlineStr">
        <is>
          <t>incomplete_inference</t>
        </is>
      </c>
      <c r="B27" t="inlineStr">
        <is>
          <t>missing_instrument_technique</t>
        </is>
      </c>
      <c r="C27" t="inlineStr">
        <is>
          <t>prior_constrained_harmonic_fit</t>
        </is>
      </c>
      <c r="D27" t="inlineStr">
        <is>
          <t>IOWA_flt_pp.C6_SustainStable/C6/component_amplitude_mass_pie.png</t>
        </is>
      </c>
      <c r="E27" t="inlineStr">
        <is>
          <t>IOWA_flt_pp.C6_SustainStable/C6/component_energy_ratio_pie.png</t>
        </is>
      </c>
      <c r="F27" s="15" t="n">
        <v>1046.433215590241</v>
      </c>
      <c r="G27" s="15" t="inlineStr">
        <is>
          <t>prior_constrained_harmonic_fit</t>
        </is>
      </c>
      <c r="H27" s="15" t="inlineStr">
        <is>
          <t>fit_accepted_acoustically_verified</t>
        </is>
      </c>
      <c r="I27" s="16" t="n">
        <v>181.311474435786</v>
      </c>
      <c r="J27" t="inlineStr">
        <is>
          <t>richness_weighted_body_density_body_ceiling</t>
        </is>
      </c>
      <c r="K27" t="inlineStr">
        <is>
          <t>research_body_ceiling_richness_metric</t>
        </is>
      </c>
      <c r="L27" s="15" t="n">
        <v>39345.45540041119</v>
      </c>
      <c r="M27" s="15" t="n">
        <v>39375.19331955076</v>
      </c>
      <c r="N27" s="15" t="n">
        <v>382.6983772096497</v>
      </c>
      <c r="O27" s="15" t="n">
        <v>187.5402684389512</v>
      </c>
      <c r="P27" s="15" t="n">
        <v>-5.575111009501265</v>
      </c>
      <c r="Q27" s="15" t="n">
        <v>10</v>
      </c>
      <c r="R27" s="15" t="n">
        <v>18</v>
      </c>
      <c r="S27" s="15" t="n">
        <v>2460.959252390669</v>
      </c>
      <c r="T27" s="15" t="n">
        <v>20</v>
      </c>
      <c r="U27" s="15" t="n">
        <v>-0.5173688894764955</v>
      </c>
      <c r="V27" s="15" t="n">
        <v>14.57158194105278</v>
      </c>
      <c r="W27" s="15" t="n">
        <v>0.6104382092402979</v>
      </c>
      <c r="X27" s="15" t="n">
        <v>0.4078464446714947</v>
      </c>
      <c r="Y27" s="15" t="n">
        <v>12</v>
      </c>
      <c r="Z27" s="15" t="n">
        <v>19</v>
      </c>
      <c r="AA27" s="15" t="n">
        <v>0.631578947368421</v>
      </c>
      <c r="AB27" s="15" t="n">
        <v>19</v>
      </c>
      <c r="AC27" s="15" t="n">
        <v>12</v>
      </c>
      <c r="AD27" s="15" t="n">
        <v>0.631578947368421</v>
      </c>
      <c r="AE27" s="15" t="n">
        <v>203.6230270756396</v>
      </c>
      <c r="AF27" s="15" t="n">
        <v>12</v>
      </c>
      <c r="AG27" s="15" t="n">
        <v>19</v>
      </c>
      <c r="AH27" s="15" t="n">
        <v>0.631578947368421</v>
      </c>
      <c r="AI27" s="15" t="n">
        <v>203.6230270756396</v>
      </c>
      <c r="AJ27" s="15" t="n">
        <v>6</v>
      </c>
      <c r="AK27" s="15" t="n">
        <v>6</v>
      </c>
      <c r="AL27" s="15" t="n">
        <v>5.435142962885339</v>
      </c>
      <c r="AM27" s="15" t="n">
        <v>52</v>
      </c>
      <c r="AN27" s="15" t="n">
        <v>0</v>
      </c>
      <c r="AO27" s="15" t="n">
        <v>52</v>
      </c>
      <c r="AP27" s="15" t="n">
        <v>0</v>
      </c>
      <c r="AQ27" s="15" t="n">
        <v>21.52983831854706</v>
      </c>
      <c r="AR27" s="15" t="n">
        <v>10.7836816593688</v>
      </c>
      <c r="AS27" s="15" t="n">
        <v>0.2268672288497385</v>
      </c>
      <c r="AT27" s="17" t="n">
        <v>2.465834068346107</v>
      </c>
      <c r="AU27" s="18" t="n">
        <v>5.303487777106421</v>
      </c>
      <c r="AV27" s="15" t="n">
        <v>7.207236338616923</v>
      </c>
      <c r="AW27" s="15" t="b">
        <v>1</v>
      </c>
      <c r="AX27" s="15" t="n">
        <v>6.860121670076349</v>
      </c>
      <c r="AY27" s="15" t="n">
        <v>23.32864866137433</v>
      </c>
      <c r="AZ27" s="15" t="n">
        <v>0</v>
      </c>
      <c r="BA27" s="15" t="n">
        <v>1</v>
      </c>
      <c r="BB27" s="15" t="n">
        <v>0.5</v>
      </c>
      <c r="BC27" s="15" t="n">
        <v>0.25</v>
      </c>
      <c r="BD27" s="15" t="inlineStr">
        <is>
          <t>his_note_adaptive</t>
        </is>
      </c>
      <c r="BE27" s="15" t="n">
        <v>-90</v>
      </c>
      <c r="BF27" s="15" t="n">
        <v>20000</v>
      </c>
      <c r="BG27" s="15" t="n">
        <v>12</v>
      </c>
      <c r="BH27" s="15" t="n">
        <v>0.631578947368421</v>
      </c>
      <c r="BI27" s="15" t="n">
        <v>19</v>
      </c>
      <c r="BJ27" s="15" t="n">
        <v>12</v>
      </c>
      <c r="BK27" s="15" t="n">
        <v>19</v>
      </c>
      <c r="BL27" s="15" t="n">
        <v>16</v>
      </c>
      <c r="BM27" s="15" t="n">
        <v>0.8421052631578947</v>
      </c>
      <c r="BN27" s="15" t="n">
        <v>0.3101647171309271</v>
      </c>
      <c r="BO27" s="15" t="n">
        <v>0.4333333333333333</v>
      </c>
      <c r="BP27" s="19" t="n">
        <v>0.7791247112887303</v>
      </c>
      <c r="BQ27" s="19" t="n">
        <v>0.2208752887112698</v>
      </c>
      <c r="BR27" s="19" t="n">
        <v>0</v>
      </c>
      <c r="BS27" s="15" t="n">
        <v>0.12275265791222</v>
      </c>
      <c r="BT27" s="19" t="n">
        <v>0.9992373424890216</v>
      </c>
      <c r="BU27" s="19" t="n">
        <v>0.0007626575109783497</v>
      </c>
      <c r="BV27" s="19" t="n">
        <v>0</v>
      </c>
      <c r="BW27" t="inlineStr">
        <is>
          <t>C6</t>
        </is>
      </c>
      <c r="BX27" t="n">
        <v>84</v>
      </c>
      <c r="BY27" t="inlineStr">
        <is>
          <t>C</t>
        </is>
      </c>
      <c r="BZ27" t="n">
        <v>6</v>
      </c>
      <c r="CA27" t="inlineStr">
        <is>
          <t>Very high</t>
        </is>
      </c>
      <c r="CB27" t="inlineStr">
        <is>
          <t>pp</t>
        </is>
      </c>
      <c r="CC27" s="15" t="n">
        <v>1046.502261202394</v>
      </c>
      <c r="CD27" s="15" t="n">
        <v>1046.433215590241</v>
      </c>
      <c r="CE27" t="inlineStr">
        <is>
          <t>prior_constrained_harmonic_fit</t>
        </is>
      </c>
      <c r="CF27" t="n">
        <v>1046.433215590241</v>
      </c>
      <c r="CG27" s="15" t="n">
        <v>1</v>
      </c>
      <c r="CH27" t="n">
        <v/>
      </c>
      <c r="CI27" t="inlineStr">
        <is>
          <t>free_fit_acoustically_verified</t>
        </is>
      </c>
      <c r="CJ27" s="15" t="inlineStr">
        <is>
          <t>free_f0_fit</t>
        </is>
      </c>
      <c r="CK27" s="15" t="n">
        <v>1046.502261202394</v>
      </c>
      <c r="CL27" s="15" t="n">
        <v>1046.433215590241</v>
      </c>
      <c r="CM27" s="15" t="n">
        <v>-0.1142262779404487</v>
      </c>
      <c r="CN27" s="15" t="n">
        <v>20000</v>
      </c>
      <c r="CO27" s="15" t="n">
        <v>-0.1142262779404487</v>
      </c>
      <c r="CP27" s="15" t="n">
        <v>2.178048791553681</v>
      </c>
      <c r="CQ27" s="15" t="n">
        <v>39345.45540041119</v>
      </c>
      <c r="CR27" t="n">
        <v>1.400900417860769</v>
      </c>
      <c r="CS27" t="n">
        <v>0.07373160094004047</v>
      </c>
      <c r="CT27" t="n">
        <v>129.4249556386426</v>
      </c>
      <c r="CU27" t="n">
        <v>129.5236622353643</v>
      </c>
      <c r="CV27" t="n">
        <v>181.311474435786</v>
      </c>
      <c r="CW27" t="n">
        <v>187.5402684389512</v>
      </c>
      <c r="CX27" s="15" t="n">
        <v>39375.19331955076</v>
      </c>
      <c r="CY27" s="15" t="n">
        <v>382.6983772096497</v>
      </c>
      <c r="CZ27" s="15" t="n">
        <v>187.5402684389512</v>
      </c>
      <c r="DA27" s="15" t="n">
        <v>2.465834068346107</v>
      </c>
      <c r="DB27" s="15" t="n">
        <v>2.466351641032736</v>
      </c>
      <c r="DC27" s="15" t="n">
        <v>1.787707978342082</v>
      </c>
      <c r="DD27" s="15" t="n">
        <v>0</v>
      </c>
      <c r="DE27" s="15" t="n">
        <v>6.267138207581497e-05</v>
      </c>
      <c r="DF27" s="15" t="n">
        <v>0</v>
      </c>
      <c r="DG27" s="15" t="n">
        <v>10</v>
      </c>
      <c r="DH27" s="15" t="inlineStr">
        <is>
          <t>Density_Metrics</t>
        </is>
      </c>
      <c r="DI27" s="15" t="n">
        <v>2.178048791553681</v>
      </c>
      <c r="DJ27" t="n">
        <v>0.9832650078492912</v>
      </c>
      <c r="DK27" s="15" t="n">
        <v>0.5398077664198213</v>
      </c>
      <c r="DL27" s="15" t="n">
        <v>5.713893723875452</v>
      </c>
      <c r="DM27" s="15" t="n">
        <v>1.441731342235473</v>
      </c>
      <c r="DN27" s="15" t="n">
        <v>1.043166555098199</v>
      </c>
      <c r="DO27" s="15" t="n">
        <v>12.77914330305404</v>
      </c>
      <c r="DP27" s="15" t="n">
        <v>1.695460945455001</v>
      </c>
      <c r="DQ27" s="15" t="n">
        <v>4.5</v>
      </c>
      <c r="DR27" s="15" t="n">
        <v>25</v>
      </c>
      <c r="DS27" s="15" t="b">
        <v>1</v>
      </c>
      <c r="DT27" s="15" t="n">
        <v>1.400900417860769</v>
      </c>
      <c r="DU27" s="15" t="n">
        <v>7.749082448758399</v>
      </c>
      <c r="DV27" t="n">
        <v>19</v>
      </c>
      <c r="DW27" s="15" t="n">
        <v>0.12275265791222</v>
      </c>
      <c r="DX27" s="15" t="n">
        <v>1.05698127958047</v>
      </c>
      <c r="DY27" s="15" t="n">
        <v>2.222514065308047</v>
      </c>
      <c r="DZ27" s="15" t="n">
        <v>0.1708717350557544</v>
      </c>
      <c r="EA27" s="15" t="b">
        <v>1</v>
      </c>
      <c r="EB27" s="15" t="n">
        <v>0.3293107425179881</v>
      </c>
      <c r="EC27" s="15" t="n">
        <v>20000</v>
      </c>
      <c r="ED27" s="15" t="n">
        <v>11510.76537149265</v>
      </c>
      <c r="EE27" s="15" t="n">
        <v>11</v>
      </c>
      <c r="EF27" s="15" t="n">
        <v>0</v>
      </c>
      <c r="EG27" s="15" t="n">
        <v>0.02057635604175294</v>
      </c>
      <c r="EH27" s="15" t="b">
        <v>0</v>
      </c>
      <c r="EI27" s="15" t="b">
        <v>1</v>
      </c>
      <c r="EJ27" s="15" t="b">
        <v>0</v>
      </c>
      <c r="EK27" s="15" t="inlineStr">
        <is>
          <t>wf=log|dst=-90.0|ceil=20000.0|fft=adaptive_tier</t>
        </is>
      </c>
      <c r="EL27" s="15" t="inlineStr">
        <is>
          <t>wf=log|dst=runtime_configured|ceil=runtime_configured|fft=fixed</t>
        </is>
      </c>
      <c r="EM27" s="15" t="n">
        <v>0.698026564121291</v>
      </c>
      <c r="EN27" s="15" t="n">
        <v>0.9912799660573152</v>
      </c>
      <c r="EO27" s="15" t="n">
        <v>0.5</v>
      </c>
      <c r="EP27" s="15" t="n">
        <v>0.3847528969774962</v>
      </c>
      <c r="EQ27" s="15" t="inlineStr">
        <is>
          <t>warn:power_outlier_detected</t>
        </is>
      </c>
      <c r="ER27" s="15" t="n">
        <v>387.2562591624503</v>
      </c>
      <c r="ES27" s="15" t="inlineStr">
        <is>
          <t>winsorize_p95_for_robust_diagnostics</t>
        </is>
      </c>
      <c r="ET27" s="15" t="n">
        <v>0.1984770544445244</v>
      </c>
      <c r="EU27" s="15" t="n">
        <v>0.03342484811167363</v>
      </c>
      <c r="EV27" s="15" t="n">
        <v>0.03930479737968364</v>
      </c>
      <c r="EW27" t="inlineStr">
        <is>
          <t>computed</t>
        </is>
      </c>
      <c r="EX27" s="15" t="inlineStr">
        <is>
          <t>computed</t>
        </is>
      </c>
      <c r="EY27" s="15" t="inlineStr">
        <is>
          <t>computed</t>
        </is>
      </c>
      <c r="EZ27" s="15" t="inlineStr">
        <is>
          <t>available_from_curve</t>
        </is>
      </c>
      <c r="FA27" s="15" t="n">
        <v>20000</v>
      </c>
      <c r="FB27" s="15" t="n">
        <v>20000</v>
      </c>
      <c r="FC27" s="15" t="n">
        <v>0.2208752887112698</v>
      </c>
      <c r="FD27" s="15" t="n">
        <v>0.2286900184655664</v>
      </c>
      <c r="FE27" s="15" t="n">
        <v>2.466351641032736</v>
      </c>
      <c r="FF27" s="15" t="n">
        <v>1.787707978342082</v>
      </c>
      <c r="FG27" s="15" t="n">
        <v>1.459834104500633</v>
      </c>
      <c r="FH27" s="15" t="n">
        <v>1.487748788011686</v>
      </c>
      <c r="FI27" s="15" t="n">
        <v>0.6055723082943925</v>
      </c>
      <c r="FJ27" s="15" t="n">
        <v>0.08472769524760275</v>
      </c>
      <c r="FK27" s="15" t="n">
        <v>2460.949582471922</v>
      </c>
      <c r="FL27" s="15" t="n">
        <v>23.9186485756031</v>
      </c>
      <c r="FM27" s="15" t="n">
        <v>11.72126677743445</v>
      </c>
      <c r="FN27" s="15" t="n">
        <v>0.004574631228984874</v>
      </c>
      <c r="FO27" t="n">
        <v>0.9992373424890216</v>
      </c>
      <c r="FP27" t="n">
        <v>0.0007626575109783497</v>
      </c>
      <c r="FQ27" t="n">
        <v>0</v>
      </c>
      <c r="FR27" t="inlineStr">
        <is>
          <t>good</t>
        </is>
      </c>
      <c r="FS27" s="19" t="n">
        <v>0.8421052631578947</v>
      </c>
      <c r="FT27" s="15" t="n">
        <v>4.078666941037681</v>
      </c>
      <c r="FU27" s="15" t="n">
        <v>16.53042498183061</v>
      </c>
      <c r="FV27" t="inlineStr">
        <is>
          <t>passed</t>
        </is>
      </c>
      <c r="FW27" t="n">
        <v>72.91302435650326</v>
      </c>
      <c r="FX27" t="n">
        <v>15.08373618540588</v>
      </c>
      <c r="FY27" t="n">
        <v>6.957325116582393</v>
      </c>
      <c r="FZ27" t="n">
        <v>0.9747133841425822</v>
      </c>
      <c r="GA27" t="n">
        <v>0.4652249397439509</v>
      </c>
      <c r="GB27" t="n">
        <v>0.9186338791670549</v>
      </c>
      <c r="GC27" t="n">
        <v>0.158589592743604</v>
      </c>
      <c r="GD27" t="n">
        <v>0.4183425245866701</v>
      </c>
      <c r="GE27" t="n">
        <v>0.358168798847346</v>
      </c>
      <c r="GF27" t="n">
        <v>0</v>
      </c>
      <c r="GG27" t="n">
        <v>0.7816034972115842</v>
      </c>
      <c r="GH27" t="n">
        <v>0.3621642209831678</v>
      </c>
      <c r="GI27" t="n">
        <v>0</v>
      </c>
      <c r="GJ27" t="n">
        <v>0.5665634674922601</v>
      </c>
      <c r="GK27" t="n">
        <v>0.2105263157894733</v>
      </c>
      <c r="GL27" t="n">
        <v>0.7674418604651162</v>
      </c>
      <c r="GM27" t="n">
        <v>0.02145852521771643</v>
      </c>
      <c r="GN27" t="n">
        <v>0.02145852521771643</v>
      </c>
      <c r="GO27" t="n">
        <v>0.5669064447521999</v>
      </c>
      <c r="GP27" t="n">
        <v>0.2941015529114574</v>
      </c>
      <c r="GQ27" t="n">
        <v>181.311474435786</v>
      </c>
      <c r="GR27" t="inlineStr">
        <is>
          <t>compiled workbook density_weighted_sum = density_component_ratio_weighted_sum (per-note component ratios); research density_weighted_sum maps body-ceiling richness</t>
        </is>
      </c>
      <c r="GS27" s="15" t="inlineStr">
        <is>
          <t>individual_exact</t>
        </is>
      </c>
      <c r="GT27" s="15" t="inlineStr">
        <is>
          <t>density_weight</t>
        </is>
      </c>
      <c r="GU27" s="15" t="n">
        <v>0.7617540420363237</v>
      </c>
      <c r="GV27" s="15" t="n">
        <v>0.2382459579636763</v>
      </c>
      <c r="GW27" s="15" t="n">
        <v>0</v>
      </c>
      <c r="GX27" s="15" t="inlineStr">
        <is>
          <t>log</t>
        </is>
      </c>
      <c r="GY27" s="15" t="n">
        <v>0.5</v>
      </c>
      <c r="GZ27" s="15" t="inlineStr">
        <is>
          <t>EWSD-R v18.1</t>
        </is>
      </c>
      <c r="HA27" s="15" t="n">
        <v>1.419756549269845</v>
      </c>
      <c r="HB27" s="15" t="n">
        <v>11.85164142766453</v>
      </c>
      <c r="HC27" s="15" t="n">
        <v>0.5053902151430463</v>
      </c>
      <c r="HD27" s="15" t="n">
        <v>2.667920042133</v>
      </c>
      <c r="HE27" s="15" t="n">
        <v>14.8302046865371</v>
      </c>
      <c r="HF27" s="15" t="n">
        <v>0.4473955836157608</v>
      </c>
      <c r="HG27" s="15" t="inlineStr">
        <is>
          <t>partials+ratios</t>
        </is>
      </c>
      <c r="HH27" s="15" t="inlineStr">
        <is>
          <t>merged_individual_exact</t>
        </is>
      </c>
      <c r="HI27" s="15" t="inlineStr">
        <is>
          <t>passed</t>
        </is>
      </c>
      <c r="HJ27" s="15" t="inlineStr">
        <is>
          <t>passed</t>
        </is>
      </c>
    </row>
    <row r="28">
      <c r="A28" t="inlineStr">
        <is>
          <t>incomplete_inference</t>
        </is>
      </c>
      <c r="B28" t="inlineStr">
        <is>
          <t>missing_instrument_technique</t>
        </is>
      </c>
      <c r="C28" t="inlineStr">
        <is>
          <t>prior_constrained_harmonic_fit</t>
        </is>
      </c>
      <c r="D28" t="inlineStr">
        <is>
          <t>IOWA_flt_pp.C#6_SustainStable/C#6/component_amplitude_mass_pie.png</t>
        </is>
      </c>
      <c r="E28" t="inlineStr">
        <is>
          <t>IOWA_flt_pp.C#6_SustainStable/C#6/component_energy_ratio_pie.png</t>
        </is>
      </c>
      <c r="F28" s="15" t="n">
        <v>1108.154624267364</v>
      </c>
      <c r="G28" s="15" t="inlineStr">
        <is>
          <t>prior_constrained_harmonic_fit</t>
        </is>
      </c>
      <c r="H28" s="15" t="inlineStr">
        <is>
          <t>fit_accepted_acoustically_verified</t>
        </is>
      </c>
      <c r="I28" s="16" t="n">
        <v>144.7747858944774</v>
      </c>
      <c r="J28" t="inlineStr">
        <is>
          <t>richness_weighted_body_density_body_ceiling</t>
        </is>
      </c>
      <c r="K28" t="inlineStr">
        <is>
          <t>research_body_ceiling_richness_metric</t>
        </is>
      </c>
      <c r="L28" s="15" t="n">
        <v>40642.46436940818</v>
      </c>
      <c r="M28" s="15" t="n">
        <v>40642.46436940818</v>
      </c>
      <c r="N28" s="15" t="n">
        <v>177.4460714052051</v>
      </c>
      <c r="O28" s="15" t="n">
        <v>79.57541476412807</v>
      </c>
      <c r="P28" s="15" t="n">
        <v>-10.46315043160436</v>
      </c>
      <c r="Q28" s="15" t="n">
        <v>6</v>
      </c>
      <c r="R28" s="15" t="n">
        <v>13</v>
      </c>
      <c r="S28" s="15" t="n">
        <v>2540.1588177794</v>
      </c>
      <c r="T28" s="15" t="n">
        <v>19</v>
      </c>
      <c r="U28" s="15" t="n">
        <v>-0.4469613778479568</v>
      </c>
      <c r="V28" s="15" t="n">
        <v>9.785216028758462</v>
      </c>
      <c r="W28" s="15" t="n">
        <v>0.8439621756344665</v>
      </c>
      <c r="X28" s="15" t="n">
        <v>0.325819561913583</v>
      </c>
      <c r="Y28" s="15" t="n">
        <v>8</v>
      </c>
      <c r="Z28" s="15" t="n">
        <v>18</v>
      </c>
      <c r="AA28" s="15" t="n">
        <v>0.4444444444444444</v>
      </c>
      <c r="AB28" s="15" t="n">
        <v>18</v>
      </c>
      <c r="AC28" s="15" t="n">
        <v>8</v>
      </c>
      <c r="AD28" s="15" t="n">
        <v>0.4444444444444444</v>
      </c>
      <c r="AE28" s="15" t="n">
        <v>163.1519506614806</v>
      </c>
      <c r="AF28" s="15" t="n">
        <v>8</v>
      </c>
      <c r="AG28" s="15" t="n">
        <v>18</v>
      </c>
      <c r="AH28" s="15" t="n">
        <v>0.4444444444444444</v>
      </c>
      <c r="AI28" s="15" t="n">
        <v>163.1519506614806</v>
      </c>
      <c r="AJ28" s="15" t="n">
        <v>5</v>
      </c>
      <c r="AK28" s="15" t="n">
        <v>3</v>
      </c>
      <c r="AL28" s="15" t="n">
        <v>98.8680142334198</v>
      </c>
      <c r="AM28" s="15" t="n">
        <v>30</v>
      </c>
      <c r="AN28" s="15" t="n">
        <v>0</v>
      </c>
      <c r="AO28" s="15" t="n">
        <v>30</v>
      </c>
      <c r="AP28" s="15" t="n">
        <v>0</v>
      </c>
      <c r="AQ28" s="15" t="n">
        <v>12.88844658524267</v>
      </c>
      <c r="AR28" s="15" t="n">
        <v>6.569700401651831</v>
      </c>
      <c r="AS28" s="15" t="n">
        <v>0.06616120655062731</v>
      </c>
      <c r="AT28" s="17" t="n">
        <v>2.370462261050567</v>
      </c>
      <c r="AU28" s="18" t="n">
        <v>3.75326875325021</v>
      </c>
      <c r="AV28" s="15" t="n">
        <v>5.067149576652393</v>
      </c>
      <c r="AW28" s="15" t="b">
        <v>1</v>
      </c>
      <c r="AX28" s="15" t="n">
        <v>4.584331136685051</v>
      </c>
      <c r="AY28" s="15" t="n">
        <v>13.51930118650117</v>
      </c>
      <c r="AZ28" s="15" t="n">
        <v>0</v>
      </c>
      <c r="BA28" s="15" t="n">
        <v>1</v>
      </c>
      <c r="BB28" s="15" t="n">
        <v>0.5</v>
      </c>
      <c r="BC28" s="15" t="n">
        <v>0.25</v>
      </c>
      <c r="BD28" s="15" t="inlineStr">
        <is>
          <t>his_note_adaptive</t>
        </is>
      </c>
      <c r="BE28" s="15" t="n">
        <v>-90</v>
      </c>
      <c r="BF28" s="15" t="n">
        <v>20000</v>
      </c>
      <c r="BG28" s="15" t="n">
        <v>8</v>
      </c>
      <c r="BH28" s="15" t="n">
        <v>0.4444444444444444</v>
      </c>
      <c r="BI28" s="15" t="n">
        <v>18</v>
      </c>
      <c r="BJ28" s="15" t="n">
        <v>8</v>
      </c>
      <c r="BK28" s="15" t="n">
        <v>18</v>
      </c>
      <c r="BL28" s="15" t="n">
        <v>15</v>
      </c>
      <c r="BM28" s="15" t="n">
        <v>0.8333333333333334</v>
      </c>
      <c r="BN28" s="15" t="n">
        <v>0.2625062486919086</v>
      </c>
      <c r="BO28" s="15" t="n">
        <v>0.25</v>
      </c>
      <c r="BP28" s="19" t="n">
        <v>0.7658446459243488</v>
      </c>
      <c r="BQ28" s="19" t="n">
        <v>0.2341553540756512</v>
      </c>
      <c r="BR28" s="19" t="n">
        <v>0</v>
      </c>
      <c r="BS28" s="15" t="n">
        <v>0.0764369625490538</v>
      </c>
      <c r="BT28" s="19" t="n">
        <v>1</v>
      </c>
      <c r="BU28" s="19" t="n">
        <v>0</v>
      </c>
      <c r="BV28" s="19" t="n">
        <v>0</v>
      </c>
      <c r="BW28" t="inlineStr">
        <is>
          <t>C#6</t>
        </is>
      </c>
      <c r="BX28" t="n">
        <v>85</v>
      </c>
      <c r="BY28" t="inlineStr">
        <is>
          <t>C#</t>
        </is>
      </c>
      <c r="BZ28" t="n">
        <v>6</v>
      </c>
      <c r="CA28" t="inlineStr">
        <is>
          <t>Very high</t>
        </is>
      </c>
      <c r="CB28" t="inlineStr">
        <is>
          <t>pp</t>
        </is>
      </c>
      <c r="CC28" s="15" t="n">
        <v>1108.730523907488</v>
      </c>
      <c r="CD28" s="15" t="n">
        <v>1108.154624267364</v>
      </c>
      <c r="CE28" t="inlineStr">
        <is>
          <t>prior_constrained_harmonic_fit</t>
        </is>
      </c>
      <c r="CF28" t="n">
        <v>1108.154624267364</v>
      </c>
      <c r="CG28" s="15" t="n">
        <v>1</v>
      </c>
      <c r="CH28" t="n">
        <v/>
      </c>
      <c r="CI28" t="inlineStr">
        <is>
          <t>free_fit_acoustically_verified</t>
        </is>
      </c>
      <c r="CJ28" s="15" t="inlineStr">
        <is>
          <t>free_f0_fit</t>
        </is>
      </c>
      <c r="CK28" s="15" t="n">
        <v>1108.730523907488</v>
      </c>
      <c r="CL28" s="15" t="n">
        <v>1108.154624267364</v>
      </c>
      <c r="CM28" s="15" t="n">
        <v>-0.8994756350603923</v>
      </c>
      <c r="CN28" s="15" t="n">
        <v>20000</v>
      </c>
      <c r="CO28" s="15" t="n">
        <v>-0.8994756350603923</v>
      </c>
      <c r="CP28" s="15" t="n">
        <v>2.008765730796076</v>
      </c>
      <c r="CQ28" s="15" t="n">
        <v>40642.46436940818</v>
      </c>
      <c r="CR28" t="n">
        <v>1.025900840033551</v>
      </c>
      <c r="CS28" t="n">
        <v>0.05699449111297503</v>
      </c>
      <c r="CT28" t="n">
        <v>141.1196679493339</v>
      </c>
      <c r="CU28" t="n">
        <v>141.1196679493339</v>
      </c>
      <c r="CV28" t="n">
        <v>144.7747858944774</v>
      </c>
      <c r="CW28" t="n">
        <v>79.57541476412807</v>
      </c>
      <c r="CX28" s="15" t="n">
        <v>40642.46436940818</v>
      </c>
      <c r="CY28" s="15" t="n">
        <v>177.4460714052051</v>
      </c>
      <c r="CZ28" s="15" t="n">
        <v>79.57541476412807</v>
      </c>
      <c r="DA28" s="15" t="n">
        <v>2.370462261050567</v>
      </c>
      <c r="DB28" s="15" t="n">
        <v>2.370462261050567</v>
      </c>
      <c r="DC28" s="15" t="n">
        <v>1.48833018669361</v>
      </c>
      <c r="DD28" s="15" t="n">
        <v>0</v>
      </c>
      <c r="DE28" s="15" t="n">
        <v>5.83247669113989e-05</v>
      </c>
      <c r="DF28" s="15" t="n">
        <v>0</v>
      </c>
      <c r="DG28" s="15" t="n">
        <v>6</v>
      </c>
      <c r="DH28" s="15" t="inlineStr">
        <is>
          <t>Density_Metrics</t>
        </is>
      </c>
      <c r="DI28" s="15" t="n">
        <v>2.008765730796076</v>
      </c>
      <c r="DJ28" t="n">
        <v>0.9068433451619996</v>
      </c>
      <c r="DK28" s="15" t="n">
        <v>0.5276894687217322</v>
      </c>
      <c r="DL28" s="15" t="n">
        <v>5.145831497972924</v>
      </c>
      <c r="DM28" s="15" t="n">
        <v>1.038909649238708</v>
      </c>
      <c r="DN28" s="15" t="n">
        <v>1.0137063041449</v>
      </c>
      <c r="DO28" s="15" t="n">
        <v>7.909207976645114</v>
      </c>
      <c r="DP28" s="15" t="n">
        <v>1.918717648829547</v>
      </c>
      <c r="DQ28" s="15" t="n">
        <v>12.8125</v>
      </c>
      <c r="DR28" s="15" t="n">
        <v>17</v>
      </c>
      <c r="DS28" s="15" t="b">
        <v>0</v>
      </c>
      <c r="DT28" s="15" t="n">
        <v>1.025900840033551</v>
      </c>
      <c r="DU28" s="15" t="n">
        <v>5.864752114444494</v>
      </c>
      <c r="DV28" t="n">
        <v>18</v>
      </c>
      <c r="DW28" s="15" t="n">
        <v>0.0764369625490538</v>
      </c>
      <c r="DX28" s="15" t="n">
        <v>0.8347767719752551</v>
      </c>
      <c r="DY28" s="15" t="n">
        <v>2.19262725078163</v>
      </c>
      <c r="DZ28" s="15" t="n">
        <v>0.2517648645285023</v>
      </c>
      <c r="EA28" s="15" t="b">
        <v>1</v>
      </c>
      <c r="EB28" s="15" t="n">
        <v>0.2206205017688553</v>
      </c>
      <c r="EC28" s="15" t="n">
        <v>20000</v>
      </c>
      <c r="ED28" s="15" t="n">
        <v>6648.927745604186</v>
      </c>
      <c r="EE28" s="15" t="n">
        <v>6</v>
      </c>
      <c r="EF28" s="15" t="n">
        <v>0</v>
      </c>
      <c r="EG28" s="15" t="n">
        <v>0.01942149391640337</v>
      </c>
      <c r="EH28" s="15" t="b">
        <v>0</v>
      </c>
      <c r="EI28" s="15" t="b">
        <v>1</v>
      </c>
      <c r="EJ28" s="15" t="b">
        <v>0</v>
      </c>
      <c r="EK28" s="15" t="inlineStr">
        <is>
          <t>wf=log|dst=-90.0|ceil=20000.0|fft=adaptive_tier</t>
        </is>
      </c>
      <c r="EL28" s="15" t="inlineStr">
        <is>
          <t>wf=log|dst=runtime_configured|ceil=runtime_configured|fft=fixed</t>
        </is>
      </c>
      <c r="EM28" s="15" t="n">
        <v>0.6339416132734397</v>
      </c>
      <c r="EN28" s="15" t="n">
        <v>0.9978080124802341</v>
      </c>
      <c r="EO28" s="15" t="n">
        <v>0.3157894736842105</v>
      </c>
      <c r="EP28" s="15" t="n">
        <v>0.372008459339303</v>
      </c>
      <c r="EQ28" s="15" t="inlineStr">
        <is>
          <t>warn:power_outlier_detected</t>
        </is>
      </c>
      <c r="ER28" s="15" t="n">
        <v>477.653016435429</v>
      </c>
      <c r="ES28" s="15" t="inlineStr">
        <is>
          <t>winsorize_p95_for_robust_diagnostics</t>
        </is>
      </c>
      <c r="ET28" s="15" t="n">
        <v>0.2310748232157511</v>
      </c>
      <c r="EU28" s="15" t="n">
        <v>0.02434284679271827</v>
      </c>
      <c r="EV28" s="15" t="n">
        <v>0.02600297458787207</v>
      </c>
      <c r="EW28" t="inlineStr">
        <is>
          <t>computed</t>
        </is>
      </c>
      <c r="EX28" s="15" t="inlineStr">
        <is>
          <t>computed</t>
        </is>
      </c>
      <c r="EY28" s="15" t="inlineStr">
        <is>
          <t>computed</t>
        </is>
      </c>
      <c r="EZ28" s="15" t="inlineStr">
        <is>
          <t>available_from_curve</t>
        </is>
      </c>
      <c r="FA28" s="15" t="n">
        <v>20000</v>
      </c>
      <c r="FB28" s="15" t="n">
        <v>20000</v>
      </c>
      <c r="FC28" s="15" t="n">
        <v>0.2341553540756512</v>
      </c>
      <c r="FD28" s="15" t="n">
        <v>0.04458191579252502</v>
      </c>
      <c r="FE28" s="15" t="n">
        <v>2.370462261050567</v>
      </c>
      <c r="FF28" s="15" t="n">
        <v>1.48833018669361</v>
      </c>
      <c r="FG28" s="15" t="n">
        <v>1.287039050228747</v>
      </c>
      <c r="FH28" s="15" t="n">
        <v>1.429906545860064</v>
      </c>
      <c r="FI28" s="15" t="n">
        <v>0.5041603872552662</v>
      </c>
      <c r="FJ28" s="15" t="n">
        <v>0.07469879768074572</v>
      </c>
      <c r="FK28" s="15" t="n">
        <v>2540.154023088011</v>
      </c>
      <c r="FL28" s="15" t="n">
        <v>11.09037946282532</v>
      </c>
      <c r="FM28" s="15" t="n">
        <v>4.973463422758004</v>
      </c>
      <c r="FN28" s="15" t="n">
        <v>0.004708036400945364</v>
      </c>
      <c r="FO28" t="n">
        <v>1</v>
      </c>
      <c r="FP28" t="n">
        <v>0</v>
      </c>
      <c r="FQ28" t="n">
        <v>0</v>
      </c>
      <c r="FR28" t="inlineStr">
        <is>
          <t>good</t>
        </is>
      </c>
      <c r="FS28" s="19" t="n">
        <v>0.8333333333333334</v>
      </c>
      <c r="FT28" s="15" t="n">
        <v>3.539799052963356</v>
      </c>
      <c r="FU28" s="15" t="n">
        <v>13.81809328530838</v>
      </c>
      <c r="FV28" t="inlineStr">
        <is>
          <t>passed</t>
        </is>
      </c>
      <c r="FW28" t="n">
        <v>58.41813325252136</v>
      </c>
      <c r="FX28" t="n">
        <v>7.446091019979336</v>
      </c>
      <c r="FY28" t="n">
        <v>4.5914902200278</v>
      </c>
      <c r="FZ28" t="n">
        <v>0.8592400567483507</v>
      </c>
      <c r="GA28" t="n">
        <v>0.3714668229305165</v>
      </c>
      <c r="GB28" t="n">
        <v>0.7397087294576913</v>
      </c>
      <c r="GC28" t="n">
        <v>0.008898351346113886</v>
      </c>
      <c r="GD28" t="n">
        <v>0.02702771642486616</v>
      </c>
      <c r="GE28" t="n">
        <v>0.07860775408620006</v>
      </c>
      <c r="GF28" t="n">
        <v>0.6247478237967743</v>
      </c>
      <c r="GG28" t="n">
        <v>0.5928921873712563</v>
      </c>
      <c r="GH28" t="n">
        <v>0.1300037125751231</v>
      </c>
      <c r="GI28" t="n">
        <v>0.03244136598293317</v>
      </c>
      <c r="GJ28" t="n">
        <v>0.3464052287581699</v>
      </c>
      <c r="GK28" t="n">
        <v>0.1666666666666667</v>
      </c>
      <c r="GL28" t="n">
        <v>0.2558139534883722</v>
      </c>
      <c r="GM28" t="n">
        <v>0.06802973372446608</v>
      </c>
      <c r="GN28" t="n">
        <v>0.06802973372446608</v>
      </c>
      <c r="GO28" t="n">
        <v>0.1105154284903246</v>
      </c>
      <c r="GP28" t="n">
        <v>0.09389693478724002</v>
      </c>
      <c r="GQ28" t="n">
        <v>144.7747858944774</v>
      </c>
      <c r="GR28" t="inlineStr">
        <is>
          <t>compiled workbook density_weighted_sum = density_component_ratio_weighted_sum (per-note component ratios); research density_weighted_sum maps body-ceiling richness</t>
        </is>
      </c>
      <c r="GS28" s="15" t="inlineStr">
        <is>
          <t>individual_exact</t>
        </is>
      </c>
      <c r="GT28" s="15" t="inlineStr">
        <is>
          <t>density_weight</t>
        </is>
      </c>
      <c r="GU28" s="15" t="n">
        <v>0.7777978824889695</v>
      </c>
      <c r="GV28" s="15" t="n">
        <v>0.2222021175110305</v>
      </c>
      <c r="GW28" s="15" t="n">
        <v>0</v>
      </c>
      <c r="GX28" s="15" t="inlineStr">
        <is>
          <t>log</t>
        </is>
      </c>
      <c r="GY28" s="15" t="n">
        <v>0.5</v>
      </c>
      <c r="GZ28" s="15" t="inlineStr">
        <is>
          <t>EWSD-R v18.1</t>
        </is>
      </c>
      <c r="HA28" s="15" t="n">
        <v>1.329146103365077</v>
      </c>
      <c r="HB28" s="15" t="n">
        <v>10.97717706657916</v>
      </c>
      <c r="HC28" s="15" t="n">
        <v>0.6543970606664671</v>
      </c>
      <c r="HD28" s="15" t="n">
        <v>2.255760734199494</v>
      </c>
      <c r="HE28" s="15" t="n">
        <v>12.82772053814261</v>
      </c>
      <c r="HF28" s="15" t="n">
        <v>0.5457994475150747</v>
      </c>
      <c r="HG28" s="15" t="inlineStr">
        <is>
          <t>partials+ratios</t>
        </is>
      </c>
      <c r="HH28" s="15" t="inlineStr">
        <is>
          <t>merged_individual_exact</t>
        </is>
      </c>
      <c r="HI28" s="15" t="inlineStr">
        <is>
          <t>passed</t>
        </is>
      </c>
      <c r="HJ28" s="15" t="inlineStr">
        <is>
          <t>passed</t>
        </is>
      </c>
    </row>
    <row r="29">
      <c r="A29" t="inlineStr">
        <is>
          <t>incomplete_inference</t>
        </is>
      </c>
      <c r="B29" t="inlineStr">
        <is>
          <t>missing_instrument_technique</t>
        </is>
      </c>
      <c r="C29" t="inlineStr">
        <is>
          <t>prior_constrained_harmonic_fit</t>
        </is>
      </c>
      <c r="D29" t="inlineStr">
        <is>
          <t>IOWA_flt_pp.D6_SustainStable/D6/component_amplitude_mass_pie.png</t>
        </is>
      </c>
      <c r="E29" t="inlineStr">
        <is>
          <t>IOWA_flt_pp.D6_SustainStable/D6/component_energy_ratio_pie.png</t>
        </is>
      </c>
      <c r="F29" s="15" t="n">
        <v>1175.708268382239</v>
      </c>
      <c r="G29" s="15" t="inlineStr">
        <is>
          <t>prior_constrained_harmonic_fit</t>
        </is>
      </c>
      <c r="H29" s="15" t="inlineStr">
        <is>
          <t>fit_accepted_acoustically_verified</t>
        </is>
      </c>
      <c r="I29" s="16" t="n">
        <v>148.2605403510583</v>
      </c>
      <c r="J29" t="inlineStr">
        <is>
          <t>richness_weighted_body_density_body_ceiling</t>
        </is>
      </c>
      <c r="K29" t="inlineStr">
        <is>
          <t>research_body_ceiling_richness_metric</t>
        </is>
      </c>
      <c r="L29" s="15" t="n">
        <v>40042.06120675478</v>
      </c>
      <c r="M29" s="15" t="n">
        <v>40042.06120675478</v>
      </c>
      <c r="N29" s="15" t="n">
        <v>128.4967961327423</v>
      </c>
      <c r="O29" s="15" t="n">
        <v>27.36357489365501</v>
      </c>
      <c r="P29" s="15" t="n">
        <v>-9.525250353486019</v>
      </c>
      <c r="Q29" s="15" t="n">
        <v>7</v>
      </c>
      <c r="R29" s="15" t="n">
        <v>11</v>
      </c>
      <c r="S29" s="15" t="n">
        <v>2502.629407076959</v>
      </c>
      <c r="T29" s="15" t="n">
        <v>18</v>
      </c>
      <c r="U29" s="15" t="n">
        <v>-0.4897228653954491</v>
      </c>
      <c r="V29" s="15" t="n">
        <v>8.955650569277045</v>
      </c>
      <c r="W29" s="15" t="n">
        <v>0.9041371007777236</v>
      </c>
      <c r="X29" s="15" t="n">
        <v>0.2596294648492636</v>
      </c>
      <c r="Y29" s="15" t="n">
        <v>6</v>
      </c>
      <c r="Z29" s="15" t="n">
        <v>17</v>
      </c>
      <c r="AA29" s="15" t="n">
        <v>0.3529411764705883</v>
      </c>
      <c r="AB29" s="15" t="n">
        <v>17</v>
      </c>
      <c r="AC29" s="15" t="n">
        <v>6</v>
      </c>
      <c r="AD29" s="15" t="n">
        <v>0.3529411764705883</v>
      </c>
      <c r="AE29" s="15" t="n">
        <v>152.1291353052362</v>
      </c>
      <c r="AF29" s="15" t="n">
        <v>6</v>
      </c>
      <c r="AG29" s="15" t="n">
        <v>17</v>
      </c>
      <c r="AH29" s="15" t="n">
        <v>0.3529411764705883</v>
      </c>
      <c r="AI29" s="15" t="n">
        <v>152.1291353052362</v>
      </c>
      <c r="AJ29" s="15" t="n">
        <v>3</v>
      </c>
      <c r="AK29" s="15" t="n">
        <v>3</v>
      </c>
      <c r="AL29" s="15" t="n">
        <v>498.6832804711157</v>
      </c>
      <c r="AM29" s="15" t="n">
        <v>20</v>
      </c>
      <c r="AN29" s="15" t="n">
        <v>0</v>
      </c>
      <c r="AO29" s="15" t="n">
        <v>20</v>
      </c>
      <c r="AP29" s="15" t="n">
        <v>0</v>
      </c>
      <c r="AQ29" s="15" t="n">
        <v>8.835592042448646</v>
      </c>
      <c r="AR29" s="15" t="n">
        <v>4.834842675701965</v>
      </c>
      <c r="AS29" s="15" t="n">
        <v>0</v>
      </c>
      <c r="AT29" s="17" t="n">
        <v>2.341404402996872</v>
      </c>
      <c r="AU29" s="18" t="n">
        <v>2.611778024667714</v>
      </c>
      <c r="AV29" s="15" t="n">
        <v>3.951659006422592</v>
      </c>
      <c r="AW29" s="15" t="b">
        <v>1</v>
      </c>
      <c r="AX29" s="15" t="n">
        <v>3.676828559716872</v>
      </c>
      <c r="AY29" s="15" t="n">
        <v>9.394222804409219</v>
      </c>
      <c r="AZ29" s="15" t="n">
        <v>0</v>
      </c>
      <c r="BA29" s="15" t="n">
        <v>1</v>
      </c>
      <c r="BB29" s="15" t="n">
        <v>0.5</v>
      </c>
      <c r="BC29" s="15" t="n">
        <v>0.25</v>
      </c>
      <c r="BD29" s="15" t="inlineStr">
        <is>
          <t>his_note_adaptive</t>
        </is>
      </c>
      <c r="BE29" s="15" t="n">
        <v>-90</v>
      </c>
      <c r="BF29" s="15" t="n">
        <v>20000</v>
      </c>
      <c r="BG29" s="15" t="n">
        <v>6</v>
      </c>
      <c r="BH29" s="15" t="n">
        <v>0.3529411764705883</v>
      </c>
      <c r="BI29" s="15" t="n">
        <v>17</v>
      </c>
      <c r="BJ29" s="15" t="n">
        <v>6</v>
      </c>
      <c r="BK29" s="15" t="n">
        <v>17</v>
      </c>
      <c r="BL29" s="15" t="n">
        <v>15</v>
      </c>
      <c r="BM29" s="15" t="n">
        <v>0.8823529411764706</v>
      </c>
      <c r="BN29" s="15" t="n">
        <v>0.2276175907821249</v>
      </c>
      <c r="BO29" s="15" t="n">
        <v>0.1666666666666667</v>
      </c>
      <c r="BP29" s="19" t="n">
        <v>0.7571757878703586</v>
      </c>
      <c r="BQ29" s="19" t="n">
        <v>0.2428242121296414</v>
      </c>
      <c r="BR29" s="19" t="n">
        <v>0</v>
      </c>
      <c r="BS29" s="15" t="n">
        <v>0.05344954589136464</v>
      </c>
      <c r="BT29" s="19" t="n">
        <v>1</v>
      </c>
      <c r="BU29" s="19" t="n">
        <v>0</v>
      </c>
      <c r="BV29" s="19" t="n">
        <v>0</v>
      </c>
      <c r="BW29" t="inlineStr">
        <is>
          <t>D6</t>
        </is>
      </c>
      <c r="BX29" t="n">
        <v>86</v>
      </c>
      <c r="BY29" t="inlineStr">
        <is>
          <t>D</t>
        </is>
      </c>
      <c r="BZ29" t="n">
        <v>6</v>
      </c>
      <c r="CA29" t="inlineStr">
        <is>
          <t>Very high</t>
        </is>
      </c>
      <c r="CB29" t="inlineStr">
        <is>
          <t>pp</t>
        </is>
      </c>
      <c r="CC29" s="15" t="n">
        <v>1174.659071669631</v>
      </c>
      <c r="CD29" s="15" t="n">
        <v>1175.708268382239</v>
      </c>
      <c r="CE29" t="inlineStr">
        <is>
          <t>prior_constrained_harmonic_fit</t>
        </is>
      </c>
      <c r="CF29" t="n">
        <v>1175.708268382239</v>
      </c>
      <c r="CG29" s="15" t="n">
        <v>1</v>
      </c>
      <c r="CH29" t="n">
        <v/>
      </c>
      <c r="CI29" t="inlineStr">
        <is>
          <t>free_fit_acoustically_verified</t>
        </is>
      </c>
      <c r="CJ29" s="15" t="inlineStr">
        <is>
          <t>free_f0_fit</t>
        </is>
      </c>
      <c r="CK29" s="15" t="n">
        <v>1174.659071669631</v>
      </c>
      <c r="CL29" s="15" t="n">
        <v>1175.708268382239</v>
      </c>
      <c r="CM29" s="15" t="n">
        <v>1.545635154757742</v>
      </c>
      <c r="CN29" s="15" t="n">
        <v>20000</v>
      </c>
      <c r="CO29" s="15" t="n">
        <v>1.545635154757742</v>
      </c>
      <c r="CP29" s="15" t="n">
        <v>1.957962501160706</v>
      </c>
      <c r="CQ29" s="15" t="n">
        <v>40042.06120675478</v>
      </c>
      <c r="CR29" t="n">
        <v>1.00711266503646</v>
      </c>
      <c r="CS29" t="n">
        <v>0.05924192147273296</v>
      </c>
      <c r="CT29" t="n">
        <v>147.2134603189514</v>
      </c>
      <c r="CU29" t="n">
        <v>147.2134603189514</v>
      </c>
      <c r="CV29" t="n">
        <v>148.2605403510583</v>
      </c>
      <c r="CW29" t="n">
        <v>27.36357489365501</v>
      </c>
      <c r="CX29" s="15" t="n">
        <v>40042.06120675478</v>
      </c>
      <c r="CY29" s="15" t="n">
        <v>128.4967961327423</v>
      </c>
      <c r="CZ29" s="15" t="n">
        <v>27.36357489365501</v>
      </c>
      <c r="DA29" s="15" t="n">
        <v>2.341404402996872</v>
      </c>
      <c r="DB29" s="15" t="n">
        <v>2.341404402996872</v>
      </c>
      <c r="DC29" s="15" t="n">
        <v>1.428399759674416</v>
      </c>
      <c r="DD29" s="15" t="n">
        <v>0</v>
      </c>
      <c r="DE29" s="15" t="n">
        <v>5.847362329594299e-05</v>
      </c>
      <c r="DF29" s="15" t="n">
        <v>0</v>
      </c>
      <c r="DG29" s="15" t="n">
        <v>7</v>
      </c>
      <c r="DH29" s="15" t="inlineStr">
        <is>
          <t>Density_Metrics</t>
        </is>
      </c>
      <c r="DI29" s="15" t="n">
        <v>1.957962501160706</v>
      </c>
      <c r="DJ29" t="n">
        <v>0.8839085797977405</v>
      </c>
      <c r="DK29" s="15" t="n">
        <v>0.5239290405472955</v>
      </c>
      <c r="DL29" s="15" t="n">
        <v>4.833304479545427</v>
      </c>
      <c r="DM29" s="15" t="n">
        <v>1.01496403344544</v>
      </c>
      <c r="DN29" s="15" t="n">
        <v>1.007210213420824</v>
      </c>
      <c r="DO29" s="15" t="n">
        <v>8.127218919382496</v>
      </c>
      <c r="DP29" s="15" t="n">
        <v>2.313052109516332</v>
      </c>
      <c r="DQ29" s="15" t="n">
        <v>11.8125</v>
      </c>
      <c r="DR29" s="15" t="n">
        <v>19</v>
      </c>
      <c r="DS29" s="15" t="b">
        <v>0</v>
      </c>
      <c r="DT29" s="15" t="n">
        <v>1.00711266503646</v>
      </c>
      <c r="DU29" s="15" t="n">
        <v>4.413700902437482</v>
      </c>
      <c r="DV29" t="n">
        <v>17</v>
      </c>
      <c r="DW29" s="15" t="n">
        <v>0.05344954589136464</v>
      </c>
      <c r="DX29" s="15" t="n">
        <v>0.6892363573985355</v>
      </c>
      <c r="DY29" s="15" t="n">
        <v>2.189360279479661</v>
      </c>
      <c r="DZ29" s="15" t="n">
        <v>0.2941906063955383</v>
      </c>
      <c r="EA29" s="15" t="b">
        <v>1</v>
      </c>
      <c r="EB29" s="15" t="n">
        <v>0.2401241201146033</v>
      </c>
      <c r="EC29" s="15" t="n">
        <v>20000</v>
      </c>
      <c r="ED29" s="15" t="n">
        <v>8229.957878675676</v>
      </c>
      <c r="EE29" s="15" t="n">
        <v>7</v>
      </c>
      <c r="EF29" s="15" t="n">
        <v>0</v>
      </c>
      <c r="EG29" s="15" t="n">
        <v>0.01833144922159691</v>
      </c>
      <c r="EH29" s="15" t="b">
        <v>0</v>
      </c>
      <c r="EI29" s="15" t="b">
        <v>1</v>
      </c>
      <c r="EJ29" s="15" t="b">
        <v>0</v>
      </c>
      <c r="EK29" s="15" t="inlineStr">
        <is>
          <t>wf=log|dst=-90.0|ceil=20000.0|fft=adaptive_tier</t>
        </is>
      </c>
      <c r="EL29" s="15" t="inlineStr">
        <is>
          <t>wf=log|dst=runtime_configured|ceil=runtime_configured|fft=fixed</t>
        </is>
      </c>
      <c r="EM29" s="15" t="n">
        <v>0.660144332480734</v>
      </c>
      <c r="EN29" s="15" t="n">
        <v>0.9990075334398157</v>
      </c>
      <c r="EO29" s="15" t="n">
        <v>0.3888888888888889</v>
      </c>
      <c r="EP29" s="15" t="n">
        <v>0.3723991566085291</v>
      </c>
      <c r="EQ29" s="15" t="inlineStr">
        <is>
          <t>warn:power_outlier_detected</t>
        </is>
      </c>
      <c r="ER29" s="15" t="n">
        <v>474.4965865885444</v>
      </c>
      <c r="ES29" s="15" t="inlineStr">
        <is>
          <t>winsorize_p95_for_robust_diagnostics</t>
        </is>
      </c>
      <c r="ET29" s="15" t="n">
        <v>0.1944159657974031</v>
      </c>
      <c r="EU29" s="15" t="n">
        <v>0.01477482662564696</v>
      </c>
      <c r="EV29" s="15" t="n">
        <v>0.0168801127193348</v>
      </c>
      <c r="EW29" t="inlineStr">
        <is>
          <t>computed</t>
        </is>
      </c>
      <c r="EX29" s="15" t="inlineStr">
        <is>
          <t>computed</t>
        </is>
      </c>
      <c r="EY29" s="15" t="inlineStr">
        <is>
          <t>computed</t>
        </is>
      </c>
      <c r="EZ29" s="15" t="inlineStr">
        <is>
          <t>available_from_curve</t>
        </is>
      </c>
      <c r="FA29" s="15" t="n">
        <v>20000</v>
      </c>
      <c r="FB29" s="15" t="n">
        <v>20000</v>
      </c>
      <c r="FC29" s="15" t="n">
        <v>0.2428242121296414</v>
      </c>
      <c r="FD29" s="15" t="n">
        <v>0.01437447935218779</v>
      </c>
      <c r="FE29" s="15" t="n">
        <v>2.341404402996872</v>
      </c>
      <c r="FF29" s="15" t="n">
        <v>1.428399759674416</v>
      </c>
      <c r="FG29" s="15" t="n">
        <v>1.063500316874139</v>
      </c>
      <c r="FH29" s="15" t="n">
        <v>1.412378310071473</v>
      </c>
      <c r="FI29" s="15" t="n">
        <v>0.4838594167014852</v>
      </c>
      <c r="FJ29" s="15" t="n">
        <v>0.06172477438774753</v>
      </c>
      <c r="FK29" s="15" t="n">
        <v>2502.628825422174</v>
      </c>
      <c r="FL29" s="15" t="n">
        <v>8.031049758296394</v>
      </c>
      <c r="FM29" s="15" t="n">
        <v>1.710223430853438</v>
      </c>
      <c r="FN29" s="15" t="n">
        <v>0.004636879624239746</v>
      </c>
      <c r="FO29" t="n">
        <v>1</v>
      </c>
      <c r="FP29" t="n">
        <v>0</v>
      </c>
      <c r="FQ29" t="n">
        <v>0</v>
      </c>
      <c r="FR29" t="inlineStr">
        <is>
          <t>excellent</t>
        </is>
      </c>
      <c r="FS29" s="19" t="n">
        <v>0.8823529411764706</v>
      </c>
      <c r="FT29" s="15" t="n">
        <v>5.540956676375743</v>
      </c>
      <c r="FU29" s="15" t="n">
        <v>17.8818383176184</v>
      </c>
      <c r="FV29" t="inlineStr">
        <is>
          <t>passed</t>
        </is>
      </c>
      <c r="FW29" t="n">
        <v>54.62119413895168</v>
      </c>
      <c r="FX29" t="n">
        <v>6.454088957058368</v>
      </c>
      <c r="FY29" t="n">
        <v>2.643612191495127</v>
      </c>
      <c r="FZ29" t="n">
        <v>0.824585567739734</v>
      </c>
      <c r="GA29" t="n">
        <v>0.3804117434082867</v>
      </c>
      <c r="GB29" t="n">
        <v>0.6412706693111684</v>
      </c>
      <c r="GC29" t="n">
        <v>0</v>
      </c>
      <c r="GD29" t="n">
        <v>0.007422118100473938</v>
      </c>
      <c r="GE29" t="n">
        <v>0.0301546707240009</v>
      </c>
      <c r="GF29" t="n">
        <v>0.7857340990424075</v>
      </c>
      <c r="GG29" t="n">
        <v>0.4406150375455011</v>
      </c>
      <c r="GH29" t="n">
        <v>0.01477775523192663</v>
      </c>
      <c r="GI29" t="n">
        <v>0.01273833948170202</v>
      </c>
      <c r="GJ29" t="n">
        <v>0.2387543252595157</v>
      </c>
      <c r="GK29" t="n">
        <v>0.4117647058823527</v>
      </c>
      <c r="GL29" t="n">
        <v>0.02325581395348859</v>
      </c>
      <c r="GM29" t="n">
        <v>0.09843012595676714</v>
      </c>
      <c r="GN29" t="n">
        <v>0.09843012595676714</v>
      </c>
      <c r="GO29" t="n">
        <v>0.03563332164381135</v>
      </c>
      <c r="GP29" t="n">
        <v>0</v>
      </c>
      <c r="GQ29" t="n">
        <v>148.2605403510583</v>
      </c>
      <c r="GR29" t="inlineStr">
        <is>
          <t>compiled workbook density_weighted_sum = density_component_ratio_weighted_sum (per-note component ratios); research density_weighted_sum maps body-ceiling richness</t>
        </is>
      </c>
      <c r="GS29" s="15" t="inlineStr">
        <is>
          <t>individual_exact</t>
        </is>
      </c>
      <c r="GT29" s="15" t="inlineStr">
        <is>
          <t>density_weight</t>
        </is>
      </c>
      <c r="GU29" s="15" t="n">
        <v>0.7974577112536682</v>
      </c>
      <c r="GV29" s="15" t="n">
        <v>0.2025422887463318</v>
      </c>
      <c r="GW29" s="15" t="n">
        <v>0</v>
      </c>
      <c r="GX29" s="15" t="inlineStr">
        <is>
          <t>log</t>
        </is>
      </c>
      <c r="GY29" s="15" t="n">
        <v>0.5</v>
      </c>
      <c r="GZ29" s="15" t="inlineStr">
        <is>
          <t>EWSD-R v18.1</t>
        </is>
      </c>
      <c r="HA29" s="15" t="n">
        <v>0.9085906794133937</v>
      </c>
      <c r="HB29" s="15" t="n">
        <v>8.708651653287882</v>
      </c>
      <c r="HC29" s="15" t="n">
        <v>0.7893027412729146</v>
      </c>
      <c r="HD29" s="15" t="n">
        <v>1.943193390629901</v>
      </c>
      <c r="HE29" s="15" t="n">
        <v>11.19501918994851</v>
      </c>
      <c r="HF29" s="15" t="n">
        <v>0.6487798644058962</v>
      </c>
      <c r="HG29" s="15" t="inlineStr">
        <is>
          <t>partials+ratios</t>
        </is>
      </c>
      <c r="HH29" s="15" t="inlineStr">
        <is>
          <t>merged_individual_exact</t>
        </is>
      </c>
      <c r="HI29" s="15" t="inlineStr">
        <is>
          <t>passed</t>
        </is>
      </c>
      <c r="HJ29" s="15" t="inlineStr">
        <is>
          <t>passed</t>
        </is>
      </c>
    </row>
    <row r="30">
      <c r="A30" t="inlineStr">
        <is>
          <t>incomplete_inference</t>
        </is>
      </c>
      <c r="B30" t="inlineStr">
        <is>
          <t>missing_instrument_technique</t>
        </is>
      </c>
      <c r="C30" t="inlineStr">
        <is>
          <t>prior_constrained_harmonic_fit</t>
        </is>
      </c>
      <c r="D30" t="inlineStr">
        <is>
          <t>IOWA_flt_pp.D#6_SustainStable/D#6/component_amplitude_mass_pie.png</t>
        </is>
      </c>
      <c r="E30" t="inlineStr">
        <is>
          <t>IOWA_flt_pp.D#6_SustainStable/D#6/component_energy_ratio_pie.png</t>
        </is>
      </c>
      <c r="F30" s="15" t="n">
        <v>1242.709071164591</v>
      </c>
      <c r="G30" s="15" t="inlineStr">
        <is>
          <t>prior_constrained_harmonic_fit</t>
        </is>
      </c>
      <c r="H30" s="15" t="inlineStr">
        <is>
          <t>fit_accepted_acoustically_verified</t>
        </is>
      </c>
      <c r="I30" s="16" t="n">
        <v>146.2019481883586</v>
      </c>
      <c r="J30" t="inlineStr">
        <is>
          <t>richness_weighted_body_density_body_ceiling</t>
        </is>
      </c>
      <c r="K30" t="inlineStr">
        <is>
          <t>research_body_ceiling_richness_metric</t>
        </is>
      </c>
      <c r="L30" s="15" t="n">
        <v>36586.88398404204</v>
      </c>
      <c r="M30" s="15" t="n">
        <v>36643.0645846007</v>
      </c>
      <c r="N30" s="15" t="n">
        <v>160.5095753177858</v>
      </c>
      <c r="O30" s="15" t="n">
        <v>86.6177443594664</v>
      </c>
      <c r="P30" s="15" t="n">
        <v>-6.351163492419057</v>
      </c>
      <c r="Q30" s="15" t="n">
        <v>8</v>
      </c>
      <c r="R30" s="15" t="n">
        <v>13</v>
      </c>
      <c r="S30" s="15" t="n">
        <v>2290.19289530334</v>
      </c>
      <c r="T30" s="15" t="n">
        <v>17</v>
      </c>
      <c r="U30" s="15" t="n">
        <v>-0.2379403016513453</v>
      </c>
      <c r="V30" s="15" t="n">
        <v>10.31387749914031</v>
      </c>
      <c r="W30" s="15" t="n">
        <v>0.8638752736823357</v>
      </c>
      <c r="X30" s="15" t="n">
        <v>0.2959413287141233</v>
      </c>
      <c r="Y30" s="15" t="n">
        <v>10</v>
      </c>
      <c r="Z30" s="15" t="n">
        <v>16</v>
      </c>
      <c r="AA30" s="15" t="n">
        <v>0.625</v>
      </c>
      <c r="AB30" s="15" t="n">
        <v>16</v>
      </c>
      <c r="AC30" s="15" t="n">
        <v>10</v>
      </c>
      <c r="AD30" s="15" t="n">
        <v>0.625</v>
      </c>
      <c r="AE30" s="15" t="n">
        <v>152.8229046469408</v>
      </c>
      <c r="AF30" s="15" t="n">
        <v>10</v>
      </c>
      <c r="AG30" s="15" t="n">
        <v>16</v>
      </c>
      <c r="AH30" s="15" t="n">
        <v>0.625</v>
      </c>
      <c r="AI30" s="15" t="n">
        <v>152.8229046469408</v>
      </c>
      <c r="AJ30" s="15" t="n">
        <v>5</v>
      </c>
      <c r="AK30" s="15" t="n">
        <v>5</v>
      </c>
      <c r="AL30" s="15" t="n">
        <v>95.9359127384223</v>
      </c>
      <c r="AM30" s="15" t="n">
        <v>45</v>
      </c>
      <c r="AN30" s="15" t="n">
        <v>0</v>
      </c>
      <c r="AO30" s="15" t="n">
        <v>45</v>
      </c>
      <c r="AP30" s="15" t="n">
        <v>0</v>
      </c>
      <c r="AQ30" s="15" t="n">
        <v>19.94737820871493</v>
      </c>
      <c r="AR30" s="15" t="n">
        <v>9.338181535754366</v>
      </c>
      <c r="AS30" s="15" t="n">
        <v>0.1717410759572589</v>
      </c>
      <c r="AT30" s="17" t="n">
        <v>2.340888038666221</v>
      </c>
      <c r="AU30" s="18" t="n">
        <v>3.205058371674868</v>
      </c>
      <c r="AV30" s="15" t="n">
        <v>4.468499744923887</v>
      </c>
      <c r="AW30" s="15" t="b">
        <v>1</v>
      </c>
      <c r="AX30" s="15" t="n">
        <v>5.314224040189097</v>
      </c>
      <c r="AY30" s="15" t="n">
        <v>19.47257907502585</v>
      </c>
      <c r="AZ30" s="15" t="n">
        <v>0</v>
      </c>
      <c r="BA30" s="15" t="n">
        <v>1</v>
      </c>
      <c r="BB30" s="15" t="n">
        <v>0.5</v>
      </c>
      <c r="BC30" s="15" t="n">
        <v>0.25</v>
      </c>
      <c r="BD30" s="15" t="inlineStr">
        <is>
          <t>his_note_adaptive</t>
        </is>
      </c>
      <c r="BE30" s="15" t="n">
        <v>-90</v>
      </c>
      <c r="BF30" s="15" t="n">
        <v>20000</v>
      </c>
      <c r="BG30" s="15" t="n">
        <v>10</v>
      </c>
      <c r="BH30" s="15" t="n">
        <v>0.625</v>
      </c>
      <c r="BI30" s="15" t="n">
        <v>16</v>
      </c>
      <c r="BJ30" s="15" t="n">
        <v>10</v>
      </c>
      <c r="BK30" s="15" t="n">
        <v>16</v>
      </c>
      <c r="BL30" s="15" t="n">
        <v>14</v>
      </c>
      <c r="BM30" s="15" t="n">
        <v>0.875</v>
      </c>
      <c r="BN30" s="15" t="n">
        <v>0.2488779570402599</v>
      </c>
      <c r="BO30" s="15" t="n">
        <v>0.375</v>
      </c>
      <c r="BP30" s="19" t="n">
        <v>0.7343101379931405</v>
      </c>
      <c r="BQ30" s="19" t="n">
        <v>0.2656898620068595</v>
      </c>
      <c r="BR30" s="19" t="n">
        <v>0</v>
      </c>
      <c r="BS30" s="15" t="n">
        <v>0.1354744598105502</v>
      </c>
      <c r="BT30" s="19" t="n">
        <v>0.9984600694621206</v>
      </c>
      <c r="BU30" s="19" t="n">
        <v>0.001539930537879428</v>
      </c>
      <c r="BV30" s="19" t="n">
        <v>0</v>
      </c>
      <c r="BW30" t="inlineStr">
        <is>
          <t>D#6</t>
        </is>
      </c>
      <c r="BX30" t="n">
        <v>87</v>
      </c>
      <c r="BY30" t="inlineStr">
        <is>
          <t>D#</t>
        </is>
      </c>
      <c r="BZ30" t="n">
        <v>6</v>
      </c>
      <c r="CA30" t="inlineStr">
        <is>
          <t>Very high</t>
        </is>
      </c>
      <c r="CB30" t="inlineStr">
        <is>
          <t>pp</t>
        </is>
      </c>
      <c r="CC30" s="15" t="n">
        <v>1244.507934888323</v>
      </c>
      <c r="CD30" s="15" t="n">
        <v>1242.709071164591</v>
      </c>
      <c r="CE30" t="inlineStr">
        <is>
          <t>prior_constrained_harmonic_fit</t>
        </is>
      </c>
      <c r="CF30" t="n">
        <v>1242.709071164591</v>
      </c>
      <c r="CG30" s="15" t="n">
        <v>1</v>
      </c>
      <c r="CH30" t="n">
        <v/>
      </c>
      <c r="CI30" t="inlineStr">
        <is>
          <t>free_fit_acoustically_verified</t>
        </is>
      </c>
      <c r="CJ30" s="15" t="inlineStr">
        <is>
          <t>free_f0_fit</t>
        </is>
      </c>
      <c r="CK30" s="15" t="n">
        <v>1244.507934888323</v>
      </c>
      <c r="CL30" s="15" t="n">
        <v>1242.709071164591</v>
      </c>
      <c r="CM30" s="15" t="n">
        <v>-2.504208248480303</v>
      </c>
      <c r="CN30" s="15" t="n">
        <v>20000</v>
      </c>
      <c r="CO30" s="15" t="n">
        <v>-2.504208248480303</v>
      </c>
      <c r="CP30" s="15" t="n">
        <v>1.998086279650343</v>
      </c>
      <c r="CQ30" s="15" t="n">
        <v>36586.88398404204</v>
      </c>
      <c r="CR30" t="n">
        <v>1.022985862271656</v>
      </c>
      <c r="CS30" t="n">
        <v>0.06393661639197849</v>
      </c>
      <c r="CT30" t="n">
        <v>142.9168804578595</v>
      </c>
      <c r="CU30" t="n">
        <v>143.1369710335965</v>
      </c>
      <c r="CV30" t="n">
        <v>146.2019481883586</v>
      </c>
      <c r="CW30" t="n">
        <v>86.6177443594664</v>
      </c>
      <c r="CX30" s="15" t="n">
        <v>36643.0645846007</v>
      </c>
      <c r="CY30" s="15" t="n">
        <v>160.5095753177858</v>
      </c>
      <c r="CZ30" s="15" t="n">
        <v>86.6177443594664</v>
      </c>
      <c r="DA30" s="15" t="n">
        <v>2.340888038666221</v>
      </c>
      <c r="DB30" s="15" t="n">
        <v>2.342177769688879</v>
      </c>
      <c r="DC30" s="15" t="n">
        <v>1.504652315823611</v>
      </c>
      <c r="DD30" s="15" t="n">
        <v>0</v>
      </c>
      <c r="DE30" s="15" t="n">
        <v>6.398161810355964e-05</v>
      </c>
      <c r="DF30" s="15" t="n">
        <v>0</v>
      </c>
      <c r="DG30" s="15" t="n">
        <v>8</v>
      </c>
      <c r="DH30" s="15" t="inlineStr">
        <is>
          <t>Density_Metrics</t>
        </is>
      </c>
      <c r="DI30" s="15" t="n">
        <v>1.998086279650343</v>
      </c>
      <c r="DJ30" t="n">
        <v>0.9020221810745116</v>
      </c>
      <c r="DK30" s="15" t="n">
        <v>0.5238619216111347</v>
      </c>
      <c r="DL30" s="15" t="n">
        <v>5.148570908761638</v>
      </c>
      <c r="DM30" s="15" t="n">
        <v>1.036825368067674</v>
      </c>
      <c r="DN30" s="15" t="n">
        <v>1.014440234881026</v>
      </c>
      <c r="DO30" s="15" t="n">
        <v>12.62938983194714</v>
      </c>
      <c r="DP30" s="15" t="n">
        <v>3.096558148333679</v>
      </c>
      <c r="DQ30" s="15" t="n">
        <v>3.4375</v>
      </c>
      <c r="DR30" s="15" t="n">
        <v>19</v>
      </c>
      <c r="DS30" s="15" t="b">
        <v>1</v>
      </c>
      <c r="DT30" s="15" t="n">
        <v>1.022985862271656</v>
      </c>
      <c r="DU30" s="15" t="n">
        <v>4.735061259425973</v>
      </c>
      <c r="DV30" t="n">
        <v>16</v>
      </c>
      <c r="DW30" s="15" t="n">
        <v>0.1354744598105502</v>
      </c>
      <c r="DX30" s="15" t="n">
        <v>0.8352440531018861</v>
      </c>
      <c r="DY30" s="15" t="n">
        <v>2.174997924952797</v>
      </c>
      <c r="DZ30" s="15" t="n">
        <v>0.2591732125147343</v>
      </c>
      <c r="EA30" s="15" t="b">
        <v>1</v>
      </c>
      <c r="EB30" s="15" t="n">
        <v>0.3751682429731471</v>
      </c>
      <c r="EC30" s="15" t="n">
        <v>20000</v>
      </c>
      <c r="ED30" s="15" t="n">
        <v>11184.38164048132</v>
      </c>
      <c r="EE30" s="15" t="n">
        <v>9</v>
      </c>
      <c r="EF30" s="15" t="n">
        <v>0</v>
      </c>
      <c r="EG30" s="15" t="n">
        <v>0.01730258403449416</v>
      </c>
      <c r="EH30" s="15" t="b">
        <v>0</v>
      </c>
      <c r="EI30" s="15" t="b">
        <v>1</v>
      </c>
      <c r="EJ30" s="15" t="b">
        <v>0</v>
      </c>
      <c r="EK30" s="15" t="inlineStr">
        <is>
          <t>wf=log|dst=-90.0|ceil=20000.0|fft=adaptive_tier</t>
        </is>
      </c>
      <c r="EL30" s="15" t="inlineStr">
        <is>
          <t>wf=log|dst=runtime_configured|ceil=runtime_configured|fft=fixed</t>
        </is>
      </c>
      <c r="EM30" s="15" t="n">
        <v>0.6887577316147871</v>
      </c>
      <c r="EN30" s="15" t="n">
        <v>0.9974113226879847</v>
      </c>
      <c r="EO30" s="15" t="n">
        <v>0.4705882352941176</v>
      </c>
      <c r="EP30" s="15" t="n">
        <v>0.376083770261264</v>
      </c>
      <c r="EQ30" s="15" t="inlineStr">
        <is>
          <t>warn:power_outlier_detected</t>
        </is>
      </c>
      <c r="ER30" s="15" t="n">
        <v>446.018083271938</v>
      </c>
      <c r="ES30" s="15" t="inlineStr">
        <is>
          <t>winsorize_p95_for_robust_diagnostics</t>
        </is>
      </c>
      <c r="ET30" s="15" t="n">
        <v>0.2113904430404027</v>
      </c>
      <c r="EU30" s="15" t="n">
        <v>0.0238557775592087</v>
      </c>
      <c r="EV30" s="15" t="n">
        <v>0.02880896339127831</v>
      </c>
      <c r="EW30" t="inlineStr">
        <is>
          <t>computed</t>
        </is>
      </c>
      <c r="EX30" s="15" t="inlineStr">
        <is>
          <t>computed</t>
        </is>
      </c>
      <c r="EY30" s="15" t="inlineStr">
        <is>
          <t>computed</t>
        </is>
      </c>
      <c r="EZ30" s="15" t="inlineStr">
        <is>
          <t>available_from_curve</t>
        </is>
      </c>
      <c r="FA30" s="15" t="n">
        <v>20000</v>
      </c>
      <c r="FB30" s="15" t="n">
        <v>20000</v>
      </c>
      <c r="FC30" s="15" t="n">
        <v>0.2656898620068595</v>
      </c>
      <c r="FD30" s="15" t="n">
        <v>0.03879077128563239</v>
      </c>
      <c r="FE30" s="15" t="n">
        <v>2.342177769688879</v>
      </c>
      <c r="FF30" s="15" t="n">
        <v>1.504652315823611</v>
      </c>
      <c r="FG30" s="15" t="n">
        <v>1.301740823249148</v>
      </c>
      <c r="FH30" s="15" t="n">
        <v>1.41284481912054</v>
      </c>
      <c r="FI30" s="15" t="n">
        <v>0.5096893827809788</v>
      </c>
      <c r="FJ30" s="15" t="n">
        <v>0.07555207774882443</v>
      </c>
      <c r="FK30" s="15" t="n">
        <v>2290.191536537544</v>
      </c>
      <c r="FL30" s="15" t="n">
        <v>10.03184845736161</v>
      </c>
      <c r="FM30" s="15" t="n">
        <v>5.41360902246665</v>
      </c>
      <c r="FN30" s="15" t="n">
        <v>0.004129870698579212</v>
      </c>
      <c r="FO30" t="n">
        <v>0.9984600694621206</v>
      </c>
      <c r="FP30" t="n">
        <v>0.001539930537879428</v>
      </c>
      <c r="FQ30" t="n">
        <v>0</v>
      </c>
      <c r="FR30" t="inlineStr">
        <is>
          <t>excellent</t>
        </is>
      </c>
      <c r="FS30" s="19" t="n">
        <v>0.875</v>
      </c>
      <c r="FT30" s="15" t="n">
        <v>2.479596935964345</v>
      </c>
      <c r="FU30" s="15" t="n">
        <v>12.81400030563744</v>
      </c>
      <c r="FV30" t="inlineStr">
        <is>
          <t>passed</t>
        </is>
      </c>
      <c r="FW30" t="n">
        <v>54.71899266392652</v>
      </c>
      <c r="FX30" t="n">
        <v>7.740837968472971</v>
      </c>
      <c r="FY30" t="n">
        <v>4.758190405964641</v>
      </c>
      <c r="FZ30" t="n">
        <v>0.8519552655056656</v>
      </c>
      <c r="GA30" t="n">
        <v>0.3751291156670397</v>
      </c>
      <c r="GB30" t="n">
        <v>0.7405715741657819</v>
      </c>
      <c r="GC30" t="n">
        <v>0.008123818491161615</v>
      </c>
      <c r="GD30" t="n">
        <v>0.02398591576391346</v>
      </c>
      <c r="GE30" t="n">
        <v>0.1094857010908972</v>
      </c>
      <c r="GF30" t="n">
        <v>0.6780214336217261</v>
      </c>
      <c r="GG30" t="n">
        <v>0.5241542281411649</v>
      </c>
      <c r="GH30" t="n">
        <v>0.4259331004833906</v>
      </c>
      <c r="GI30" t="n">
        <v>0.128751107290312</v>
      </c>
      <c r="GJ30" t="n">
        <v>0.5588235294117647</v>
      </c>
      <c r="GK30" t="n">
        <v>0.3749999999999998</v>
      </c>
      <c r="GL30" t="n">
        <v>0.6046511627906976</v>
      </c>
      <c r="GM30" t="n">
        <v>0.178616549656938</v>
      </c>
      <c r="GN30" t="n">
        <v>0.178616549656938</v>
      </c>
      <c r="GO30" t="n">
        <v>0.09615958923911101</v>
      </c>
      <c r="GP30" t="n">
        <v>0.2574389606157369</v>
      </c>
      <c r="GQ30" t="n">
        <v>146.2019481883586</v>
      </c>
      <c r="GR30" t="inlineStr">
        <is>
          <t>compiled workbook density_weighted_sum = density_component_ratio_weighted_sum (per-note component ratios); research density_weighted_sum maps body-ceiling richness</t>
        </is>
      </c>
      <c r="GS30" s="15" t="inlineStr">
        <is>
          <t>individual_exact</t>
        </is>
      </c>
      <c r="GT30" s="15" t="inlineStr">
        <is>
          <t>density_weight</t>
        </is>
      </c>
      <c r="GU30" s="15" t="n">
        <v>0.7157891940367164</v>
      </c>
      <c r="GV30" s="15" t="n">
        <v>0.2842108059632836</v>
      </c>
      <c r="GW30" s="15" t="n">
        <v>0</v>
      </c>
      <c r="GX30" s="15" t="inlineStr">
        <is>
          <t>log</t>
        </is>
      </c>
      <c r="GY30" s="15" t="n">
        <v>0.5</v>
      </c>
      <c r="GZ30" s="15" t="inlineStr">
        <is>
          <t>EWSD-R v18.1</t>
        </is>
      </c>
      <c r="HA30" s="15" t="n">
        <v>1.022391251580112</v>
      </c>
      <c r="HB30" s="15" t="n">
        <v>8.520642734996406</v>
      </c>
      <c r="HC30" s="15" t="n">
        <v>0.5862653770892589</v>
      </c>
      <c r="HD30" s="15" t="n">
        <v>2.186291724855961</v>
      </c>
      <c r="HE30" s="15" t="n">
        <v>11.28617506554028</v>
      </c>
      <c r="HF30" s="15" t="n">
        <v>0.5490982502479974</v>
      </c>
      <c r="HG30" s="15" t="inlineStr">
        <is>
          <t>partials+ratios</t>
        </is>
      </c>
      <c r="HH30" s="15" t="inlineStr">
        <is>
          <t>merged_individual_exact</t>
        </is>
      </c>
      <c r="HI30" s="15" t="inlineStr">
        <is>
          <t>passed</t>
        </is>
      </c>
      <c r="HJ30" s="15" t="inlineStr">
        <is>
          <t>passed</t>
        </is>
      </c>
    </row>
    <row r="31">
      <c r="A31" t="inlineStr">
        <is>
          <t>incomplete_inference</t>
        </is>
      </c>
      <c r="B31" t="inlineStr">
        <is>
          <t>missing_instrument_technique</t>
        </is>
      </c>
      <c r="C31" t="inlineStr">
        <is>
          <t>prior_constrained_harmonic_fit</t>
        </is>
      </c>
      <c r="D31" t="inlineStr">
        <is>
          <t>IOWA_flt_pp.E6_SustainStable/E6/component_amplitude_mass_pie.png</t>
        </is>
      </c>
      <c r="E31" t="inlineStr">
        <is>
          <t>IOWA_flt_pp.E6_SustainStable/E6/component_energy_ratio_pie.png</t>
        </is>
      </c>
      <c r="F31" s="15" t="n">
        <v>1317.336441839296</v>
      </c>
      <c r="G31" s="15" t="inlineStr">
        <is>
          <t>prior_constrained_harmonic_fit</t>
        </is>
      </c>
      <c r="H31" s="15" t="inlineStr">
        <is>
          <t>fit_accepted_acoustically_verified</t>
        </is>
      </c>
      <c r="I31" s="16" t="n">
        <v>157.4656387571313</v>
      </c>
      <c r="J31" t="inlineStr">
        <is>
          <t>richness_weighted_body_density_body_ceiling</t>
        </is>
      </c>
      <c r="K31" t="inlineStr">
        <is>
          <t>research_body_ceiling_richness_metric</t>
        </is>
      </c>
      <c r="L31" s="15" t="n">
        <v>37261.73275329734</v>
      </c>
      <c r="M31" s="15" t="n">
        <v>37261.73275329734</v>
      </c>
      <c r="N31" s="15" t="n">
        <v>173.2419592219856</v>
      </c>
      <c r="O31" s="15" t="n">
        <v>55.48379120819376</v>
      </c>
      <c r="P31" s="15" t="n">
        <v>-10.66958583176714</v>
      </c>
      <c r="Q31" s="15" t="n">
        <v>6</v>
      </c>
      <c r="R31" s="15" t="n">
        <v>9</v>
      </c>
      <c r="S31" s="15" t="n">
        <v>2328.860460513673</v>
      </c>
      <c r="T31" s="15" t="n">
        <v>16</v>
      </c>
      <c r="U31" s="15" t="n">
        <v>-0.3134879486993622</v>
      </c>
      <c r="V31" s="15" t="n">
        <v>9.3986396921853</v>
      </c>
      <c r="W31" s="15" t="n">
        <v>0.8779317265468766</v>
      </c>
      <c r="X31" s="15" t="n">
        <v>0.366891895839181</v>
      </c>
      <c r="Y31" s="15" t="n">
        <v>8</v>
      </c>
      <c r="Z31" s="15" t="n">
        <v>15</v>
      </c>
      <c r="AA31" s="15" t="n">
        <v>0.5333333333333333</v>
      </c>
      <c r="AB31" s="15" t="n">
        <v>15</v>
      </c>
      <c r="AC31" s="15" t="n">
        <v>8</v>
      </c>
      <c r="AD31" s="15" t="n">
        <v>0.5333333333333333</v>
      </c>
      <c r="AE31" s="15" t="n">
        <v>150.8054039742506</v>
      </c>
      <c r="AF31" s="15" t="n">
        <v>8</v>
      </c>
      <c r="AG31" s="15" t="n">
        <v>15</v>
      </c>
      <c r="AH31" s="15" t="n">
        <v>0.5333333333333333</v>
      </c>
      <c r="AI31" s="15" t="n">
        <v>150.8054039742506</v>
      </c>
      <c r="AJ31" s="15" t="n">
        <v>4</v>
      </c>
      <c r="AK31" s="15" t="n">
        <v>4</v>
      </c>
      <c r="AL31" s="15" t="n">
        <v>161.9274802770462</v>
      </c>
      <c r="AM31" s="15" t="n">
        <v>24</v>
      </c>
      <c r="AN31" s="15" t="n">
        <v>0</v>
      </c>
      <c r="AO31" s="15" t="n">
        <v>24</v>
      </c>
      <c r="AP31" s="15" t="n">
        <v>0</v>
      </c>
      <c r="AQ31" s="15" t="n">
        <v>10.94182080972802</v>
      </c>
      <c r="AR31" s="15" t="n">
        <v>5.745272947936805</v>
      </c>
      <c r="AS31" s="15" t="n">
        <v>0.0347205216832944</v>
      </c>
      <c r="AT31" s="17" t="n">
        <v>2.335693809023272</v>
      </c>
      <c r="AU31" s="18" t="n">
        <v>3.112621835248877</v>
      </c>
      <c r="AV31" s="15" t="n">
        <v>4.451770359235729</v>
      </c>
      <c r="AW31" s="15" t="b">
        <v>1</v>
      </c>
      <c r="AX31" s="15" t="n">
        <v>4.576636772997333</v>
      </c>
      <c r="AY31" s="15" t="n">
        <v>10.93262512456531</v>
      </c>
      <c r="AZ31" s="15" t="n">
        <v>0</v>
      </c>
      <c r="BA31" s="15" t="n">
        <v>1</v>
      </c>
      <c r="BB31" s="15" t="n">
        <v>0.5</v>
      </c>
      <c r="BC31" s="15" t="n">
        <v>0.25</v>
      </c>
      <c r="BD31" s="15" t="inlineStr">
        <is>
          <t>his_note_adaptive</t>
        </is>
      </c>
      <c r="BE31" s="15" t="n">
        <v>-90</v>
      </c>
      <c r="BF31" s="15" t="n">
        <v>20000</v>
      </c>
      <c r="BG31" s="15" t="n">
        <v>8</v>
      </c>
      <c r="BH31" s="15" t="n">
        <v>0.5333333333333333</v>
      </c>
      <c r="BI31" s="15" t="n">
        <v>15</v>
      </c>
      <c r="BJ31" s="15" t="n">
        <v>8</v>
      </c>
      <c r="BK31" s="15" t="n">
        <v>15</v>
      </c>
      <c r="BL31" s="15" t="n">
        <v>13</v>
      </c>
      <c r="BM31" s="15" t="n">
        <v>0.8666666666666667</v>
      </c>
      <c r="BN31" s="15" t="n">
        <v>0.3077139206944919</v>
      </c>
      <c r="BO31" s="15" t="n">
        <v>0.2</v>
      </c>
      <c r="BP31" s="19" t="n">
        <v>0.7453599805577319</v>
      </c>
      <c r="BQ31" s="19" t="n">
        <v>0.2546400194422681</v>
      </c>
      <c r="BR31" s="19" t="n">
        <v>0</v>
      </c>
      <c r="BS31" s="15" t="n">
        <v>0.06832672160684776</v>
      </c>
      <c r="BT31" s="19" t="n">
        <v>1</v>
      </c>
      <c r="BU31" s="19" t="n">
        <v>0</v>
      </c>
      <c r="BV31" s="19" t="n">
        <v>0</v>
      </c>
      <c r="BW31" t="inlineStr">
        <is>
          <t>E6</t>
        </is>
      </c>
      <c r="BX31" t="n">
        <v>88</v>
      </c>
      <c r="BY31" t="inlineStr">
        <is>
          <t>E</t>
        </is>
      </c>
      <c r="BZ31" t="n">
        <v>6</v>
      </c>
      <c r="CA31" t="inlineStr">
        <is>
          <t>Very high</t>
        </is>
      </c>
      <c r="CB31" t="inlineStr">
        <is>
          <t>pp</t>
        </is>
      </c>
      <c r="CC31" s="15" t="n">
        <v>1318.510227651479</v>
      </c>
      <c r="CD31" s="15" t="n">
        <v>1317.336441839296</v>
      </c>
      <c r="CE31" t="inlineStr">
        <is>
          <t>prior_constrained_harmonic_fit</t>
        </is>
      </c>
      <c r="CF31" t="n">
        <v>1317.336441839296</v>
      </c>
      <c r="CG31" s="15" t="n">
        <v>1</v>
      </c>
      <c r="CH31" t="n">
        <v/>
      </c>
      <c r="CI31" t="inlineStr">
        <is>
          <t>free_fit_acoustically_verified</t>
        </is>
      </c>
      <c r="CJ31" s="15" t="inlineStr">
        <is>
          <t>free_f0_fit</t>
        </is>
      </c>
      <c r="CK31" s="15" t="n">
        <v>1318.510227651479</v>
      </c>
      <c r="CL31" s="15" t="n">
        <v>1317.336441839296</v>
      </c>
      <c r="CM31" s="15" t="n">
        <v>-1.541894012433038</v>
      </c>
      <c r="CN31" s="15" t="n">
        <v>20000</v>
      </c>
      <c r="CO31" s="15" t="n">
        <v>-1.541894012433038</v>
      </c>
      <c r="CP31" s="15" t="n">
        <v>1.978656158883033</v>
      </c>
      <c r="CQ31" s="15" t="n">
        <v>37261.73275329734</v>
      </c>
      <c r="CR31" t="n">
        <v>1.014224259293665</v>
      </c>
      <c r="CS31" t="n">
        <v>0.06761495061957769</v>
      </c>
      <c r="CT31" t="n">
        <v>155.2572198054056</v>
      </c>
      <c r="CU31" t="n">
        <v>155.2572198054056</v>
      </c>
      <c r="CV31" t="n">
        <v>157.4656387571313</v>
      </c>
      <c r="CW31" t="n">
        <v>55.48379120819376</v>
      </c>
      <c r="CX31" s="15" t="n">
        <v>37261.73275329734</v>
      </c>
      <c r="CY31" s="15" t="n">
        <v>173.2419592219856</v>
      </c>
      <c r="CZ31" s="15" t="n">
        <v>55.48379120819376</v>
      </c>
      <c r="DA31" s="15" t="n">
        <v>2.335693809023272</v>
      </c>
      <c r="DB31" s="15" t="n">
        <v>2.335693809023272</v>
      </c>
      <c r="DC31" s="15" t="n">
        <v>1.477271780933428</v>
      </c>
      <c r="DD31" s="15" t="n">
        <v>0</v>
      </c>
      <c r="DE31" s="15" t="n">
        <v>6.268344589575169e-05</v>
      </c>
      <c r="DF31" s="15" t="n">
        <v>0</v>
      </c>
      <c r="DG31" s="15" t="n">
        <v>6</v>
      </c>
      <c r="DH31" s="15" t="inlineStr">
        <is>
          <t>Density_Metrics</t>
        </is>
      </c>
      <c r="DI31" s="15" t="n">
        <v>1.978656158883033</v>
      </c>
      <c r="DJ31" t="n">
        <v>0.8932505879298267</v>
      </c>
      <c r="DK31" s="15" t="n">
        <v>0.5231861789097813</v>
      </c>
      <c r="DL31" s="15" t="n">
        <v>5.007125259884758</v>
      </c>
      <c r="DM31" s="15" t="n">
        <v>1.026703620732652</v>
      </c>
      <c r="DN31" s="15" t="n">
        <v>1.009742857179698</v>
      </c>
      <c r="DO31" s="15" t="n">
        <v>7.831746260150871</v>
      </c>
      <c r="DP31" s="15" t="n">
        <v>1.953857657569009</v>
      </c>
      <c r="DQ31" s="15" t="n">
        <v>2.8125</v>
      </c>
      <c r="DR31" s="15" t="n">
        <v>18</v>
      </c>
      <c r="DS31" s="15" t="b">
        <v>1</v>
      </c>
      <c r="DT31" s="15" t="n">
        <v>1.014667332970235</v>
      </c>
      <c r="DU31" s="15" t="n">
        <v>5.503378437587715</v>
      </c>
      <c r="DV31" t="n">
        <v>15</v>
      </c>
      <c r="DW31" s="15" t="n">
        <v>0.06832672160684776</v>
      </c>
      <c r="DX31" s="15" t="n">
        <v>0.7708483156904639</v>
      </c>
      <c r="DY31" s="15" t="n">
        <v>2.171632133052956</v>
      </c>
      <c r="DZ31" s="15" t="n">
        <v>0.2701812237303267</v>
      </c>
      <c r="EA31" s="15" t="b">
        <v>1</v>
      </c>
      <c r="EB31" s="15" t="n">
        <v>0.2262466991700811</v>
      </c>
      <c r="EC31" s="15" t="n">
        <v>20000</v>
      </c>
      <c r="ED31" s="15" t="n">
        <v>7904.018651035776</v>
      </c>
      <c r="EE31" s="15" t="n">
        <v>6</v>
      </c>
      <c r="EF31" s="15" t="n">
        <v>0</v>
      </c>
      <c r="EG31" s="15" t="n">
        <v>0.01633146461317542</v>
      </c>
      <c r="EH31" s="15" t="b">
        <v>0</v>
      </c>
      <c r="EI31" s="15" t="b">
        <v>1</v>
      </c>
      <c r="EJ31" s="15" t="b">
        <v>0</v>
      </c>
      <c r="EK31" s="15" t="inlineStr">
        <is>
          <t>wf=log|dst=-90.0|ceil=20000.0|fft=adaptive_tier</t>
        </is>
      </c>
      <c r="EL31" s="15" t="inlineStr">
        <is>
          <t>wf=log|dst=runtime_configured|ceil=runtime_configured|fft=fixed</t>
        </is>
      </c>
      <c r="EM31" s="15" t="n">
        <v>0.6521107223948064</v>
      </c>
      <c r="EN31" s="15" t="n">
        <v>0.9901543652123012</v>
      </c>
      <c r="EO31" s="15" t="n">
        <v>0.375</v>
      </c>
      <c r="EP31" s="15" t="n">
        <v>0.3764562902463542</v>
      </c>
      <c r="EQ31" s="15" t="inlineStr">
        <is>
          <t>warn:power_outlier_detected</t>
        </is>
      </c>
      <c r="ER31" s="15" t="n">
        <v>443.2636436636479</v>
      </c>
      <c r="ES31" s="15" t="inlineStr">
        <is>
          <t>winsorize_p95_for_robust_diagnostics</t>
        </is>
      </c>
      <c r="ET31" s="15" t="n">
        <v>0.3360180224756396</v>
      </c>
      <c r="EU31" s="15" t="n">
        <v>0.02990250275080544</v>
      </c>
      <c r="EV31" s="15" t="n">
        <v>0.03230714659821259</v>
      </c>
      <c r="EW31" t="inlineStr">
        <is>
          <t>computed</t>
        </is>
      </c>
      <c r="EX31" s="15" t="inlineStr">
        <is>
          <t>computed</t>
        </is>
      </c>
      <c r="EY31" s="15" t="inlineStr">
        <is>
          <t>computed</t>
        </is>
      </c>
      <c r="EZ31" s="15" t="inlineStr">
        <is>
          <t>available_from_curve</t>
        </is>
      </c>
      <c r="FA31" s="15" t="n">
        <v>20000</v>
      </c>
      <c r="FB31" s="15" t="n">
        <v>20000</v>
      </c>
      <c r="FC31" s="15" t="n">
        <v>0.2546400194422681</v>
      </c>
      <c r="FD31" s="15" t="n">
        <v>0.03494547796779765</v>
      </c>
      <c r="FE31" s="15" t="n">
        <v>2.335693809023272</v>
      </c>
      <c r="FF31" s="15" t="n">
        <v>1.477271780933428</v>
      </c>
      <c r="FG31" s="15" t="n">
        <v>1.194159669928058</v>
      </c>
      <c r="FH31" s="15" t="n">
        <v>1.408933574486449</v>
      </c>
      <c r="FI31" s="15" t="n">
        <v>0.5004144374785809</v>
      </c>
      <c r="FJ31" s="15" t="n">
        <v>0.06930814691800381</v>
      </c>
      <c r="FK31" s="15" t="n">
        <v>2328.858297081084</v>
      </c>
      <c r="FL31" s="15" t="n">
        <v>10.8276224513741</v>
      </c>
      <c r="FM31" s="15" t="n">
        <v>3.46773695051211</v>
      </c>
      <c r="FN31" s="15" t="n">
        <v>0.004325566715487499</v>
      </c>
      <c r="FO31" t="n">
        <v>1</v>
      </c>
      <c r="FP31" t="n">
        <v>0</v>
      </c>
      <c r="FQ31" t="n">
        <v>0</v>
      </c>
      <c r="FR31" t="inlineStr">
        <is>
          <t>excellent</t>
        </is>
      </c>
      <c r="FS31" s="19" t="n">
        <v>0.8666666666666667</v>
      </c>
      <c r="FT31" s="15" t="n">
        <v>8.283279028172299</v>
      </c>
      <c r="FU31" s="15" t="n">
        <v>17.67561795209205</v>
      </c>
      <c r="FV31" t="inlineStr">
        <is>
          <t>passed</t>
        </is>
      </c>
      <c r="FW31" t="n">
        <v>53.90440863322163</v>
      </c>
      <c r="FX31" t="n">
        <v>7.2525999461633</v>
      </c>
      <c r="FY31" t="n">
        <v>3.659306112876768</v>
      </c>
      <c r="FZ31" t="n">
        <v>0.838701365873701</v>
      </c>
      <c r="GA31" t="n">
        <v>0.4040332790781102</v>
      </c>
      <c r="GB31" t="n">
        <v>0.696019793133652</v>
      </c>
      <c r="GC31" t="n">
        <v>0.00436250933122187</v>
      </c>
      <c r="GD31" t="n">
        <v>0.01530546946412108</v>
      </c>
      <c r="GE31" t="n">
        <v>0.05602868543314633</v>
      </c>
      <c r="GF31" t="n">
        <v>0.7156267315833108</v>
      </c>
      <c r="GG31" t="n">
        <v>0.687383330673314</v>
      </c>
      <c r="GH31" t="n">
        <v>0.089350589574584</v>
      </c>
      <c r="GI31" t="n">
        <v>0.09394134324177332</v>
      </c>
      <c r="GJ31" t="n">
        <v>0.4509803921568627</v>
      </c>
      <c r="GK31" t="n">
        <v>0.3333333333333333</v>
      </c>
      <c r="GL31" t="n">
        <v>0.116279069767442</v>
      </c>
      <c r="GM31" t="n">
        <v>0.1398663998705848</v>
      </c>
      <c r="GN31" t="n">
        <v>0.1398663998705848</v>
      </c>
      <c r="GO31" t="n">
        <v>0.08662737800195415</v>
      </c>
      <c r="GP31" t="n">
        <v>0.04879731634086711</v>
      </c>
      <c r="GQ31" t="n">
        <v>157.4656387571313</v>
      </c>
      <c r="GR31" t="inlineStr">
        <is>
          <t>compiled workbook density_weighted_sum = density_component_ratio_weighted_sum (per-note component ratios); research density_weighted_sum maps body-ceiling richness</t>
        </is>
      </c>
      <c r="GS31" s="15" t="inlineStr">
        <is>
          <t>individual_exact</t>
        </is>
      </c>
      <c r="GT31" s="15" t="inlineStr">
        <is>
          <t>density_weight</t>
        </is>
      </c>
      <c r="GU31" s="15" t="n">
        <v>0.816136199391999</v>
      </c>
      <c r="GV31" s="15" t="n">
        <v>0.183863800608001</v>
      </c>
      <c r="GW31" s="15" t="n">
        <v>0</v>
      </c>
      <c r="GX31" s="15" t="inlineStr">
        <is>
          <t>log</t>
        </is>
      </c>
      <c r="GY31" s="15" t="n">
        <v>0.5</v>
      </c>
      <c r="GZ31" s="15" t="inlineStr">
        <is>
          <t>EWSD-R v18.1</t>
        </is>
      </c>
      <c r="HA31" s="15" t="n">
        <v>1.269225121762232</v>
      </c>
      <c r="HB31" s="15" t="n">
        <v>9.953775317388681</v>
      </c>
      <c r="HC31" s="15" t="n">
        <v>0.70582837731256</v>
      </c>
      <c r="HD31" s="15" t="n">
        <v>2.180632734332946</v>
      </c>
      <c r="HE31" s="15" t="n">
        <v>11.74755119883684</v>
      </c>
      <c r="HF31" s="15" t="n">
        <v>0.5790672449616566</v>
      </c>
      <c r="HG31" s="15" t="inlineStr">
        <is>
          <t>partials+ratios</t>
        </is>
      </c>
      <c r="HH31" s="15" t="inlineStr">
        <is>
          <t>merged_individual_exact</t>
        </is>
      </c>
      <c r="HI31" s="15" t="inlineStr">
        <is>
          <t>passed</t>
        </is>
      </c>
      <c r="HJ31" s="15" t="inlineStr">
        <is>
          <t>passed</t>
        </is>
      </c>
    </row>
    <row r="32">
      <c r="A32" t="inlineStr">
        <is>
          <t>incomplete_inference</t>
        </is>
      </c>
      <c r="B32" t="inlineStr">
        <is>
          <t>missing_instrument_technique</t>
        </is>
      </c>
      <c r="C32" t="inlineStr">
        <is>
          <t>prior_constrained_harmonic_fit</t>
        </is>
      </c>
      <c r="D32" t="inlineStr">
        <is>
          <t>IOWA_flt_pp.F6_SustainStable/F6/component_amplitude_mass_pie.png</t>
        </is>
      </c>
      <c r="E32" t="inlineStr">
        <is>
          <t>IOWA_flt_pp.F6_SustainStable/F6/component_energy_ratio_pie.png</t>
        </is>
      </c>
      <c r="F32" s="15" t="n">
        <v>1394.248232533003</v>
      </c>
      <c r="G32" s="15" t="inlineStr">
        <is>
          <t>prior_constrained_harmonic_fit</t>
        </is>
      </c>
      <c r="H32" s="15" t="inlineStr">
        <is>
          <t>fit_accepted_acoustically_verified</t>
        </is>
      </c>
      <c r="I32" s="16" t="n">
        <v>42.31706184185217</v>
      </c>
      <c r="J32" t="inlineStr">
        <is>
          <t>richness_weighted_body_density_body_ceiling</t>
        </is>
      </c>
      <c r="K32" t="inlineStr">
        <is>
          <t>research_body_ceiling_richness_metric</t>
        </is>
      </c>
      <c r="L32" s="15" t="n">
        <v>37652.84085902463</v>
      </c>
      <c r="M32" s="15" t="n">
        <v>37652.84085902463</v>
      </c>
      <c r="N32" s="15" t="n">
        <v>300.5024634204913</v>
      </c>
      <c r="O32" s="15" t="n">
        <v>96.16941907971913</v>
      </c>
      <c r="P32" s="15" t="n">
        <v>-6.602421162418444</v>
      </c>
      <c r="Q32" s="15" t="n">
        <v>8</v>
      </c>
      <c r="R32" s="15" t="n">
        <v>12</v>
      </c>
      <c r="S32" s="15" t="n">
        <v>588.3263828869738</v>
      </c>
      <c r="T32" s="15" t="n">
        <v>15</v>
      </c>
      <c r="U32" s="15" t="n">
        <v>-0.485498484233972</v>
      </c>
      <c r="V32" s="15" t="n">
        <v>8.901456003789946</v>
      </c>
      <c r="W32" s="15" t="n">
        <v>0.9054434628328172</v>
      </c>
      <c r="X32" s="15" t="n">
        <v>0.2386593403704948</v>
      </c>
      <c r="Y32" s="15" t="n">
        <v>9</v>
      </c>
      <c r="Z32" s="15" t="n">
        <v>14</v>
      </c>
      <c r="AA32" s="15" t="n">
        <v>0.6428571428571429</v>
      </c>
      <c r="AB32" s="15" t="n">
        <v>14</v>
      </c>
      <c r="AC32" s="15" t="n">
        <v>9</v>
      </c>
      <c r="AD32" s="15" t="n">
        <v>0.6428571428571429</v>
      </c>
      <c r="AE32" s="15" t="n">
        <v>74.33004245624227</v>
      </c>
      <c r="AF32" s="15" t="n">
        <v>9</v>
      </c>
      <c r="AG32" s="15" t="n">
        <v>14</v>
      </c>
      <c r="AH32" s="15" t="n">
        <v>0.6428571428571429</v>
      </c>
      <c r="AI32" s="15" t="n">
        <v>74.33004245624227</v>
      </c>
      <c r="AJ32" s="15" t="n">
        <v>5</v>
      </c>
      <c r="AK32" s="15" t="n">
        <v>4</v>
      </c>
      <c r="AL32" s="15" t="n">
        <v>372.2867517406044</v>
      </c>
      <c r="AM32" s="15" t="n">
        <v>27</v>
      </c>
      <c r="AN32" s="15" t="n">
        <v>0</v>
      </c>
      <c r="AO32" s="15" t="n">
        <v>27</v>
      </c>
      <c r="AP32" s="15" t="n">
        <v>0</v>
      </c>
      <c r="AQ32" s="15" t="n">
        <v>11.95419717632496</v>
      </c>
      <c r="AR32" s="15" t="n">
        <v>6.365943798811493</v>
      </c>
      <c r="AS32" s="15" t="n">
        <v>0.05839066578239643</v>
      </c>
      <c r="AT32" s="17" t="n">
        <v>2.330496980615256</v>
      </c>
      <c r="AU32" s="18" t="n">
        <v>1.414643733197405</v>
      </c>
      <c r="AV32" s="15" t="n">
        <v>2.572131118571755</v>
      </c>
      <c r="AW32" s="15" t="b">
        <v>1</v>
      </c>
      <c r="AX32" s="15" t="n">
        <v>5.045192577498851</v>
      </c>
      <c r="AY32" s="15" t="n">
        <v>13.09256401707281</v>
      </c>
      <c r="AZ32" s="15" t="n">
        <v>0</v>
      </c>
      <c r="BA32" s="15" t="n">
        <v>1</v>
      </c>
      <c r="BB32" s="15" t="n">
        <v>0.5</v>
      </c>
      <c r="BC32" s="15" t="n">
        <v>0.25</v>
      </c>
      <c r="BD32" s="15" t="inlineStr">
        <is>
          <t>his_note_adaptive</t>
        </is>
      </c>
      <c r="BE32" s="15" t="n">
        <v>-90</v>
      </c>
      <c r="BF32" s="15" t="n">
        <v>20000</v>
      </c>
      <c r="BG32" s="15" t="n">
        <v>9</v>
      </c>
      <c r="BH32" s="15" t="n">
        <v>0.6428571428571429</v>
      </c>
      <c r="BI32" s="15" t="n">
        <v>14</v>
      </c>
      <c r="BJ32" s="15" t="n">
        <v>9</v>
      </c>
      <c r="BK32" s="15" t="n">
        <v>14</v>
      </c>
      <c r="BL32" s="15" t="n">
        <v>12</v>
      </c>
      <c r="BM32" s="15" t="n">
        <v>0.8571428571428571</v>
      </c>
      <c r="BN32" s="15" t="n">
        <v>0.2136105469876375</v>
      </c>
      <c r="BO32" s="15" t="n">
        <v>0.225</v>
      </c>
      <c r="BP32" s="19" t="n">
        <v>0.7573727592308432</v>
      </c>
      <c r="BQ32" s="19" t="n">
        <v>0.2426272407691568</v>
      </c>
      <c r="BR32" s="19" t="n">
        <v>0</v>
      </c>
      <c r="BS32" s="15" t="n">
        <v>0.07207960480186902</v>
      </c>
      <c r="BT32" s="19" t="n">
        <v>1</v>
      </c>
      <c r="BU32" s="19" t="n">
        <v>0</v>
      </c>
      <c r="BV32" s="19" t="n">
        <v>0</v>
      </c>
      <c r="BW32" t="inlineStr">
        <is>
          <t>F6</t>
        </is>
      </c>
      <c r="BX32" t="n">
        <v>89</v>
      </c>
      <c r="BY32" t="inlineStr">
        <is>
          <t>F</t>
        </is>
      </c>
      <c r="BZ32" t="n">
        <v>6</v>
      </c>
      <c r="CA32" t="inlineStr">
        <is>
          <t>Very high</t>
        </is>
      </c>
      <c r="CB32" t="inlineStr">
        <is>
          <t>pp</t>
        </is>
      </c>
      <c r="CC32" s="15" t="n">
        <v>1396.912925732016</v>
      </c>
      <c r="CD32" s="15" t="n">
        <v>1394.248232533003</v>
      </c>
      <c r="CE32" t="inlineStr">
        <is>
          <t>prior_constrained_harmonic_fit</t>
        </is>
      </c>
      <c r="CF32" t="n">
        <v>1394.248232533003</v>
      </c>
      <c r="CG32" s="15" t="n">
        <v>1</v>
      </c>
      <c r="CH32" t="n">
        <v/>
      </c>
      <c r="CI32" t="inlineStr">
        <is>
          <t>free_fit_acoustically_verified</t>
        </is>
      </c>
      <c r="CJ32" s="15" t="inlineStr">
        <is>
          <t>free_f0_fit</t>
        </is>
      </c>
      <c r="CK32" s="15" t="n">
        <v>1396.912925732016</v>
      </c>
      <c r="CL32" s="15" t="n">
        <v>1394.248232533003</v>
      </c>
      <c r="CM32" s="15" t="n">
        <v>-3.305584118158465</v>
      </c>
      <c r="CN32" s="15" t="n">
        <v>20000</v>
      </c>
      <c r="CO32" s="15" t="n">
        <v>-3.305584118158465</v>
      </c>
      <c r="CP32" s="15" t="n">
        <v>2.000040971609232</v>
      </c>
      <c r="CQ32" s="15" t="n">
        <v>37652.84085902463</v>
      </c>
      <c r="CR32" t="n">
        <v>1.006991412739892</v>
      </c>
      <c r="CS32" t="n">
        <v>0.07192795805284945</v>
      </c>
      <c r="CT32" t="n">
        <v>42.02325988730427</v>
      </c>
      <c r="CU32" t="n">
        <v>42.02325988730427</v>
      </c>
      <c r="CV32" t="n">
        <v>42.31706184185217</v>
      </c>
      <c r="CW32" t="n">
        <v>96.16941907971913</v>
      </c>
      <c r="CX32" s="15" t="n">
        <v>37652.84085902463</v>
      </c>
      <c r="CY32" s="15" t="n">
        <v>300.5024634204913</v>
      </c>
      <c r="CZ32" s="15" t="n">
        <v>96.16941907971913</v>
      </c>
      <c r="DA32" s="15" t="n">
        <v>2.330496980615256</v>
      </c>
      <c r="DB32" s="15" t="n">
        <v>2.330496980615256</v>
      </c>
      <c r="DC32" s="15" t="n">
        <v>1.554496335852427</v>
      </c>
      <c r="DD32" s="15" t="n">
        <v>0</v>
      </c>
      <c r="DE32" s="15" t="n">
        <v>6.189431998878467e-05</v>
      </c>
      <c r="DF32" s="15" t="n">
        <v>0</v>
      </c>
      <c r="DG32" s="15" t="n">
        <v>8</v>
      </c>
      <c r="DH32" s="15" t="inlineStr">
        <is>
          <t>Density_Metrics</t>
        </is>
      </c>
      <c r="DI32" s="15" t="n">
        <v>2.000040971609232</v>
      </c>
      <c r="DJ32" t="n">
        <v>0.9029046131907033</v>
      </c>
      <c r="DK32" s="15" t="n">
        <v>0.522509044267393</v>
      </c>
      <c r="DL32" s="15" t="n">
        <v>5.050903355915574</v>
      </c>
      <c r="DM32" s="15" t="n">
        <v>1.028271512077881</v>
      </c>
      <c r="DN32" s="15" t="n">
        <v>1.009606328187599</v>
      </c>
      <c r="DO32" s="15" t="n">
        <v>6.675664057347166</v>
      </c>
      <c r="DP32" s="15" t="n">
        <v>1.708019896569485</v>
      </c>
      <c r="DQ32" s="15" t="n">
        <v>6.4375</v>
      </c>
      <c r="DR32" s="15" t="n">
        <v>22</v>
      </c>
      <c r="DS32" s="15" t="b">
        <v>1</v>
      </c>
      <c r="DT32" s="15" t="n">
        <v>1.016736037800083</v>
      </c>
      <c r="DU32" s="15" t="n">
        <v>3.341230765186927</v>
      </c>
      <c r="DV32" t="n">
        <v>14</v>
      </c>
      <c r="DW32" s="15" t="n">
        <v>0.07207960480186902</v>
      </c>
      <c r="DX32" s="15" t="n">
        <v>0.4823842992373441</v>
      </c>
      <c r="DY32" s="15" t="n">
        <v>1.876044160298796</v>
      </c>
      <c r="DZ32" s="15" t="n">
        <v>0.3191377827920771</v>
      </c>
      <c r="EA32" s="15" t="b">
        <v>1</v>
      </c>
      <c r="EB32" s="15" t="n">
        <v>0.1927775482902455</v>
      </c>
      <c r="EC32" s="15" t="n">
        <v>20000</v>
      </c>
      <c r="ED32" s="15" t="n">
        <v>11153.98586026403</v>
      </c>
      <c r="EE32" s="15" t="n">
        <v>8</v>
      </c>
      <c r="EF32" s="15" t="n">
        <v>0</v>
      </c>
      <c r="EG32" s="15" t="n">
        <v>0.03082969987369268</v>
      </c>
      <c r="EH32" s="15" t="b">
        <v>0</v>
      </c>
      <c r="EI32" s="15" t="b">
        <v>1</v>
      </c>
      <c r="EJ32" s="15" t="b">
        <v>0</v>
      </c>
      <c r="EK32" s="15" t="inlineStr">
        <is>
          <t>wf=log|dst=-90.0|ceil=20000.0|fft=adaptive_tier</t>
        </is>
      </c>
      <c r="EL32" s="15" t="inlineStr">
        <is>
          <t>wf=log|dst=runtime_configured|ceil=runtime_configured|fft=fixed</t>
        </is>
      </c>
      <c r="EM32" s="15" t="n">
        <v>0.7157388114637544</v>
      </c>
      <c r="EN32" s="15" t="n">
        <v>0.9897008002357067</v>
      </c>
      <c r="EO32" s="15" t="n">
        <v>0.5333333333333333</v>
      </c>
      <c r="EP32" s="15" t="n">
        <v>0.4185339234550987</v>
      </c>
      <c r="EQ32" s="15" t="inlineStr">
        <is>
          <t>warn:power_outlier_detected</t>
        </is>
      </c>
      <c r="ER32" s="15" t="n">
        <v>235.0713737800714</v>
      </c>
      <c r="ES32" s="15" t="inlineStr">
        <is>
          <t>winsorize_p95_for_robust_diagnostics</t>
        </is>
      </c>
      <c r="ET32" s="15" t="n">
        <v>0.1954299437219358</v>
      </c>
      <c r="EU32" s="15" t="n">
        <v>0.01489733704431903</v>
      </c>
      <c r="EV32" s="15" t="n">
        <v>0.01705317977314897</v>
      </c>
      <c r="EW32" t="inlineStr">
        <is>
          <t>computed</t>
        </is>
      </c>
      <c r="EX32" s="15" t="inlineStr">
        <is>
          <t>computed</t>
        </is>
      </c>
      <c r="EY32" s="15" t="inlineStr">
        <is>
          <t>computed</t>
        </is>
      </c>
      <c r="EZ32" s="15" t="inlineStr">
        <is>
          <t>available_from_curve</t>
        </is>
      </c>
      <c r="FA32" s="15" t="n">
        <v>20000</v>
      </c>
      <c r="FB32" s="15" t="n">
        <v>20000</v>
      </c>
      <c r="FC32" s="15" t="n">
        <v>0.2426272407691568</v>
      </c>
      <c r="FD32" s="15" t="n">
        <v>0.02743385231796173</v>
      </c>
      <c r="FE32" s="15" t="n">
        <v>2.330496980615256</v>
      </c>
      <c r="FF32" s="15" t="n">
        <v>1.554496335852427</v>
      </c>
      <c r="FG32" s="15" t="n">
        <v>1.165910039447891</v>
      </c>
      <c r="FH32" s="15" t="n">
        <v>1.405798751764133</v>
      </c>
      <c r="FI32" s="15" t="n">
        <v>0.5265736606547704</v>
      </c>
      <c r="FJ32" s="15" t="n">
        <v>0.06766855919032859</v>
      </c>
      <c r="FK32" s="15" t="n">
        <v>588.3256384222598</v>
      </c>
      <c r="FL32" s="15" t="n">
        <v>4.695350990945177</v>
      </c>
      <c r="FM32" s="15" t="n">
        <v>1.502647173120611</v>
      </c>
      <c r="FN32" s="15" t="n">
        <v>0.004381520171325814</v>
      </c>
      <c r="FO32" t="n">
        <v>1</v>
      </c>
      <c r="FP32" t="n">
        <v>0</v>
      </c>
      <c r="FQ32" t="n">
        <v>0</v>
      </c>
      <c r="FR32" t="inlineStr">
        <is>
          <t>excellent</t>
        </is>
      </c>
      <c r="FS32" s="19" t="n">
        <v>0.8571428571428571</v>
      </c>
      <c r="FT32" s="15" t="n">
        <v>2.29877680502381</v>
      </c>
      <c r="FU32" s="15" t="n">
        <v>16.19078362382178</v>
      </c>
      <c r="FV32" t="inlineStr">
        <is>
          <t>passed</t>
        </is>
      </c>
      <c r="FW32" t="n">
        <v>26.63012557192321</v>
      </c>
      <c r="FX32" t="n">
        <v>4.356324044314581</v>
      </c>
      <c r="FY32" t="n">
        <v>1.706555370173985</v>
      </c>
      <c r="FZ32" t="n">
        <v>0.8532886226857255</v>
      </c>
      <c r="GA32" t="n">
        <v>0.1085463546646588</v>
      </c>
      <c r="GB32" t="n">
        <v>0.7098087796726877</v>
      </c>
      <c r="GC32" t="n">
        <v>0.004945148265331036</v>
      </c>
      <c r="GD32" t="n">
        <v>0.01746417811741017</v>
      </c>
      <c r="GE32" t="n">
        <v>0.02698928604059555</v>
      </c>
      <c r="GF32" t="n">
        <v>0.7892290159180178</v>
      </c>
      <c r="GG32" t="n">
        <v>0.3923711018399048</v>
      </c>
      <c r="GH32" t="n">
        <v>0.1081621665944347</v>
      </c>
      <c r="GI32" t="n">
        <v>0.01468478940076634</v>
      </c>
      <c r="GJ32" t="n">
        <v>0.5798319327731093</v>
      </c>
      <c r="GK32" t="n">
        <v>0.2857142857142853</v>
      </c>
      <c r="GL32" t="n">
        <v>0.1860465116279071</v>
      </c>
      <c r="GM32" t="n">
        <v>0.09773937677389112</v>
      </c>
      <c r="GN32" t="n">
        <v>0.09773937677389112</v>
      </c>
      <c r="GO32" t="n">
        <v>0.06800658720386737</v>
      </c>
      <c r="GP32" t="n">
        <v>0.07225215210434421</v>
      </c>
      <c r="GQ32" t="n">
        <v>42.31706184185217</v>
      </c>
      <c r="GR32" t="inlineStr">
        <is>
          <t>compiled workbook density_weighted_sum = density_component_ratio_weighted_sum (per-note component ratios); research density_weighted_sum maps body-ceiling richness</t>
        </is>
      </c>
      <c r="GS32" s="15" t="inlineStr">
        <is>
          <t>individual_exact</t>
        </is>
      </c>
      <c r="GT32" s="15" t="inlineStr">
        <is>
          <t>density_weight</t>
        </is>
      </c>
      <c r="GU32" s="15" t="n">
        <v>0.835877934648613</v>
      </c>
      <c r="GV32" s="15" t="n">
        <v>0.1641220653513869</v>
      </c>
      <c r="GW32" s="15" t="n">
        <v>0</v>
      </c>
      <c r="GX32" s="15" t="inlineStr">
        <is>
          <t>log</t>
        </is>
      </c>
      <c r="GY32" s="15" t="n">
        <v>0.5</v>
      </c>
      <c r="GZ32" s="15" t="inlineStr">
        <is>
          <t>EWSD-R v18.1</t>
        </is>
      </c>
      <c r="HA32" s="15" t="n">
        <v>0.7699066342471732</v>
      </c>
      <c r="HB32" s="15" t="n">
        <v>5.676818797520889</v>
      </c>
      <c r="HC32" s="15" t="n">
        <v>0.9185043166173176</v>
      </c>
      <c r="HD32" s="15" t="n">
        <v>1.11476313489308</v>
      </c>
      <c r="HE32" s="15" t="n">
        <v>8.023042334948181</v>
      </c>
      <c r="HF32" s="15" t="n">
        <v>0.7030891401787557</v>
      </c>
      <c r="HG32" s="15" t="inlineStr">
        <is>
          <t>partials+ratios</t>
        </is>
      </c>
      <c r="HH32" s="15" t="inlineStr">
        <is>
          <t>merged_individual_exact</t>
        </is>
      </c>
      <c r="HI32" s="15" t="inlineStr">
        <is>
          <t>passed</t>
        </is>
      </c>
      <c r="HJ32" s="15" t="inlineStr">
        <is>
          <t>passed</t>
        </is>
      </c>
    </row>
    <row r="33">
      <c r="A33" t="inlineStr">
        <is>
          <t>incomplete_inference</t>
        </is>
      </c>
      <c r="B33" t="inlineStr">
        <is>
          <t>missing_instrument_technique</t>
        </is>
      </c>
      <c r="C33" t="inlineStr">
        <is>
          <t>prior_constrained_harmonic_fit</t>
        </is>
      </c>
      <c r="D33" t="inlineStr">
        <is>
          <t>IOWA_flt_pp.F#6_SustainStable/F#6/component_amplitude_mass_pie.png</t>
        </is>
      </c>
      <c r="E33" t="inlineStr">
        <is>
          <t>IOWA_flt_pp.F#6_SustainStable/F#6/component_energy_ratio_pie.png</t>
        </is>
      </c>
      <c r="F33" s="15" t="n">
        <v>1481.870690667774</v>
      </c>
      <c r="G33" s="15" t="inlineStr">
        <is>
          <t>prior_constrained_harmonic_fit</t>
        </is>
      </c>
      <c r="H33" s="15" t="inlineStr">
        <is>
          <t>fit_accepted_acoustically_verified</t>
        </is>
      </c>
      <c r="I33" s="16" t="n">
        <v>46.14932327712041</v>
      </c>
      <c r="J33" t="inlineStr">
        <is>
          <t>richness_weighted_body_density_body_ceiling</t>
        </is>
      </c>
      <c r="K33" t="inlineStr">
        <is>
          <t>research_body_ceiling_richness_metric</t>
        </is>
      </c>
      <c r="L33" s="15" t="n">
        <v>38293.03502284839</v>
      </c>
      <c r="M33" s="15" t="n">
        <v>38325.39982651592</v>
      </c>
      <c r="N33" s="15" t="n">
        <v>343.7464313752693</v>
      </c>
      <c r="O33" s="15" t="n">
        <v>64.50768611465179</v>
      </c>
      <c r="P33" s="15" t="n">
        <v>-11.3544116194002</v>
      </c>
      <c r="Q33" s="15" t="n">
        <v>4</v>
      </c>
      <c r="R33" s="15" t="n">
        <v>6</v>
      </c>
      <c r="S33" s="15" t="n">
        <v>598.8357407885961</v>
      </c>
      <c r="T33" s="15" t="n">
        <v>14</v>
      </c>
      <c r="U33" s="15" t="n">
        <v>-0.4210598472408419</v>
      </c>
      <c r="V33" s="15" t="n">
        <v>8.716614908000206</v>
      </c>
      <c r="W33" s="15" t="n">
        <v>0.9106949954319029</v>
      </c>
      <c r="X33" s="15" t="n">
        <v>0.24566963879199</v>
      </c>
      <c r="Y33" s="15" t="n">
        <v>7</v>
      </c>
      <c r="Z33" s="15" t="n">
        <v>13</v>
      </c>
      <c r="AA33" s="15" t="n">
        <v>0.5384615384615384</v>
      </c>
      <c r="AB33" s="15" t="n">
        <v>13</v>
      </c>
      <c r="AC33" s="15" t="n">
        <v>7</v>
      </c>
      <c r="AD33" s="15" t="n">
        <v>0.5384615384615384</v>
      </c>
      <c r="AE33" s="15" t="n">
        <v>72.2731988857569</v>
      </c>
      <c r="AF33" s="15" t="n">
        <v>7</v>
      </c>
      <c r="AG33" s="15" t="n">
        <v>13</v>
      </c>
      <c r="AH33" s="15" t="n">
        <v>0.5384615384615384</v>
      </c>
      <c r="AI33" s="15" t="n">
        <v>72.2731988857569</v>
      </c>
      <c r="AJ33" s="15" t="n">
        <v>3</v>
      </c>
      <c r="AK33" s="15" t="n">
        <v>4</v>
      </c>
      <c r="AL33" s="15" t="n">
        <v>1237.88031407992</v>
      </c>
      <c r="AM33" s="15" t="n">
        <v>37</v>
      </c>
      <c r="AN33" s="15" t="n">
        <v>0</v>
      </c>
      <c r="AO33" s="15" t="n">
        <v>37</v>
      </c>
      <c r="AP33" s="15" t="n">
        <v>0</v>
      </c>
      <c r="AQ33" s="15" t="n">
        <v>13.93317852839334</v>
      </c>
      <c r="AR33" s="15" t="n">
        <v>6.921234373391126</v>
      </c>
      <c r="AS33" s="15" t="n">
        <v>0.0795674423277264</v>
      </c>
      <c r="AT33" s="17" t="n">
        <v>2.315930073616463</v>
      </c>
      <c r="AU33" s="18" t="n">
        <v>2.013753640730767</v>
      </c>
      <c r="AV33" s="15" t="n">
        <v>2.782955935708932</v>
      </c>
      <c r="AW33" s="15" t="b">
        <v>1</v>
      </c>
      <c r="AX33" s="15" t="n">
        <v>3.915334368931489</v>
      </c>
      <c r="AY33" s="15" t="n">
        <v>16.92192287151925</v>
      </c>
      <c r="AZ33" s="15" t="n">
        <v>0</v>
      </c>
      <c r="BA33" s="15" t="n">
        <v>1</v>
      </c>
      <c r="BB33" s="15" t="n">
        <v>0.5</v>
      </c>
      <c r="BC33" s="15" t="n">
        <v>0.25</v>
      </c>
      <c r="BD33" s="15" t="inlineStr">
        <is>
          <t>his_note_adaptive</t>
        </is>
      </c>
      <c r="BE33" s="15" t="n">
        <v>-90</v>
      </c>
      <c r="BF33" s="15" t="n">
        <v>20000</v>
      </c>
      <c r="BG33" s="15" t="n">
        <v>7</v>
      </c>
      <c r="BH33" s="15" t="n">
        <v>0.5384615384615384</v>
      </c>
      <c r="BI33" s="15" t="n">
        <v>13</v>
      </c>
      <c r="BJ33" s="15" t="n">
        <v>7</v>
      </c>
      <c r="BK33" s="15" t="n">
        <v>13</v>
      </c>
      <c r="BL33" s="15" t="n">
        <v>12</v>
      </c>
      <c r="BM33" s="15" t="n">
        <v>0.9230769230769231</v>
      </c>
      <c r="BN33" s="15" t="n">
        <v>0.2292623499540004</v>
      </c>
      <c r="BO33" s="15" t="n">
        <v>0.3083333333333333</v>
      </c>
      <c r="BP33" s="19" t="n">
        <v>0.7632487582280522</v>
      </c>
      <c r="BQ33" s="19" t="n">
        <v>0.2367512417719478</v>
      </c>
      <c r="BR33" s="19" t="n">
        <v>0</v>
      </c>
      <c r="BS33" s="15" t="n">
        <v>0.09556005913553996</v>
      </c>
      <c r="BT33" s="19" t="n">
        <v>0.9991478832337596</v>
      </c>
      <c r="BU33" s="19" t="n">
        <v>0.0008521167662404538</v>
      </c>
      <c r="BV33" s="19" t="n">
        <v>0</v>
      </c>
      <c r="BW33" t="inlineStr">
        <is>
          <t>F#6</t>
        </is>
      </c>
      <c r="BX33" t="n">
        <v>90</v>
      </c>
      <c r="BY33" t="inlineStr">
        <is>
          <t>F#</t>
        </is>
      </c>
      <c r="BZ33" t="n">
        <v>6</v>
      </c>
      <c r="CA33" t="inlineStr">
        <is>
          <t>Very high</t>
        </is>
      </c>
      <c r="CB33" t="inlineStr">
        <is>
          <t>pp</t>
        </is>
      </c>
      <c r="CC33" s="15" t="n">
        <v>1479.977690846538</v>
      </c>
      <c r="CD33" s="15" t="n">
        <v>1481.870690667774</v>
      </c>
      <c r="CE33" t="inlineStr">
        <is>
          <t>prior_constrained_harmonic_fit</t>
        </is>
      </c>
      <c r="CF33" t="n">
        <v>1481.870690667774</v>
      </c>
      <c r="CG33" s="15" t="n">
        <v>1</v>
      </c>
      <c r="CH33" t="n">
        <v/>
      </c>
      <c r="CI33" t="inlineStr">
        <is>
          <t>free_fit_acoustically_verified</t>
        </is>
      </c>
      <c r="CJ33" s="15" t="inlineStr">
        <is>
          <t>free_f0_fit</t>
        </is>
      </c>
      <c r="CK33" s="15" t="n">
        <v>1479.977690846538</v>
      </c>
      <c r="CL33" s="15" t="n">
        <v>1481.870690667774</v>
      </c>
      <c r="CM33" s="15" t="n">
        <v>2.212960131306667</v>
      </c>
      <c r="CN33" s="15" t="n">
        <v>20000</v>
      </c>
      <c r="CO33" s="15" t="n">
        <v>2.212960131306667</v>
      </c>
      <c r="CP33" s="15" t="n">
        <v>1.988308267612514</v>
      </c>
      <c r="CQ33" s="15" t="n">
        <v>38293.03502284839</v>
      </c>
      <c r="CR33" t="n">
        <v>1.002701991977177</v>
      </c>
      <c r="CS33" t="n">
        <v>0.07713092245978287</v>
      </c>
      <c r="CT33" t="n">
        <v>46.02496419312072</v>
      </c>
      <c r="CU33" t="n">
        <v>46.06418248379317</v>
      </c>
      <c r="CV33" t="n">
        <v>46.14932327712041</v>
      </c>
      <c r="CW33" t="n">
        <v>64.50768611465179</v>
      </c>
      <c r="CX33" s="15" t="n">
        <v>38325.39982651592</v>
      </c>
      <c r="CY33" s="15" t="n">
        <v>343.7464313752693</v>
      </c>
      <c r="CZ33" s="15" t="n">
        <v>64.50768611465179</v>
      </c>
      <c r="DA33" s="15" t="n">
        <v>2.315930073616463</v>
      </c>
      <c r="DB33" s="15" t="n">
        <v>2.316576203065105</v>
      </c>
      <c r="DC33" s="15" t="n">
        <v>1.558312225355238</v>
      </c>
      <c r="DD33" s="15" t="n">
        <v>0</v>
      </c>
      <c r="DE33" s="15" t="n">
        <v>6.047914646187255e-05</v>
      </c>
      <c r="DF33" s="15" t="n">
        <v>0</v>
      </c>
      <c r="DG33" s="15" t="n">
        <v>4</v>
      </c>
      <c r="DH33" s="15" t="inlineStr">
        <is>
          <t>Density_Metrics</t>
        </is>
      </c>
      <c r="DI33" s="15" t="n">
        <v>1.988308267612514</v>
      </c>
      <c r="DJ33" t="n">
        <v>0.897607965414876</v>
      </c>
      <c r="DK33" s="15" t="n">
        <v>0.5206053635661989</v>
      </c>
      <c r="DL33" s="15" t="n">
        <v>4.961058697902897</v>
      </c>
      <c r="DM33" s="15" t="n">
        <v>1.024146451256055</v>
      </c>
      <c r="DN33" s="15" t="n">
        <v>1.014065723779103</v>
      </c>
      <c r="DO33" s="15" t="n">
        <v>8.018419581707551</v>
      </c>
      <c r="DP33" s="15" t="n">
        <v>2.175783179495073</v>
      </c>
      <c r="DQ33" s="15" t="n">
        <v>11.1875</v>
      </c>
      <c r="DR33" s="15" t="n">
        <v>10</v>
      </c>
      <c r="DS33" s="15" t="b">
        <v>0</v>
      </c>
      <c r="DT33" s="15" t="n">
        <v>1.002701991977177</v>
      </c>
      <c r="DU33" s="15" t="n">
        <v>3.19370530429587</v>
      </c>
      <c r="DV33" t="n">
        <v>13</v>
      </c>
      <c r="DW33" s="15" t="n">
        <v>0.09556005913553996</v>
      </c>
      <c r="DX33" s="15" t="n">
        <v>0.5552115168711141</v>
      </c>
      <c r="DY33" s="15" t="n">
        <v>1.870231866381887</v>
      </c>
      <c r="DZ33" s="15" t="n">
        <v>0.303674255735826</v>
      </c>
      <c r="EA33" s="15" t="b">
        <v>1</v>
      </c>
      <c r="EB33" s="15" t="n">
        <v>0.1361936436599658</v>
      </c>
      <c r="EC33" s="15" t="n">
        <v>20000</v>
      </c>
      <c r="ED33" s="15" t="n">
        <v>7409.353453338868</v>
      </c>
      <c r="EE33" s="15" t="n">
        <v>5</v>
      </c>
      <c r="EF33" s="15" t="n">
        <v>0</v>
      </c>
      <c r="EG33" s="15" t="n">
        <v>0.02909936177846458</v>
      </c>
      <c r="EH33" s="15" t="b">
        <v>0</v>
      </c>
      <c r="EI33" s="15" t="b">
        <v>1</v>
      </c>
      <c r="EJ33" s="15" t="b">
        <v>0</v>
      </c>
      <c r="EK33" s="15" t="inlineStr">
        <is>
          <t>wf=log|dst=-90.0|ceil=20000.0|fft=adaptive_tier</t>
        </is>
      </c>
      <c r="EL33" s="15" t="inlineStr">
        <is>
          <t>wf=log|dst=runtime_configured|ceil=runtime_configured|fft=fixed</t>
        </is>
      </c>
      <c r="EM33" s="15" t="n">
        <v>0.6306820381584435</v>
      </c>
      <c r="EN33" s="15" t="n">
        <v>0.9927959561947914</v>
      </c>
      <c r="EO33" s="15" t="n">
        <v>0.2857142857142857</v>
      </c>
      <c r="EP33" s="15" t="n">
        <v>0.4196192893539366</v>
      </c>
      <c r="EQ33" s="15" t="inlineStr">
        <is>
          <t>warn:power_outlier_detected</t>
        </is>
      </c>
      <c r="ER33" s="15" t="n">
        <v>231.608696713042</v>
      </c>
      <c r="ES33" s="15" t="inlineStr">
        <is>
          <t>winsorize_p95_for_robust_diagnostics</t>
        </is>
      </c>
      <c r="ET33" s="15" t="n">
        <v>0.2609330426602865</v>
      </c>
      <c r="EU33" s="15" t="n">
        <v>0.02513617451181291</v>
      </c>
      <c r="EV33" s="15" t="n">
        <v>0.02655629669561695</v>
      </c>
      <c r="EW33" t="inlineStr">
        <is>
          <t>computed</t>
        </is>
      </c>
      <c r="EX33" s="15" t="inlineStr">
        <is>
          <t>computed</t>
        </is>
      </c>
      <c r="EY33" s="15" t="inlineStr">
        <is>
          <t>computed</t>
        </is>
      </c>
      <c r="EZ33" s="15" t="inlineStr">
        <is>
          <t>available_from_curve</t>
        </is>
      </c>
      <c r="FA33" s="15" t="n">
        <v>20000</v>
      </c>
      <c r="FB33" s="15" t="n">
        <v>20000</v>
      </c>
      <c r="FC33" s="15" t="n">
        <v>0.2367512417719478</v>
      </c>
      <c r="FD33" s="15" t="n">
        <v>0.04589624451972641</v>
      </c>
      <c r="FE33" s="15" t="n">
        <v>2.316576203065105</v>
      </c>
      <c r="FF33" s="15" t="n">
        <v>1.558312225355238</v>
      </c>
      <c r="FG33" s="15" t="n">
        <v>1.086170269482553</v>
      </c>
      <c r="FH33" s="15" t="n">
        <v>1.397401482054552</v>
      </c>
      <c r="FI33" s="15" t="n">
        <v>0.5278662638329229</v>
      </c>
      <c r="FJ33" s="15" t="n">
        <v>0.06304052172503856</v>
      </c>
      <c r="FK33" s="15" t="n">
        <v>598.8343722893112</v>
      </c>
      <c r="FL33" s="15" t="n">
        <v>5.371037990238583</v>
      </c>
      <c r="FM33" s="15" t="n">
        <v>1.007932595541434</v>
      </c>
      <c r="FN33" s="15" t="n">
        <v>0.004480354000523708</v>
      </c>
      <c r="FO33" t="n">
        <v>0.9991478832337596</v>
      </c>
      <c r="FP33" t="n">
        <v>0.0008521167662404538</v>
      </c>
      <c r="FQ33" t="n">
        <v>0</v>
      </c>
      <c r="FR33" t="inlineStr">
        <is>
          <t>excellent</t>
        </is>
      </c>
      <c r="FS33" s="19" t="n">
        <v>0.9230769230769231</v>
      </c>
      <c r="FT33" s="15" t="n">
        <v>6.898800072277759</v>
      </c>
      <c r="FU33" s="15" t="n">
        <v>17.07391330600511</v>
      </c>
      <c r="FV33" t="inlineStr">
        <is>
          <t>passed</t>
        </is>
      </c>
      <c r="FW33" t="n">
        <v>25.78612181609465</v>
      </c>
      <c r="FX33" t="n">
        <v>4.395872285095821</v>
      </c>
      <c r="FY33" t="n">
        <v>1.39933451206449</v>
      </c>
      <c r="FZ33" t="n">
        <v>0.8452853743762411</v>
      </c>
      <c r="GA33" t="n">
        <v>0.1183804592223629</v>
      </c>
      <c r="GB33" t="n">
        <v>0.6815099980383968</v>
      </c>
      <c r="GC33" t="n">
        <v>0.003412248011957053</v>
      </c>
      <c r="GD33" t="n">
        <v>0.002819548433440859</v>
      </c>
      <c r="GE33" t="n">
        <v>0.01619312653238847</v>
      </c>
      <c r="GF33" t="n">
        <v>0.803278467088005</v>
      </c>
      <c r="GG33" t="n">
        <v>0.4084990168966834</v>
      </c>
      <c r="GH33" t="n">
        <v>0.2258595081330476</v>
      </c>
      <c r="GI33" t="n">
        <v>0.04437590271783121</v>
      </c>
      <c r="GJ33" t="n">
        <v>0.4570135746606334</v>
      </c>
      <c r="GK33" t="n">
        <v>0.6153846153846155</v>
      </c>
      <c r="GL33" t="n">
        <v>0.4186046511627906</v>
      </c>
      <c r="GM33" t="n">
        <v>0.07713312469787079</v>
      </c>
      <c r="GN33" t="n">
        <v>0.07713312469787079</v>
      </c>
      <c r="GO33" t="n">
        <v>0.1137735568116777</v>
      </c>
      <c r="GP33" t="n">
        <v>0.1181013877475817</v>
      </c>
      <c r="GQ33" t="n">
        <v>46.14932327712041</v>
      </c>
      <c r="GR33" t="inlineStr">
        <is>
          <t>compiled workbook density_weighted_sum = density_component_ratio_weighted_sum (per-note component ratios); research density_weighted_sum maps body-ceiling richness</t>
        </is>
      </c>
      <c r="GS33" s="15" t="inlineStr">
        <is>
          <t>individual_exact</t>
        </is>
      </c>
      <c r="GT33" s="15" t="inlineStr">
        <is>
          <t>density_weight</t>
        </is>
      </c>
      <c r="GU33" s="15" t="n">
        <v>0.7688940490535554</v>
      </c>
      <c r="GV33" s="15" t="n">
        <v>0.2311059509464446</v>
      </c>
      <c r="GW33" s="15" t="n">
        <v>0</v>
      </c>
      <c r="GX33" s="15" t="inlineStr">
        <is>
          <t>log</t>
        </is>
      </c>
      <c r="GY33" s="15" t="n">
        <v>0.5</v>
      </c>
      <c r="GZ33" s="15" t="inlineStr">
        <is>
          <t>EWSD-R v18.1</t>
        </is>
      </c>
      <c r="HA33" s="15" t="n">
        <v>1.313169382295628</v>
      </c>
      <c r="HB33" s="15" t="n">
        <v>8.276240490129503</v>
      </c>
      <c r="HC33" s="15" t="n">
        <v>0.8202835163517144</v>
      </c>
      <c r="HD33" s="15" t="n">
        <v>1.781904116184959</v>
      </c>
      <c r="HE33" s="15" t="n">
        <v>9.160584119662641</v>
      </c>
      <c r="HF33" s="15" t="n">
        <v>0.6540447052240759</v>
      </c>
      <c r="HG33" s="15" t="inlineStr">
        <is>
          <t>partials+ratios</t>
        </is>
      </c>
      <c r="HH33" s="15" t="inlineStr">
        <is>
          <t>merged_individual_exact</t>
        </is>
      </c>
      <c r="HI33" s="15" t="inlineStr">
        <is>
          <t>passed</t>
        </is>
      </c>
      <c r="HJ33" s="15" t="inlineStr">
        <is>
          <t>passed</t>
        </is>
      </c>
    </row>
    <row r="34">
      <c r="A34" t="inlineStr">
        <is>
          <t>incomplete_inference</t>
        </is>
      </c>
      <c r="B34" t="inlineStr">
        <is>
          <t>missing_instrument_technique</t>
        </is>
      </c>
      <c r="C34" t="inlineStr">
        <is>
          <t>prior_constrained_harmonic_fit</t>
        </is>
      </c>
      <c r="D34" t="inlineStr">
        <is>
          <t>IOWA_flt_pp.G6_SustainStable/G6/component_amplitude_mass_pie.png</t>
        </is>
      </c>
      <c r="E34" t="inlineStr">
        <is>
          <t>IOWA_flt_pp.G6_SustainStable/G6/component_energy_ratio_pie.png</t>
        </is>
      </c>
      <c r="F34" s="15" t="n">
        <v>1566.395326583628</v>
      </c>
      <c r="G34" s="15" t="inlineStr">
        <is>
          <t>prior_constrained_harmonic_fit</t>
        </is>
      </c>
      <c r="H34" s="15" t="inlineStr">
        <is>
          <t>fit_accepted_acoustically_verified</t>
        </is>
      </c>
      <c r="I34" s="16" t="n">
        <v>52.24251653676053</v>
      </c>
      <c r="J34" t="inlineStr">
        <is>
          <t>richness_weighted_body_density_body_ceiling</t>
        </is>
      </c>
      <c r="K34" t="inlineStr">
        <is>
          <t>research_body_ceiling_richness_metric</t>
        </is>
      </c>
      <c r="L34" s="15" t="n">
        <v>40022.13704573506</v>
      </c>
      <c r="M34" s="15" t="n">
        <v>40022.13704573506</v>
      </c>
      <c r="N34" s="15" t="n">
        <v>411.3639119851667</v>
      </c>
      <c r="O34" s="15" t="n">
        <v>17.9726766938746</v>
      </c>
      <c r="P34" s="15" t="n">
        <v>-7.84715587191253</v>
      </c>
      <c r="Q34" s="15" t="n">
        <v>6</v>
      </c>
      <c r="R34" s="15" t="n">
        <v>8</v>
      </c>
      <c r="S34" s="15" t="n">
        <v>625.3461332353876</v>
      </c>
      <c r="T34" s="15" t="n">
        <v>13</v>
      </c>
      <c r="U34" s="15" t="n">
        <v>-0.3662692002288479</v>
      </c>
      <c r="V34" s="15" t="n">
        <v>8.43937231536963</v>
      </c>
      <c r="W34" s="15" t="n">
        <v>0.9390291820323918</v>
      </c>
      <c r="X34" s="15" t="n">
        <v>0.2648331842030069</v>
      </c>
      <c r="Y34" s="15" t="n">
        <v>8</v>
      </c>
      <c r="Z34" s="15" t="n">
        <v>12</v>
      </c>
      <c r="AA34" s="15" t="n">
        <v>0.6666666666666666</v>
      </c>
      <c r="AB34" s="15" t="n">
        <v>12</v>
      </c>
      <c r="AC34" s="15" t="n">
        <v>8</v>
      </c>
      <c r="AD34" s="15" t="n">
        <v>0.6666666666666666</v>
      </c>
      <c r="AE34" s="15" t="n">
        <v>73.68305070588212</v>
      </c>
      <c r="AF34" s="15" t="n">
        <v>8</v>
      </c>
      <c r="AG34" s="15" t="n">
        <v>12</v>
      </c>
      <c r="AH34" s="15" t="n">
        <v>0.6666666666666666</v>
      </c>
      <c r="AI34" s="15" t="n">
        <v>73.68305070588212</v>
      </c>
      <c r="AJ34" s="15" t="n">
        <v>4</v>
      </c>
      <c r="AK34" s="15" t="n">
        <v>4</v>
      </c>
      <c r="AL34" s="15" t="n">
        <v>946.3278864079889</v>
      </c>
      <c r="AM34" s="15" t="n">
        <v>28</v>
      </c>
      <c r="AN34" s="15" t="n">
        <v>0</v>
      </c>
      <c r="AO34" s="15" t="n">
        <v>28</v>
      </c>
      <c r="AP34" s="15" t="n">
        <v>0</v>
      </c>
      <c r="AQ34" s="15" t="n">
        <v>11.17224441001275</v>
      </c>
      <c r="AR34" s="15" t="n">
        <v>5.593651878832494</v>
      </c>
      <c r="AS34" s="15" t="n">
        <v>0.02893824183383592</v>
      </c>
      <c r="AT34" s="17" t="n">
        <v>2.326190700752178</v>
      </c>
      <c r="AU34" s="18" t="n">
        <v>1.558477699804409</v>
      </c>
      <c r="AV34" s="15" t="n">
        <v>2.510432330204069</v>
      </c>
      <c r="AW34" s="15" t="b">
        <v>1</v>
      </c>
      <c r="AX34" s="15" t="n">
        <v>4.30600025429481</v>
      </c>
      <c r="AY34" s="15" t="n">
        <v>12.42423742715192</v>
      </c>
      <c r="AZ34" s="15" t="n">
        <v>0</v>
      </c>
      <c r="BA34" s="15" t="n">
        <v>1</v>
      </c>
      <c r="BB34" s="15" t="n">
        <v>0.5</v>
      </c>
      <c r="BC34" s="15" t="n">
        <v>0.25</v>
      </c>
      <c r="BD34" s="15" t="inlineStr">
        <is>
          <t>his_note_adaptive</t>
        </is>
      </c>
      <c r="BE34" s="15" t="n">
        <v>-90</v>
      </c>
      <c r="BF34" s="15" t="n">
        <v>20000</v>
      </c>
      <c r="BG34" s="15" t="n">
        <v>8</v>
      </c>
      <c r="BH34" s="15" t="n">
        <v>0.6666666666666666</v>
      </c>
      <c r="BI34" s="15" t="n">
        <v>12</v>
      </c>
      <c r="BJ34" s="15" t="n">
        <v>8</v>
      </c>
      <c r="BK34" s="15" t="n">
        <v>12</v>
      </c>
      <c r="BL34" s="15" t="n">
        <v>11</v>
      </c>
      <c r="BM34" s="15" t="n">
        <v>0.9166666666666666</v>
      </c>
      <c r="BN34" s="15" t="n">
        <v>0.2474636624693868</v>
      </c>
      <c r="BO34" s="15" t="n">
        <v>0.2333333333333333</v>
      </c>
      <c r="BP34" s="19" t="n">
        <v>0.7606751395535584</v>
      </c>
      <c r="BQ34" s="19" t="n">
        <v>0.2393248604464416</v>
      </c>
      <c r="BR34" s="19" t="n">
        <v>0</v>
      </c>
      <c r="BS34" s="15" t="n">
        <v>0.07341171616345592</v>
      </c>
      <c r="BT34" s="19" t="n">
        <v>1</v>
      </c>
      <c r="BU34" s="19" t="n">
        <v>0</v>
      </c>
      <c r="BV34" s="19" t="n">
        <v>0</v>
      </c>
      <c r="BW34" t="inlineStr">
        <is>
          <t>G6</t>
        </is>
      </c>
      <c r="BX34" t="n">
        <v>91</v>
      </c>
      <c r="BY34" t="inlineStr">
        <is>
          <t>G</t>
        </is>
      </c>
      <c r="BZ34" t="n">
        <v>6</v>
      </c>
      <c r="CA34" t="inlineStr">
        <is>
          <t>Very high</t>
        </is>
      </c>
      <c r="CB34" t="inlineStr">
        <is>
          <t>pp</t>
        </is>
      </c>
      <c r="CC34" s="15" t="n">
        <v>1567.981743926997</v>
      </c>
      <c r="CD34" s="15" t="n">
        <v>1566.395326583628</v>
      </c>
      <c r="CE34" t="inlineStr">
        <is>
          <t>prior_constrained_harmonic_fit</t>
        </is>
      </c>
      <c r="CF34" t="n">
        <v>1566.395326583628</v>
      </c>
      <c r="CG34" s="15" t="n">
        <v>1</v>
      </c>
      <c r="CH34" t="n">
        <v/>
      </c>
      <c r="CI34" t="inlineStr">
        <is>
          <t>free_fit_acoustically_verified</t>
        </is>
      </c>
      <c r="CJ34" s="15" t="inlineStr">
        <is>
          <t>free_f0_fit</t>
        </is>
      </c>
      <c r="CK34" s="15" t="n">
        <v>1567.981743926997</v>
      </c>
      <c r="CL34" s="15" t="n">
        <v>1566.395326583628</v>
      </c>
      <c r="CM34" s="15" t="n">
        <v>-1.752475782975762</v>
      </c>
      <c r="CN34" s="15" t="n">
        <v>20000</v>
      </c>
      <c r="CO34" s="15" t="n">
        <v>-1.752475782975762</v>
      </c>
      <c r="CP34" s="15" t="n">
        <v>2.011170316811925</v>
      </c>
      <c r="CQ34" s="15" t="n">
        <v>40022.13704573506</v>
      </c>
      <c r="CR34" t="n">
        <v>1.002501506963074</v>
      </c>
      <c r="CS34" t="n">
        <v>0.08354179224692286</v>
      </c>
      <c r="CT34" t="n">
        <v>52.1121576116342</v>
      </c>
      <c r="CU34" t="n">
        <v>52.1121576116342</v>
      </c>
      <c r="CV34" t="n">
        <v>52.24251653676053</v>
      </c>
      <c r="CW34" t="n">
        <v>17.9726766938746</v>
      </c>
      <c r="CX34" s="15" t="n">
        <v>40022.13704573506</v>
      </c>
      <c r="CY34" s="15" t="n">
        <v>411.3639119851667</v>
      </c>
      <c r="CZ34" s="15" t="n">
        <v>17.9726766938746</v>
      </c>
      <c r="DA34" s="15" t="n">
        <v>2.326190700752178</v>
      </c>
      <c r="DB34" s="15" t="n">
        <v>2.326190700752178</v>
      </c>
      <c r="DC34" s="15" t="n">
        <v>1.650763137891281</v>
      </c>
      <c r="DD34" s="15" t="n">
        <v>0</v>
      </c>
      <c r="DE34" s="15" t="n">
        <v>5.812260095191662e-05</v>
      </c>
      <c r="DF34" s="15" t="n">
        <v>0</v>
      </c>
      <c r="DG34" s="15" t="n">
        <v>6</v>
      </c>
      <c r="DH34" s="15" t="inlineStr">
        <is>
          <t>Density_Metrics</t>
        </is>
      </c>
      <c r="DI34" s="15" t="n">
        <v>2.011170316811925</v>
      </c>
      <c r="DJ34" t="n">
        <v>0.9079288788272311</v>
      </c>
      <c r="DK34" s="15" t="n">
        <v>0.5219471450368827</v>
      </c>
      <c r="DL34" s="15" t="n">
        <v>4.817520926013701</v>
      </c>
      <c r="DM34" s="15" t="n">
        <v>1.0240887271288</v>
      </c>
      <c r="DN34" s="15" t="n">
        <v>1.009908994103319</v>
      </c>
      <c r="DO34" s="15" t="n">
        <v>7.40049747189796</v>
      </c>
      <c r="DP34" s="15" t="n">
        <v>1.950588503436174</v>
      </c>
      <c r="DQ34" s="15" t="n">
        <v>17.6875</v>
      </c>
      <c r="DR34" s="15" t="n">
        <v>14</v>
      </c>
      <c r="DS34" s="15" t="b">
        <v>0</v>
      </c>
      <c r="DT34" s="15" t="n">
        <v>1.002501506963074</v>
      </c>
      <c r="DU34" s="15" t="n">
        <v>3.177998210436083</v>
      </c>
      <c r="DV34" t="n">
        <v>12</v>
      </c>
      <c r="DW34" s="15" t="n">
        <v>0.07341171616345592</v>
      </c>
      <c r="DX34" s="15" t="n">
        <v>0.6178935018705312</v>
      </c>
      <c r="DY34" s="15" t="n">
        <v>1.881537838872029</v>
      </c>
      <c r="DZ34" s="15" t="n">
        <v>0.2861967337463405</v>
      </c>
      <c r="EA34" s="15" t="b">
        <v>1</v>
      </c>
      <c r="EB34" s="15" t="n">
        <v>0.09805041223370994</v>
      </c>
      <c r="EC34" s="15" t="n">
        <v>20000</v>
      </c>
      <c r="ED34" s="15" t="n">
        <v>10964.7672860854</v>
      </c>
      <c r="EE34" s="15" t="n">
        <v>7</v>
      </c>
      <c r="EF34" s="15" t="n">
        <v>0</v>
      </c>
      <c r="EG34" s="15" t="n">
        <v>0.0274661400981242</v>
      </c>
      <c r="EH34" s="15" t="b">
        <v>0</v>
      </c>
      <c r="EI34" s="15" t="b">
        <v>1</v>
      </c>
      <c r="EJ34" s="15" t="b">
        <v>0</v>
      </c>
      <c r="EK34" s="15" t="inlineStr">
        <is>
          <t>wf=log|dst=-90.0|ceil=20000.0|fft=adaptive_tier</t>
        </is>
      </c>
      <c r="EL34" s="15" t="inlineStr">
        <is>
          <t>wf=log|dst=runtime_configured|ceil=runtime_configured|fft=fixed</t>
        </is>
      </c>
      <c r="EM34" s="15" t="n">
        <v>0.6917487019213689</v>
      </c>
      <c r="EN34" s="15" t="n">
        <v>0.9922674436066955</v>
      </c>
      <c r="EO34" s="15" t="n">
        <v>0.4615384615384616</v>
      </c>
      <c r="EP34" s="15" t="n">
        <v>0.4184494537994722</v>
      </c>
      <c r="EQ34" s="15" t="inlineStr">
        <is>
          <t>warn:power_outlier_detected</t>
        </is>
      </c>
      <c r="ER34" s="15" t="n">
        <v>235.3436918782549</v>
      </c>
      <c r="ES34" s="15" t="inlineStr">
        <is>
          <t>winsorize_p95_for_robust_diagnostics</t>
        </is>
      </c>
      <c r="ET34" s="15" t="n">
        <v>0.2220147857429914</v>
      </c>
      <c r="EU34" s="15" t="n">
        <v>0.01353443471398458</v>
      </c>
      <c r="EV34" s="15" t="n">
        <v>0.01598231054464433</v>
      </c>
      <c r="EW34" t="inlineStr">
        <is>
          <t>computed</t>
        </is>
      </c>
      <c r="EX34" s="15" t="inlineStr">
        <is>
          <t>computed</t>
        </is>
      </c>
      <c r="EY34" s="15" t="inlineStr">
        <is>
          <t>computed</t>
        </is>
      </c>
      <c r="EZ34" s="15" t="inlineStr">
        <is>
          <t>available_from_curve</t>
        </is>
      </c>
      <c r="FA34" s="15" t="n">
        <v>20000</v>
      </c>
      <c r="FB34" s="15" t="n">
        <v>20000</v>
      </c>
      <c r="FC34" s="15" t="n">
        <v>0.2393248604464416</v>
      </c>
      <c r="FD34" s="15" t="n">
        <v>0.03259003906871111</v>
      </c>
      <c r="FE34" s="15" t="n">
        <v>2.326190700752178</v>
      </c>
      <c r="FF34" s="15" t="n">
        <v>1.650763137891281</v>
      </c>
      <c r="FG34" s="15" t="n">
        <v>0.8405670873702417</v>
      </c>
      <c r="FH34" s="15" t="n">
        <v>1.403201124345339</v>
      </c>
      <c r="FI34" s="15" t="n">
        <v>0.5591832983747141</v>
      </c>
      <c r="FJ34" s="15" t="n">
        <v>0.04878589409187217</v>
      </c>
      <c r="FK34" s="15" t="n">
        <v>625.3458913396104</v>
      </c>
      <c r="FL34" s="15" t="n">
        <v>6.42756112476823</v>
      </c>
      <c r="FM34" s="15" t="n">
        <v>0.2808230733417906</v>
      </c>
      <c r="FN34" s="15" t="n">
        <v>0.004672143565815557</v>
      </c>
      <c r="FO34" t="n">
        <v>1</v>
      </c>
      <c r="FP34" t="n">
        <v>0</v>
      </c>
      <c r="FQ34" t="n">
        <v>0</v>
      </c>
      <c r="FR34" t="inlineStr">
        <is>
          <t>excellent</t>
        </is>
      </c>
      <c r="FS34" s="19" t="n">
        <v>0.9166666666666666</v>
      </c>
      <c r="FT34" s="15" t="n">
        <v>1.636880362012558</v>
      </c>
      <c r="FU34" s="15" t="n">
        <v>5.799030029999727</v>
      </c>
      <c r="FV34" t="inlineStr">
        <is>
          <t>passed</t>
        </is>
      </c>
      <c r="FW34" t="n">
        <v>26.36614402315464</v>
      </c>
      <c r="FX34" t="n">
        <v>5.468364876028606</v>
      </c>
      <c r="FY34" t="n">
        <v>0.7409186637133518</v>
      </c>
      <c r="FZ34" t="n">
        <v>0.8608803008874457</v>
      </c>
      <c r="GA34" t="n">
        <v>0.1340164226391972</v>
      </c>
      <c r="GB34" t="n">
        <v>0.6362992514808012</v>
      </c>
      <c r="GC34" t="n">
        <v>0.003390797339320462</v>
      </c>
      <c r="GD34" t="n">
        <v>0.00261034085169493</v>
      </c>
      <c r="GE34" t="n">
        <v>0</v>
      </c>
      <c r="GF34" t="n">
        <v>0.8790810568223202</v>
      </c>
      <c r="GG34" t="n">
        <v>0.4525867309985435</v>
      </c>
      <c r="GH34" t="n">
        <v>0.114839463535292</v>
      </c>
      <c r="GI34" t="n">
        <v>0.06962155323216246</v>
      </c>
      <c r="GJ34" t="n">
        <v>0.6078431372549019</v>
      </c>
      <c r="GK34" t="n">
        <v>0.583333333333333</v>
      </c>
      <c r="GL34" t="n">
        <v>0.2093023255813953</v>
      </c>
      <c r="GM34" t="n">
        <v>0.08615842153324485</v>
      </c>
      <c r="GN34" t="n">
        <v>0.08615842153324485</v>
      </c>
      <c r="GO34" t="n">
        <v>0.08078841090985414</v>
      </c>
      <c r="GP34" t="n">
        <v>0.05413579309618154</v>
      </c>
      <c r="GQ34" t="n">
        <v>52.24251653676053</v>
      </c>
      <c r="GR34" t="inlineStr">
        <is>
          <t>compiled workbook density_weighted_sum = density_component_ratio_weighted_sum (per-note component ratios); research density_weighted_sum maps body-ceiling richness</t>
        </is>
      </c>
      <c r="GS34" s="15" t="inlineStr">
        <is>
          <t>individual_exact</t>
        </is>
      </c>
      <c r="GT34" s="15" t="inlineStr">
        <is>
          <t>density_weight</t>
        </is>
      </c>
      <c r="GU34" s="15" t="n">
        <v>0.8413877794993624</v>
      </c>
      <c r="GV34" s="15" t="n">
        <v>0.1586122205006376</v>
      </c>
      <c r="GW34" s="15" t="n">
        <v>0</v>
      </c>
      <c r="GX34" s="15" t="inlineStr">
        <is>
          <t>log</t>
        </is>
      </c>
      <c r="GY34" s="15" t="n">
        <v>0.5</v>
      </c>
      <c r="GZ34" s="15" t="inlineStr">
        <is>
          <t>EWSD-R v18.1</t>
        </is>
      </c>
      <c r="HA34" s="15" t="n">
        <v>0.7898524027195465</v>
      </c>
      <c r="HB34" s="15" t="n">
        <v>6.371861948470352</v>
      </c>
      <c r="HC34" s="15" t="n">
        <v>0.9905937201694862</v>
      </c>
      <c r="HD34" s="15" t="n">
        <v>1.6775433671736</v>
      </c>
      <c r="HE34" s="15" t="n">
        <v>8.262963715453406</v>
      </c>
      <c r="HF34" s="15" t="n">
        <v>0.7066021073116403</v>
      </c>
      <c r="HG34" s="15" t="inlineStr">
        <is>
          <t>partials+ratios</t>
        </is>
      </c>
      <c r="HH34" s="15" t="inlineStr">
        <is>
          <t>merged_individual_exact</t>
        </is>
      </c>
      <c r="HI34" s="15" t="inlineStr">
        <is>
          <t>passed</t>
        </is>
      </c>
      <c r="HJ34" s="15" t="inlineStr">
        <is>
          <t>passed</t>
        </is>
      </c>
    </row>
    <row r="35">
      <c r="A35" t="inlineStr">
        <is>
          <t>incomplete_inference</t>
        </is>
      </c>
      <c r="B35" t="inlineStr">
        <is>
          <t>missing_instrument_technique</t>
        </is>
      </c>
      <c r="C35" t="inlineStr">
        <is>
          <t>prior_constrained_harmonic_fit</t>
        </is>
      </c>
      <c r="D35" t="inlineStr">
        <is>
          <t>IOWA_flt_pp.G#6_SustainStable/G#6/component_amplitude_mass_pie.png</t>
        </is>
      </c>
      <c r="E35" t="inlineStr">
        <is>
          <t>IOWA_flt_pp.G#6_SustainStable/G#6/component_energy_ratio_pie.png</t>
        </is>
      </c>
      <c r="F35" s="15" t="n">
        <v>1661.890715566864</v>
      </c>
      <c r="G35" s="15" t="inlineStr">
        <is>
          <t>prior_constrained_harmonic_fit</t>
        </is>
      </c>
      <c r="H35" s="15" t="inlineStr">
        <is>
          <t>fit_accepted_acoustically_verified</t>
        </is>
      </c>
      <c r="I35" s="16" t="n">
        <v>50.25800661946755</v>
      </c>
      <c r="J35" t="inlineStr">
        <is>
          <t>richness_weighted_body_density_body_ceiling</t>
        </is>
      </c>
      <c r="K35" t="inlineStr">
        <is>
          <t>research_body_ceiling_richness_metric</t>
        </is>
      </c>
      <c r="L35" s="15" t="n">
        <v>38364.07321009765</v>
      </c>
      <c r="M35" s="15" t="n">
        <v>38364.07321009765</v>
      </c>
      <c r="N35" s="15" t="n">
        <v>342.1088242070976</v>
      </c>
      <c r="O35" s="15" t="n">
        <v>113.6986406568007</v>
      </c>
      <c r="P35" s="15" t="n">
        <v>-6.805072066743254</v>
      </c>
      <c r="Q35" s="15" t="n">
        <v>6</v>
      </c>
      <c r="R35" s="15" t="n">
        <v>8</v>
      </c>
      <c r="S35" s="15" t="n">
        <v>599.4415045904848</v>
      </c>
      <c r="T35" s="15" t="n">
        <v>13</v>
      </c>
      <c r="U35" s="15" t="n">
        <v>-0.4427749819633574</v>
      </c>
      <c r="V35" s="15" t="n">
        <v>9.08091648743625</v>
      </c>
      <c r="W35" s="15" t="n">
        <v>0.8721834318913175</v>
      </c>
      <c r="X35" s="15" t="n">
        <v>0.2727490240234255</v>
      </c>
      <c r="Y35" s="15" t="n">
        <v>12</v>
      </c>
      <c r="Z35" s="15" t="n">
        <v>12</v>
      </c>
      <c r="AA35" s="15" t="n">
        <v>1</v>
      </c>
      <c r="AB35" s="15" t="n">
        <v>12</v>
      </c>
      <c r="AC35" s="15" t="n">
        <v>12</v>
      </c>
      <c r="AD35" s="15" t="n">
        <v>1</v>
      </c>
      <c r="AE35" s="15" t="n">
        <v>75.29428501527372</v>
      </c>
      <c r="AF35" s="15" t="n">
        <v>12</v>
      </c>
      <c r="AG35" s="15" t="n">
        <v>12</v>
      </c>
      <c r="AH35" s="15" t="n">
        <v>1</v>
      </c>
      <c r="AI35" s="15" t="n">
        <v>75.29428501527372</v>
      </c>
      <c r="AJ35" s="15" t="n">
        <v>6</v>
      </c>
      <c r="AK35" s="15" t="n">
        <v>6</v>
      </c>
      <c r="AL35" s="15" t="n">
        <v>885.0247174814717</v>
      </c>
      <c r="AM35" s="15" t="n">
        <v>42</v>
      </c>
      <c r="AN35" s="15" t="n">
        <v>0</v>
      </c>
      <c r="AO35" s="15" t="n">
        <v>42</v>
      </c>
      <c r="AP35" s="15" t="n">
        <v>0</v>
      </c>
      <c r="AQ35" s="15" t="n">
        <v>16.73099570359355</v>
      </c>
      <c r="AR35" s="15" t="n">
        <v>8.034353388351352</v>
      </c>
      <c r="AS35" s="15" t="n">
        <v>0.1220177804520773</v>
      </c>
      <c r="AT35" s="17" t="n">
        <v>2.333537992423802</v>
      </c>
      <c r="AU35" s="18" t="n">
        <v>2.080513609814506</v>
      </c>
      <c r="AV35" s="15" t="n">
        <v>3.114653086103984</v>
      </c>
      <c r="AW35" s="15" t="b">
        <v>1</v>
      </c>
      <c r="AX35" s="15" t="n">
        <v>6.093869981147498</v>
      </c>
      <c r="AY35" s="15" t="n">
        <v>18.39878544997731</v>
      </c>
      <c r="AZ35" s="15" t="n">
        <v>0</v>
      </c>
      <c r="BA35" s="15" t="n">
        <v>1</v>
      </c>
      <c r="BB35" s="15" t="n">
        <v>0.5</v>
      </c>
      <c r="BC35" s="15" t="n">
        <v>0.25</v>
      </c>
      <c r="BD35" s="15" t="inlineStr">
        <is>
          <t>his_note_adaptive</t>
        </is>
      </c>
      <c r="BE35" s="15" t="n">
        <v>-90</v>
      </c>
      <c r="BF35" s="15" t="n">
        <v>20000</v>
      </c>
      <c r="BG35" s="15" t="n">
        <v>12</v>
      </c>
      <c r="BH35" s="15" t="n">
        <v>1</v>
      </c>
      <c r="BI35" s="15" t="n">
        <v>12</v>
      </c>
      <c r="BJ35" s="15" t="n">
        <v>12</v>
      </c>
      <c r="BK35" s="15" t="n">
        <v>12</v>
      </c>
      <c r="BL35" s="15" t="n">
        <v>11</v>
      </c>
      <c r="BM35" s="15" t="n">
        <v>0.9166666666666666</v>
      </c>
      <c r="BN35" s="15" t="n">
        <v>0.2493633882970423</v>
      </c>
      <c r="BO35" s="15" t="n">
        <v>0.35</v>
      </c>
      <c r="BP35" s="19" t="n">
        <v>0.7636132361374903</v>
      </c>
      <c r="BQ35" s="19" t="n">
        <v>0.2363867638625098</v>
      </c>
      <c r="BR35" s="19" t="n">
        <v>0</v>
      </c>
      <c r="BS35" s="15" t="n">
        <v>0.1083472148418623</v>
      </c>
      <c r="BT35" s="19" t="n">
        <v>1</v>
      </c>
      <c r="BU35" s="19" t="n">
        <v>0</v>
      </c>
      <c r="BV35" s="19" t="n">
        <v>0</v>
      </c>
      <c r="BW35" t="inlineStr">
        <is>
          <t>G#6</t>
        </is>
      </c>
      <c r="BX35" t="n">
        <v>92</v>
      </c>
      <c r="BY35" t="inlineStr">
        <is>
          <t>G#</t>
        </is>
      </c>
      <c r="BZ35" t="n">
        <v>6</v>
      </c>
      <c r="CA35" t="inlineStr">
        <is>
          <t>Very high</t>
        </is>
      </c>
      <c r="CB35" t="inlineStr">
        <is>
          <t>pp</t>
        </is>
      </c>
      <c r="CC35" s="15" t="n">
        <v>1661.218790319781</v>
      </c>
      <c r="CD35" s="15" t="n">
        <v>1661.890715566864</v>
      </c>
      <c r="CE35" t="inlineStr">
        <is>
          <t>prior_constrained_harmonic_fit</t>
        </is>
      </c>
      <c r="CF35" t="n">
        <v>1661.890715566864</v>
      </c>
      <c r="CG35" s="15" t="n">
        <v>1</v>
      </c>
      <c r="CH35" t="n">
        <v/>
      </c>
      <c r="CI35" t="inlineStr">
        <is>
          <t>free_fit_acoustically_verified</t>
        </is>
      </c>
      <c r="CJ35" s="15" t="inlineStr">
        <is>
          <t>free_f0_fit</t>
        </is>
      </c>
      <c r="CK35" s="15" t="n">
        <v>1661.218790319781</v>
      </c>
      <c r="CL35" s="15" t="n">
        <v>1661.890715566864</v>
      </c>
      <c r="CM35" s="15" t="n">
        <v>0.7001032496643148</v>
      </c>
      <c r="CN35" s="15" t="n">
        <v>20000</v>
      </c>
      <c r="CO35" s="15" t="n">
        <v>0.7001032496643148</v>
      </c>
      <c r="CP35" s="15" t="n">
        <v>2.028834755706325</v>
      </c>
      <c r="CQ35" s="15" t="n">
        <v>38364.07321009765</v>
      </c>
      <c r="CR35" t="n">
        <v>1.00610143433862</v>
      </c>
      <c r="CS35" t="n">
        <v>0.08384178619488503</v>
      </c>
      <c r="CT35" t="n">
        <v>49.95322032564798</v>
      </c>
      <c r="CU35" t="n">
        <v>49.95322032564798</v>
      </c>
      <c r="CV35" t="n">
        <v>50.25800661946755</v>
      </c>
      <c r="CW35" t="n">
        <v>113.6986406568007</v>
      </c>
      <c r="CX35" s="15" t="n">
        <v>38364.07321009765</v>
      </c>
      <c r="CY35" s="15" t="n">
        <v>342.1088242070976</v>
      </c>
      <c r="CZ35" s="15" t="n">
        <v>113.6986406568007</v>
      </c>
      <c r="DA35" s="15" t="n">
        <v>2.333537992423802</v>
      </c>
      <c r="DB35" s="15" t="n">
        <v>2.333537992423802</v>
      </c>
      <c r="DC35" s="15" t="n">
        <v>1.628291693490446</v>
      </c>
      <c r="DD35" s="15" t="n">
        <v>0</v>
      </c>
      <c r="DE35" s="15" t="n">
        <v>6.082612708104208e-05</v>
      </c>
      <c r="DF35" s="15" t="n">
        <v>0</v>
      </c>
      <c r="DG35" s="15" t="n">
        <v>6</v>
      </c>
      <c r="DH35" s="15" t="inlineStr">
        <is>
          <t>Density_Metrics</t>
        </is>
      </c>
      <c r="DI35" s="15" t="n">
        <v>2.028834755706325</v>
      </c>
      <c r="DJ35" t="n">
        <v>0.9159033671470108</v>
      </c>
      <c r="DK35" s="15" t="n">
        <v>0.5229054091558938</v>
      </c>
      <c r="DL35" s="15" t="n">
        <v>5.161540648994198</v>
      </c>
      <c r="DM35" s="15" t="n">
        <v>1.030120119479548</v>
      </c>
      <c r="DN35" s="15" t="n">
        <v>1.019449620360974</v>
      </c>
      <c r="DO35" s="15" t="n">
        <v>10.01672024946201</v>
      </c>
      <c r="DP35" s="15" t="n">
        <v>3.027372418102155</v>
      </c>
      <c r="DQ35" s="15" t="n">
        <v>11.0625</v>
      </c>
      <c r="DR35" s="15" t="n">
        <v>14</v>
      </c>
      <c r="DS35" s="15" t="b">
        <v>0</v>
      </c>
      <c r="DT35" s="15" t="n">
        <v>1.00610143433862</v>
      </c>
      <c r="DU35" s="15" t="n">
        <v>3.272988288281106</v>
      </c>
      <c r="DV35" t="n">
        <v>12</v>
      </c>
      <c r="DW35" s="15" t="n">
        <v>0.1083472148418623</v>
      </c>
      <c r="DX35" s="15" t="n">
        <v>0.5986622448407176</v>
      </c>
      <c r="DY35" s="15" t="n">
        <v>1.876230101478388</v>
      </c>
      <c r="DZ35" s="15" t="n">
        <v>0.3022108025654607</v>
      </c>
      <c r="EA35" s="15" t="b">
        <v>1</v>
      </c>
      <c r="EB35" s="15" t="n">
        <v>0.130511122948914</v>
      </c>
      <c r="EC35" s="15" t="n">
        <v>20000</v>
      </c>
      <c r="ED35" s="15" t="n">
        <v>11633.23500896805</v>
      </c>
      <c r="EE35" s="15" t="n">
        <v>7</v>
      </c>
      <c r="EF35" s="15" t="n">
        <v>0</v>
      </c>
      <c r="EG35" s="15" t="n">
        <v>0.02592458410713607</v>
      </c>
      <c r="EH35" s="15" t="b">
        <v>0</v>
      </c>
      <c r="EI35" s="15" t="b">
        <v>1</v>
      </c>
      <c r="EJ35" s="15" t="b">
        <v>0</v>
      </c>
      <c r="EK35" s="15" t="inlineStr">
        <is>
          <t>wf=log|dst=-90.0|ceil=20000.0|fft=adaptive_tier</t>
        </is>
      </c>
      <c r="EL35" s="15" t="inlineStr">
        <is>
          <t>wf=log|dst=runtime_configured|ceil=runtime_configured|fft=fixed</t>
        </is>
      </c>
      <c r="EM35" s="15" t="n">
        <v>0.6866871530064331</v>
      </c>
      <c r="EN35" s="15" t="n">
        <v>0.9809421787054536</v>
      </c>
      <c r="EO35" s="15" t="n">
        <v>0.4615384615384616</v>
      </c>
      <c r="EP35" s="15" t="n">
        <v>0.4186235552525872</v>
      </c>
      <c r="EQ35" s="15" t="inlineStr">
        <is>
          <t>warn:power_outlier_detected</t>
        </is>
      </c>
      <c r="ER35" s="15" t="n">
        <v>234.7828641645345</v>
      </c>
      <c r="ES35" s="15" t="inlineStr">
        <is>
          <t>winsorize_p95_for_robust_diagnostics</t>
        </is>
      </c>
      <c r="ET35" s="15" t="n">
        <v>0.2984194223791269</v>
      </c>
      <c r="EU35" s="15" t="n">
        <v>0.03468827550747937</v>
      </c>
      <c r="EV35" s="15" t="n">
        <v>0.03545578180622779</v>
      </c>
      <c r="EW35" t="inlineStr">
        <is>
          <t>computed</t>
        </is>
      </c>
      <c r="EX35" s="15" t="inlineStr">
        <is>
          <t>computed</t>
        </is>
      </c>
      <c r="EY35" s="15" t="inlineStr">
        <is>
          <t>computed</t>
        </is>
      </c>
      <c r="EZ35" s="15" t="inlineStr">
        <is>
          <t>available_from_curve</t>
        </is>
      </c>
      <c r="FA35" s="15" t="n">
        <v>20000</v>
      </c>
      <c r="FB35" s="15" t="n">
        <v>20000</v>
      </c>
      <c r="FC35" s="15" t="n">
        <v>0.2363867638625098</v>
      </c>
      <c r="FD35" s="15" t="n">
        <v>0.05898278416393894</v>
      </c>
      <c r="FE35" s="15" t="n">
        <v>2.333537992423802</v>
      </c>
      <c r="FF35" s="15" t="n">
        <v>1.628291693490446</v>
      </c>
      <c r="FG35" s="15" t="n">
        <v>1.199710963079951</v>
      </c>
      <c r="FH35" s="15" t="n">
        <v>1.407633146161599</v>
      </c>
      <c r="FI35" s="15" t="n">
        <v>0.5515712696645536</v>
      </c>
      <c r="FJ35" s="15" t="n">
        <v>0.06963033988017234</v>
      </c>
      <c r="FK35" s="15" t="n">
        <v>599.4386439077757</v>
      </c>
      <c r="FL35" s="15" t="n">
        <v>5.3454503782359</v>
      </c>
      <c r="FM35" s="15" t="n">
        <v>1.776541260262511</v>
      </c>
      <c r="FN35" s="15" t="n">
        <v>0.00450724810636962</v>
      </c>
      <c r="FO35" t="n">
        <v>1</v>
      </c>
      <c r="FP35" t="n">
        <v>0</v>
      </c>
      <c r="FQ35" t="n">
        <v>0</v>
      </c>
      <c r="FR35" t="inlineStr">
        <is>
          <t>excellent</t>
        </is>
      </c>
      <c r="FS35" s="19" t="n">
        <v>0.9166666666666666</v>
      </c>
      <c r="FT35" s="15" t="n">
        <v>3.838336453666291</v>
      </c>
      <c r="FU35" s="15" t="n">
        <v>17.54163730249817</v>
      </c>
      <c r="FV35" t="inlineStr">
        <is>
          <t>passed</t>
        </is>
      </c>
      <c r="FW35" t="n">
        <v>26.81812744752254</v>
      </c>
      <c r="FX35" t="n">
        <v>5.186310688550339</v>
      </c>
      <c r="FY35" t="n">
        <v>1.854798432604877</v>
      </c>
      <c r="FZ35" t="n">
        <v>0.8729297730942908</v>
      </c>
      <c r="GA35" t="n">
        <v>0.1289239000250416</v>
      </c>
      <c r="GB35" t="n">
        <v>0.7446567123900592</v>
      </c>
      <c r="GC35" t="n">
        <v>0.005632103167768104</v>
      </c>
      <c r="GD35" t="n">
        <v>0.006366891455085983</v>
      </c>
      <c r="GE35" t="n">
        <v>0.03747117589624441</v>
      </c>
      <c r="GF35" t="n">
        <v>0.7002482904234795</v>
      </c>
      <c r="GG35" t="n">
        <v>0.4707979375051486</v>
      </c>
      <c r="GH35" t="n">
        <v>0.2899559779494879</v>
      </c>
      <c r="GI35" t="n">
        <v>0.03437031358952183</v>
      </c>
      <c r="GJ35" t="n">
        <v>1</v>
      </c>
      <c r="GK35" t="n">
        <v>0.583333333333333</v>
      </c>
      <c r="GL35" t="n">
        <v>0.5348837209302325</v>
      </c>
      <c r="GM35" t="n">
        <v>0.07585495503147203</v>
      </c>
      <c r="GN35" t="n">
        <v>0.07585495503147203</v>
      </c>
      <c r="GO35" t="n">
        <v>0.1462141666537128</v>
      </c>
      <c r="GP35" t="n">
        <v>0.1829214927063166</v>
      </c>
      <c r="GQ35" t="n">
        <v>50.25800661946755</v>
      </c>
      <c r="GR35" t="inlineStr">
        <is>
          <t>compiled workbook density_weighted_sum = density_component_ratio_weighted_sum (per-note component ratios); research density_weighted_sum maps body-ceiling richness</t>
        </is>
      </c>
      <c r="GS35" s="15" t="inlineStr">
        <is>
          <t>individual_exact</t>
        </is>
      </c>
      <c r="GT35" s="15" t="inlineStr">
        <is>
          <t>density_weight</t>
        </is>
      </c>
      <c r="GU35" s="15" t="n">
        <v>0.8423001432135485</v>
      </c>
      <c r="GV35" s="15" t="n">
        <v>0.1576998567864515</v>
      </c>
      <c r="GW35" s="15" t="n">
        <v>0</v>
      </c>
      <c r="GX35" s="15" t="inlineStr">
        <is>
          <t>log</t>
        </is>
      </c>
      <c r="GY35" s="15" t="n">
        <v>0.5</v>
      </c>
      <c r="GZ35" s="15" t="inlineStr">
        <is>
          <t>EWSD-R v18.1</t>
        </is>
      </c>
      <c r="HA35" s="15" t="n">
        <v>1.195166074330304</v>
      </c>
      <c r="HB35" s="15" t="n">
        <v>7.096815017135239</v>
      </c>
      <c r="HC35" s="15" t="n">
        <v>0.7284020182503876</v>
      </c>
      <c r="HD35" s="15" t="n">
        <v>1.904180769231217</v>
      </c>
      <c r="HE35" s="15" t="n">
        <v>8.866178494470992</v>
      </c>
      <c r="HF35" s="15" t="n">
        <v>0.6053629295240206</v>
      </c>
      <c r="HG35" s="15" t="inlineStr">
        <is>
          <t>partials+ratios</t>
        </is>
      </c>
      <c r="HH35" s="15" t="inlineStr">
        <is>
          <t>merged_individual_exact</t>
        </is>
      </c>
      <c r="HI35" s="15" t="inlineStr">
        <is>
          <t>passed</t>
        </is>
      </c>
      <c r="HJ35" s="15" t="inlineStr">
        <is>
          <t>passed</t>
        </is>
      </c>
    </row>
    <row r="36">
      <c r="A36" t="inlineStr">
        <is>
          <t>incomplete_inference</t>
        </is>
      </c>
      <c r="B36" t="inlineStr">
        <is>
          <t>missing_instrument_technique</t>
        </is>
      </c>
      <c r="C36" t="inlineStr">
        <is>
          <t>prior_constrained_harmonic_fit</t>
        </is>
      </c>
      <c r="D36" t="inlineStr">
        <is>
          <t>IOWA_flt_pp.A6_SustainStable/A6/component_amplitude_mass_pie.png</t>
        </is>
      </c>
      <c r="E36" t="inlineStr">
        <is>
          <t>IOWA_flt_pp.A6_SustainStable/A6/component_energy_ratio_pie.png</t>
        </is>
      </c>
      <c r="F36" s="15" t="n">
        <v>1759.13494492592</v>
      </c>
      <c r="G36" s="15" t="inlineStr">
        <is>
          <t>prior_constrained_harmonic_fit</t>
        </is>
      </c>
      <c r="H36" s="15" t="inlineStr">
        <is>
          <t>fit_accepted_acoustically_verified</t>
        </is>
      </c>
      <c r="I36" s="16" t="n">
        <v>55.11369720293987</v>
      </c>
      <c r="J36" t="inlineStr">
        <is>
          <t>richness_weighted_body_density_body_ceiling</t>
        </is>
      </c>
      <c r="K36" t="inlineStr">
        <is>
          <t>research_body_ceiling_richness_metric</t>
        </is>
      </c>
      <c r="L36" s="15" t="n">
        <v>38744.84112578768</v>
      </c>
      <c r="M36" s="15" t="n">
        <v>38744.84112578768</v>
      </c>
      <c r="N36" s="15" t="n">
        <v>309.8889591339541</v>
      </c>
      <c r="O36" s="15" t="n">
        <v>76.53512134293172</v>
      </c>
      <c r="P36" s="15" t="n">
        <v>-16.41830182703071</v>
      </c>
      <c r="Q36" s="15" t="n">
        <v>4</v>
      </c>
      <c r="R36" s="15" t="n">
        <v>4</v>
      </c>
      <c r="S36" s="15" t="n">
        <v>605.3881425904325</v>
      </c>
      <c r="T36" s="15" t="n">
        <v>12</v>
      </c>
      <c r="U36" s="15" t="n">
        <v>-0.2691194254895329</v>
      </c>
      <c r="V36" s="15" t="n">
        <v>8.693522523956707</v>
      </c>
      <c r="W36" s="15" t="n">
        <v>0.9373743998062347</v>
      </c>
      <c r="X36" s="15" t="n">
        <v>0.2824012829744266</v>
      </c>
      <c r="Y36" s="15" t="n">
        <v>6</v>
      </c>
      <c r="Z36" s="15" t="n">
        <v>11</v>
      </c>
      <c r="AA36" s="15" t="n">
        <v>0.5454545454545454</v>
      </c>
      <c r="AB36" s="15" t="n">
        <v>11</v>
      </c>
      <c r="AC36" s="15" t="n">
        <v>6</v>
      </c>
      <c r="AD36" s="15" t="n">
        <v>0.5454545454545454</v>
      </c>
      <c r="AE36" s="15" t="n">
        <v>71.07434848834738</v>
      </c>
      <c r="AF36" s="15" t="n">
        <v>6</v>
      </c>
      <c r="AG36" s="15" t="n">
        <v>11</v>
      </c>
      <c r="AH36" s="15" t="n">
        <v>0.5454545454545454</v>
      </c>
      <c r="AI36" s="15" t="n">
        <v>71.07434848834738</v>
      </c>
      <c r="AJ36" s="15" t="n">
        <v>3</v>
      </c>
      <c r="AK36" s="15" t="n">
        <v>3</v>
      </c>
      <c r="AL36" s="15" t="n">
        <v>1447.077125452768</v>
      </c>
      <c r="AM36" s="15" t="n">
        <v>35</v>
      </c>
      <c r="AN36" s="15" t="n">
        <v>0</v>
      </c>
      <c r="AO36" s="15" t="n">
        <v>35</v>
      </c>
      <c r="AP36" s="15" t="n">
        <v>0</v>
      </c>
      <c r="AQ36" s="15" t="n">
        <v>12.54329861770229</v>
      </c>
      <c r="AR36" s="15" t="n">
        <v>6.02824545215547</v>
      </c>
      <c r="AS36" s="15" t="n">
        <v>0.04551207076522777</v>
      </c>
      <c r="AT36" s="17" t="n">
        <v>2.310566045746566</v>
      </c>
      <c r="AU36" s="18" t="n">
        <v>1.549083878542005</v>
      </c>
      <c r="AV36" s="15" t="n">
        <v>2.322682511542251</v>
      </c>
      <c r="AW36" s="15" t="b">
        <v>1</v>
      </c>
      <c r="AX36" s="15" t="n">
        <v>3.309580582858552</v>
      </c>
      <c r="AY36" s="15" t="n">
        <v>15.3587450511151</v>
      </c>
      <c r="AZ36" s="15" t="n">
        <v>0</v>
      </c>
      <c r="BA36" s="15" t="n">
        <v>1</v>
      </c>
      <c r="BB36" s="15" t="n">
        <v>0.5</v>
      </c>
      <c r="BC36" s="15" t="n">
        <v>0.25</v>
      </c>
      <c r="BD36" s="15" t="inlineStr">
        <is>
          <t>his_note_adaptive</t>
        </is>
      </c>
      <c r="BE36" s="15" t="n">
        <v>-90</v>
      </c>
      <c r="BF36" s="15" t="n">
        <v>20000</v>
      </c>
      <c r="BG36" s="15" t="n">
        <v>6</v>
      </c>
      <c r="BH36" s="15" t="n">
        <v>0.5454545454545454</v>
      </c>
      <c r="BI36" s="15" t="n">
        <v>11</v>
      </c>
      <c r="BJ36" s="15" t="n">
        <v>6</v>
      </c>
      <c r="BK36" s="15" t="n">
        <v>11</v>
      </c>
      <c r="BL36" s="15" t="n">
        <v>10</v>
      </c>
      <c r="BM36" s="15" t="n">
        <v>0.9090909090909091</v>
      </c>
      <c r="BN36" s="15" t="n">
        <v>0.269073073617002</v>
      </c>
      <c r="BO36" s="15" t="n">
        <v>0.2916666666666667</v>
      </c>
      <c r="BP36" s="19" t="n">
        <v>0.757770613037333</v>
      </c>
      <c r="BQ36" s="19" t="n">
        <v>0.2422293869626669</v>
      </c>
      <c r="BR36" s="19" t="n">
        <v>0</v>
      </c>
      <c r="BS36" s="15" t="n">
        <v>0.09323433325149344</v>
      </c>
      <c r="BT36" s="19" t="n">
        <v>1</v>
      </c>
      <c r="BU36" s="19" t="n">
        <v>0</v>
      </c>
      <c r="BV36" s="19" t="n">
        <v>0</v>
      </c>
      <c r="BW36" t="inlineStr">
        <is>
          <t>A6</t>
        </is>
      </c>
      <c r="BX36" t="n">
        <v>93</v>
      </c>
      <c r="BY36" t="inlineStr">
        <is>
          <t>A</t>
        </is>
      </c>
      <c r="BZ36" t="n">
        <v>6</v>
      </c>
      <c r="CA36" t="inlineStr">
        <is>
          <t>Very high</t>
        </is>
      </c>
      <c r="CB36" t="inlineStr">
        <is>
          <t>pp</t>
        </is>
      </c>
      <c r="CC36" s="15" t="n">
        <v>1760</v>
      </c>
      <c r="CD36" s="15" t="n">
        <v>1759.13494492592</v>
      </c>
      <c r="CE36" t="inlineStr">
        <is>
          <t>prior_constrained_harmonic_fit</t>
        </is>
      </c>
      <c r="CF36" t="n">
        <v>1759.13494492592</v>
      </c>
      <c r="CG36" s="15" t="n">
        <v>1</v>
      </c>
      <c r="CH36" t="n">
        <v/>
      </c>
      <c r="CI36" t="inlineStr">
        <is>
          <t>free_fit_acoustically_verified</t>
        </is>
      </c>
      <c r="CJ36" s="15" t="inlineStr">
        <is>
          <t>free_f0_fit</t>
        </is>
      </c>
      <c r="CK36" s="15" t="n">
        <v>1760</v>
      </c>
      <c r="CL36" s="15" t="n">
        <v>1759.13494492592</v>
      </c>
      <c r="CM36" s="15" t="n">
        <v>-0.8511255477076195</v>
      </c>
      <c r="CN36" s="15" t="n">
        <v>20000</v>
      </c>
      <c r="CO36" s="15" t="n">
        <v>-0.8511255477076195</v>
      </c>
      <c r="CP36" s="15" t="n">
        <v>1.962395126711129</v>
      </c>
      <c r="CQ36" s="15" t="n">
        <v>38744.84112578768</v>
      </c>
      <c r="CR36" t="n">
        <v>1.001424749811279</v>
      </c>
      <c r="CS36" t="n">
        <v>0.09103861361920716</v>
      </c>
      <c r="CT36" t="n">
        <v>55.03528569003932</v>
      </c>
      <c r="CU36" t="n">
        <v>55.03528569003932</v>
      </c>
      <c r="CV36" t="n">
        <v>55.11369720293987</v>
      </c>
      <c r="CW36" t="n">
        <v>76.53512134293172</v>
      </c>
      <c r="CX36" s="15" t="n">
        <v>38744.84112578768</v>
      </c>
      <c r="CY36" s="15" t="n">
        <v>309.8889591339541</v>
      </c>
      <c r="CZ36" s="15" t="n">
        <v>76.53512134293172</v>
      </c>
      <c r="DA36" s="15" t="n">
        <v>2.310566045746566</v>
      </c>
      <c r="DB36" s="15" t="n">
        <v>2.310566045746566</v>
      </c>
      <c r="DC36" s="15" t="n">
        <v>1.486749642142486</v>
      </c>
      <c r="DD36" s="15" t="n">
        <v>0</v>
      </c>
      <c r="DE36" s="15" t="n">
        <v>5.963545025891734e-05</v>
      </c>
      <c r="DF36" s="15" t="n">
        <v>0</v>
      </c>
      <c r="DG36" s="15" t="n">
        <v>4</v>
      </c>
      <c r="DH36" s="15" t="inlineStr">
        <is>
          <t>Density_Metrics</t>
        </is>
      </c>
      <c r="DI36" s="15" t="n">
        <v>1.962395126711129</v>
      </c>
      <c r="DJ36" t="n">
        <v>0.885909657833059</v>
      </c>
      <c r="DK36" s="15" t="n">
        <v>0.5199022564726359</v>
      </c>
      <c r="DL36" s="15" t="n">
        <v>4.917145425000363</v>
      </c>
      <c r="DM36" s="15" t="n">
        <v>1.021456452195717</v>
      </c>
      <c r="DN36" s="15" t="n">
        <v>1.008113392029472</v>
      </c>
      <c r="DO36" s="15" t="n">
        <v>7.839711564419139</v>
      </c>
      <c r="DP36" s="15" t="n">
        <v>1.797858600396019</v>
      </c>
      <c r="DQ36" s="15" t="n">
        <v>10.4375</v>
      </c>
      <c r="DR36" s="15" t="n">
        <v>10</v>
      </c>
      <c r="DS36" s="15" t="b">
        <v>0</v>
      </c>
      <c r="DT36" s="15" t="n">
        <v>1.001424749811279</v>
      </c>
      <c r="DU36" s="15" t="n">
        <v>3.106414112718693</v>
      </c>
      <c r="DV36" t="n">
        <v>11</v>
      </c>
      <c r="DW36" s="15" t="n">
        <v>0.09323433325149344</v>
      </c>
      <c r="DX36" s="15" t="n">
        <v>0.4406586493906879</v>
      </c>
      <c r="DY36" s="15" t="n">
        <v>1.871603377312409</v>
      </c>
      <c r="DZ36" s="15" t="n">
        <v>0.3224042142140999</v>
      </c>
      <c r="EA36" s="15" t="b">
        <v>1</v>
      </c>
      <c r="EB36" s="15" t="n">
        <v>0.1534063961635416</v>
      </c>
      <c r="EC36" s="15" t="n">
        <v>20000</v>
      </c>
      <c r="ED36" s="15" t="n">
        <v>7036.539779703681</v>
      </c>
      <c r="EE36" s="15" t="n">
        <v>4</v>
      </c>
      <c r="EF36" s="15" t="n">
        <v>1</v>
      </c>
      <c r="EG36" s="15" t="n">
        <v>0.02446954900568182</v>
      </c>
      <c r="EH36" s="15" t="b">
        <v>0</v>
      </c>
      <c r="EI36" s="15" t="b">
        <v>1</v>
      </c>
      <c r="EJ36" s="15" t="b">
        <v>0</v>
      </c>
      <c r="EK36" s="15" t="inlineStr">
        <is>
          <t>wf=log|dst=-90.0|ceil=20000.0|fft=adaptive_tier</t>
        </is>
      </c>
      <c r="EL36" s="15" t="inlineStr">
        <is>
          <t>wf=log|dst=runtime_configured|ceil=runtime_configured|fft=fixed</t>
        </is>
      </c>
      <c r="EM36" s="15" t="n">
        <v>0.6509100501864995</v>
      </c>
      <c r="EN36" s="15" t="n">
        <v>0.9996240911616816</v>
      </c>
      <c r="EO36" s="15" t="n">
        <v>0.3333333333333333</v>
      </c>
      <c r="EP36" s="15" t="n">
        <v>0.4220627124853804</v>
      </c>
      <c r="EQ36" s="15" t="inlineStr">
        <is>
          <t>warn:power_outlier_detected</t>
        </is>
      </c>
      <c r="ER36" s="15" t="n">
        <v>224.0540430975468</v>
      </c>
      <c r="ES36" s="15" t="inlineStr">
        <is>
          <t>winsorize_p95_for_robust_diagnostics</t>
        </is>
      </c>
      <c r="ET36" s="15" t="n">
        <v>0.3496295127124339</v>
      </c>
      <c r="EU36" s="15" t="n">
        <v>0.02537100431980801</v>
      </c>
      <c r="EV36" s="15" t="n">
        <v>0.027002838889602</v>
      </c>
      <c r="EW36" t="inlineStr">
        <is>
          <t>computed</t>
        </is>
      </c>
      <c r="EX36" s="15" t="inlineStr">
        <is>
          <t>computed</t>
        </is>
      </c>
      <c r="EY36" s="15" t="inlineStr">
        <is>
          <t>computed</t>
        </is>
      </c>
      <c r="EZ36" s="15" t="inlineStr">
        <is>
          <t>available_from_curve</t>
        </is>
      </c>
      <c r="FA36" s="15" t="n">
        <v>20000</v>
      </c>
      <c r="FB36" s="15" t="n">
        <v>20000</v>
      </c>
      <c r="FC36" s="15" t="n">
        <v>0.2422293869626669</v>
      </c>
      <c r="FD36" s="15" t="n">
        <v>0.02544424625328895</v>
      </c>
      <c r="FE36" s="15" t="n">
        <v>2.310566045746566</v>
      </c>
      <c r="FF36" s="15" t="n">
        <v>1.486749642142486</v>
      </c>
      <c r="FG36" s="15" t="n">
        <v>1.11982973711131</v>
      </c>
      <c r="FH36" s="15" t="n">
        <v>1.39377604433608</v>
      </c>
      <c r="FI36" s="15" t="n">
        <v>0.5036249899623181</v>
      </c>
      <c r="FJ36" s="15" t="n">
        <v>0.06499409241273077</v>
      </c>
      <c r="FK36" s="15" t="n">
        <v>605.3881425904325</v>
      </c>
      <c r="FL36" s="15" t="n">
        <v>4.842014986468033</v>
      </c>
      <c r="FM36" s="15" t="n">
        <v>1.195861270983308</v>
      </c>
      <c r="FN36" s="15" t="n">
        <v>0.00450752429915713</v>
      </c>
      <c r="FO36" t="n">
        <v>1</v>
      </c>
      <c r="FP36" t="n">
        <v>0</v>
      </c>
      <c r="FQ36" t="n">
        <v>0</v>
      </c>
      <c r="FR36" t="inlineStr">
        <is>
          <t>excellent</t>
        </is>
      </c>
      <c r="FS36" s="19" t="n">
        <v>0.9090909090909091</v>
      </c>
      <c r="FT36" s="15" t="n">
        <v>7.523865533287437</v>
      </c>
      <c r="FU36" s="15" t="n">
        <v>16.99536881178951</v>
      </c>
      <c r="FV36" t="inlineStr">
        <is>
          <t>passed</t>
        </is>
      </c>
      <c r="FW36" t="n">
        <v>25.43001020703096</v>
      </c>
      <c r="FX36" t="n">
        <v>3.709066622878201</v>
      </c>
      <c r="FY36" t="n">
        <v>1.52217503020649</v>
      </c>
      <c r="FZ36" t="n">
        <v>0.8276092017590465</v>
      </c>
      <c r="GA36" t="n">
        <v>0.1413842631042071</v>
      </c>
      <c r="GB36" t="n">
        <v>0.6676784342236568</v>
      </c>
      <c r="GC36" t="n">
        <v>0.002412626328962675</v>
      </c>
      <c r="GD36" t="n">
        <v>0.001486736871304065</v>
      </c>
      <c r="GE36" t="n">
        <v>0.01484435146430518</v>
      </c>
      <c r="GF36" t="n">
        <v>0.8746540097375501</v>
      </c>
      <c r="GG36" t="n">
        <v>0.4930039554387725</v>
      </c>
      <c r="GH36" t="n">
        <v>0.2142016522070111</v>
      </c>
      <c r="GI36" t="n">
        <v>0.1143848366458053</v>
      </c>
      <c r="GJ36" t="n">
        <v>0.4652406417112299</v>
      </c>
      <c r="GK36" t="n">
        <v>0.5454545454545452</v>
      </c>
      <c r="GL36" t="n">
        <v>0.3720930232558141</v>
      </c>
      <c r="GM36" t="n">
        <v>0.09634416281455779</v>
      </c>
      <c r="GN36" t="n">
        <v>0.09634416281455779</v>
      </c>
      <c r="GO36" t="n">
        <v>0.06307449393565641</v>
      </c>
      <c r="GP36" t="n">
        <v>0.08590051254758438</v>
      </c>
      <c r="GQ36" t="n">
        <v>55.11369720293987</v>
      </c>
      <c r="GR36" t="inlineStr">
        <is>
          <t>compiled workbook density_weighted_sum = density_component_ratio_weighted_sum (per-note component ratios); research density_weighted_sum maps body-ceiling richness</t>
        </is>
      </c>
      <c r="GS36" s="15" t="inlineStr">
        <is>
          <t>individual_exact</t>
        </is>
      </c>
      <c r="GT36" s="15" t="inlineStr">
        <is>
          <t>density_weight</t>
        </is>
      </c>
      <c r="GU36" s="15" t="n">
        <v>0.7743690131826795</v>
      </c>
      <c r="GV36" s="15" t="n">
        <v>0.2256309868173204</v>
      </c>
      <c r="GW36" s="15" t="n">
        <v>0</v>
      </c>
      <c r="GX36" s="15" t="inlineStr">
        <is>
          <t>log</t>
        </is>
      </c>
      <c r="GY36" s="15" t="n">
        <v>0.5</v>
      </c>
      <c r="GZ36" s="15" t="inlineStr">
        <is>
          <t>EWSD-R v18.1</t>
        </is>
      </c>
      <c r="HA36" s="15" t="n">
        <v>1.026613066444322</v>
      </c>
      <c r="HB36" s="15" t="n">
        <v>7.513165180926904</v>
      </c>
      <c r="HC36" s="15" t="n">
        <v>1.117970253278443</v>
      </c>
      <c r="HD36" s="15" t="n">
        <v>1.168624273785903</v>
      </c>
      <c r="HE36" s="15" t="n">
        <v>8.583546020618133</v>
      </c>
      <c r="HF36" s="15" t="n">
        <v>0.8357387685034769</v>
      </c>
      <c r="HG36" s="15" t="inlineStr">
        <is>
          <t>partials+ratios</t>
        </is>
      </c>
      <c r="HH36" s="15" t="inlineStr">
        <is>
          <t>merged_individual_exact</t>
        </is>
      </c>
      <c r="HI36" s="15" t="inlineStr">
        <is>
          <t>passed</t>
        </is>
      </c>
      <c r="HJ36" s="15" t="inlineStr">
        <is>
          <t>passed</t>
        </is>
      </c>
    </row>
    <row r="37">
      <c r="A37" t="inlineStr">
        <is>
          <t>incomplete_inference</t>
        </is>
      </c>
      <c r="B37" t="inlineStr">
        <is>
          <t>missing_instrument_technique</t>
        </is>
      </c>
      <c r="C37" t="inlineStr">
        <is>
          <t>prior_constrained_harmonic_fit</t>
        </is>
      </c>
      <c r="D37" t="inlineStr">
        <is>
          <t>IOWA_flt_pp.A#6_SustainStable/A#6/component_amplitude_mass_pie.png</t>
        </is>
      </c>
      <c r="E37" t="inlineStr">
        <is>
          <t>IOWA_flt_pp.A#6_SustainStable/A#6/component_energy_ratio_pie.png</t>
        </is>
      </c>
      <c r="F37" s="15" t="n">
        <v>1861.140122947805</v>
      </c>
      <c r="G37" s="15" t="inlineStr">
        <is>
          <t>prior_constrained_harmonic_fit</t>
        </is>
      </c>
      <c r="H37" s="15" t="inlineStr">
        <is>
          <t>fit_accepted_acoustically_verified</t>
        </is>
      </c>
      <c r="I37" s="16" t="n">
        <v>57.61351632531486</v>
      </c>
      <c r="J37" t="inlineStr">
        <is>
          <t>richness_weighted_body_density_body_ceiling</t>
        </is>
      </c>
      <c r="K37" t="inlineStr">
        <is>
          <t>research_body_ceiling_richness_metric</t>
        </is>
      </c>
      <c r="L37" s="15" t="n">
        <v>36478.33279857178</v>
      </c>
      <c r="M37" s="15" t="n">
        <v>36478.33279857178</v>
      </c>
      <c r="N37" s="15" t="n">
        <v>889.6469333901024</v>
      </c>
      <c r="O37" s="15" t="n">
        <v>522.7000703515407</v>
      </c>
      <c r="P37" s="15" t="n">
        <v>-16.92189898617148</v>
      </c>
      <c r="Q37" s="15" t="n">
        <v>3</v>
      </c>
      <c r="R37" s="15" t="n">
        <v>4</v>
      </c>
      <c r="S37" s="15" t="n">
        <v>569.9876782897928</v>
      </c>
      <c r="T37" s="15" t="n">
        <v>11</v>
      </c>
      <c r="U37" s="15" t="n">
        <v>-0.2532130895155892</v>
      </c>
      <c r="V37" s="15" t="n">
        <v>11.04996807676959</v>
      </c>
      <c r="W37" s="15" t="n">
        <v>0.741356838826269</v>
      </c>
      <c r="X37" s="15" t="n">
        <v>0.4377191940051115</v>
      </c>
      <c r="Y37" s="15" t="n">
        <v>10</v>
      </c>
      <c r="Z37" s="15" t="n">
        <v>10</v>
      </c>
      <c r="AA37" s="15" t="n">
        <v>1</v>
      </c>
      <c r="AB37" s="15" t="n">
        <v>10</v>
      </c>
      <c r="AC37" s="15" t="n">
        <v>10</v>
      </c>
      <c r="AD37" s="15" t="n">
        <v>1</v>
      </c>
      <c r="AE37" s="15" t="n">
        <v>74.96018534094235</v>
      </c>
      <c r="AF37" s="15" t="n">
        <v>10</v>
      </c>
      <c r="AG37" s="15" t="n">
        <v>10</v>
      </c>
      <c r="AH37" s="15" t="n">
        <v>1</v>
      </c>
      <c r="AI37" s="15" t="n">
        <v>74.96018534094235</v>
      </c>
      <c r="AJ37" s="15" t="n">
        <v>5</v>
      </c>
      <c r="AK37" s="15" t="n">
        <v>5</v>
      </c>
      <c r="AL37" s="15" t="n">
        <v>191.1350314810776</v>
      </c>
      <c r="AM37" s="15" t="n">
        <v>62</v>
      </c>
      <c r="AN37" s="15" t="n">
        <v>0</v>
      </c>
      <c r="AO37" s="15" t="n">
        <v>62</v>
      </c>
      <c r="AP37" s="15" t="n">
        <v>0</v>
      </c>
      <c r="AQ37" s="15" t="n">
        <v>22.56433822423851</v>
      </c>
      <c r="AR37" s="15" t="n">
        <v>11.69531474923508</v>
      </c>
      <c r="AS37" s="15" t="n">
        <v>0.2616336216523565</v>
      </c>
      <c r="AT37" s="17" t="n">
        <v>2.31973960762258</v>
      </c>
      <c r="AU37" s="18" t="n">
        <v>2.888410247355714</v>
      </c>
      <c r="AV37" s="15" t="n">
        <v>3.497169982574442</v>
      </c>
      <c r="AW37" s="15" t="b">
        <v>1</v>
      </c>
      <c r="AX37" s="15" t="n">
        <v>5.756206440040039</v>
      </c>
      <c r="AY37" s="15" t="n">
        <v>30.33638142150903</v>
      </c>
      <c r="AZ37" s="15" t="n">
        <v>0</v>
      </c>
      <c r="BA37" s="15" t="n">
        <v>1</v>
      </c>
      <c r="BB37" s="15" t="n">
        <v>0.5</v>
      </c>
      <c r="BC37" s="15" t="n">
        <v>0.25</v>
      </c>
      <c r="BD37" s="15" t="inlineStr">
        <is>
          <t>his_note_adaptive</t>
        </is>
      </c>
      <c r="BE37" s="15" t="n">
        <v>-90</v>
      </c>
      <c r="BF37" s="15" t="n">
        <v>20000</v>
      </c>
      <c r="BG37" s="15" t="n">
        <v>10</v>
      </c>
      <c r="BH37" s="15" t="n">
        <v>1</v>
      </c>
      <c r="BI37" s="15" t="n">
        <v>10</v>
      </c>
      <c r="BJ37" s="15" t="n">
        <v>10</v>
      </c>
      <c r="BK37" s="15" t="n">
        <v>10</v>
      </c>
      <c r="BL37" s="15" t="n">
        <v>8</v>
      </c>
      <c r="BM37" s="15" t="n">
        <v>0.8</v>
      </c>
      <c r="BN37" s="15" t="n">
        <v>0.3918526844005831</v>
      </c>
      <c r="BO37" s="15" t="n">
        <v>0.5166666666666667</v>
      </c>
      <c r="BP37" s="19" t="n">
        <v>0.7450689367532977</v>
      </c>
      <c r="BQ37" s="19" t="n">
        <v>0.2549310632467024</v>
      </c>
      <c r="BR37" s="19" t="n">
        <v>0</v>
      </c>
      <c r="BS37" s="15" t="n">
        <v>0.1767814710561142</v>
      </c>
      <c r="BT37" s="19" t="n">
        <v>1</v>
      </c>
      <c r="BU37" s="19" t="n">
        <v>0</v>
      </c>
      <c r="BV37" s="19" t="n">
        <v>0</v>
      </c>
      <c r="BW37" t="inlineStr">
        <is>
          <t>A#6</t>
        </is>
      </c>
      <c r="BX37" t="n">
        <v>94</v>
      </c>
      <c r="BY37" t="inlineStr">
        <is>
          <t>A#</t>
        </is>
      </c>
      <c r="BZ37" t="n">
        <v>6</v>
      </c>
      <c r="CA37" t="inlineStr">
        <is>
          <t>Very high</t>
        </is>
      </c>
      <c r="CB37" t="inlineStr">
        <is>
          <t>pp</t>
        </is>
      </c>
      <c r="CC37" s="15" t="n">
        <v>1864.655046072359</v>
      </c>
      <c r="CD37" s="15" t="n">
        <v>1861.140122947805</v>
      </c>
      <c r="CE37" t="inlineStr">
        <is>
          <t>prior_constrained_harmonic_fit</t>
        </is>
      </c>
      <c r="CF37" t="n">
        <v>1861.140122947805</v>
      </c>
      <c r="CG37" s="15" t="n">
        <v>1</v>
      </c>
      <c r="CH37" t="n">
        <v/>
      </c>
      <c r="CI37" t="inlineStr">
        <is>
          <t>free_fit_acoustically_verified</t>
        </is>
      </c>
      <c r="CJ37" s="15" t="inlineStr">
        <is>
          <t>free_f0_fit</t>
        </is>
      </c>
      <c r="CK37" s="15" t="n">
        <v>1864.655046072359</v>
      </c>
      <c r="CL37" s="15" t="n">
        <v>1861.140122947805</v>
      </c>
      <c r="CM37" s="15" t="n">
        <v>-3.266500772214915</v>
      </c>
      <c r="CN37" s="15" t="n">
        <v>20000</v>
      </c>
      <c r="CO37" s="15" t="n">
        <v>-3.266500772214915</v>
      </c>
      <c r="CP37" s="15" t="n">
        <v>2.063058900065997</v>
      </c>
      <c r="CQ37" s="15" t="n">
        <v>36478.33279857178</v>
      </c>
      <c r="CR37" t="n">
        <v>1.010809640117247</v>
      </c>
      <c r="CS37" t="n">
        <v>0.1010809640117247</v>
      </c>
      <c r="CT37" t="n">
        <v>56.99739499776841</v>
      </c>
      <c r="CU37" t="n">
        <v>56.99739499776841</v>
      </c>
      <c r="CV37" t="n">
        <v>57.61351632531486</v>
      </c>
      <c r="CW37" t="n">
        <v>522.7000703515407</v>
      </c>
      <c r="CX37" s="15" t="n">
        <v>36478.33279857178</v>
      </c>
      <c r="CY37" s="15" t="n">
        <v>889.6469333901024</v>
      </c>
      <c r="CZ37" s="15" t="n">
        <v>522.7000703515407</v>
      </c>
      <c r="DA37" s="15" t="n">
        <v>2.31973960762258</v>
      </c>
      <c r="DB37" s="15" t="n">
        <v>2.31973960762258</v>
      </c>
      <c r="DC37" s="15" t="n">
        <v>1.699300706837432</v>
      </c>
      <c r="DD37" s="15" t="n">
        <v>0</v>
      </c>
      <c r="DE37" s="15" t="n">
        <v>6.359225955944464e-05</v>
      </c>
      <c r="DF37" s="15" t="n">
        <v>0</v>
      </c>
      <c r="DG37" s="15" t="n">
        <v>3</v>
      </c>
      <c r="DH37" s="15" t="inlineStr">
        <is>
          <t>Density_Metrics</t>
        </is>
      </c>
      <c r="DI37" s="15" t="n">
        <v>2.063058900065997</v>
      </c>
      <c r="DJ37" t="n">
        <v>0.931353619548585</v>
      </c>
      <c r="DK37" s="15" t="n">
        <v>0.5211040200270296</v>
      </c>
      <c r="DL37" s="15" t="n">
        <v>5.537394679766246</v>
      </c>
      <c r="DM37" s="15" t="n">
        <v>1.090191907299088</v>
      </c>
      <c r="DN37" s="15" t="n">
        <v>1.05555431574226</v>
      </c>
      <c r="DO37" s="15" t="n">
        <v>6.969548837096561</v>
      </c>
      <c r="DP37" s="15" t="n">
        <v>1.940121518058819</v>
      </c>
      <c r="DQ37" s="15" t="n">
        <v>14.75</v>
      </c>
      <c r="DR37" s="15" t="n">
        <v>8</v>
      </c>
      <c r="DS37" s="15" t="b">
        <v>0</v>
      </c>
      <c r="DT37" s="15" t="n">
        <v>1.010809640117247</v>
      </c>
      <c r="DU37" s="15" t="n">
        <v>4.377191940051115</v>
      </c>
      <c r="DV37" t="n">
        <v>10</v>
      </c>
      <c r="DW37" s="15" t="n">
        <v>0.1767814710561142</v>
      </c>
      <c r="DX37" s="15" t="n">
        <v>0.708570734944843</v>
      </c>
      <c r="DY37" s="15" t="n">
        <v>1.844550070593366</v>
      </c>
      <c r="DZ37" s="15" t="n">
        <v>0.2518080325891451</v>
      </c>
      <c r="EA37" s="15" t="b">
        <v>1</v>
      </c>
      <c r="EB37" s="15" t="n">
        <v>0.1500062825431197</v>
      </c>
      <c r="EC37" s="15" t="n">
        <v>20000</v>
      </c>
      <c r="ED37" s="15" t="n">
        <v>5583.420368843415</v>
      </c>
      <c r="EE37" s="15" t="n">
        <v>3</v>
      </c>
      <c r="EF37" s="15" t="n">
        <v>0</v>
      </c>
      <c r="EG37" s="15" t="n">
        <v>0.02309617874936895</v>
      </c>
      <c r="EH37" s="15" t="b">
        <v>0</v>
      </c>
      <c r="EI37" s="15" t="b">
        <v>1</v>
      </c>
      <c r="EJ37" s="15" t="b">
        <v>0</v>
      </c>
      <c r="EK37" s="15" t="inlineStr">
        <is>
          <t>wf=log|dst=-90.0|ceil=20000.0|fft=adaptive_tier</t>
        </is>
      </c>
      <c r="EL37" s="15" t="inlineStr">
        <is>
          <t>wf=log|dst=runtime_configured|ceil=runtime_configured|fft=fixed</t>
        </is>
      </c>
      <c r="EM37" s="15" t="n">
        <v>0.6147704269843434</v>
      </c>
      <c r="EN37" s="15" t="n">
        <v>0.9635540893563044</v>
      </c>
      <c r="EO37" s="15" t="n">
        <v>0.2727272727272727</v>
      </c>
      <c r="EP37" s="15" t="n">
        <v>0.4285827065973045</v>
      </c>
      <c r="EQ37" s="15" t="inlineStr">
        <is>
          <t>warn:power_outlier_detected</t>
        </is>
      </c>
      <c r="ER37" s="15" t="n">
        <v>205.4130115524328</v>
      </c>
      <c r="ES37" s="15" t="inlineStr">
        <is>
          <t>winsorize_p95_for_robust_diagnostics</t>
        </is>
      </c>
      <c r="ET37" s="15" t="n">
        <v>0.4398225983791085</v>
      </c>
      <c r="EU37" s="15" t="n">
        <v>0.1035390581423381</v>
      </c>
      <c r="EV37" s="15" t="n">
        <v>0.1087399932628212</v>
      </c>
      <c r="EW37" t="inlineStr">
        <is>
          <t>computed</t>
        </is>
      </c>
      <c r="EX37" s="15" t="inlineStr">
        <is>
          <t>computed</t>
        </is>
      </c>
      <c r="EY37" s="15" t="inlineStr">
        <is>
          <t>computed</t>
        </is>
      </c>
      <c r="EZ37" s="15" t="inlineStr">
        <is>
          <t>available_from_curve</t>
        </is>
      </c>
      <c r="FA37" s="15" t="n">
        <v>20000</v>
      </c>
      <c r="FB37" s="15" t="n">
        <v>20000</v>
      </c>
      <c r="FC37" s="15" t="n">
        <v>0.2549310632467024</v>
      </c>
      <c r="FD37" s="15" t="n">
        <v>0.04708169559078002</v>
      </c>
      <c r="FE37" s="15" t="n">
        <v>2.31973960762258</v>
      </c>
      <c r="FF37" s="15" t="n">
        <v>1.699300706837432</v>
      </c>
      <c r="FG37" s="15" t="n">
        <v>1.518354365306234</v>
      </c>
      <c r="FH37" s="15" t="n">
        <v>1.399309706015026</v>
      </c>
      <c r="FI37" s="15" t="n">
        <v>0.5756250260068624</v>
      </c>
      <c r="FJ37" s="15" t="n">
        <v>0.08812416804410812</v>
      </c>
      <c r="FK37" s="15" t="n">
        <v>569.9739499776841</v>
      </c>
      <c r="FL37" s="15" t="n">
        <v>13.90073333422035</v>
      </c>
      <c r="FM37" s="15" t="n">
        <v>8.167188599242824</v>
      </c>
      <c r="FN37" s="15" t="n">
        <v>0.004161523315375186</v>
      </c>
      <c r="FO37" t="n">
        <v>1</v>
      </c>
      <c r="FP37" t="n">
        <v>0</v>
      </c>
      <c r="FQ37" t="n">
        <v>0</v>
      </c>
      <c r="FR37" t="inlineStr">
        <is>
          <t>good</t>
        </is>
      </c>
      <c r="FS37" s="19" t="n">
        <v>0.8</v>
      </c>
      <c r="FT37" s="15" t="n">
        <v>7.484654014762724</v>
      </c>
      <c r="FU37" s="15" t="n">
        <v>17.31578543181149</v>
      </c>
      <c r="FV37" t="inlineStr">
        <is>
          <t>passed</t>
        </is>
      </c>
      <c r="FW37" t="n">
        <v>25.97554769156876</v>
      </c>
      <c r="FX37" t="n">
        <v>6.129761004014673</v>
      </c>
      <c r="FY37" t="n">
        <v>3.998484613046035</v>
      </c>
      <c r="FZ37" t="n">
        <v>0.8962751439113431</v>
      </c>
      <c r="GA37" t="n">
        <v>0.1477991392915524</v>
      </c>
      <c r="GB37" t="n">
        <v>0.8630411703918406</v>
      </c>
      <c r="GC37" t="n">
        <v>0.02795518220747064</v>
      </c>
      <c r="GD37" t="n">
        <v>0.01127993869563139</v>
      </c>
      <c r="GE37" t="n">
        <v>0.1524791233848974</v>
      </c>
      <c r="GF37" t="n">
        <v>0.3502472580918524</v>
      </c>
      <c r="GG37" t="n">
        <v>0.8503288402423098</v>
      </c>
      <c r="GH37" t="n">
        <v>0.6329872460897965</v>
      </c>
      <c r="GI37" t="n">
        <v>0.1217139305853934</v>
      </c>
      <c r="GJ37" t="n">
        <v>1</v>
      </c>
      <c r="GK37" t="n">
        <v>0</v>
      </c>
      <c r="GL37" t="n">
        <v>1</v>
      </c>
      <c r="GM37" t="n">
        <v>0.1408870470834564</v>
      </c>
      <c r="GN37" t="n">
        <v>0.1408870470834564</v>
      </c>
      <c r="GO37" t="n">
        <v>0.1167122065027654</v>
      </c>
      <c r="GP37" t="n">
        <v>0.3180689490162164</v>
      </c>
      <c r="GQ37" t="n">
        <v>57.61351632531486</v>
      </c>
      <c r="GR37" t="inlineStr">
        <is>
          <t>compiled workbook density_weighted_sum = density_component_ratio_weighted_sum (per-note component ratios); research density_weighted_sum maps body-ceiling richness</t>
        </is>
      </c>
      <c r="GS37" s="15" t="inlineStr">
        <is>
          <t>individual_exact</t>
        </is>
      </c>
      <c r="GT37" s="15" t="inlineStr">
        <is>
          <t>density_weight</t>
        </is>
      </c>
      <c r="GU37" s="15" t="n">
        <v>0.7583781110723363</v>
      </c>
      <c r="GV37" s="15" t="n">
        <v>0.2416218889276636</v>
      </c>
      <c r="GW37" s="15" t="n">
        <v>0</v>
      </c>
      <c r="GX37" s="15" t="inlineStr">
        <is>
          <t>log</t>
        </is>
      </c>
      <c r="GY37" s="15" t="n">
        <v>0.5</v>
      </c>
      <c r="GZ37" s="15" t="inlineStr">
        <is>
          <t>EWSD-R v18.1</t>
        </is>
      </c>
      <c r="HA37" s="15" t="n">
        <v>1.892905965354107</v>
      </c>
      <c r="HB37" s="15" t="n">
        <v>9.522479993086444</v>
      </c>
      <c r="HC37" s="15" t="n">
        <v>0.6150839972210064</v>
      </c>
      <c r="HD37" s="15" t="n">
        <v>1.924168550719116</v>
      </c>
      <c r="HE37" s="15" t="n">
        <v>9.522517519644783</v>
      </c>
      <c r="HF37" s="15" t="n">
        <v>0.5199441550400092</v>
      </c>
      <c r="HG37" s="15" t="inlineStr">
        <is>
          <t>partials+ratios</t>
        </is>
      </c>
      <c r="HH37" s="15" t="inlineStr">
        <is>
          <t>merged_individual_exact</t>
        </is>
      </c>
      <c r="HI37" s="15" t="inlineStr">
        <is>
          <t>passed</t>
        </is>
      </c>
      <c r="HJ37" s="15" t="inlineStr">
        <is>
          <t>passed</t>
        </is>
      </c>
    </row>
    <row r="38">
      <c r="A38" t="inlineStr">
        <is>
          <t>incomplete_inference</t>
        </is>
      </c>
      <c r="B38" t="inlineStr">
        <is>
          <t>missing_instrument_technique</t>
        </is>
      </c>
      <c r="C38" t="inlineStr">
        <is>
          <t>prior_constrained_harmonic_fit</t>
        </is>
      </c>
      <c r="D38" t="inlineStr">
        <is>
          <t>IOWA_flt_pp.B6_SustainStable/B6/component_amplitude_mass_pie.png</t>
        </is>
      </c>
      <c r="E38" t="inlineStr">
        <is>
          <t>IOWA_flt_pp.B6_SustainStable/B6/component_energy_ratio_pie.png</t>
        </is>
      </c>
      <c r="F38" s="15" t="n">
        <v>1975.34528355509</v>
      </c>
      <c r="G38" s="15" t="inlineStr">
        <is>
          <t>prior_constrained_harmonic_fit</t>
        </is>
      </c>
      <c r="H38" s="15" t="inlineStr">
        <is>
          <t>fit_accepted_acoustically_verified</t>
        </is>
      </c>
      <c r="I38" s="16" t="n">
        <v>0.01753101223131434</v>
      </c>
      <c r="J38" t="inlineStr">
        <is>
          <t>richness_weighted_body_density_body_ceiling</t>
        </is>
      </c>
      <c r="K38" t="inlineStr">
        <is>
          <t>research_body_ceiling_richness_metric</t>
        </is>
      </c>
      <c r="L38" s="15" t="n">
        <v>11.21984782804118</v>
      </c>
      <c r="M38" s="15" t="n">
        <v>11.21984782804118</v>
      </c>
      <c r="N38" s="15" t="n">
        <v>37.03206243590497</v>
      </c>
      <c r="O38" s="15" t="n">
        <v>191.2720844610037</v>
      </c>
      <c r="P38" s="15" t="n">
        <v/>
      </c>
      <c r="Q38" s="15" t="n">
        <v>1</v>
      </c>
      <c r="R38" s="15" t="n">
        <v>1</v>
      </c>
      <c r="S38" s="15" t="n">
        <v>0.1753101223131434</v>
      </c>
      <c r="T38" s="15" t="n">
        <v>11</v>
      </c>
      <c r="U38" s="15" t="n">
        <v>0.7170454836743319</v>
      </c>
      <c r="V38" s="15" t="n">
        <v>10.6054516887273</v>
      </c>
      <c r="W38" s="15" t="n">
        <v>0.9778687830328046</v>
      </c>
      <c r="X38" s="15" t="n">
        <v>0.4425564566167894</v>
      </c>
      <c r="Y38" s="15" t="n">
        <v>2</v>
      </c>
      <c r="Z38" s="15" t="n">
        <v>10</v>
      </c>
      <c r="AA38" s="15" t="n">
        <v>0.2</v>
      </c>
      <c r="AB38" s="15" t="n">
        <v>10</v>
      </c>
      <c r="AC38" s="15" t="n">
        <v>2</v>
      </c>
      <c r="AD38" s="15" t="n">
        <v>0.2</v>
      </c>
      <c r="AE38" s="15" t="n">
        <v>1.296497894345462</v>
      </c>
      <c r="AF38" s="15" t="n">
        <v>2</v>
      </c>
      <c r="AG38" s="15" t="n">
        <v>10</v>
      </c>
      <c r="AH38" s="15" t="n">
        <v>0.2</v>
      </c>
      <c r="AI38" s="15" t="n">
        <v>1.296497894345462</v>
      </c>
      <c r="AJ38" s="15" t="n">
        <v>1</v>
      </c>
      <c r="AK38" s="15" t="n">
        <v>1</v>
      </c>
      <c r="AL38" s="15" t="n">
        <v>75.74207147777219</v>
      </c>
      <c r="AM38" s="15" t="n">
        <v>42</v>
      </c>
      <c r="AN38" s="15" t="n">
        <v>0</v>
      </c>
      <c r="AO38" s="15" t="n">
        <v>42</v>
      </c>
      <c r="AP38" s="15" t="n">
        <v>0</v>
      </c>
      <c r="AQ38" s="15" t="n">
        <v>41.99878749927026</v>
      </c>
      <c r="AR38" s="15" t="n">
        <v>24.31475073673479</v>
      </c>
      <c r="AS38" s="15" t="n">
        <v>0.7428933229135971</v>
      </c>
      <c r="AT38" s="17" t="n">
        <v>0.6384497323664312</v>
      </c>
      <c r="AU38" s="18" t="n">
        <v>0.5656905328666686</v>
      </c>
      <c r="AV38" s="15" t="n">
        <v>0.5656905328666686</v>
      </c>
      <c r="AW38" s="15" t="b">
        <v>1</v>
      </c>
      <c r="AX38" s="15" t="n">
        <v>1.00233136175613</v>
      </c>
      <c r="AY38" s="15" t="n">
        <v>24.31545741629364</v>
      </c>
      <c r="AZ38" s="15" t="n">
        <v>0</v>
      </c>
      <c r="BA38" s="15" t="n">
        <v>1</v>
      </c>
      <c r="BB38" s="15" t="n">
        <v>0.5</v>
      </c>
      <c r="BC38" s="15" t="n">
        <v>0.25</v>
      </c>
      <c r="BD38" s="15" t="inlineStr">
        <is>
          <t>his_note_adaptive</t>
        </is>
      </c>
      <c r="BE38" s="15" t="n">
        <v>-90</v>
      </c>
      <c r="BF38" s="15" t="n">
        <v>20000</v>
      </c>
      <c r="BG38" s="15" t="n">
        <v>2</v>
      </c>
      <c r="BH38" s="15" t="n">
        <v>0.2</v>
      </c>
      <c r="BI38" s="15" t="n">
        <v>10</v>
      </c>
      <c r="BJ38" s="15" t="n">
        <v>2</v>
      </c>
      <c r="BK38" s="15" t="n">
        <v>10</v>
      </c>
      <c r="BL38" s="15" t="n">
        <v>10</v>
      </c>
      <c r="BM38" s="15" t="n">
        <v>1</v>
      </c>
      <c r="BN38" s="15" t="n">
        <v>0.3989021630863311</v>
      </c>
      <c r="BO38" s="15" t="n">
        <v>0.35</v>
      </c>
      <c r="BP38" s="19" t="n">
        <v>0.5000876159772879</v>
      </c>
      <c r="BQ38" s="19" t="n">
        <v>0.499912384022712</v>
      </c>
      <c r="BR38" s="19" t="n">
        <v>0</v>
      </c>
      <c r="BS38" s="15" t="n">
        <v>0.25</v>
      </c>
      <c r="BT38" s="19" t="n">
        <v>1</v>
      </c>
      <c r="BU38" s="19" t="n">
        <v>0</v>
      </c>
      <c r="BV38" s="19" t="n">
        <v>0</v>
      </c>
      <c r="BW38" t="inlineStr">
        <is>
          <t>B6</t>
        </is>
      </c>
      <c r="BX38" t="n">
        <v>95</v>
      </c>
      <c r="BY38" t="inlineStr">
        <is>
          <t>B</t>
        </is>
      </c>
      <c r="BZ38" t="n">
        <v>6</v>
      </c>
      <c r="CA38" t="inlineStr">
        <is>
          <t>Very high</t>
        </is>
      </c>
      <c r="CB38" t="inlineStr">
        <is>
          <t>pp</t>
        </is>
      </c>
      <c r="CC38" s="15" t="n">
        <v>1975.533205024497</v>
      </c>
      <c r="CD38" s="15" t="n">
        <v>1975.34528355509</v>
      </c>
      <c r="CE38" t="inlineStr">
        <is>
          <t>prior_constrained_harmonic_fit</t>
        </is>
      </c>
      <c r="CF38" t="n">
        <v>1975.34528355509</v>
      </c>
      <c r="CG38" s="15" t="n">
        <v>1</v>
      </c>
      <c r="CH38" t="n">
        <v/>
      </c>
      <c r="CI38" t="inlineStr">
        <is>
          <t>free_fit_acoustically_verified</t>
        </is>
      </c>
      <c r="CJ38" s="15" t="inlineStr">
        <is>
          <t>free_f0_fit</t>
        </is>
      </c>
      <c r="CK38" s="15" t="n">
        <v>1975.533205024497</v>
      </c>
      <c r="CL38" s="15" t="n">
        <v>1975.34528355509</v>
      </c>
      <c r="CM38" s="15" t="n">
        <v>-0.1646904846980405</v>
      </c>
      <c r="CN38" s="15" t="n">
        <v>20000</v>
      </c>
      <c r="CO38" s="15" t="n">
        <v>-0.1646904846980405</v>
      </c>
      <c r="CP38" s="15" t="n">
        <v>0.7491260372475459</v>
      </c>
      <c r="CQ38" s="15" t="n">
        <v>11.21984782804118</v>
      </c>
      <c r="CR38" t="n">
        <v>1</v>
      </c>
      <c r="CS38" t="n">
        <v>0.1</v>
      </c>
      <c r="CT38" t="n">
        <v>0.01753101223131434</v>
      </c>
      <c r="CU38" t="n">
        <v>0.01753101223131434</v>
      </c>
      <c r="CV38" t="n">
        <v>0.01753101223131434</v>
      </c>
      <c r="CW38" t="n">
        <v>191.2720844610037</v>
      </c>
      <c r="CX38" s="15" t="n">
        <v>11.21984782804118</v>
      </c>
      <c r="CY38" s="15" t="n">
        <v>37.03206243590497</v>
      </c>
      <c r="CZ38" s="15" t="n">
        <v>191.2720844610037</v>
      </c>
      <c r="DA38" s="15" t="n">
        <v>0.6384497323664312</v>
      </c>
      <c r="DB38" s="15" t="n">
        <v>0.6384497323664312</v>
      </c>
      <c r="DC38" s="15" t="n">
        <v>0.8503642182550468</v>
      </c>
      <c r="DD38" s="15" t="n">
        <v>0</v>
      </c>
      <c r="DE38" s="15" t="n">
        <v>0.05690359995532089</v>
      </c>
      <c r="DF38" s="15" t="n">
        <v>0</v>
      </c>
      <c r="DG38" s="15" t="n">
        <v>1</v>
      </c>
      <c r="DH38" s="15" t="inlineStr">
        <is>
          <t>Density_Metrics</t>
        </is>
      </c>
      <c r="DI38" s="15" t="n">
        <v>0.7491260372475459</v>
      </c>
      <c r="DJ38" t="n">
        <v>0.3381877493978823</v>
      </c>
      <c r="DK38" s="15" t="n">
        <v>0.2144331217691967</v>
      </c>
      <c r="DL38" s="15" t="n">
        <v>2.79736015083241</v>
      </c>
      <c r="DM38" s="15" t="n">
        <v>2.691452002077082</v>
      </c>
      <c r="DN38" s="15" t="n">
        <v>1.985618613807271</v>
      </c>
      <c r="DO38" s="15" t="n">
        <v>3.817572003907855</v>
      </c>
      <c r="DP38" s="15" t="n">
        <v>0.1879486347493374</v>
      </c>
      <c r="DQ38" s="15" t="n">
        <v>17.9375</v>
      </c>
      <c r="DR38" s="15" t="n">
        <v>4</v>
      </c>
      <c r="DS38" s="15" t="b">
        <v>0</v>
      </c>
      <c r="DT38" s="15" t="n">
        <v>1</v>
      </c>
      <c r="DU38" s="15" t="n">
        <v>4.425564566167894</v>
      </c>
      <c r="DV38" t="n">
        <v>10</v>
      </c>
      <c r="DW38" s="15" t="n">
        <v>0.3498773591223975</v>
      </c>
      <c r="DX38" s="15" t="n">
        <v>0.4173313895548291</v>
      </c>
      <c r="DY38" s="15" t="n">
        <v>0.5191848389030589</v>
      </c>
      <c r="DZ38" s="15" t="n">
        <v>0.2312403630849253</v>
      </c>
      <c r="EA38" s="15" t="b">
        <v>1</v>
      </c>
      <c r="EB38" s="15" t="n">
        <v>0.2498965933349733</v>
      </c>
      <c r="EC38" s="15" t="n">
        <v>20000</v>
      </c>
      <c r="ED38" s="15" t="n">
        <v>1975.34528355509</v>
      </c>
      <c r="EE38" s="15" t="n">
        <v>1</v>
      </c>
      <c r="EF38" s="15" t="n">
        <v>0</v>
      </c>
      <c r="EG38" s="15" t="n">
        <v>0.02179988984263414</v>
      </c>
      <c r="EH38" s="15" t="b">
        <v>0</v>
      </c>
      <c r="EI38" s="15" t="b">
        <v>1</v>
      </c>
      <c r="EJ38" s="15" t="b">
        <v>0</v>
      </c>
      <c r="EK38" s="15" t="inlineStr">
        <is>
          <t>wf=log|dst=-90.0|ceil=20000.0|fft=adaptive_tier</t>
        </is>
      </c>
      <c r="EL38" s="15" t="inlineStr">
        <is>
          <t>wf=log|dst=runtime_configured|ceil=runtime_configured|fft=fixed</t>
        </is>
      </c>
      <c r="EM38" s="15" t="n">
        <v>0.5738328350564752</v>
      </c>
      <c r="EN38" s="15" t="n">
        <v>0.9989115301614082</v>
      </c>
      <c r="EO38" s="15" t="n">
        <v>0.09090909090909091</v>
      </c>
      <c r="EP38" s="15" t="n">
        <v>0.4625223233282982</v>
      </c>
      <c r="EQ38" s="15" t="inlineStr">
        <is>
          <t>warn:power_outlier_detected</t>
        </is>
      </c>
      <c r="ER38" s="15" t="n">
        <v>135.2304914087042</v>
      </c>
      <c r="ES38" s="15" t="inlineStr">
        <is>
          <t>winsorize_p95_for_robust_diagnostics</t>
        </is>
      </c>
      <c r="ET38" s="15" t="n">
        <v>0.2688226554828581</v>
      </c>
      <c r="EU38" s="15" t="n">
        <v>0.009688897400199997</v>
      </c>
      <c r="EV38" s="15" t="n">
        <v>0.01077543009334591</v>
      </c>
      <c r="EW38" t="inlineStr">
        <is>
          <t>computed</t>
        </is>
      </c>
      <c r="EX38" s="15" t="inlineStr">
        <is>
          <t>computed</t>
        </is>
      </c>
      <c r="EY38" s="15" t="inlineStr">
        <is>
          <t>computed</t>
        </is>
      </c>
      <c r="EZ38" s="15" t="inlineStr">
        <is>
          <t>available_from_curve</t>
        </is>
      </c>
      <c r="FA38" s="15" t="n">
        <v>20000</v>
      </c>
      <c r="FB38" s="15" t="n">
        <v>20000</v>
      </c>
      <c r="FC38" s="15" t="n">
        <v>0.499912384022712</v>
      </c>
      <c r="FD38" s="15" t="n">
        <v>0</v>
      </c>
      <c r="FE38" s="15" t="n">
        <v>0.6384497323664312</v>
      </c>
      <c r="FF38" s="15" t="n">
        <v>0.8503642182550468</v>
      </c>
      <c r="FG38" s="15" t="n">
        <v>1.308546200210932</v>
      </c>
      <c r="FH38" s="15" t="n">
        <v>0.3851246512183522</v>
      </c>
      <c r="FI38" s="15" t="n">
        <v>0.2880543292183747</v>
      </c>
      <c r="FJ38" s="15" t="n">
        <v>0.07594705681081888</v>
      </c>
      <c r="FK38" s="15" t="n">
        <v>0.1753101223131434</v>
      </c>
      <c r="FL38" s="15" t="n">
        <v>0.5786259755610151</v>
      </c>
      <c r="FM38" s="15" t="n">
        <v>2.988626319703182</v>
      </c>
      <c r="FN38" s="15" t="n">
        <v>1.009344545652848e-05</v>
      </c>
      <c r="FO38" t="n">
        <v>1</v>
      </c>
      <c r="FP38" t="n">
        <v>0</v>
      </c>
      <c r="FQ38" t="n">
        <v>0</v>
      </c>
      <c r="FR38" t="inlineStr">
        <is>
          <t>excellent</t>
        </is>
      </c>
      <c r="FS38" s="19" t="n">
        <v>1</v>
      </c>
      <c r="FT38" s="15" t="n">
        <v>5.69487415914901</v>
      </c>
      <c r="FU38" s="15" t="n">
        <v>13.92415510776364</v>
      </c>
      <c r="FV38" t="inlineStr">
        <is>
          <t>passed</t>
        </is>
      </c>
      <c r="FW38" t="n">
        <v>0.4187005162561224</v>
      </c>
      <c r="FX38" t="n">
        <v>0.760674684448625</v>
      </c>
      <c r="FY38" t="n">
        <v>2.418643322986378</v>
      </c>
      <c r="FZ38" t="n">
        <v>0</v>
      </c>
      <c r="GA38" t="n">
        <v>0</v>
      </c>
      <c r="GB38" t="n">
        <v>0</v>
      </c>
      <c r="GC38" t="n">
        <v>0.6229941673335909</v>
      </c>
      <c r="GD38" t="n">
        <v>0</v>
      </c>
      <c r="GE38" t="n">
        <v>0.1265159044978178</v>
      </c>
      <c r="GF38" t="n">
        <v>0.9829888337276923</v>
      </c>
      <c r="GG38" t="n">
        <v>0.8614574621379572</v>
      </c>
      <c r="GH38" t="n">
        <v>1</v>
      </c>
      <c r="GI38" t="n">
        <v>0.5687757957596512</v>
      </c>
      <c r="GJ38" t="n">
        <v>0.05882352941176473</v>
      </c>
      <c r="GK38" t="n">
        <v>1</v>
      </c>
      <c r="GL38" t="n">
        <v>0.5348837209302325</v>
      </c>
      <c r="GM38" t="n">
        <v>1</v>
      </c>
      <c r="GN38" t="n">
        <v>1</v>
      </c>
      <c r="GO38" t="n">
        <v>0</v>
      </c>
      <c r="GP38" t="n">
        <v>0.7683281914674751</v>
      </c>
      <c r="GQ38" t="n">
        <v>0.01753101223131434</v>
      </c>
      <c r="GR38" t="inlineStr">
        <is>
          <t>compiled workbook density_weighted_sum = density_component_ratio_weighted_sum (per-note component ratios); research density_weighted_sum maps body-ceiling richness</t>
        </is>
      </c>
      <c r="GS38" s="15" t="inlineStr">
        <is>
          <t>individual_exact</t>
        </is>
      </c>
      <c r="GT38" s="15" t="inlineStr">
        <is>
          <t>density_weight</t>
        </is>
      </c>
      <c r="GU38" s="15" t="n">
        <v>3.031251824367163e-05</v>
      </c>
      <c r="GV38" s="15" t="n">
        <v>0.9999696874817563</v>
      </c>
      <c r="GW38" s="15" t="n">
        <v>0</v>
      </c>
      <c r="GX38" s="15" t="inlineStr">
        <is>
          <t>log</t>
        </is>
      </c>
      <c r="GY38" s="15" t="n">
        <v>0.5</v>
      </c>
      <c r="GZ38" s="15" t="inlineStr">
        <is>
          <t>EWSD-R v18.1</t>
        </is>
      </c>
      <c r="HA38" s="15" t="n">
        <v>0.9880923466114098</v>
      </c>
      <c r="HB38" s="15" t="n">
        <v>0.9880923466114098</v>
      </c>
      <c r="HC38" s="15" t="n">
        <v>0</v>
      </c>
      <c r="HD38" s="15" t="n">
        <v>0.9880923466114098</v>
      </c>
      <c r="HE38" s="15" t="n">
        <v>0.9880923466114098</v>
      </c>
      <c r="HF38" s="15" t="n">
        <v>0</v>
      </c>
      <c r="HG38" s="15" t="inlineStr">
        <is>
          <t>partials+ratios</t>
        </is>
      </c>
      <c r="HH38" s="15" t="inlineStr">
        <is>
          <t>merged_individual_exact</t>
        </is>
      </c>
      <c r="HI38" s="15" t="inlineStr">
        <is>
          <t>passed</t>
        </is>
      </c>
      <c r="HJ38" s="15" t="inlineStr">
        <is>
          <t>passed</t>
        </is>
      </c>
    </row>
  </sheetData>
  <autoFilter ref="A1:HJ38"/>
  <conditionalFormatting sqref="FO2:FO38">
    <cfRule type="colorScale" priority="1">
      <colorScale>
        <cfvo type="num" val="0"/>
        <cfvo type="num" val="0.85"/>
        <cfvo type="num" val="1"/>
        <color rgb="00F8696B"/>
        <color rgb="00FFEB84"/>
        <color rgb="0063BE7B"/>
      </colorScale>
    </cfRule>
  </conditionalFormatting>
  <conditionalFormatting sqref="FV2:FV38">
    <cfRule type="cellIs" priority="2" operator="equal" dxfId="0" stopIfTrue="0">
      <formula>passed</formula>
    </cfRule>
  </conditionalFormatting>
  <conditionalFormatting sqref="CG2:CG38">
    <cfRule type="cellIs" priority="3" operator="equal" dxfId="0">
      <formula>TRUE</formula>
    </cfRule>
    <cfRule type="cellIs" priority="4" operator="equal" dxfId="1">
      <formula>FALSE</formula>
    </cfRule>
  </conditionalFormatting>
  <conditionalFormatting sqref="AV2:AV38">
    <cfRule type="dataBar" priority="5">
      <dataBar minLength="0" maxLength="100" showValue="1">
        <cfvo type="min"/>
        <cfvo type="max"/>
        <color rgb="FFC00000"/>
      </dataBar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32" customWidth="1" min="3" max="3"/>
    <col width="30" customWidth="1" min="4" max="4"/>
    <col width="26" customWidth="1" min="5" max="5"/>
    <col width="17" customWidth="1" min="6" max="6"/>
    <col width="30" customWidth="1" min="7" max="7"/>
    <col width="14" customWidth="1" min="8" max="8"/>
  </cols>
  <sheetData>
    <row r="1">
      <c r="A1" s="11" t="inlineStr">
        <is>
          <t>Note</t>
        </is>
      </c>
      <c r="B1" s="11" t="inlineStr">
        <is>
          <t>ewsd_merge_status</t>
        </is>
      </c>
      <c r="C1" s="11" t="inlineStr">
        <is>
          <t>ewsd_primary_analysis_eligible</t>
        </is>
      </c>
      <c r="D1" s="11" t="inlineStr">
        <is>
          <t>EWSD_score_acoustic_balanced</t>
        </is>
      </c>
      <c r="E1" s="11" t="inlineStr">
        <is>
          <t>ewsd_uncertainty_sources</t>
        </is>
      </c>
      <c r="F1" s="11" t="inlineStr">
        <is>
          <t>density_fragile</t>
        </is>
      </c>
      <c r="G1" s="11" t="inlineStr">
        <is>
          <t>density_effective_ceiling_hz</t>
        </is>
      </c>
      <c r="H1" s="11" t="inlineStr">
        <is>
          <t>stage3_issue</t>
        </is>
      </c>
    </row>
    <row r="2">
      <c r="A2" s="15" t="inlineStr">
        <is>
          <t>B3</t>
        </is>
      </c>
      <c r="B2" s="15" t="inlineStr">
        <is>
          <t>merged_individual_exact</t>
        </is>
      </c>
      <c r="C2" s="15" t="b">
        <v>1</v>
      </c>
      <c r="D2" s="15" t="n">
        <v>13.28578560371018</v>
      </c>
      <c r="E2" s="15" t="inlineStr">
        <is>
          <t>partials+ratios</t>
        </is>
      </c>
      <c r="F2" s="15" t="b">
        <v>1</v>
      </c>
      <c r="G2" s="15" t="n">
        <v>20000</v>
      </c>
      <c r="H2" s="15" t="inlineStr"/>
    </row>
    <row r="3">
      <c r="A3" s="15" t="inlineStr">
        <is>
          <t>C4</t>
        </is>
      </c>
      <c r="B3" s="15" t="inlineStr">
        <is>
          <t>merged_individual_exact</t>
        </is>
      </c>
      <c r="C3" s="15" t="b">
        <v>1</v>
      </c>
      <c r="D3" s="15" t="n">
        <v>9.943639854450252</v>
      </c>
      <c r="E3" s="15" t="inlineStr">
        <is>
          <t>partials+ratios</t>
        </is>
      </c>
      <c r="F3" s="15" t="b">
        <v>1</v>
      </c>
      <c r="G3" s="15" t="n">
        <v>20000</v>
      </c>
      <c r="H3" s="15" t="inlineStr"/>
    </row>
    <row r="4">
      <c r="A4" s="15" t="inlineStr">
        <is>
          <t>C#4</t>
        </is>
      </c>
      <c r="B4" s="15" t="inlineStr">
        <is>
          <t>merged_individual_exact</t>
        </is>
      </c>
      <c r="C4" s="15" t="b">
        <v>1</v>
      </c>
      <c r="D4" s="15" t="n">
        <v>11.86678179168242</v>
      </c>
      <c r="E4" s="15" t="inlineStr">
        <is>
          <t>partials+ratios</t>
        </is>
      </c>
      <c r="F4" s="15" t="b">
        <v>1</v>
      </c>
      <c r="G4" s="15" t="n">
        <v>20000</v>
      </c>
      <c r="H4" s="15" t="inlineStr"/>
    </row>
    <row r="5">
      <c r="A5" s="15" t="inlineStr">
        <is>
          <t>D4</t>
        </is>
      </c>
      <c r="B5" s="15" t="inlineStr">
        <is>
          <t>merged_individual_exact</t>
        </is>
      </c>
      <c r="C5" s="15" t="b">
        <v>1</v>
      </c>
      <c r="D5" s="15" t="n">
        <v>11.76317114482185</v>
      </c>
      <c r="E5" s="15" t="inlineStr">
        <is>
          <t>partials+ratios</t>
        </is>
      </c>
      <c r="F5" s="15" t="b">
        <v>1</v>
      </c>
      <c r="G5" s="15" t="n">
        <v>20000</v>
      </c>
      <c r="H5" s="15" t="inlineStr"/>
    </row>
    <row r="6">
      <c r="A6" s="15" t="inlineStr">
        <is>
          <t>D#4</t>
        </is>
      </c>
      <c r="B6" s="15" t="inlineStr">
        <is>
          <t>merged_individual_exact</t>
        </is>
      </c>
      <c r="C6" s="15" t="b">
        <v>1</v>
      </c>
      <c r="D6" s="15" t="n">
        <v>11.47012182231594</v>
      </c>
      <c r="E6" s="15" t="inlineStr">
        <is>
          <t>partials+ratios</t>
        </is>
      </c>
      <c r="F6" s="15" t="b">
        <v>1</v>
      </c>
      <c r="G6" s="15" t="n">
        <v>20000</v>
      </c>
      <c r="H6" s="15" t="inlineStr"/>
    </row>
    <row r="7">
      <c r="A7" s="15" t="inlineStr">
        <is>
          <t>E4</t>
        </is>
      </c>
      <c r="B7" s="15" t="inlineStr">
        <is>
          <t>merged_individual_exact</t>
        </is>
      </c>
      <c r="C7" s="15" t="b">
        <v>1</v>
      </c>
      <c r="D7" s="15" t="n">
        <v>10.87165455717262</v>
      </c>
      <c r="E7" s="15" t="inlineStr">
        <is>
          <t>partials+ratios</t>
        </is>
      </c>
      <c r="F7" s="15" t="b">
        <v>1</v>
      </c>
      <c r="G7" s="15" t="n">
        <v>20000</v>
      </c>
      <c r="H7" s="15" t="inlineStr"/>
    </row>
    <row r="8">
      <c r="A8" s="15" t="inlineStr">
        <is>
          <t>F4</t>
        </is>
      </c>
      <c r="B8" s="15" t="inlineStr">
        <is>
          <t>merged_individual_exact</t>
        </is>
      </c>
      <c r="C8" s="15" t="b">
        <v>1</v>
      </c>
      <c r="D8" s="15" t="n">
        <v>12.70607212562334</v>
      </c>
      <c r="E8" s="15" t="inlineStr">
        <is>
          <t>partials+ratios</t>
        </is>
      </c>
      <c r="F8" s="15" t="b">
        <v>1</v>
      </c>
      <c r="G8" s="15" t="n">
        <v>20000</v>
      </c>
      <c r="H8" s="15" t="inlineStr"/>
    </row>
    <row r="9">
      <c r="A9" s="15" t="inlineStr">
        <is>
          <t>F#4</t>
        </is>
      </c>
      <c r="B9" s="15" t="inlineStr">
        <is>
          <t>merged_individual_exact</t>
        </is>
      </c>
      <c r="C9" s="15" t="b">
        <v>1</v>
      </c>
      <c r="D9" s="15" t="n">
        <v>10.90082379194292</v>
      </c>
      <c r="E9" s="15" t="inlineStr">
        <is>
          <t>partials+ratios</t>
        </is>
      </c>
      <c r="F9" s="15" t="b">
        <v>1</v>
      </c>
      <c r="G9" s="15" t="n">
        <v>20000</v>
      </c>
      <c r="H9" s="15" t="inlineStr"/>
    </row>
    <row r="10">
      <c r="A10" s="15" t="inlineStr">
        <is>
          <t>G4</t>
        </is>
      </c>
      <c r="B10" s="15" t="inlineStr">
        <is>
          <t>merged_individual_exact</t>
        </is>
      </c>
      <c r="C10" s="15" t="b">
        <v>1</v>
      </c>
      <c r="D10" s="15" t="n">
        <v>15.08673224438281</v>
      </c>
      <c r="E10" s="15" t="inlineStr">
        <is>
          <t>partials+ratios</t>
        </is>
      </c>
      <c r="F10" s="15" t="b">
        <v>1</v>
      </c>
      <c r="G10" s="15" t="n">
        <v>20000</v>
      </c>
      <c r="H10" s="15" t="inlineStr"/>
    </row>
    <row r="11">
      <c r="A11" s="15" t="inlineStr">
        <is>
          <t>G#4</t>
        </is>
      </c>
      <c r="B11" s="15" t="inlineStr">
        <is>
          <t>merged_individual_exact</t>
        </is>
      </c>
      <c r="C11" s="15" t="b">
        <v>1</v>
      </c>
      <c r="D11" s="15" t="n">
        <v>10.62316732223905</v>
      </c>
      <c r="E11" s="15" t="inlineStr">
        <is>
          <t>partials+ratios</t>
        </is>
      </c>
      <c r="F11" s="15" t="b">
        <v>1</v>
      </c>
      <c r="G11" s="15" t="n">
        <v>20000</v>
      </c>
      <c r="H11" s="15" t="inlineStr"/>
    </row>
    <row r="12">
      <c r="A12" s="15" t="inlineStr">
        <is>
          <t>A4</t>
        </is>
      </c>
      <c r="B12" s="15" t="inlineStr">
        <is>
          <t>merged_individual_exact</t>
        </is>
      </c>
      <c r="C12" s="15" t="b">
        <v>1</v>
      </c>
      <c r="D12" s="15" t="n">
        <v>10.74536450406078</v>
      </c>
      <c r="E12" s="15" t="inlineStr">
        <is>
          <t>partials+ratios</t>
        </is>
      </c>
      <c r="F12" s="15" t="b">
        <v>1</v>
      </c>
      <c r="G12" s="15" t="n">
        <v>20000</v>
      </c>
      <c r="H12" s="15" t="inlineStr"/>
    </row>
    <row r="13">
      <c r="A13" s="15" t="inlineStr">
        <is>
          <t>A#4</t>
        </is>
      </c>
      <c r="B13" s="15" t="inlineStr">
        <is>
          <t>merged_individual_exact</t>
        </is>
      </c>
      <c r="C13" s="15" t="b">
        <v>1</v>
      </c>
      <c r="D13" s="15" t="n">
        <v>8.863296543517116</v>
      </c>
      <c r="E13" s="15" t="inlineStr">
        <is>
          <t>partials+ratios</t>
        </is>
      </c>
      <c r="F13" s="15" t="b">
        <v>1</v>
      </c>
      <c r="G13" s="15" t="n">
        <v>20000</v>
      </c>
      <c r="H13" s="15" t="inlineStr"/>
    </row>
    <row r="14">
      <c r="A14" s="15" t="inlineStr">
        <is>
          <t>B4</t>
        </is>
      </c>
      <c r="B14" s="15" t="inlineStr">
        <is>
          <t>merged_individual_exact</t>
        </is>
      </c>
      <c r="C14" s="15" t="b">
        <v>1</v>
      </c>
      <c r="D14" s="15" t="n">
        <v>6.975593999091949</v>
      </c>
      <c r="E14" s="15" t="inlineStr">
        <is>
          <t>partials+ratios</t>
        </is>
      </c>
      <c r="F14" s="15" t="b">
        <v>1</v>
      </c>
      <c r="G14" s="15" t="n">
        <v>20000</v>
      </c>
      <c r="H14" s="15" t="inlineStr"/>
    </row>
    <row r="15">
      <c r="A15" s="15" t="inlineStr">
        <is>
          <t>C5</t>
        </is>
      </c>
      <c r="B15" s="15" t="inlineStr">
        <is>
          <t>merged_individual_exact</t>
        </is>
      </c>
      <c r="C15" s="15" t="b">
        <v>1</v>
      </c>
      <c r="D15" s="15" t="n">
        <v>6.14134895514664</v>
      </c>
      <c r="E15" s="15" t="inlineStr">
        <is>
          <t>partials+ratios</t>
        </is>
      </c>
      <c r="F15" s="15" t="b">
        <v>1</v>
      </c>
      <c r="G15" s="15" t="n">
        <v>20000</v>
      </c>
      <c r="H15" s="15" t="inlineStr"/>
    </row>
    <row r="16">
      <c r="A16" s="15" t="inlineStr">
        <is>
          <t>C#5</t>
        </is>
      </c>
      <c r="B16" s="15" t="inlineStr">
        <is>
          <t>merged_individual_exact</t>
        </is>
      </c>
      <c r="C16" s="15" t="b">
        <v>1</v>
      </c>
      <c r="D16" s="15" t="n">
        <v>6.577113694819033</v>
      </c>
      <c r="E16" s="15" t="inlineStr">
        <is>
          <t>partials+ratios</t>
        </is>
      </c>
      <c r="F16" s="15" t="b">
        <v>1</v>
      </c>
      <c r="G16" s="15" t="n">
        <v>20000</v>
      </c>
      <c r="H16" s="15" t="inlineStr"/>
    </row>
    <row r="17">
      <c r="A17" s="15" t="inlineStr">
        <is>
          <t>D5</t>
        </is>
      </c>
      <c r="B17" s="15" t="inlineStr">
        <is>
          <t>merged_individual_exact</t>
        </is>
      </c>
      <c r="C17" s="15" t="b">
        <v>1</v>
      </c>
      <c r="D17" s="15" t="n">
        <v>5.2106984178589</v>
      </c>
      <c r="E17" s="15" t="inlineStr">
        <is>
          <t>partials+ratios</t>
        </is>
      </c>
      <c r="F17" s="15" t="b">
        <v>1</v>
      </c>
      <c r="G17" s="15" t="n">
        <v>20000</v>
      </c>
      <c r="H17" s="15" t="inlineStr"/>
    </row>
    <row r="18">
      <c r="A18" s="15" t="inlineStr">
        <is>
          <t>D#5</t>
        </is>
      </c>
      <c r="B18" s="15" t="inlineStr">
        <is>
          <t>merged_individual_exact</t>
        </is>
      </c>
      <c r="C18" s="15" t="b">
        <v>1</v>
      </c>
      <c r="D18" s="15" t="n">
        <v>6.020649593791646</v>
      </c>
      <c r="E18" s="15" t="inlineStr">
        <is>
          <t>partials+ratios</t>
        </is>
      </c>
      <c r="F18" s="15" t="b">
        <v>1</v>
      </c>
      <c r="G18" s="15" t="n">
        <v>20000</v>
      </c>
      <c r="H18" s="15" t="inlineStr"/>
    </row>
    <row r="19">
      <c r="A19" s="15" t="inlineStr">
        <is>
          <t>E5</t>
        </is>
      </c>
      <c r="B19" s="15" t="inlineStr">
        <is>
          <t>merged_individual_exact</t>
        </is>
      </c>
      <c r="C19" s="15" t="b">
        <v>1</v>
      </c>
      <c r="D19" s="15" t="n">
        <v>5.543251885582499</v>
      </c>
      <c r="E19" s="15" t="inlineStr">
        <is>
          <t>partials+ratios</t>
        </is>
      </c>
      <c r="F19" s="15" t="b">
        <v>1</v>
      </c>
      <c r="G19" s="15" t="n">
        <v>20000</v>
      </c>
      <c r="H19" s="15" t="inlineStr"/>
    </row>
    <row r="20">
      <c r="A20" s="15" t="inlineStr">
        <is>
          <t>F5</t>
        </is>
      </c>
      <c r="B20" s="15" t="inlineStr">
        <is>
          <t>merged_individual_exact</t>
        </is>
      </c>
      <c r="C20" s="15" t="b">
        <v>1</v>
      </c>
      <c r="D20" s="15" t="n">
        <v>5.132766033095764</v>
      </c>
      <c r="E20" s="15" t="inlineStr">
        <is>
          <t>partials+ratios</t>
        </is>
      </c>
      <c r="F20" s="15" t="b">
        <v>1</v>
      </c>
      <c r="G20" s="15" t="n">
        <v>20000</v>
      </c>
      <c r="H20" s="15" t="inlineStr"/>
    </row>
    <row r="21">
      <c r="A21" s="15" t="inlineStr">
        <is>
          <t>F#5</t>
        </is>
      </c>
      <c r="B21" s="15" t="inlineStr">
        <is>
          <t>merged_individual_exact</t>
        </is>
      </c>
      <c r="C21" s="15" t="b">
        <v>1</v>
      </c>
      <c r="D21" s="15" t="n">
        <v>4.869183438420118</v>
      </c>
      <c r="E21" s="15" t="inlineStr">
        <is>
          <t>partials+ratios</t>
        </is>
      </c>
      <c r="F21" s="15" t="b">
        <v>1</v>
      </c>
      <c r="G21" s="15" t="n">
        <v>20000</v>
      </c>
      <c r="H21" s="15" t="inlineStr"/>
    </row>
    <row r="22">
      <c r="A22" s="15" t="inlineStr">
        <is>
          <t>G5</t>
        </is>
      </c>
      <c r="B22" s="15" t="inlineStr">
        <is>
          <t>merged_individual_exact</t>
        </is>
      </c>
      <c r="C22" s="15" t="b">
        <v>1</v>
      </c>
      <c r="D22" s="15" t="n">
        <v>5.499256230739802</v>
      </c>
      <c r="E22" s="15" t="inlineStr">
        <is>
          <t>partials+ratios</t>
        </is>
      </c>
      <c r="F22" s="15" t="b">
        <v>1</v>
      </c>
      <c r="G22" s="15" t="n">
        <v>20000</v>
      </c>
      <c r="H22" s="15" t="inlineStr"/>
    </row>
    <row r="23">
      <c r="A23" s="15" t="inlineStr">
        <is>
          <t>G#5</t>
        </is>
      </c>
      <c r="B23" s="15" t="inlineStr">
        <is>
          <t>merged_individual_exact</t>
        </is>
      </c>
      <c r="C23" s="15" t="b">
        <v>1</v>
      </c>
      <c r="D23" s="15" t="n">
        <v>4.972352622264547</v>
      </c>
      <c r="E23" s="15" t="inlineStr">
        <is>
          <t>partials+ratios</t>
        </is>
      </c>
      <c r="F23" s="15" t="b">
        <v>1</v>
      </c>
      <c r="G23" s="15" t="n">
        <v>20000</v>
      </c>
      <c r="H23" s="15" t="inlineStr"/>
    </row>
    <row r="24">
      <c r="A24" s="15" t="inlineStr">
        <is>
          <t>A5</t>
        </is>
      </c>
      <c r="B24" s="15" t="inlineStr">
        <is>
          <t>merged_individual_exact</t>
        </is>
      </c>
      <c r="C24" s="15" t="b">
        <v>1</v>
      </c>
      <c r="D24" s="15" t="n">
        <v>4.219952505899564</v>
      </c>
      <c r="E24" s="15" t="inlineStr">
        <is>
          <t>partials+ratios</t>
        </is>
      </c>
      <c r="F24" s="15" t="b">
        <v>1</v>
      </c>
      <c r="G24" s="15" t="n">
        <v>20000</v>
      </c>
      <c r="H24" s="15" t="inlineStr"/>
    </row>
    <row r="25">
      <c r="A25" s="15" t="inlineStr">
        <is>
          <t>A#5</t>
        </is>
      </c>
      <c r="B25" s="15" t="inlineStr">
        <is>
          <t>merged_individual_exact</t>
        </is>
      </c>
      <c r="C25" s="15" t="b">
        <v>1</v>
      </c>
      <c r="D25" s="15" t="n">
        <v>4.564035240249701</v>
      </c>
      <c r="E25" s="15" t="inlineStr">
        <is>
          <t>partials+ratios</t>
        </is>
      </c>
      <c r="F25" s="15" t="b">
        <v>1</v>
      </c>
      <c r="G25" s="15" t="n">
        <v>20000</v>
      </c>
      <c r="H25" s="15" t="inlineStr"/>
    </row>
    <row r="26">
      <c r="A26" s="15" t="inlineStr">
        <is>
          <t>B5</t>
        </is>
      </c>
      <c r="B26" s="15" t="inlineStr">
        <is>
          <t>merged_individual_exact</t>
        </is>
      </c>
      <c r="C26" s="15" t="b">
        <v>1</v>
      </c>
      <c r="D26" s="15" t="n">
        <v>1.297421593246611</v>
      </c>
      <c r="E26" s="15" t="inlineStr">
        <is>
          <t>partials+ratios</t>
        </is>
      </c>
      <c r="F26" s="15" t="b">
        <v>1</v>
      </c>
      <c r="G26" s="15" t="n">
        <v>20000</v>
      </c>
      <c r="H26" s="15" t="inlineStr"/>
    </row>
    <row r="27">
      <c r="A27" s="15" t="inlineStr">
        <is>
          <t>C6</t>
        </is>
      </c>
      <c r="B27" s="15" t="inlineStr">
        <is>
          <t>merged_individual_exact</t>
        </is>
      </c>
      <c r="C27" s="15" t="b">
        <v>1</v>
      </c>
      <c r="D27" s="15" t="n">
        <v>7.207236338616923</v>
      </c>
      <c r="E27" s="15" t="inlineStr">
        <is>
          <t>partials+ratios</t>
        </is>
      </c>
      <c r="F27" s="15" t="b">
        <v>1</v>
      </c>
      <c r="G27" s="15" t="n">
        <v>20000</v>
      </c>
      <c r="H27" s="15" t="inlineStr"/>
    </row>
    <row r="28">
      <c r="A28" s="15" t="inlineStr">
        <is>
          <t>C#6</t>
        </is>
      </c>
      <c r="B28" s="15" t="inlineStr">
        <is>
          <t>merged_individual_exact</t>
        </is>
      </c>
      <c r="C28" s="15" t="b">
        <v>1</v>
      </c>
      <c r="D28" s="15" t="n">
        <v>5.067149576652393</v>
      </c>
      <c r="E28" s="15" t="inlineStr">
        <is>
          <t>partials+ratios</t>
        </is>
      </c>
      <c r="F28" s="15" t="b">
        <v>1</v>
      </c>
      <c r="G28" s="15" t="n">
        <v>20000</v>
      </c>
      <c r="H28" s="15" t="inlineStr"/>
    </row>
    <row r="29">
      <c r="A29" s="15" t="inlineStr">
        <is>
          <t>D6</t>
        </is>
      </c>
      <c r="B29" s="15" t="inlineStr">
        <is>
          <t>merged_individual_exact</t>
        </is>
      </c>
      <c r="C29" s="15" t="b">
        <v>1</v>
      </c>
      <c r="D29" s="15" t="n">
        <v>3.951659006422592</v>
      </c>
      <c r="E29" s="15" t="inlineStr">
        <is>
          <t>partials+ratios</t>
        </is>
      </c>
      <c r="F29" s="15" t="b">
        <v>1</v>
      </c>
      <c r="G29" s="15" t="n">
        <v>20000</v>
      </c>
      <c r="H29" s="15" t="inlineStr"/>
    </row>
    <row r="30">
      <c r="A30" s="15" t="inlineStr">
        <is>
          <t>D#6</t>
        </is>
      </c>
      <c r="B30" s="15" t="inlineStr">
        <is>
          <t>merged_individual_exact</t>
        </is>
      </c>
      <c r="C30" s="15" t="b">
        <v>1</v>
      </c>
      <c r="D30" s="15" t="n">
        <v>4.468499744923887</v>
      </c>
      <c r="E30" s="15" t="inlineStr">
        <is>
          <t>partials+ratios</t>
        </is>
      </c>
      <c r="F30" s="15" t="b">
        <v>1</v>
      </c>
      <c r="G30" s="15" t="n">
        <v>20000</v>
      </c>
      <c r="H30" s="15" t="inlineStr"/>
    </row>
    <row r="31">
      <c r="A31" s="15" t="inlineStr">
        <is>
          <t>E6</t>
        </is>
      </c>
      <c r="B31" s="15" t="inlineStr">
        <is>
          <t>merged_individual_exact</t>
        </is>
      </c>
      <c r="C31" s="15" t="b">
        <v>1</v>
      </c>
      <c r="D31" s="15" t="n">
        <v>4.451770359235729</v>
      </c>
      <c r="E31" s="15" t="inlineStr">
        <is>
          <t>partials+ratios</t>
        </is>
      </c>
      <c r="F31" s="15" t="b">
        <v>1</v>
      </c>
      <c r="G31" s="15" t="n">
        <v>20000</v>
      </c>
      <c r="H31" s="15" t="inlineStr"/>
    </row>
    <row r="32">
      <c r="A32" s="15" t="inlineStr">
        <is>
          <t>F6</t>
        </is>
      </c>
      <c r="B32" s="15" t="inlineStr">
        <is>
          <t>merged_individual_exact</t>
        </is>
      </c>
      <c r="C32" s="15" t="b">
        <v>1</v>
      </c>
      <c r="D32" s="15" t="n">
        <v>2.572131118571755</v>
      </c>
      <c r="E32" s="15" t="inlineStr">
        <is>
          <t>partials+ratios</t>
        </is>
      </c>
      <c r="F32" s="15" t="b">
        <v>1</v>
      </c>
      <c r="G32" s="15" t="n">
        <v>20000</v>
      </c>
      <c r="H32" s="15" t="inlineStr"/>
    </row>
    <row r="33">
      <c r="A33" s="15" t="inlineStr">
        <is>
          <t>F#6</t>
        </is>
      </c>
      <c r="B33" s="15" t="inlineStr">
        <is>
          <t>merged_individual_exact</t>
        </is>
      </c>
      <c r="C33" s="15" t="b">
        <v>1</v>
      </c>
      <c r="D33" s="15" t="n">
        <v>2.782955935708932</v>
      </c>
      <c r="E33" s="15" t="inlineStr">
        <is>
          <t>partials+ratios</t>
        </is>
      </c>
      <c r="F33" s="15" t="b">
        <v>1</v>
      </c>
      <c r="G33" s="15" t="n">
        <v>20000</v>
      </c>
      <c r="H33" s="15" t="inlineStr"/>
    </row>
    <row r="34">
      <c r="A34" s="15" t="inlineStr">
        <is>
          <t>G6</t>
        </is>
      </c>
      <c r="B34" s="15" t="inlineStr">
        <is>
          <t>merged_individual_exact</t>
        </is>
      </c>
      <c r="C34" s="15" t="b">
        <v>1</v>
      </c>
      <c r="D34" s="15" t="n">
        <v>2.510432330204069</v>
      </c>
      <c r="E34" s="15" t="inlineStr">
        <is>
          <t>partials+ratios</t>
        </is>
      </c>
      <c r="F34" s="15" t="b">
        <v>1</v>
      </c>
      <c r="G34" s="15" t="n">
        <v>20000</v>
      </c>
      <c r="H34" s="15" t="inlineStr"/>
    </row>
    <row r="35">
      <c r="A35" s="15" t="inlineStr">
        <is>
          <t>G#6</t>
        </is>
      </c>
      <c r="B35" s="15" t="inlineStr">
        <is>
          <t>merged_individual_exact</t>
        </is>
      </c>
      <c r="C35" s="15" t="b">
        <v>1</v>
      </c>
      <c r="D35" s="15" t="n">
        <v>3.114653086103984</v>
      </c>
      <c r="E35" s="15" t="inlineStr">
        <is>
          <t>partials+ratios</t>
        </is>
      </c>
      <c r="F35" s="15" t="b">
        <v>1</v>
      </c>
      <c r="G35" s="15" t="n">
        <v>20000</v>
      </c>
      <c r="H35" s="15" t="inlineStr"/>
    </row>
    <row r="36">
      <c r="A36" s="15" t="inlineStr">
        <is>
          <t>A6</t>
        </is>
      </c>
      <c r="B36" s="15" t="inlineStr">
        <is>
          <t>merged_individual_exact</t>
        </is>
      </c>
      <c r="C36" s="15" t="b">
        <v>1</v>
      </c>
      <c r="D36" s="15" t="n">
        <v>2.322682511542251</v>
      </c>
      <c r="E36" s="15" t="inlineStr">
        <is>
          <t>partials+ratios</t>
        </is>
      </c>
      <c r="F36" s="15" t="b">
        <v>1</v>
      </c>
      <c r="G36" s="15" t="n">
        <v>20000</v>
      </c>
      <c r="H36" s="15" t="inlineStr"/>
    </row>
    <row r="37">
      <c r="A37" s="15" t="inlineStr">
        <is>
          <t>A#6</t>
        </is>
      </c>
      <c r="B37" s="15" t="inlineStr">
        <is>
          <t>merged_individual_exact</t>
        </is>
      </c>
      <c r="C37" s="15" t="b">
        <v>1</v>
      </c>
      <c r="D37" s="15" t="n">
        <v>3.497169982574442</v>
      </c>
      <c r="E37" s="15" t="inlineStr">
        <is>
          <t>partials+ratios</t>
        </is>
      </c>
      <c r="F37" s="15" t="b">
        <v>1</v>
      </c>
      <c r="G37" s="15" t="n">
        <v>20000</v>
      </c>
      <c r="H37" s="15" t="inlineStr"/>
    </row>
    <row r="38">
      <c r="A38" s="15" t="inlineStr">
        <is>
          <t>B6</t>
        </is>
      </c>
      <c r="B38" s="15" t="inlineStr">
        <is>
          <t>merged_individual_exact</t>
        </is>
      </c>
      <c r="C38" s="15" t="b">
        <v>1</v>
      </c>
      <c r="D38" s="15" t="n">
        <v>0.5656905328666686</v>
      </c>
      <c r="E38" s="15" t="inlineStr">
        <is>
          <t>partials+ratios</t>
        </is>
      </c>
      <c r="F38" s="15" t="b">
        <v>1</v>
      </c>
      <c r="G38" s="15" t="n">
        <v>20000</v>
      </c>
      <c r="H38" s="15" t="inlineStr"/>
    </row>
  </sheetData>
  <autoFilter ref="A1:H3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1" customWidth="1" min="2" max="2"/>
    <col width="48" customWidth="1" min="3" max="3"/>
    <col width="48" customWidth="1" min="4" max="4"/>
    <col width="44" customWidth="1" min="5" max="5"/>
    <col width="17" customWidth="1" min="6" max="6"/>
    <col width="13" customWidth="1" min="7" max="7"/>
    <col width="12" customWidth="1" min="8" max="8"/>
    <col width="42" customWidth="1" min="9" max="9"/>
    <col width="34" customWidth="1" min="10" max="10"/>
  </cols>
  <sheetData>
    <row r="1">
      <c r="A1" s="11" t="inlineStr">
        <is>
          <t>stage3_status_row</t>
        </is>
      </c>
      <c r="B1" s="11" t="inlineStr">
        <is>
          <t>ewsd_stage3_version</t>
        </is>
      </c>
      <c r="C1" s="11" t="inlineStr">
        <is>
          <t>stage3_issue</t>
        </is>
      </c>
      <c r="D1" s="11" t="inlineStr">
        <is>
          <t>analysis_version</t>
        </is>
      </c>
      <c r="E1" s="11" t="inlineStr">
        <is>
          <t>analysis_version_source</t>
        </is>
      </c>
      <c r="F1" s="11" t="inlineStr">
        <is>
          <t>package_version</t>
        </is>
      </c>
      <c r="G1" s="11" t="inlineStr">
        <is>
          <t>code_commit</t>
        </is>
      </c>
      <c r="H1" s="11" t="inlineStr">
        <is>
          <t>code_dirty</t>
        </is>
      </c>
      <c r="I1" s="11" t="inlineStr">
        <is>
          <t>git_describe</t>
        </is>
      </c>
      <c r="J1" s="11" t="inlineStr">
        <is>
          <t>export_schema_version</t>
        </is>
      </c>
    </row>
    <row r="2">
      <c r="A2" s="15" t="inlineStr">
        <is>
          <t>__STAGE3_SUMMARY__</t>
        </is>
      </c>
      <c r="B2" s="15" t="inlineStr">
        <is>
          <t>EWSD-R v18.1</t>
        </is>
      </c>
      <c r="C2" s="15" t="inlineStr">
        <is>
          <t>analysis_root=D:\METAIS\TROMBONE\IOWA-flute - test\IOWA_Flute_pp\_Sustains_Stable\analysis_results; frequency_ceiling_hz=20000.0; workbooks=37; rows=37</t>
        </is>
      </c>
      <c r="D2" s="15" t="inlineStr">
        <is>
          <t>4.1.0+v0.1.0-validated-2026-05-15-242-g6b0e51a</t>
        </is>
      </c>
      <c r="E2" s="15" t="inlineStr">
        <is>
          <t>pyproject.toml:pyproject.toml+git-describe</t>
        </is>
      </c>
      <c r="F2" s="15" t="inlineStr">
        <is>
          <t>4.1.0</t>
        </is>
      </c>
      <c r="G2" s="15" t="inlineStr">
        <is>
          <t>6b0e51a</t>
        </is>
      </c>
      <c r="H2" s="15" t="b">
        <v>0</v>
      </c>
      <c r="I2" s="15" t="inlineStr">
        <is>
          <t>v0.1.0-validated-2026-05-15-242-g6b0e51a</t>
        </is>
      </c>
      <c r="J2" s="15" t="inlineStr">
        <is>
          <t>spectral_analysis_schema_2026_08</t>
        </is>
      </c>
    </row>
  </sheetData>
  <autoFilter ref="A1:J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23" customWidth="1" min="3" max="3"/>
    <col width="21" customWidth="1" min="4" max="4"/>
    <col width="18" customWidth="1" min="5" max="5"/>
    <col width="32" customWidth="1" min="6" max="6"/>
    <col width="22" customWidth="1" min="7" max="7"/>
    <col width="24" customWidth="1" min="8" max="8"/>
    <col width="30" customWidth="1" min="9" max="9"/>
  </cols>
  <sheetData>
    <row r="1">
      <c r="A1" s="11" t="inlineStr">
        <is>
          <t>Note</t>
        </is>
      </c>
      <c r="B1" s="11" t="inlineStr">
        <is>
          <t>metric</t>
        </is>
      </c>
      <c r="C1" s="11" t="inlineStr">
        <is>
          <t>rel_uncertainty</t>
        </is>
      </c>
      <c r="D1" s="11" t="inlineStr">
        <is>
          <t>rel_uncertainty_pct</t>
        </is>
      </c>
      <c r="E1" s="11" t="inlineStr">
        <is>
          <t>uncertainty_flag</t>
        </is>
      </c>
      <c r="F1" s="11" t="inlineStr">
        <is>
          <t>uncertainty_flag_threshold_pct</t>
        </is>
      </c>
      <c r="G1" s="11" t="inlineStr">
        <is>
          <t>ci_basis_frame_count</t>
        </is>
      </c>
      <c r="H1" s="11" t="inlineStr">
        <is>
          <t>ci_basis_partial_count</t>
        </is>
      </c>
      <c r="I1" s="11" t="inlineStr">
        <is>
          <t>ci_basis_frames_insufficient</t>
        </is>
      </c>
    </row>
    <row r="2">
      <c r="A2" s="15" t="inlineStr">
        <is>
          <t>B3</t>
        </is>
      </c>
      <c r="B2" s="15" t="inlineStr">
        <is>
          <t>note_density_final</t>
        </is>
      </c>
      <c r="C2" s="15" t="n">
        <v>0.1632299218842495</v>
      </c>
      <c r="D2" s="15" t="n">
        <v>16.32299218842495</v>
      </c>
      <c r="E2" s="15" t="b">
        <v>0</v>
      </c>
      <c r="F2" s="15" t="n">
        <v>25</v>
      </c>
      <c r="G2" s="15" t="n">
        <v>6.375</v>
      </c>
      <c r="H2" s="15" t="n">
        <v>31</v>
      </c>
      <c r="I2" s="15" t="b">
        <v>1</v>
      </c>
    </row>
    <row r="3">
      <c r="A3" s="15" t="inlineStr">
        <is>
          <t>B3</t>
        </is>
      </c>
      <c r="B3" s="15" t="inlineStr">
        <is>
          <t>note_effective_component_density</t>
        </is>
      </c>
      <c r="C3" s="15" t="n">
        <v>4.275540875224191</v>
      </c>
      <c r="D3" s="15" t="n">
        <v>4.275540875224191</v>
      </c>
      <c r="E3" s="15" t="b">
        <v>0</v>
      </c>
      <c r="F3" s="15" t="n">
        <v>25</v>
      </c>
      <c r="G3" s="15" t="n">
        <v>6.375</v>
      </c>
      <c r="H3" s="15" t="n">
        <v>31</v>
      </c>
      <c r="I3" s="15" t="b">
        <v>1</v>
      </c>
    </row>
    <row r="4">
      <c r="A4" s="15" t="inlineStr">
        <is>
          <t>B3</t>
        </is>
      </c>
      <c r="B4" s="15" t="inlineStr">
        <is>
          <t>EWSD_score_acoustic_balanced</t>
        </is>
      </c>
      <c r="C4" s="15" t="n">
        <v>0.2666233040716404</v>
      </c>
      <c r="D4" s="15" t="n">
        <v>26.66233040716404</v>
      </c>
      <c r="E4" s="15" t="b">
        <v>1</v>
      </c>
      <c r="F4" s="15" t="n">
        <v>25</v>
      </c>
      <c r="G4" s="15" t="n">
        <v>6.375</v>
      </c>
      <c r="H4" s="15" t="n">
        <v>31</v>
      </c>
      <c r="I4" s="15" t="b">
        <v>1</v>
      </c>
    </row>
    <row r="5">
      <c r="A5" s="15" t="inlineStr">
        <is>
          <t>C4</t>
        </is>
      </c>
      <c r="B5" s="15" t="inlineStr">
        <is>
          <t>note_density_final</t>
        </is>
      </c>
      <c r="C5" s="15" t="n">
        <v>0.176164785188917</v>
      </c>
      <c r="D5" s="15" t="n">
        <v>17.6164785188917</v>
      </c>
      <c r="E5" s="15" t="b">
        <v>0</v>
      </c>
      <c r="F5" s="15" t="n">
        <v>25</v>
      </c>
      <c r="G5" s="15" t="n">
        <v>6</v>
      </c>
      <c r="H5" s="15" t="n">
        <v>28</v>
      </c>
      <c r="I5" s="15" t="b">
        <v>1</v>
      </c>
    </row>
    <row r="6">
      <c r="A6" s="15" t="inlineStr">
        <is>
          <t>C4</t>
        </is>
      </c>
      <c r="B6" s="15" t="inlineStr">
        <is>
          <t>note_effective_component_density</t>
        </is>
      </c>
      <c r="C6" s="15" t="n">
        <v>2.812820499975022</v>
      </c>
      <c r="D6" s="15" t="n">
        <v>2.812820499975022</v>
      </c>
      <c r="E6" s="15" t="b">
        <v>0</v>
      </c>
      <c r="F6" s="15" t="n">
        <v>25</v>
      </c>
      <c r="G6" s="15" t="n">
        <v>6</v>
      </c>
      <c r="H6" s="15" t="n">
        <v>28</v>
      </c>
      <c r="I6" s="15" t="b">
        <v>1</v>
      </c>
    </row>
    <row r="7">
      <c r="A7" s="15" t="inlineStr">
        <is>
          <t>C4</t>
        </is>
      </c>
      <c r="B7" s="15" t="inlineStr">
        <is>
          <t>EWSD_score_acoustic_balanced</t>
        </is>
      </c>
      <c r="C7" s="15" t="n">
        <v>0.4123637145248919</v>
      </c>
      <c r="D7" s="15" t="n">
        <v>41.23637145248919</v>
      </c>
      <c r="E7" s="15" t="b">
        <v>1</v>
      </c>
      <c r="F7" s="15" t="n">
        <v>25</v>
      </c>
      <c r="G7" s="15" t="n">
        <v>6</v>
      </c>
      <c r="H7" s="15" t="n">
        <v>28</v>
      </c>
      <c r="I7" s="15" t="b">
        <v>1</v>
      </c>
    </row>
    <row r="8">
      <c r="A8" s="15" t="inlineStr">
        <is>
          <t>C#4</t>
        </is>
      </c>
      <c r="B8" s="15" t="inlineStr">
        <is>
          <t>note_density_final</t>
        </is>
      </c>
      <c r="C8" s="15" t="n">
        <v>0.1674419492827326</v>
      </c>
      <c r="D8" s="15" t="n">
        <v>16.74419492827326</v>
      </c>
      <c r="E8" s="15" t="b">
        <v>0</v>
      </c>
      <c r="F8" s="15" t="n">
        <v>25</v>
      </c>
      <c r="G8" s="15" t="n">
        <v>5.125</v>
      </c>
      <c r="H8" s="15" t="n">
        <v>29</v>
      </c>
      <c r="I8" s="15" t="b">
        <v>1</v>
      </c>
    </row>
    <row r="9">
      <c r="A9" s="15" t="inlineStr">
        <is>
          <t>C#4</t>
        </is>
      </c>
      <c r="B9" s="15" t="inlineStr">
        <is>
          <t>note_effective_component_density</t>
        </is>
      </c>
      <c r="C9" s="15" t="n">
        <v>3.969676367783474</v>
      </c>
      <c r="D9" s="15" t="n">
        <v>3.969676367783474</v>
      </c>
      <c r="E9" s="15" t="b">
        <v>0</v>
      </c>
      <c r="F9" s="15" t="n">
        <v>25</v>
      </c>
      <c r="G9" s="15" t="n">
        <v>5.125</v>
      </c>
      <c r="H9" s="15" t="n">
        <v>29</v>
      </c>
      <c r="I9" s="15" t="b">
        <v>1</v>
      </c>
    </row>
    <row r="10">
      <c r="A10" s="15" t="inlineStr">
        <is>
          <t>C#4</t>
        </is>
      </c>
      <c r="B10" s="15" t="inlineStr">
        <is>
          <t>EWSD_score_acoustic_balanced</t>
        </is>
      </c>
      <c r="C10" s="15" t="n">
        <v>0.3308262454727607</v>
      </c>
      <c r="D10" s="15" t="n">
        <v>33.08262454727607</v>
      </c>
      <c r="E10" s="15" t="b">
        <v>1</v>
      </c>
      <c r="F10" s="15" t="n">
        <v>25</v>
      </c>
      <c r="G10" s="15" t="n">
        <v>5.125</v>
      </c>
      <c r="H10" s="15" t="n">
        <v>29</v>
      </c>
      <c r="I10" s="15" t="b">
        <v>1</v>
      </c>
    </row>
    <row r="11">
      <c r="A11" s="15" t="inlineStr">
        <is>
          <t>D4</t>
        </is>
      </c>
      <c r="B11" s="15" t="inlineStr">
        <is>
          <t>note_density_final</t>
        </is>
      </c>
      <c r="C11" s="15" t="n">
        <v>0.1726491713675284</v>
      </c>
      <c r="D11" s="15" t="n">
        <v>17.26491713675284</v>
      </c>
      <c r="E11" s="15" t="b">
        <v>0</v>
      </c>
      <c r="F11" s="15" t="n">
        <v>25</v>
      </c>
      <c r="G11" s="15" t="n">
        <v>5.4375</v>
      </c>
      <c r="H11" s="15" t="n">
        <v>36</v>
      </c>
      <c r="I11" s="15" t="b">
        <v>1</v>
      </c>
    </row>
    <row r="12">
      <c r="A12" s="15" t="inlineStr">
        <is>
          <t>D4</t>
        </is>
      </c>
      <c r="B12" s="15" t="inlineStr">
        <is>
          <t>note_effective_component_density</t>
        </is>
      </c>
      <c r="C12" s="15" t="n">
        <v>2.314531815456172</v>
      </c>
      <c r="D12" s="15" t="n">
        <v>2.314531815456172</v>
      </c>
      <c r="E12" s="15" t="b">
        <v>0</v>
      </c>
      <c r="F12" s="15" t="n">
        <v>25</v>
      </c>
      <c r="G12" s="15" t="n">
        <v>5.4375</v>
      </c>
      <c r="H12" s="15" t="n">
        <v>36</v>
      </c>
      <c r="I12" s="15" t="b">
        <v>1</v>
      </c>
    </row>
    <row r="13">
      <c r="A13" s="15" t="inlineStr">
        <is>
          <t>D4</t>
        </is>
      </c>
      <c r="B13" s="15" t="inlineStr">
        <is>
          <t>EWSD_score_acoustic_balanced</t>
        </is>
      </c>
      <c r="C13" s="15" t="n">
        <v>0.3379455913257196</v>
      </c>
      <c r="D13" s="15" t="n">
        <v>33.79455913257196</v>
      </c>
      <c r="E13" s="15" t="b">
        <v>1</v>
      </c>
      <c r="F13" s="15" t="n">
        <v>25</v>
      </c>
      <c r="G13" s="15" t="n">
        <v>5.4375</v>
      </c>
      <c r="H13" s="15" t="n">
        <v>36</v>
      </c>
      <c r="I13" s="15" t="b">
        <v>1</v>
      </c>
    </row>
    <row r="14">
      <c r="A14" s="15" t="inlineStr">
        <is>
          <t>D#4</t>
        </is>
      </c>
      <c r="B14" s="15" t="inlineStr">
        <is>
          <t>note_density_final</t>
        </is>
      </c>
      <c r="C14" s="15" t="n">
        <v>0.180898900816079</v>
      </c>
      <c r="D14" s="15" t="n">
        <v>18.0898900816079</v>
      </c>
      <c r="E14" s="15" t="b">
        <v>0</v>
      </c>
      <c r="F14" s="15" t="n">
        <v>25</v>
      </c>
      <c r="G14" s="15" t="n">
        <v>6.1875</v>
      </c>
      <c r="H14" s="15" t="n">
        <v>31</v>
      </c>
      <c r="I14" s="15" t="b">
        <v>1</v>
      </c>
    </row>
    <row r="15">
      <c r="A15" s="15" t="inlineStr">
        <is>
          <t>D#4</t>
        </is>
      </c>
      <c r="B15" s="15" t="inlineStr">
        <is>
          <t>note_effective_component_density</t>
        </is>
      </c>
      <c r="C15" s="15" t="n">
        <v>3.000048512387887</v>
      </c>
      <c r="D15" s="15" t="n">
        <v>3.000048512387887</v>
      </c>
      <c r="E15" s="15" t="b">
        <v>0</v>
      </c>
      <c r="F15" s="15" t="n">
        <v>25</v>
      </c>
      <c r="G15" s="15" t="n">
        <v>6.1875</v>
      </c>
      <c r="H15" s="15" t="n">
        <v>31</v>
      </c>
      <c r="I15" s="15" t="b">
        <v>1</v>
      </c>
    </row>
    <row r="16">
      <c r="A16" s="15" t="inlineStr">
        <is>
          <t>D#4</t>
        </is>
      </c>
      <c r="B16" s="15" t="inlineStr">
        <is>
          <t>EWSD_score_acoustic_balanced</t>
        </is>
      </c>
      <c r="C16" s="15" t="n">
        <v>0.3165610533130985</v>
      </c>
      <c r="D16" s="15" t="n">
        <v>31.65610533130985</v>
      </c>
      <c r="E16" s="15" t="b">
        <v>1</v>
      </c>
      <c r="F16" s="15" t="n">
        <v>25</v>
      </c>
      <c r="G16" s="15" t="n">
        <v>6.1875</v>
      </c>
      <c r="H16" s="15" t="n">
        <v>31</v>
      </c>
      <c r="I16" s="15" t="b">
        <v>1</v>
      </c>
    </row>
    <row r="17">
      <c r="A17" s="15" t="inlineStr">
        <is>
          <t>E4</t>
        </is>
      </c>
      <c r="B17" s="15" t="inlineStr">
        <is>
          <t>note_density_final</t>
        </is>
      </c>
      <c r="C17" s="15" t="n">
        <v>0.1523825577698706</v>
      </c>
      <c r="D17" s="15" t="n">
        <v>15.23825577698706</v>
      </c>
      <c r="E17" s="15" t="b">
        <v>0</v>
      </c>
      <c r="F17" s="15" t="n">
        <v>25</v>
      </c>
      <c r="G17" s="15" t="n">
        <v>5.8125</v>
      </c>
      <c r="H17" s="15" t="n">
        <v>31</v>
      </c>
      <c r="I17" s="15" t="b">
        <v>1</v>
      </c>
    </row>
    <row r="18">
      <c r="A18" s="15" t="inlineStr">
        <is>
          <t>E4</t>
        </is>
      </c>
      <c r="B18" s="15" t="inlineStr">
        <is>
          <t>note_effective_component_density</t>
        </is>
      </c>
      <c r="C18" s="15" t="n">
        <v>2.057206490645984</v>
      </c>
      <c r="D18" s="15" t="n">
        <v>2.057206490645984</v>
      </c>
      <c r="E18" s="15" t="b">
        <v>0</v>
      </c>
      <c r="F18" s="15" t="n">
        <v>25</v>
      </c>
      <c r="G18" s="15" t="n">
        <v>5.8125</v>
      </c>
      <c r="H18" s="15" t="n">
        <v>31</v>
      </c>
      <c r="I18" s="15" t="b">
        <v>1</v>
      </c>
    </row>
    <row r="19">
      <c r="A19" s="15" t="inlineStr">
        <is>
          <t>E4</t>
        </is>
      </c>
      <c r="B19" s="15" t="inlineStr">
        <is>
          <t>EWSD_score_acoustic_balanced</t>
        </is>
      </c>
      <c r="C19" s="15" t="n">
        <v>0.4034953370137051</v>
      </c>
      <c r="D19" s="15" t="n">
        <v>40.34953370137051</v>
      </c>
      <c r="E19" s="15" t="b">
        <v>1</v>
      </c>
      <c r="F19" s="15" t="n">
        <v>25</v>
      </c>
      <c r="G19" s="15" t="n">
        <v>5.8125</v>
      </c>
      <c r="H19" s="15" t="n">
        <v>31</v>
      </c>
      <c r="I19" s="15" t="b">
        <v>1</v>
      </c>
    </row>
    <row r="20">
      <c r="A20" s="15" t="inlineStr">
        <is>
          <t>F4</t>
        </is>
      </c>
      <c r="B20" s="15" t="inlineStr">
        <is>
          <t>note_density_final</t>
        </is>
      </c>
      <c r="C20" s="15" t="n">
        <v>0.1085216432138604</v>
      </c>
      <c r="D20" s="15" t="n">
        <v>10.85216432138604</v>
      </c>
      <c r="E20" s="15" t="b">
        <v>0</v>
      </c>
      <c r="F20" s="15" t="n">
        <v>25</v>
      </c>
      <c r="G20" s="15" t="n">
        <v>4.5625</v>
      </c>
      <c r="H20" s="15" t="n">
        <v>27</v>
      </c>
      <c r="I20" s="15" t="b">
        <v>1</v>
      </c>
    </row>
    <row r="21">
      <c r="A21" s="15" t="inlineStr">
        <is>
          <t>F4</t>
        </is>
      </c>
      <c r="B21" s="15" t="inlineStr">
        <is>
          <t>note_effective_component_density</t>
        </is>
      </c>
      <c r="C21" s="15" t="n">
        <v>0.9494268982988248</v>
      </c>
      <c r="D21" s="15" t="n">
        <v>94.94268982988248</v>
      </c>
      <c r="E21" s="15" t="b">
        <v>1</v>
      </c>
      <c r="F21" s="15" t="n">
        <v>25</v>
      </c>
      <c r="G21" s="15" t="n">
        <v>4.5625</v>
      </c>
      <c r="H21" s="15" t="n">
        <v>27</v>
      </c>
      <c r="I21" s="15" t="b">
        <v>1</v>
      </c>
    </row>
    <row r="22">
      <c r="A22" s="15" t="inlineStr">
        <is>
          <t>F4</t>
        </is>
      </c>
      <c r="B22" s="15" t="inlineStr">
        <is>
          <t>EWSD_score_acoustic_balanced</t>
        </is>
      </c>
      <c r="C22" s="15" t="n">
        <v>0.385236842885529</v>
      </c>
      <c r="D22" s="15" t="n">
        <v>38.5236842885529</v>
      </c>
      <c r="E22" s="15" t="b">
        <v>1</v>
      </c>
      <c r="F22" s="15" t="n">
        <v>25</v>
      </c>
      <c r="G22" s="15" t="n">
        <v>4.5625</v>
      </c>
      <c r="H22" s="15" t="n">
        <v>27</v>
      </c>
      <c r="I22" s="15" t="b">
        <v>1</v>
      </c>
    </row>
    <row r="23">
      <c r="A23" s="15" t="inlineStr">
        <is>
          <t>F#4</t>
        </is>
      </c>
      <c r="B23" s="15" t="inlineStr">
        <is>
          <t>note_density_final</t>
        </is>
      </c>
      <c r="C23" s="15" t="n">
        <v>0.1354381442977115</v>
      </c>
      <c r="D23" s="15" t="n">
        <v>13.54381442977115</v>
      </c>
      <c r="E23" s="15" t="b">
        <v>0</v>
      </c>
      <c r="F23" s="15" t="n">
        <v>25</v>
      </c>
      <c r="G23" s="15" t="n">
        <v>2.0625</v>
      </c>
      <c r="H23" s="15" t="n">
        <v>28</v>
      </c>
      <c r="I23" s="15" t="b">
        <v>1</v>
      </c>
    </row>
    <row r="24">
      <c r="A24" s="15" t="inlineStr">
        <is>
          <t>F#4</t>
        </is>
      </c>
      <c r="B24" s="15" t="inlineStr">
        <is>
          <t>note_effective_component_density</t>
        </is>
      </c>
      <c r="C24" s="15" t="n">
        <v>1.2342729386672</v>
      </c>
      <c r="D24" s="15" t="n">
        <v>123.42729386672</v>
      </c>
      <c r="E24" s="15" t="b">
        <v>1</v>
      </c>
      <c r="F24" s="15" t="n">
        <v>25</v>
      </c>
      <c r="G24" s="15" t="n">
        <v>2.0625</v>
      </c>
      <c r="H24" s="15" t="n">
        <v>28</v>
      </c>
      <c r="I24" s="15" t="b">
        <v>1</v>
      </c>
    </row>
    <row r="25">
      <c r="A25" s="15" t="inlineStr">
        <is>
          <t>F#4</t>
        </is>
      </c>
      <c r="B25" s="15" t="inlineStr">
        <is>
          <t>EWSD_score_acoustic_balanced</t>
        </is>
      </c>
      <c r="C25" s="15" t="n">
        <v>0.4442211154028297</v>
      </c>
      <c r="D25" s="15" t="n">
        <v>44.42211154028296</v>
      </c>
      <c r="E25" s="15" t="b">
        <v>1</v>
      </c>
      <c r="F25" s="15" t="n">
        <v>25</v>
      </c>
      <c r="G25" s="15" t="n">
        <v>2.0625</v>
      </c>
      <c r="H25" s="15" t="n">
        <v>28</v>
      </c>
      <c r="I25" s="15" t="b">
        <v>1</v>
      </c>
    </row>
    <row r="26">
      <c r="A26" s="15" t="inlineStr">
        <is>
          <t>G4</t>
        </is>
      </c>
      <c r="B26" s="15" t="inlineStr">
        <is>
          <t>note_density_final</t>
        </is>
      </c>
      <c r="C26" s="15" t="n">
        <v>0.0935113895205046</v>
      </c>
      <c r="D26" s="15" t="n">
        <v>9.35113895205046</v>
      </c>
      <c r="E26" s="15" t="b">
        <v>0</v>
      </c>
      <c r="F26" s="15" t="n">
        <v>25</v>
      </c>
      <c r="G26" s="15" t="n">
        <v>4.625</v>
      </c>
      <c r="H26" s="15" t="n">
        <v>35</v>
      </c>
      <c r="I26" s="15" t="b">
        <v>1</v>
      </c>
    </row>
    <row r="27">
      <c r="A27" s="15" t="inlineStr">
        <is>
          <t>G4</t>
        </is>
      </c>
      <c r="B27" s="15" t="inlineStr">
        <is>
          <t>note_effective_component_density</t>
        </is>
      </c>
      <c r="C27" s="15" t="n">
        <v>0.6270133629214911</v>
      </c>
      <c r="D27" s="15" t="n">
        <v>62.70133629214912</v>
      </c>
      <c r="E27" s="15" t="b">
        <v>1</v>
      </c>
      <c r="F27" s="15" t="n">
        <v>25</v>
      </c>
      <c r="G27" s="15" t="n">
        <v>4.625</v>
      </c>
      <c r="H27" s="15" t="n">
        <v>35</v>
      </c>
      <c r="I27" s="15" t="b">
        <v>1</v>
      </c>
    </row>
    <row r="28">
      <c r="A28" s="15" t="inlineStr">
        <is>
          <t>G4</t>
        </is>
      </c>
      <c r="B28" s="15" t="inlineStr">
        <is>
          <t>EWSD_score_acoustic_balanced</t>
        </is>
      </c>
      <c r="C28" s="15" t="n">
        <v>0.3313467181296739</v>
      </c>
      <c r="D28" s="15" t="n">
        <v>33.13467181296739</v>
      </c>
      <c r="E28" s="15" t="b">
        <v>1</v>
      </c>
      <c r="F28" s="15" t="n">
        <v>25</v>
      </c>
      <c r="G28" s="15" t="n">
        <v>4.625</v>
      </c>
      <c r="H28" s="15" t="n">
        <v>35</v>
      </c>
      <c r="I28" s="15" t="b">
        <v>1</v>
      </c>
    </row>
    <row r="29">
      <c r="A29" s="15" t="inlineStr">
        <is>
          <t>G#4</t>
        </is>
      </c>
      <c r="B29" s="15" t="inlineStr">
        <is>
          <t>note_density_final</t>
        </is>
      </c>
      <c r="C29" s="15" t="n">
        <v>0.1265755993207935</v>
      </c>
      <c r="D29" s="15" t="n">
        <v>12.65755993207935</v>
      </c>
      <c r="E29" s="15" t="b">
        <v>0</v>
      </c>
      <c r="F29" s="15" t="n">
        <v>25</v>
      </c>
      <c r="G29" s="15" t="n">
        <v>6.25</v>
      </c>
      <c r="H29" s="15" t="n">
        <v>25</v>
      </c>
      <c r="I29" s="15" t="b">
        <v>1</v>
      </c>
    </row>
    <row r="30">
      <c r="A30" s="15" t="inlineStr">
        <is>
          <t>G#4</t>
        </is>
      </c>
      <c r="B30" s="15" t="inlineStr">
        <is>
          <t>note_effective_component_density</t>
        </is>
      </c>
      <c r="C30" s="15" t="n">
        <v>1.206431790492709</v>
      </c>
      <c r="D30" s="15" t="n">
        <v>120.6431790492709</v>
      </c>
      <c r="E30" s="15" t="b">
        <v>1</v>
      </c>
      <c r="F30" s="15" t="n">
        <v>25</v>
      </c>
      <c r="G30" s="15" t="n">
        <v>6.25</v>
      </c>
      <c r="H30" s="15" t="n">
        <v>25</v>
      </c>
      <c r="I30" s="15" t="b">
        <v>1</v>
      </c>
    </row>
    <row r="31">
      <c r="A31" s="15" t="inlineStr">
        <is>
          <t>G#4</t>
        </is>
      </c>
      <c r="B31" s="15" t="inlineStr">
        <is>
          <t>EWSD_score_acoustic_balanced</t>
        </is>
      </c>
      <c r="C31" s="15" t="n">
        <v>0.4120461016677406</v>
      </c>
      <c r="D31" s="15" t="n">
        <v>41.20461016677407</v>
      </c>
      <c r="E31" s="15" t="b">
        <v>1</v>
      </c>
      <c r="F31" s="15" t="n">
        <v>25</v>
      </c>
      <c r="G31" s="15" t="n">
        <v>6.25</v>
      </c>
      <c r="H31" s="15" t="n">
        <v>25</v>
      </c>
      <c r="I31" s="15" t="b">
        <v>1</v>
      </c>
    </row>
    <row r="32">
      <c r="A32" s="15" t="inlineStr">
        <is>
          <t>A4</t>
        </is>
      </c>
      <c r="B32" s="15" t="inlineStr">
        <is>
          <t>note_density_final</t>
        </is>
      </c>
      <c r="C32" s="15" t="n">
        <v>0.1443581083164174</v>
      </c>
      <c r="D32" s="15" t="n">
        <v>14.43581083164174</v>
      </c>
      <c r="E32" s="15" t="b">
        <v>0</v>
      </c>
      <c r="F32" s="15" t="n">
        <v>25</v>
      </c>
      <c r="G32" s="15" t="n">
        <v>3.875</v>
      </c>
      <c r="H32" s="15" t="n">
        <v>27</v>
      </c>
      <c r="I32" s="15" t="b">
        <v>1</v>
      </c>
    </row>
    <row r="33">
      <c r="A33" s="15" t="inlineStr">
        <is>
          <t>A4</t>
        </is>
      </c>
      <c r="B33" s="15" t="inlineStr">
        <is>
          <t>note_effective_component_density</t>
        </is>
      </c>
      <c r="C33" s="15" t="n">
        <v>1.863266212967343</v>
      </c>
      <c r="D33" s="15" t="n">
        <v>186.3266212967343</v>
      </c>
      <c r="E33" s="15" t="b">
        <v>1</v>
      </c>
      <c r="F33" s="15" t="n">
        <v>25</v>
      </c>
      <c r="G33" s="15" t="n">
        <v>3.875</v>
      </c>
      <c r="H33" s="15" t="n">
        <v>27</v>
      </c>
      <c r="I33" s="15" t="b">
        <v>1</v>
      </c>
    </row>
    <row r="34">
      <c r="A34" s="15" t="inlineStr">
        <is>
          <t>A4</t>
        </is>
      </c>
      <c r="B34" s="15" t="inlineStr">
        <is>
          <t>EWSD_score_acoustic_balanced</t>
        </is>
      </c>
      <c r="C34" s="15" t="n">
        <v>0.4081088774099869</v>
      </c>
      <c r="D34" s="15" t="n">
        <v>40.81088774099869</v>
      </c>
      <c r="E34" s="15" t="b">
        <v>1</v>
      </c>
      <c r="F34" s="15" t="n">
        <v>25</v>
      </c>
      <c r="G34" s="15" t="n">
        <v>3.875</v>
      </c>
      <c r="H34" s="15" t="n">
        <v>27</v>
      </c>
      <c r="I34" s="15" t="b">
        <v>1</v>
      </c>
    </row>
    <row r="35">
      <c r="A35" s="15" t="inlineStr">
        <is>
          <t>A#4</t>
        </is>
      </c>
      <c r="B35" s="15" t="inlineStr">
        <is>
          <t>note_density_final</t>
        </is>
      </c>
      <c r="C35" s="15" t="n">
        <v>0.1710660033962685</v>
      </c>
      <c r="D35" s="15" t="n">
        <v>17.10660033962685</v>
      </c>
      <c r="E35" s="15" t="b">
        <v>0</v>
      </c>
      <c r="F35" s="15" t="n">
        <v>25</v>
      </c>
      <c r="G35" s="15" t="n">
        <v>5.75</v>
      </c>
      <c r="H35" s="15" t="n">
        <v>30</v>
      </c>
      <c r="I35" s="15" t="b">
        <v>1</v>
      </c>
    </row>
    <row r="36">
      <c r="A36" s="15" t="inlineStr">
        <is>
          <t>A#4</t>
        </is>
      </c>
      <c r="B36" s="15" t="inlineStr">
        <is>
          <t>note_effective_component_density</t>
        </is>
      </c>
      <c r="C36" s="15" t="n">
        <v>2.276304637967263</v>
      </c>
      <c r="D36" s="15" t="n">
        <v>2.276304637967263</v>
      </c>
      <c r="E36" s="15" t="b">
        <v>0</v>
      </c>
      <c r="F36" s="15" t="n">
        <v>25</v>
      </c>
      <c r="G36" s="15" t="n">
        <v>5.75</v>
      </c>
      <c r="H36" s="15" t="n">
        <v>30</v>
      </c>
      <c r="I36" s="15" t="b">
        <v>1</v>
      </c>
    </row>
    <row r="37">
      <c r="A37" s="15" t="inlineStr">
        <is>
          <t>A#4</t>
        </is>
      </c>
      <c r="B37" s="15" t="inlineStr">
        <is>
          <t>EWSD_score_acoustic_balanced</t>
        </is>
      </c>
      <c r="C37" s="15" t="n">
        <v>0.4689592873983898</v>
      </c>
      <c r="D37" s="15" t="n">
        <v>46.89592873983898</v>
      </c>
      <c r="E37" s="15" t="b">
        <v>1</v>
      </c>
      <c r="F37" s="15" t="n">
        <v>25</v>
      </c>
      <c r="G37" s="15" t="n">
        <v>5.75</v>
      </c>
      <c r="H37" s="15" t="n">
        <v>30</v>
      </c>
      <c r="I37" s="15" t="b">
        <v>1</v>
      </c>
    </row>
    <row r="38">
      <c r="A38" s="15" t="inlineStr">
        <is>
          <t>B4</t>
        </is>
      </c>
      <c r="B38" s="15" t="inlineStr">
        <is>
          <t>note_density_final</t>
        </is>
      </c>
      <c r="C38" s="15" t="n">
        <v>0.2102778137445247</v>
      </c>
      <c r="D38" s="15" t="n">
        <v>21.02778137445247</v>
      </c>
      <c r="E38" s="15" t="b">
        <v>0</v>
      </c>
      <c r="F38" s="15" t="n">
        <v>25</v>
      </c>
      <c r="G38" s="15" t="n">
        <v>4.3125</v>
      </c>
      <c r="H38" s="15" t="n">
        <v>26</v>
      </c>
      <c r="I38" s="15" t="b">
        <v>1</v>
      </c>
    </row>
    <row r="39">
      <c r="A39" s="15" t="inlineStr">
        <is>
          <t>B4</t>
        </is>
      </c>
      <c r="B39" s="15" t="inlineStr">
        <is>
          <t>note_effective_component_density</t>
        </is>
      </c>
      <c r="C39" s="15" t="n">
        <v>2.541991757675444</v>
      </c>
      <c r="D39" s="15" t="n">
        <v>2.541991757675444</v>
      </c>
      <c r="E39" s="15" t="b">
        <v>0</v>
      </c>
      <c r="F39" s="15" t="n">
        <v>25</v>
      </c>
      <c r="G39" s="15" t="n">
        <v>4.3125</v>
      </c>
      <c r="H39" s="15" t="n">
        <v>26</v>
      </c>
      <c r="I39" s="15" t="b">
        <v>1</v>
      </c>
    </row>
    <row r="40">
      <c r="A40" s="15" t="inlineStr">
        <is>
          <t>B4</t>
        </is>
      </c>
      <c r="B40" s="15" t="inlineStr">
        <is>
          <t>EWSD_score_acoustic_balanced</t>
        </is>
      </c>
      <c r="C40" s="15" t="n">
        <v>0.472179930032882</v>
      </c>
      <c r="D40" s="15" t="n">
        <v>47.2179930032882</v>
      </c>
      <c r="E40" s="15" t="b">
        <v>1</v>
      </c>
      <c r="F40" s="15" t="n">
        <v>25</v>
      </c>
      <c r="G40" s="15" t="n">
        <v>4.3125</v>
      </c>
      <c r="H40" s="15" t="n">
        <v>26</v>
      </c>
      <c r="I40" s="15" t="b">
        <v>1</v>
      </c>
    </row>
    <row r="41">
      <c r="A41" s="15" t="inlineStr">
        <is>
          <t>C5</t>
        </is>
      </c>
      <c r="B41" s="15" t="inlineStr">
        <is>
          <t>note_density_final</t>
        </is>
      </c>
      <c r="C41" s="15" t="n">
        <v>0.2330456026283955</v>
      </c>
      <c r="D41" s="15" t="n">
        <v>23.30456026283955</v>
      </c>
      <c r="E41" s="15" t="b">
        <v>0</v>
      </c>
      <c r="F41" s="15" t="n">
        <v>25</v>
      </c>
      <c r="G41" s="15" t="n">
        <v>4.0625</v>
      </c>
      <c r="H41" s="15" t="n">
        <v>21</v>
      </c>
      <c r="I41" s="15" t="b">
        <v>1</v>
      </c>
    </row>
    <row r="42">
      <c r="A42" s="15" t="inlineStr">
        <is>
          <t>C5</t>
        </is>
      </c>
      <c r="B42" s="15" t="inlineStr">
        <is>
          <t>note_effective_component_density</t>
        </is>
      </c>
      <c r="C42" s="15" t="n">
        <v>3.471879355155796</v>
      </c>
      <c r="D42" s="15" t="n">
        <v>3.471879355155796</v>
      </c>
      <c r="E42" s="15" t="b">
        <v>0</v>
      </c>
      <c r="F42" s="15" t="n">
        <v>25</v>
      </c>
      <c r="G42" s="15" t="n">
        <v>4.0625</v>
      </c>
      <c r="H42" s="15" t="n">
        <v>21</v>
      </c>
      <c r="I42" s="15" t="b">
        <v>1</v>
      </c>
    </row>
    <row r="43">
      <c r="A43" s="15" t="inlineStr">
        <is>
          <t>C5</t>
        </is>
      </c>
      <c r="B43" s="15" t="inlineStr">
        <is>
          <t>EWSD_score_acoustic_balanced</t>
        </is>
      </c>
      <c r="C43" s="15" t="n">
        <v>0.4016842693318124</v>
      </c>
      <c r="D43" s="15" t="n">
        <v>40.16842693318124</v>
      </c>
      <c r="E43" s="15" t="b">
        <v>1</v>
      </c>
      <c r="F43" s="15" t="n">
        <v>25</v>
      </c>
      <c r="G43" s="15" t="n">
        <v>4.0625</v>
      </c>
      <c r="H43" s="15" t="n">
        <v>21</v>
      </c>
      <c r="I43" s="15" t="b">
        <v>1</v>
      </c>
    </row>
    <row r="44">
      <c r="A44" s="15" t="inlineStr">
        <is>
          <t>C#5</t>
        </is>
      </c>
      <c r="B44" s="15" t="inlineStr">
        <is>
          <t>note_density_final</t>
        </is>
      </c>
      <c r="C44" s="15" t="n">
        <v>0.2136784657627132</v>
      </c>
      <c r="D44" s="15" t="n">
        <v>21.36784657627132</v>
      </c>
      <c r="E44" s="15" t="b">
        <v>0</v>
      </c>
      <c r="F44" s="15" t="n">
        <v>25</v>
      </c>
      <c r="G44" s="15" t="n">
        <v>12.875</v>
      </c>
      <c r="H44" s="15" t="n">
        <v>21</v>
      </c>
      <c r="I44" s="15" t="b">
        <v>0</v>
      </c>
    </row>
    <row r="45">
      <c r="A45" s="15" t="inlineStr">
        <is>
          <t>C#5</t>
        </is>
      </c>
      <c r="B45" s="15" t="inlineStr">
        <is>
          <t>note_effective_component_density</t>
        </is>
      </c>
      <c r="C45" s="15" t="n">
        <v>2.567037091740198</v>
      </c>
      <c r="D45" s="15" t="n">
        <v>2.567037091740198</v>
      </c>
      <c r="E45" s="15" t="b">
        <v>0</v>
      </c>
      <c r="F45" s="15" t="n">
        <v>25</v>
      </c>
      <c r="G45" s="15" t="n">
        <v>12.875</v>
      </c>
      <c r="H45" s="15" t="n">
        <v>21</v>
      </c>
      <c r="I45" s="15" t="b">
        <v>0</v>
      </c>
    </row>
    <row r="46">
      <c r="A46" s="15" t="inlineStr">
        <is>
          <t>C#5</t>
        </is>
      </c>
      <c r="B46" s="15" t="inlineStr">
        <is>
          <t>EWSD_score_acoustic_balanced</t>
        </is>
      </c>
      <c r="C46" s="15" t="n">
        <v>0.4327286271328706</v>
      </c>
      <c r="D46" s="15" t="n">
        <v>43.27286271328706</v>
      </c>
      <c r="E46" s="15" t="b">
        <v>1</v>
      </c>
      <c r="F46" s="15" t="n">
        <v>25</v>
      </c>
      <c r="G46" s="15" t="n">
        <v>12.875</v>
      </c>
      <c r="H46" s="15" t="n">
        <v>21</v>
      </c>
      <c r="I46" s="15" t="b">
        <v>0</v>
      </c>
    </row>
    <row r="47">
      <c r="A47" s="15" t="inlineStr">
        <is>
          <t>D5</t>
        </is>
      </c>
      <c r="B47" s="15" t="inlineStr">
        <is>
          <t>note_density_final</t>
        </is>
      </c>
      <c r="C47" s="15" t="n">
        <v>0.2461778899687642</v>
      </c>
      <c r="D47" s="15" t="n">
        <v>24.61778899687642</v>
      </c>
      <c r="E47" s="15" t="b">
        <v>0</v>
      </c>
      <c r="F47" s="15" t="n">
        <v>25</v>
      </c>
      <c r="G47" s="15" t="n">
        <v>10</v>
      </c>
      <c r="H47" s="15" t="n">
        <v>19</v>
      </c>
      <c r="I47" s="15" t="b">
        <v>0</v>
      </c>
    </row>
    <row r="48">
      <c r="A48" s="15" t="inlineStr">
        <is>
          <t>D5</t>
        </is>
      </c>
      <c r="B48" s="15" t="inlineStr">
        <is>
          <t>note_effective_component_density</t>
        </is>
      </c>
      <c r="C48" s="15" t="n">
        <v>2.136776883081234</v>
      </c>
      <c r="D48" s="15" t="n">
        <v>2.136776883081234</v>
      </c>
      <c r="E48" s="15" t="b">
        <v>0</v>
      </c>
      <c r="F48" s="15" t="n">
        <v>25</v>
      </c>
      <c r="G48" s="15" t="n">
        <v>10</v>
      </c>
      <c r="H48" s="15" t="n">
        <v>19</v>
      </c>
      <c r="I48" s="15" t="b">
        <v>0</v>
      </c>
    </row>
    <row r="49">
      <c r="A49" s="15" t="inlineStr">
        <is>
          <t>D5</t>
        </is>
      </c>
      <c r="B49" s="15" t="inlineStr">
        <is>
          <t>EWSD_score_acoustic_balanced</t>
        </is>
      </c>
      <c r="C49" s="15" t="n">
        <v>0.4808681515373523</v>
      </c>
      <c r="D49" s="15" t="n">
        <v>48.08681515373523</v>
      </c>
      <c r="E49" s="15" t="b">
        <v>1</v>
      </c>
      <c r="F49" s="15" t="n">
        <v>25</v>
      </c>
      <c r="G49" s="15" t="n">
        <v>10</v>
      </c>
      <c r="H49" s="15" t="n">
        <v>19</v>
      </c>
      <c r="I49" s="15" t="b">
        <v>0</v>
      </c>
    </row>
    <row r="50">
      <c r="A50" s="15" t="inlineStr">
        <is>
          <t>D#5</t>
        </is>
      </c>
      <c r="B50" s="15" t="inlineStr">
        <is>
          <t>note_density_final</t>
        </is>
      </c>
      <c r="C50" s="15" t="n">
        <v>0.2202452602489146</v>
      </c>
      <c r="D50" s="15" t="n">
        <v>22.02452602489146</v>
      </c>
      <c r="E50" s="15" t="b">
        <v>0</v>
      </c>
      <c r="F50" s="15" t="n">
        <v>25</v>
      </c>
      <c r="G50" s="15" t="n">
        <v>6.3125</v>
      </c>
      <c r="H50" s="15" t="n">
        <v>19</v>
      </c>
      <c r="I50" s="15" t="b">
        <v>1</v>
      </c>
    </row>
    <row r="51">
      <c r="A51" s="15" t="inlineStr">
        <is>
          <t>D#5</t>
        </is>
      </c>
      <c r="B51" s="15" t="inlineStr">
        <is>
          <t>note_effective_component_density</t>
        </is>
      </c>
      <c r="C51" s="15" t="n">
        <v>2.650538669336251</v>
      </c>
      <c r="D51" s="15" t="n">
        <v>2.650538669336251</v>
      </c>
      <c r="E51" s="15" t="b">
        <v>0</v>
      </c>
      <c r="F51" s="15" t="n">
        <v>25</v>
      </c>
      <c r="G51" s="15" t="n">
        <v>6.3125</v>
      </c>
      <c r="H51" s="15" t="n">
        <v>19</v>
      </c>
      <c r="I51" s="15" t="b">
        <v>1</v>
      </c>
    </row>
    <row r="52">
      <c r="A52" s="15" t="inlineStr">
        <is>
          <t>D#5</t>
        </is>
      </c>
      <c r="B52" s="15" t="inlineStr">
        <is>
          <t>EWSD_score_acoustic_balanced</t>
        </is>
      </c>
      <c r="C52" s="15" t="n">
        <v>0.4739080545596521</v>
      </c>
      <c r="D52" s="15" t="n">
        <v>47.39080545596521</v>
      </c>
      <c r="E52" s="15" t="b">
        <v>1</v>
      </c>
      <c r="F52" s="15" t="n">
        <v>25</v>
      </c>
      <c r="G52" s="15" t="n">
        <v>6.3125</v>
      </c>
      <c r="H52" s="15" t="n">
        <v>19</v>
      </c>
      <c r="I52" s="15" t="b">
        <v>1</v>
      </c>
    </row>
    <row r="53">
      <c r="A53" s="15" t="inlineStr">
        <is>
          <t>E5</t>
        </is>
      </c>
      <c r="B53" s="15" t="inlineStr">
        <is>
          <t>note_density_final</t>
        </is>
      </c>
      <c r="C53" s="15" t="n">
        <v>0.2338881365459909</v>
      </c>
      <c r="D53" s="15" t="n">
        <v>23.38881365459909</v>
      </c>
      <c r="E53" s="15" t="b">
        <v>0</v>
      </c>
      <c r="F53" s="15" t="n">
        <v>25</v>
      </c>
      <c r="G53" s="15" t="n">
        <v>9.6875</v>
      </c>
      <c r="H53" s="15" t="n">
        <v>15</v>
      </c>
      <c r="I53" s="15" t="b">
        <v>1</v>
      </c>
    </row>
    <row r="54">
      <c r="A54" s="15" t="inlineStr">
        <is>
          <t>E5</t>
        </is>
      </c>
      <c r="B54" s="15" t="inlineStr">
        <is>
          <t>note_effective_component_density</t>
        </is>
      </c>
      <c r="C54" s="15" t="n">
        <v>2.517060053099347</v>
      </c>
      <c r="D54" s="15" t="n">
        <v>2.517060053099347</v>
      </c>
      <c r="E54" s="15" t="b">
        <v>0</v>
      </c>
      <c r="F54" s="15" t="n">
        <v>25</v>
      </c>
      <c r="G54" s="15" t="n">
        <v>9.6875</v>
      </c>
      <c r="H54" s="15" t="n">
        <v>15</v>
      </c>
      <c r="I54" s="15" t="b">
        <v>1</v>
      </c>
    </row>
    <row r="55">
      <c r="A55" s="15" t="inlineStr">
        <is>
          <t>E5</t>
        </is>
      </c>
      <c r="B55" s="15" t="inlineStr">
        <is>
          <t>EWSD_score_acoustic_balanced</t>
        </is>
      </c>
      <c r="C55" s="15" t="n">
        <v>0.4858750400846211</v>
      </c>
      <c r="D55" s="15" t="n">
        <v>48.5875040084621</v>
      </c>
      <c r="E55" s="15" t="b">
        <v>1</v>
      </c>
      <c r="F55" s="15" t="n">
        <v>25</v>
      </c>
      <c r="G55" s="15" t="n">
        <v>9.6875</v>
      </c>
      <c r="H55" s="15" t="n">
        <v>15</v>
      </c>
      <c r="I55" s="15" t="b">
        <v>1</v>
      </c>
    </row>
    <row r="56">
      <c r="A56" s="15" t="inlineStr">
        <is>
          <t>F5</t>
        </is>
      </c>
      <c r="B56" s="15" t="inlineStr">
        <is>
          <t>note_density_final</t>
        </is>
      </c>
      <c r="C56" s="15" t="n">
        <v>0.2417157664295149</v>
      </c>
      <c r="D56" s="15" t="n">
        <v>24.17157664295149</v>
      </c>
      <c r="E56" s="15" t="b">
        <v>0</v>
      </c>
      <c r="F56" s="15" t="n">
        <v>25</v>
      </c>
      <c r="G56" s="15" t="n">
        <v>5.5625</v>
      </c>
      <c r="H56" s="15" t="n">
        <v>13</v>
      </c>
      <c r="I56" s="15" t="b">
        <v>1</v>
      </c>
    </row>
    <row r="57">
      <c r="A57" s="15" t="inlineStr">
        <is>
          <t>F5</t>
        </is>
      </c>
      <c r="B57" s="15" t="inlineStr">
        <is>
          <t>note_effective_component_density</t>
        </is>
      </c>
      <c r="C57" s="15" t="n">
        <v>1.896068718130665</v>
      </c>
      <c r="D57" s="15" t="n">
        <v>189.6068718130665</v>
      </c>
      <c r="E57" s="15" t="b">
        <v>1</v>
      </c>
      <c r="F57" s="15" t="n">
        <v>25</v>
      </c>
      <c r="G57" s="15" t="n">
        <v>5.5625</v>
      </c>
      <c r="H57" s="15" t="n">
        <v>13</v>
      </c>
      <c r="I57" s="15" t="b">
        <v>1</v>
      </c>
    </row>
    <row r="58">
      <c r="A58" s="15" t="inlineStr">
        <is>
          <t>F5</t>
        </is>
      </c>
      <c r="B58" s="15" t="inlineStr">
        <is>
          <t>EWSD_score_acoustic_balanced</t>
        </is>
      </c>
      <c r="C58" s="15" t="n">
        <v>0.4994114362197314</v>
      </c>
      <c r="D58" s="15" t="n">
        <v>49.94114362197315</v>
      </c>
      <c r="E58" s="15" t="b">
        <v>1</v>
      </c>
      <c r="F58" s="15" t="n">
        <v>25</v>
      </c>
      <c r="G58" s="15" t="n">
        <v>5.5625</v>
      </c>
      <c r="H58" s="15" t="n">
        <v>13</v>
      </c>
      <c r="I58" s="15" t="b">
        <v>1</v>
      </c>
    </row>
    <row r="59">
      <c r="A59" s="15" t="inlineStr">
        <is>
          <t>F#5</t>
        </is>
      </c>
      <c r="B59" s="15" t="inlineStr">
        <is>
          <t>note_density_final</t>
        </is>
      </c>
      <c r="C59" s="15" t="n">
        <v>0.2283333565807767</v>
      </c>
      <c r="D59" s="15" t="n">
        <v>22.83333565807767</v>
      </c>
      <c r="E59" s="15" t="b">
        <v>0</v>
      </c>
      <c r="F59" s="15" t="n">
        <v>25</v>
      </c>
      <c r="G59" s="15" t="n">
        <v>11.3125</v>
      </c>
      <c r="H59" s="15" t="n">
        <v>15</v>
      </c>
      <c r="I59" s="15" t="b">
        <v>0</v>
      </c>
    </row>
    <row r="60">
      <c r="A60" s="15" t="inlineStr">
        <is>
          <t>F#5</t>
        </is>
      </c>
      <c r="B60" s="15" t="inlineStr">
        <is>
          <t>note_effective_component_density</t>
        </is>
      </c>
      <c r="C60" s="15" t="n">
        <v>1.839816563717251</v>
      </c>
      <c r="D60" s="15" t="n">
        <v>183.9816563717251</v>
      </c>
      <c r="E60" s="15" t="b">
        <v>1</v>
      </c>
      <c r="F60" s="15" t="n">
        <v>25</v>
      </c>
      <c r="G60" s="15" t="n">
        <v>11.3125</v>
      </c>
      <c r="H60" s="15" t="n">
        <v>15</v>
      </c>
      <c r="I60" s="15" t="b">
        <v>0</v>
      </c>
    </row>
    <row r="61">
      <c r="A61" s="15" t="inlineStr">
        <is>
          <t>F#5</t>
        </is>
      </c>
      <c r="B61" s="15" t="inlineStr">
        <is>
          <t>EWSD_score_acoustic_balanced</t>
        </is>
      </c>
      <c r="C61" s="15" t="n">
        <v>0.6063300880999841</v>
      </c>
      <c r="D61" s="15" t="n">
        <v>60.63300880999842</v>
      </c>
      <c r="E61" s="15" t="b">
        <v>1</v>
      </c>
      <c r="F61" s="15" t="n">
        <v>25</v>
      </c>
      <c r="G61" s="15" t="n">
        <v>11.3125</v>
      </c>
      <c r="H61" s="15" t="n">
        <v>15</v>
      </c>
      <c r="I61" s="15" t="b">
        <v>0</v>
      </c>
    </row>
    <row r="62">
      <c r="A62" s="15" t="inlineStr">
        <is>
          <t>G5</t>
        </is>
      </c>
      <c r="B62" s="15" t="inlineStr">
        <is>
          <t>note_density_final</t>
        </is>
      </c>
      <c r="C62" s="15" t="n">
        <v>0.2099135532812943</v>
      </c>
      <c r="D62" s="15" t="n">
        <v>20.99135532812943</v>
      </c>
      <c r="E62" s="15" t="b">
        <v>0</v>
      </c>
      <c r="F62" s="15" t="n">
        <v>25</v>
      </c>
      <c r="G62" s="15" t="n">
        <v>10.6875</v>
      </c>
      <c r="H62" s="15" t="n">
        <v>17</v>
      </c>
      <c r="I62" s="15" t="b">
        <v>0</v>
      </c>
    </row>
    <row r="63">
      <c r="A63" s="15" t="inlineStr">
        <is>
          <t>G5</t>
        </is>
      </c>
      <c r="B63" s="15" t="inlineStr">
        <is>
          <t>note_effective_component_density</t>
        </is>
      </c>
      <c r="C63" s="15" t="n">
        <v>1.475076305732784</v>
      </c>
      <c r="D63" s="15" t="n">
        <v>147.5076305732784</v>
      </c>
      <c r="E63" s="15" t="b">
        <v>1</v>
      </c>
      <c r="F63" s="15" t="n">
        <v>25</v>
      </c>
      <c r="G63" s="15" t="n">
        <v>10.6875</v>
      </c>
      <c r="H63" s="15" t="n">
        <v>17</v>
      </c>
      <c r="I63" s="15" t="b">
        <v>0</v>
      </c>
    </row>
    <row r="64">
      <c r="A64" s="15" t="inlineStr">
        <is>
          <t>G5</t>
        </is>
      </c>
      <c r="B64" s="15" t="inlineStr">
        <is>
          <t>EWSD_score_acoustic_balanced</t>
        </is>
      </c>
      <c r="C64" s="15" t="n">
        <v>0.6098927916925292</v>
      </c>
      <c r="D64" s="15" t="n">
        <v>60.98927916925292</v>
      </c>
      <c r="E64" s="15" t="b">
        <v>1</v>
      </c>
      <c r="F64" s="15" t="n">
        <v>25</v>
      </c>
      <c r="G64" s="15" t="n">
        <v>10.6875</v>
      </c>
      <c r="H64" s="15" t="n">
        <v>17</v>
      </c>
      <c r="I64" s="15" t="b">
        <v>0</v>
      </c>
    </row>
    <row r="65">
      <c r="A65" s="15" t="inlineStr">
        <is>
          <t>G#5</t>
        </is>
      </c>
      <c r="B65" s="15" t="inlineStr">
        <is>
          <t>note_density_final</t>
        </is>
      </c>
      <c r="C65" s="15" t="n">
        <v>0.2311731139035494</v>
      </c>
      <c r="D65" s="15" t="n">
        <v>23.11731139035494</v>
      </c>
      <c r="E65" s="15" t="b">
        <v>0</v>
      </c>
      <c r="F65" s="15" t="n">
        <v>25</v>
      </c>
      <c r="G65" s="15" t="n">
        <v>11.3125</v>
      </c>
      <c r="H65" s="15" t="n">
        <v>17</v>
      </c>
      <c r="I65" s="15" t="b">
        <v>0</v>
      </c>
    </row>
    <row r="66">
      <c r="A66" s="15" t="inlineStr">
        <is>
          <t>G#5</t>
        </is>
      </c>
      <c r="B66" s="15" t="inlineStr">
        <is>
          <t>note_effective_component_density</t>
        </is>
      </c>
      <c r="C66" s="15" t="n">
        <v>1.539895794931011</v>
      </c>
      <c r="D66" s="15" t="n">
        <v>153.9895794931011</v>
      </c>
      <c r="E66" s="15" t="b">
        <v>1</v>
      </c>
      <c r="F66" s="15" t="n">
        <v>25</v>
      </c>
      <c r="G66" s="15" t="n">
        <v>11.3125</v>
      </c>
      <c r="H66" s="15" t="n">
        <v>17</v>
      </c>
      <c r="I66" s="15" t="b">
        <v>0</v>
      </c>
    </row>
    <row r="67">
      <c r="A67" s="15" t="inlineStr">
        <is>
          <t>G#5</t>
        </is>
      </c>
      <c r="B67" s="15" t="inlineStr">
        <is>
          <t>EWSD_score_acoustic_balanced</t>
        </is>
      </c>
      <c r="C67" s="15" t="n">
        <v>0.5458912652954047</v>
      </c>
      <c r="D67" s="15" t="n">
        <v>54.58912652954047</v>
      </c>
      <c r="E67" s="15" t="b">
        <v>1</v>
      </c>
      <c r="F67" s="15" t="n">
        <v>25</v>
      </c>
      <c r="G67" s="15" t="n">
        <v>11.3125</v>
      </c>
      <c r="H67" s="15" t="n">
        <v>17</v>
      </c>
      <c r="I67" s="15" t="b">
        <v>0</v>
      </c>
    </row>
    <row r="68">
      <c r="A68" s="15" t="inlineStr">
        <is>
          <t>A5</t>
        </is>
      </c>
      <c r="B68" s="15" t="inlineStr">
        <is>
          <t>note_density_final</t>
        </is>
      </c>
      <c r="C68" s="15" t="n">
        <v>0.2864262503109027</v>
      </c>
      <c r="D68" s="15" t="n">
        <v>28.64262503109027</v>
      </c>
      <c r="E68" s="15" t="b">
        <v>1</v>
      </c>
      <c r="F68" s="15" t="n">
        <v>25</v>
      </c>
      <c r="G68" s="15" t="n">
        <v>5.375</v>
      </c>
      <c r="H68" s="15" t="n">
        <v>13</v>
      </c>
      <c r="I68" s="15" t="b">
        <v>1</v>
      </c>
    </row>
    <row r="69">
      <c r="A69" s="15" t="inlineStr">
        <is>
          <t>A5</t>
        </is>
      </c>
      <c r="B69" s="15" t="inlineStr">
        <is>
          <t>note_effective_component_density</t>
        </is>
      </c>
      <c r="C69" s="15" t="n">
        <v>2.423679906453036</v>
      </c>
      <c r="D69" s="15" t="n">
        <v>2.423679906453036</v>
      </c>
      <c r="E69" s="15" t="b">
        <v>0</v>
      </c>
      <c r="F69" s="15" t="n">
        <v>25</v>
      </c>
      <c r="G69" s="15" t="n">
        <v>5.375</v>
      </c>
      <c r="H69" s="15" t="n">
        <v>13</v>
      </c>
      <c r="I69" s="15" t="b">
        <v>1</v>
      </c>
    </row>
    <row r="70">
      <c r="A70" s="15" t="inlineStr">
        <is>
          <t>A5</t>
        </is>
      </c>
      <c r="B70" s="15" t="inlineStr">
        <is>
          <t>EWSD_score_acoustic_balanced</t>
        </is>
      </c>
      <c r="C70" s="15" t="n">
        <v>0.5415260600231491</v>
      </c>
      <c r="D70" s="15" t="n">
        <v>54.1526060023149</v>
      </c>
      <c r="E70" s="15" t="b">
        <v>1</v>
      </c>
      <c r="F70" s="15" t="n">
        <v>25</v>
      </c>
      <c r="G70" s="15" t="n">
        <v>5.375</v>
      </c>
      <c r="H70" s="15" t="n">
        <v>13</v>
      </c>
      <c r="I70" s="15" t="b">
        <v>1</v>
      </c>
    </row>
    <row r="71">
      <c r="A71" s="15" t="inlineStr">
        <is>
          <t>A#5</t>
        </is>
      </c>
      <c r="B71" s="15" t="inlineStr">
        <is>
          <t>note_density_final</t>
        </is>
      </c>
      <c r="C71" s="15" t="n">
        <v>0.2568099192239543</v>
      </c>
      <c r="D71" s="15" t="n">
        <v>25.68099192239543</v>
      </c>
      <c r="E71" s="15" t="b">
        <v>1</v>
      </c>
      <c r="F71" s="15" t="n">
        <v>25</v>
      </c>
      <c r="G71" s="15" t="n">
        <v>9.25</v>
      </c>
      <c r="H71" s="15" t="n">
        <v>19</v>
      </c>
      <c r="I71" s="15" t="b">
        <v>1</v>
      </c>
    </row>
    <row r="72">
      <c r="A72" s="15" t="inlineStr">
        <is>
          <t>A#5</t>
        </is>
      </c>
      <c r="B72" s="15" t="inlineStr">
        <is>
          <t>note_effective_component_density</t>
        </is>
      </c>
      <c r="C72" s="15" t="n">
        <v>1.976359909079024</v>
      </c>
      <c r="D72" s="15" t="n">
        <v>197.6359909079024</v>
      </c>
      <c r="E72" s="15" t="b">
        <v>1</v>
      </c>
      <c r="F72" s="15" t="n">
        <v>25</v>
      </c>
      <c r="G72" s="15" t="n">
        <v>9.25</v>
      </c>
      <c r="H72" s="15" t="n">
        <v>19</v>
      </c>
      <c r="I72" s="15" t="b">
        <v>1</v>
      </c>
    </row>
    <row r="73">
      <c r="A73" s="15" t="inlineStr">
        <is>
          <t>A#5</t>
        </is>
      </c>
      <c r="B73" s="15" t="inlineStr">
        <is>
          <t>EWSD_score_acoustic_balanced</t>
        </is>
      </c>
      <c r="C73" s="15" t="n">
        <v>0.5527825546924987</v>
      </c>
      <c r="D73" s="15" t="n">
        <v>55.27825546924987</v>
      </c>
      <c r="E73" s="15" t="b">
        <v>1</v>
      </c>
      <c r="F73" s="15" t="n">
        <v>25</v>
      </c>
      <c r="G73" s="15" t="n">
        <v>9.25</v>
      </c>
      <c r="H73" s="15" t="n">
        <v>19</v>
      </c>
      <c r="I73" s="15" t="b">
        <v>1</v>
      </c>
    </row>
    <row r="74">
      <c r="A74" s="15" t="inlineStr">
        <is>
          <t>B5</t>
        </is>
      </c>
      <c r="B74" s="15" t="inlineStr">
        <is>
          <t>note_density_final</t>
        </is>
      </c>
      <c r="C74" s="15" t="n">
        <v>0.2519453852883531</v>
      </c>
      <c r="D74" s="15" t="n">
        <v>25.19453852883531</v>
      </c>
      <c r="E74" s="15" t="b">
        <v>1</v>
      </c>
      <c r="F74" s="15" t="n">
        <v>25</v>
      </c>
      <c r="G74" s="15" t="n">
        <v>12.8125</v>
      </c>
      <c r="H74" s="15" t="n">
        <v>8</v>
      </c>
      <c r="I74" s="15" t="b">
        <v>0</v>
      </c>
    </row>
    <row r="75">
      <c r="A75" s="15" t="inlineStr">
        <is>
          <t>B5</t>
        </is>
      </c>
      <c r="B75" s="15" t="inlineStr">
        <is>
          <t>note_effective_component_density</t>
        </is>
      </c>
      <c r="C75" s="15" t="n">
        <v>0.2541029130644589</v>
      </c>
      <c r="D75" s="15" t="n">
        <v>25.41029130644589</v>
      </c>
      <c r="E75" s="15" t="b">
        <v>1</v>
      </c>
      <c r="F75" s="15" t="n">
        <v>25</v>
      </c>
      <c r="G75" s="15" t="n">
        <v>12.8125</v>
      </c>
      <c r="H75" s="15" t="n">
        <v>8</v>
      </c>
      <c r="I75" s="15" t="b">
        <v>0</v>
      </c>
    </row>
    <row r="76">
      <c r="A76" s="15" t="inlineStr">
        <is>
          <t>B5</t>
        </is>
      </c>
      <c r="B76" s="15" t="inlineStr">
        <is>
          <t>EWSD_score_acoustic_balanced</t>
        </is>
      </c>
      <c r="C76" s="15" t="n">
        <v>0.0007951478856140149</v>
      </c>
      <c r="D76" s="15" t="n">
        <v>0.0795147885614015</v>
      </c>
      <c r="E76" s="15" t="b">
        <v>0</v>
      </c>
      <c r="F76" s="15" t="n">
        <v>25</v>
      </c>
      <c r="G76" s="15" t="n">
        <v>12.8125</v>
      </c>
      <c r="H76" s="15" t="n">
        <v>8</v>
      </c>
      <c r="I76" s="15" t="b">
        <v>0</v>
      </c>
    </row>
    <row r="77">
      <c r="A77" s="15" t="inlineStr">
        <is>
          <t>C6</t>
        </is>
      </c>
      <c r="B77" s="15" t="inlineStr">
        <is>
          <t>note_density_final</t>
        </is>
      </c>
      <c r="C77" s="15" t="n">
        <v>0.1708717350557544</v>
      </c>
      <c r="D77" s="15" t="n">
        <v>17.08717350557544</v>
      </c>
      <c r="E77" s="15" t="b">
        <v>0</v>
      </c>
      <c r="F77" s="15" t="n">
        <v>25</v>
      </c>
      <c r="G77" s="15" t="n">
        <v>4.5</v>
      </c>
      <c r="H77" s="15" t="n">
        <v>25</v>
      </c>
      <c r="I77" s="15" t="b">
        <v>1</v>
      </c>
    </row>
    <row r="78">
      <c r="A78" s="15" t="inlineStr">
        <is>
          <t>C6</t>
        </is>
      </c>
      <c r="B78" s="15" t="inlineStr">
        <is>
          <t>note_effective_component_density</t>
        </is>
      </c>
      <c r="C78" s="15" t="n">
        <v>1.695460945455001</v>
      </c>
      <c r="D78" s="15" t="n">
        <v>169.5460945455001</v>
      </c>
      <c r="E78" s="15" t="b">
        <v>1</v>
      </c>
      <c r="F78" s="15" t="n">
        <v>25</v>
      </c>
      <c r="G78" s="15" t="n">
        <v>4.5</v>
      </c>
      <c r="H78" s="15" t="n">
        <v>25</v>
      </c>
      <c r="I78" s="15" t="b">
        <v>1</v>
      </c>
    </row>
    <row r="79">
      <c r="A79" s="15" t="inlineStr">
        <is>
          <t>C6</t>
        </is>
      </c>
      <c r="B79" s="15" t="inlineStr">
        <is>
          <t>EWSD_score_acoustic_balanced</t>
        </is>
      </c>
      <c r="C79" s="15" t="n">
        <v>0.4473955836157608</v>
      </c>
      <c r="D79" s="15" t="n">
        <v>44.73955836157608</v>
      </c>
      <c r="E79" s="15" t="b">
        <v>1</v>
      </c>
      <c r="F79" s="15" t="n">
        <v>25</v>
      </c>
      <c r="G79" s="15" t="n">
        <v>4.5</v>
      </c>
      <c r="H79" s="15" t="n">
        <v>25</v>
      </c>
      <c r="I79" s="15" t="b">
        <v>1</v>
      </c>
    </row>
    <row r="80">
      <c r="A80" s="15" t="inlineStr">
        <is>
          <t>C#6</t>
        </is>
      </c>
      <c r="B80" s="15" t="inlineStr">
        <is>
          <t>note_density_final</t>
        </is>
      </c>
      <c r="C80" s="15" t="n">
        <v>0.2517648645285023</v>
      </c>
      <c r="D80" s="15" t="n">
        <v>25.17648645285023</v>
      </c>
      <c r="E80" s="15" t="b">
        <v>1</v>
      </c>
      <c r="F80" s="15" t="n">
        <v>25</v>
      </c>
      <c r="G80" s="15" t="n">
        <v>12.8125</v>
      </c>
      <c r="H80" s="15" t="n">
        <v>17</v>
      </c>
      <c r="I80" s="15" t="b">
        <v>0</v>
      </c>
    </row>
    <row r="81">
      <c r="A81" s="15" t="inlineStr">
        <is>
          <t>C#6</t>
        </is>
      </c>
      <c r="B81" s="15" t="inlineStr">
        <is>
          <t>note_effective_component_density</t>
        </is>
      </c>
      <c r="C81" s="15" t="n">
        <v>1.918717648829547</v>
      </c>
      <c r="D81" s="15" t="n">
        <v>191.8717648829547</v>
      </c>
      <c r="E81" s="15" t="b">
        <v>1</v>
      </c>
      <c r="F81" s="15" t="n">
        <v>25</v>
      </c>
      <c r="G81" s="15" t="n">
        <v>12.8125</v>
      </c>
      <c r="H81" s="15" t="n">
        <v>17</v>
      </c>
      <c r="I81" s="15" t="b">
        <v>0</v>
      </c>
    </row>
    <row r="82">
      <c r="A82" s="15" t="inlineStr">
        <is>
          <t>C#6</t>
        </is>
      </c>
      <c r="B82" s="15" t="inlineStr">
        <is>
          <t>EWSD_score_acoustic_balanced</t>
        </is>
      </c>
      <c r="C82" s="15" t="n">
        <v>0.5457994475150747</v>
      </c>
      <c r="D82" s="15" t="n">
        <v>54.57994475150747</v>
      </c>
      <c r="E82" s="15" t="b">
        <v>1</v>
      </c>
      <c r="F82" s="15" t="n">
        <v>25</v>
      </c>
      <c r="G82" s="15" t="n">
        <v>12.8125</v>
      </c>
      <c r="H82" s="15" t="n">
        <v>17</v>
      </c>
      <c r="I82" s="15" t="b">
        <v>0</v>
      </c>
    </row>
    <row r="83">
      <c r="A83" s="15" t="inlineStr">
        <is>
          <t>D6</t>
        </is>
      </c>
      <c r="B83" s="15" t="inlineStr">
        <is>
          <t>note_density_final</t>
        </is>
      </c>
      <c r="C83" s="15" t="n">
        <v>0.2941906063955383</v>
      </c>
      <c r="D83" s="15" t="n">
        <v>29.41906063955383</v>
      </c>
      <c r="E83" s="15" t="b">
        <v>1</v>
      </c>
      <c r="F83" s="15" t="n">
        <v>25</v>
      </c>
      <c r="G83" s="15" t="n">
        <v>11.8125</v>
      </c>
      <c r="H83" s="15" t="n">
        <v>19</v>
      </c>
      <c r="I83" s="15" t="b">
        <v>0</v>
      </c>
    </row>
    <row r="84">
      <c r="A84" s="15" t="inlineStr">
        <is>
          <t>D6</t>
        </is>
      </c>
      <c r="B84" s="15" t="inlineStr">
        <is>
          <t>note_effective_component_density</t>
        </is>
      </c>
      <c r="C84" s="15" t="n">
        <v>2.313052109516332</v>
      </c>
      <c r="D84" s="15" t="n">
        <v>2.313052109516332</v>
      </c>
      <c r="E84" s="15" t="b">
        <v>0</v>
      </c>
      <c r="F84" s="15" t="n">
        <v>25</v>
      </c>
      <c r="G84" s="15" t="n">
        <v>11.8125</v>
      </c>
      <c r="H84" s="15" t="n">
        <v>19</v>
      </c>
      <c r="I84" s="15" t="b">
        <v>0</v>
      </c>
    </row>
    <row r="85">
      <c r="A85" s="15" t="inlineStr">
        <is>
          <t>D6</t>
        </is>
      </c>
      <c r="B85" s="15" t="inlineStr">
        <is>
          <t>EWSD_score_acoustic_balanced</t>
        </is>
      </c>
      <c r="C85" s="15" t="n">
        <v>0.6487798644058962</v>
      </c>
      <c r="D85" s="15" t="n">
        <v>64.87798644058962</v>
      </c>
      <c r="E85" s="15" t="b">
        <v>1</v>
      </c>
      <c r="F85" s="15" t="n">
        <v>25</v>
      </c>
      <c r="G85" s="15" t="n">
        <v>11.8125</v>
      </c>
      <c r="H85" s="15" t="n">
        <v>19</v>
      </c>
      <c r="I85" s="15" t="b">
        <v>0</v>
      </c>
    </row>
    <row r="86">
      <c r="A86" s="15" t="inlineStr">
        <is>
          <t>D#6</t>
        </is>
      </c>
      <c r="B86" s="15" t="inlineStr">
        <is>
          <t>note_density_final</t>
        </is>
      </c>
      <c r="C86" s="15" t="n">
        <v>0.2591732125147343</v>
      </c>
      <c r="D86" s="15" t="n">
        <v>25.91732125147343</v>
      </c>
      <c r="E86" s="15" t="b">
        <v>1</v>
      </c>
      <c r="F86" s="15" t="n">
        <v>25</v>
      </c>
      <c r="G86" s="15" t="n">
        <v>3.4375</v>
      </c>
      <c r="H86" s="15" t="n">
        <v>19</v>
      </c>
      <c r="I86" s="15" t="b">
        <v>1</v>
      </c>
    </row>
    <row r="87">
      <c r="A87" s="15" t="inlineStr">
        <is>
          <t>D#6</t>
        </is>
      </c>
      <c r="B87" s="15" t="inlineStr">
        <is>
          <t>note_effective_component_density</t>
        </is>
      </c>
      <c r="C87" s="15" t="n">
        <v>3.096558148333679</v>
      </c>
      <c r="D87" s="15" t="n">
        <v>3.096558148333679</v>
      </c>
      <c r="E87" s="15" t="b">
        <v>0</v>
      </c>
      <c r="F87" s="15" t="n">
        <v>25</v>
      </c>
      <c r="G87" s="15" t="n">
        <v>3.4375</v>
      </c>
      <c r="H87" s="15" t="n">
        <v>19</v>
      </c>
      <c r="I87" s="15" t="b">
        <v>1</v>
      </c>
    </row>
    <row r="88">
      <c r="A88" s="15" t="inlineStr">
        <is>
          <t>D#6</t>
        </is>
      </c>
      <c r="B88" s="15" t="inlineStr">
        <is>
          <t>EWSD_score_acoustic_balanced</t>
        </is>
      </c>
      <c r="C88" s="15" t="n">
        <v>0.5490982502479974</v>
      </c>
      <c r="D88" s="15" t="n">
        <v>54.90982502479974</v>
      </c>
      <c r="E88" s="15" t="b">
        <v>1</v>
      </c>
      <c r="F88" s="15" t="n">
        <v>25</v>
      </c>
      <c r="G88" s="15" t="n">
        <v>3.4375</v>
      </c>
      <c r="H88" s="15" t="n">
        <v>19</v>
      </c>
      <c r="I88" s="15" t="b">
        <v>1</v>
      </c>
    </row>
    <row r="89">
      <c r="A89" s="15" t="inlineStr">
        <is>
          <t>E6</t>
        </is>
      </c>
      <c r="B89" s="15" t="inlineStr">
        <is>
          <t>note_density_final</t>
        </is>
      </c>
      <c r="C89" s="15" t="n">
        <v>0.2701812237303267</v>
      </c>
      <c r="D89" s="15" t="n">
        <v>27.01812237303267</v>
      </c>
      <c r="E89" s="15" t="b">
        <v>1</v>
      </c>
      <c r="F89" s="15" t="n">
        <v>25</v>
      </c>
      <c r="G89" s="15" t="n">
        <v>2.8125</v>
      </c>
      <c r="H89" s="15" t="n">
        <v>18</v>
      </c>
      <c r="I89" s="15" t="b">
        <v>1</v>
      </c>
    </row>
    <row r="90">
      <c r="A90" s="15" t="inlineStr">
        <is>
          <t>E6</t>
        </is>
      </c>
      <c r="B90" s="15" t="inlineStr">
        <is>
          <t>note_effective_component_density</t>
        </is>
      </c>
      <c r="C90" s="15" t="n">
        <v>1.953857657569009</v>
      </c>
      <c r="D90" s="15" t="n">
        <v>195.3857657569009</v>
      </c>
      <c r="E90" s="15" t="b">
        <v>1</v>
      </c>
      <c r="F90" s="15" t="n">
        <v>25</v>
      </c>
      <c r="G90" s="15" t="n">
        <v>2.8125</v>
      </c>
      <c r="H90" s="15" t="n">
        <v>18</v>
      </c>
      <c r="I90" s="15" t="b">
        <v>1</v>
      </c>
    </row>
    <row r="91">
      <c r="A91" s="15" t="inlineStr">
        <is>
          <t>E6</t>
        </is>
      </c>
      <c r="B91" s="15" t="inlineStr">
        <is>
          <t>EWSD_score_acoustic_balanced</t>
        </is>
      </c>
      <c r="C91" s="15" t="n">
        <v>0.5790672449616566</v>
      </c>
      <c r="D91" s="15" t="n">
        <v>57.90672449616567</v>
      </c>
      <c r="E91" s="15" t="b">
        <v>1</v>
      </c>
      <c r="F91" s="15" t="n">
        <v>25</v>
      </c>
      <c r="G91" s="15" t="n">
        <v>2.8125</v>
      </c>
      <c r="H91" s="15" t="n">
        <v>18</v>
      </c>
      <c r="I91" s="15" t="b">
        <v>1</v>
      </c>
    </row>
    <row r="92">
      <c r="A92" s="15" t="inlineStr">
        <is>
          <t>F6</t>
        </is>
      </c>
      <c r="B92" s="15" t="inlineStr">
        <is>
          <t>note_density_final</t>
        </is>
      </c>
      <c r="C92" s="15" t="n">
        <v>0.3191377827920771</v>
      </c>
      <c r="D92" s="15" t="n">
        <v>31.91377827920771</v>
      </c>
      <c r="E92" s="15" t="b">
        <v>1</v>
      </c>
      <c r="F92" s="15" t="n">
        <v>25</v>
      </c>
      <c r="G92" s="15" t="n">
        <v>6.4375</v>
      </c>
      <c r="H92" s="15" t="n">
        <v>22</v>
      </c>
      <c r="I92" s="15" t="b">
        <v>1</v>
      </c>
    </row>
    <row r="93">
      <c r="A93" s="15" t="inlineStr">
        <is>
          <t>F6</t>
        </is>
      </c>
      <c r="B93" s="15" t="inlineStr">
        <is>
          <t>note_effective_component_density</t>
        </is>
      </c>
      <c r="C93" s="15" t="n">
        <v>1.708019896569485</v>
      </c>
      <c r="D93" s="15" t="n">
        <v>170.8019896569485</v>
      </c>
      <c r="E93" s="15" t="b">
        <v>1</v>
      </c>
      <c r="F93" s="15" t="n">
        <v>25</v>
      </c>
      <c r="G93" s="15" t="n">
        <v>6.4375</v>
      </c>
      <c r="H93" s="15" t="n">
        <v>22</v>
      </c>
      <c r="I93" s="15" t="b">
        <v>1</v>
      </c>
    </row>
    <row r="94">
      <c r="A94" s="15" t="inlineStr">
        <is>
          <t>F6</t>
        </is>
      </c>
      <c r="B94" s="15" t="inlineStr">
        <is>
          <t>EWSD_score_acoustic_balanced</t>
        </is>
      </c>
      <c r="C94" s="15" t="n">
        <v>0.7030891401787557</v>
      </c>
      <c r="D94" s="15" t="n">
        <v>70.30891401787557</v>
      </c>
      <c r="E94" s="15" t="b">
        <v>1</v>
      </c>
      <c r="F94" s="15" t="n">
        <v>25</v>
      </c>
      <c r="G94" s="15" t="n">
        <v>6.4375</v>
      </c>
      <c r="H94" s="15" t="n">
        <v>22</v>
      </c>
      <c r="I94" s="15" t="b">
        <v>1</v>
      </c>
    </row>
    <row r="95">
      <c r="A95" s="15" t="inlineStr">
        <is>
          <t>F#6</t>
        </is>
      </c>
      <c r="B95" s="15" t="inlineStr">
        <is>
          <t>note_density_final</t>
        </is>
      </c>
      <c r="C95" s="15" t="n">
        <v>0.303674255735826</v>
      </c>
      <c r="D95" s="15" t="n">
        <v>30.3674255735826</v>
      </c>
      <c r="E95" s="15" t="b">
        <v>1</v>
      </c>
      <c r="F95" s="15" t="n">
        <v>25</v>
      </c>
      <c r="G95" s="15" t="n">
        <v>11.1875</v>
      </c>
      <c r="H95" s="15" t="n">
        <v>10</v>
      </c>
      <c r="I95" s="15" t="b">
        <v>0</v>
      </c>
    </row>
    <row r="96">
      <c r="A96" s="15" t="inlineStr">
        <is>
          <t>F#6</t>
        </is>
      </c>
      <c r="B96" s="15" t="inlineStr">
        <is>
          <t>note_effective_component_density</t>
        </is>
      </c>
      <c r="C96" s="15" t="n">
        <v>2.175783179495073</v>
      </c>
      <c r="D96" s="15" t="n">
        <v>2.175783179495073</v>
      </c>
      <c r="E96" s="15" t="b">
        <v>0</v>
      </c>
      <c r="F96" s="15" t="n">
        <v>25</v>
      </c>
      <c r="G96" s="15" t="n">
        <v>11.1875</v>
      </c>
      <c r="H96" s="15" t="n">
        <v>10</v>
      </c>
      <c r="I96" s="15" t="b">
        <v>0</v>
      </c>
    </row>
    <row r="97">
      <c r="A97" s="15" t="inlineStr">
        <is>
          <t>F#6</t>
        </is>
      </c>
      <c r="B97" s="15" t="inlineStr">
        <is>
          <t>EWSD_score_acoustic_balanced</t>
        </is>
      </c>
      <c r="C97" s="15" t="n">
        <v>0.6540447052240759</v>
      </c>
      <c r="D97" s="15" t="n">
        <v>65.40447052240759</v>
      </c>
      <c r="E97" s="15" t="b">
        <v>1</v>
      </c>
      <c r="F97" s="15" t="n">
        <v>25</v>
      </c>
      <c r="G97" s="15" t="n">
        <v>11.1875</v>
      </c>
      <c r="H97" s="15" t="n">
        <v>10</v>
      </c>
      <c r="I97" s="15" t="b">
        <v>0</v>
      </c>
    </row>
    <row r="98">
      <c r="A98" s="15" t="inlineStr">
        <is>
          <t>G6</t>
        </is>
      </c>
      <c r="B98" s="15" t="inlineStr">
        <is>
          <t>note_density_final</t>
        </is>
      </c>
      <c r="C98" s="15" t="n">
        <v>0.2861967337463405</v>
      </c>
      <c r="D98" s="15" t="n">
        <v>28.61967337463405</v>
      </c>
      <c r="E98" s="15" t="b">
        <v>1</v>
      </c>
      <c r="F98" s="15" t="n">
        <v>25</v>
      </c>
      <c r="G98" s="15" t="n">
        <v>17.6875</v>
      </c>
      <c r="H98" s="15" t="n">
        <v>14</v>
      </c>
      <c r="I98" s="15" t="b">
        <v>0</v>
      </c>
    </row>
    <row r="99">
      <c r="A99" s="15" t="inlineStr">
        <is>
          <t>G6</t>
        </is>
      </c>
      <c r="B99" s="15" t="inlineStr">
        <is>
          <t>note_effective_component_density</t>
        </is>
      </c>
      <c r="C99" s="15" t="n">
        <v>1.950588503436174</v>
      </c>
      <c r="D99" s="15" t="n">
        <v>195.0588503436174</v>
      </c>
      <c r="E99" s="15" t="b">
        <v>1</v>
      </c>
      <c r="F99" s="15" t="n">
        <v>25</v>
      </c>
      <c r="G99" s="15" t="n">
        <v>17.6875</v>
      </c>
      <c r="H99" s="15" t="n">
        <v>14</v>
      </c>
      <c r="I99" s="15" t="b">
        <v>0</v>
      </c>
    </row>
    <row r="100">
      <c r="A100" s="15" t="inlineStr">
        <is>
          <t>G6</t>
        </is>
      </c>
      <c r="B100" s="15" t="inlineStr">
        <is>
          <t>EWSD_score_acoustic_balanced</t>
        </is>
      </c>
      <c r="C100" s="15" t="n">
        <v>0.7066021073116403</v>
      </c>
      <c r="D100" s="15" t="n">
        <v>70.66021073116403</v>
      </c>
      <c r="E100" s="15" t="b">
        <v>1</v>
      </c>
      <c r="F100" s="15" t="n">
        <v>25</v>
      </c>
      <c r="G100" s="15" t="n">
        <v>17.6875</v>
      </c>
      <c r="H100" s="15" t="n">
        <v>14</v>
      </c>
      <c r="I100" s="15" t="b">
        <v>0</v>
      </c>
    </row>
    <row r="101">
      <c r="A101" s="15" t="inlineStr">
        <is>
          <t>G#6</t>
        </is>
      </c>
      <c r="B101" s="15" t="inlineStr">
        <is>
          <t>note_density_final</t>
        </is>
      </c>
      <c r="C101" s="15" t="n">
        <v>0.3022108025654607</v>
      </c>
      <c r="D101" s="15" t="n">
        <v>30.22108025654607</v>
      </c>
      <c r="E101" s="15" t="b">
        <v>1</v>
      </c>
      <c r="F101" s="15" t="n">
        <v>25</v>
      </c>
      <c r="G101" s="15" t="n">
        <v>11.0625</v>
      </c>
      <c r="H101" s="15" t="n">
        <v>14</v>
      </c>
      <c r="I101" s="15" t="b">
        <v>0</v>
      </c>
    </row>
    <row r="102">
      <c r="A102" s="15" t="inlineStr">
        <is>
          <t>G#6</t>
        </is>
      </c>
      <c r="B102" s="15" t="inlineStr">
        <is>
          <t>note_effective_component_density</t>
        </is>
      </c>
      <c r="C102" s="15" t="n">
        <v>3.027372418102155</v>
      </c>
      <c r="D102" s="15" t="n">
        <v>3.027372418102155</v>
      </c>
      <c r="E102" s="15" t="b">
        <v>0</v>
      </c>
      <c r="F102" s="15" t="n">
        <v>25</v>
      </c>
      <c r="G102" s="15" t="n">
        <v>11.0625</v>
      </c>
      <c r="H102" s="15" t="n">
        <v>14</v>
      </c>
      <c r="I102" s="15" t="b">
        <v>0</v>
      </c>
    </row>
    <row r="103">
      <c r="A103" s="15" t="inlineStr">
        <is>
          <t>G#6</t>
        </is>
      </c>
      <c r="B103" s="15" t="inlineStr">
        <is>
          <t>EWSD_score_acoustic_balanced</t>
        </is>
      </c>
      <c r="C103" s="15" t="n">
        <v>0.6053629295240206</v>
      </c>
      <c r="D103" s="15" t="n">
        <v>60.53629295240206</v>
      </c>
      <c r="E103" s="15" t="b">
        <v>1</v>
      </c>
      <c r="F103" s="15" t="n">
        <v>25</v>
      </c>
      <c r="G103" s="15" t="n">
        <v>11.0625</v>
      </c>
      <c r="H103" s="15" t="n">
        <v>14</v>
      </c>
      <c r="I103" s="15" t="b">
        <v>0</v>
      </c>
    </row>
    <row r="104">
      <c r="A104" s="15" t="inlineStr">
        <is>
          <t>A6</t>
        </is>
      </c>
      <c r="B104" s="15" t="inlineStr">
        <is>
          <t>note_density_final</t>
        </is>
      </c>
      <c r="C104" s="15" t="n">
        <v>0.3224042142140999</v>
      </c>
      <c r="D104" s="15" t="n">
        <v>32.24042142140999</v>
      </c>
      <c r="E104" s="15" t="b">
        <v>1</v>
      </c>
      <c r="F104" s="15" t="n">
        <v>25</v>
      </c>
      <c r="G104" s="15" t="n">
        <v>10.4375</v>
      </c>
      <c r="H104" s="15" t="n">
        <v>10</v>
      </c>
      <c r="I104" s="15" t="b">
        <v>0</v>
      </c>
    </row>
    <row r="105">
      <c r="A105" s="15" t="inlineStr">
        <is>
          <t>A6</t>
        </is>
      </c>
      <c r="B105" s="15" t="inlineStr">
        <is>
          <t>note_effective_component_density</t>
        </is>
      </c>
      <c r="C105" s="15" t="n">
        <v>1.797858600396019</v>
      </c>
      <c r="D105" s="15" t="n">
        <v>179.7858600396019</v>
      </c>
      <c r="E105" s="15" t="b">
        <v>1</v>
      </c>
      <c r="F105" s="15" t="n">
        <v>25</v>
      </c>
      <c r="G105" s="15" t="n">
        <v>10.4375</v>
      </c>
      <c r="H105" s="15" t="n">
        <v>10</v>
      </c>
      <c r="I105" s="15" t="b">
        <v>0</v>
      </c>
    </row>
    <row r="106">
      <c r="A106" s="15" t="inlineStr">
        <is>
          <t>A6</t>
        </is>
      </c>
      <c r="B106" s="15" t="inlineStr">
        <is>
          <t>EWSD_score_acoustic_balanced</t>
        </is>
      </c>
      <c r="C106" s="15" t="n">
        <v>0.8357387685034769</v>
      </c>
      <c r="D106" s="15" t="n">
        <v>83.57387685034769</v>
      </c>
      <c r="E106" s="15" t="b">
        <v>1</v>
      </c>
      <c r="F106" s="15" t="n">
        <v>25</v>
      </c>
      <c r="G106" s="15" t="n">
        <v>10.4375</v>
      </c>
      <c r="H106" s="15" t="n">
        <v>10</v>
      </c>
      <c r="I106" s="15" t="b">
        <v>0</v>
      </c>
    </row>
    <row r="107">
      <c r="A107" s="15" t="inlineStr">
        <is>
          <t>A#6</t>
        </is>
      </c>
      <c r="B107" s="15" t="inlineStr">
        <is>
          <t>note_density_final</t>
        </is>
      </c>
      <c r="C107" s="15" t="n">
        <v>0.2518080325891451</v>
      </c>
      <c r="D107" s="15" t="n">
        <v>25.18080325891451</v>
      </c>
      <c r="E107" s="15" t="b">
        <v>1</v>
      </c>
      <c r="F107" s="15" t="n">
        <v>25</v>
      </c>
      <c r="G107" s="15" t="n">
        <v>14.75</v>
      </c>
      <c r="H107" s="15" t="n">
        <v>8</v>
      </c>
      <c r="I107" s="15" t="b">
        <v>0</v>
      </c>
    </row>
    <row r="108">
      <c r="A108" s="15" t="inlineStr">
        <is>
          <t>A#6</t>
        </is>
      </c>
      <c r="B108" s="15" t="inlineStr">
        <is>
          <t>note_effective_component_density</t>
        </is>
      </c>
      <c r="C108" s="15" t="n">
        <v>1.940121518058819</v>
      </c>
      <c r="D108" s="15" t="n">
        <v>194.0121518058819</v>
      </c>
      <c r="E108" s="15" t="b">
        <v>1</v>
      </c>
      <c r="F108" s="15" t="n">
        <v>25</v>
      </c>
      <c r="G108" s="15" t="n">
        <v>14.75</v>
      </c>
      <c r="H108" s="15" t="n">
        <v>8</v>
      </c>
      <c r="I108" s="15" t="b">
        <v>0</v>
      </c>
    </row>
    <row r="109">
      <c r="A109" s="15" t="inlineStr">
        <is>
          <t>A#6</t>
        </is>
      </c>
      <c r="B109" s="15" t="inlineStr">
        <is>
          <t>EWSD_score_acoustic_balanced</t>
        </is>
      </c>
      <c r="C109" s="15" t="n">
        <v>0.5199441550400092</v>
      </c>
      <c r="D109" s="15" t="n">
        <v>51.99441550400093</v>
      </c>
      <c r="E109" s="15" t="b">
        <v>1</v>
      </c>
      <c r="F109" s="15" t="n">
        <v>25</v>
      </c>
      <c r="G109" s="15" t="n">
        <v>14.75</v>
      </c>
      <c r="H109" s="15" t="n">
        <v>8</v>
      </c>
      <c r="I109" s="15" t="b">
        <v>0</v>
      </c>
    </row>
    <row r="110">
      <c r="A110" s="15" t="inlineStr">
        <is>
          <t>B6</t>
        </is>
      </c>
      <c r="B110" s="15" t="inlineStr">
        <is>
          <t>note_density_final</t>
        </is>
      </c>
      <c r="C110" s="15" t="n">
        <v>0.2312403630849253</v>
      </c>
      <c r="D110" s="15" t="n">
        <v>23.12403630849253</v>
      </c>
      <c r="E110" s="15" t="b">
        <v>0</v>
      </c>
      <c r="F110" s="15" t="n">
        <v>25</v>
      </c>
      <c r="G110" s="15" t="n">
        <v>17.9375</v>
      </c>
      <c r="H110" s="15" t="n">
        <v>4</v>
      </c>
      <c r="I110" s="15" t="b">
        <v>0</v>
      </c>
    </row>
    <row r="111">
      <c r="A111" s="15" t="inlineStr">
        <is>
          <t>B6</t>
        </is>
      </c>
      <c r="B111" s="15" t="inlineStr">
        <is>
          <t>note_effective_component_density</t>
        </is>
      </c>
      <c r="C111" s="15" t="n">
        <v>0.1879486347493374</v>
      </c>
      <c r="D111" s="15" t="n">
        <v>18.79486347493374</v>
      </c>
      <c r="E111" s="15" t="b">
        <v>0</v>
      </c>
      <c r="F111" s="15" t="n">
        <v>25</v>
      </c>
      <c r="G111" s="15" t="n">
        <v>17.9375</v>
      </c>
      <c r="H111" s="15" t="n">
        <v>4</v>
      </c>
      <c r="I111" s="15" t="b">
        <v>0</v>
      </c>
    </row>
    <row r="112">
      <c r="A112" s="15" t="inlineStr">
        <is>
          <t>B6</t>
        </is>
      </c>
      <c r="B112" s="15" t="inlineStr">
        <is>
          <t>EWSD_score_acoustic_balanced</t>
        </is>
      </c>
      <c r="C112" s="15" t="n">
        <v>0</v>
      </c>
      <c r="D112" s="15" t="n">
        <v>0</v>
      </c>
      <c r="E112" s="15" t="b">
        <v>0</v>
      </c>
      <c r="F112" s="15" t="n">
        <v>25</v>
      </c>
      <c r="G112" s="15" t="n">
        <v>17.9375</v>
      </c>
      <c r="H112" s="15" t="n">
        <v>4</v>
      </c>
      <c r="I112" s="15" t="b">
        <v>0</v>
      </c>
    </row>
  </sheetData>
  <autoFilter ref="A1:I11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>
      <c r="A1" s="11" t="inlineStr">
        <is>
          <t>primary_statistics_status</t>
        </is>
      </c>
    </row>
    <row r="2">
      <c r="A2" s="15" t="inlineStr">
        <is>
          <t>no rows passed valid_for_primary_statistics + is_primary_comparable_profile filters</t>
        </is>
      </c>
    </row>
  </sheetData>
  <autoFilter ref="A1:A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F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0" customWidth="1" min="4" max="4"/>
    <col width="22" customWidth="1" min="5" max="5"/>
    <col width="24" customWidth="1" min="6" max="6"/>
    <col width="21" customWidth="1" min="7" max="7"/>
    <col width="19" customWidth="1" min="8" max="8"/>
    <col width="33" customWidth="1" min="9" max="9"/>
    <col width="35" customWidth="1" min="10" max="10"/>
    <col width="32" customWidth="1" min="11" max="11"/>
    <col width="28" customWidth="1" min="12" max="12"/>
    <col width="28" customWidth="1" min="13" max="13"/>
    <col width="27" customWidth="1" min="14" max="14"/>
    <col width="40" customWidth="1" min="15" max="15"/>
    <col width="42" customWidth="1" min="16" max="16"/>
    <col width="39" customWidth="1" min="17" max="17"/>
    <col width="20" customWidth="1" min="18" max="18"/>
    <col width="24" customWidth="1" min="19" max="19"/>
    <col width="26" customWidth="1" min="20" max="20"/>
    <col width="23" customWidth="1" min="21" max="21"/>
    <col width="22" customWidth="1" min="22" max="22"/>
    <col width="22" customWidth="1" min="23" max="23"/>
    <col width="48" customWidth="1" min="24" max="24"/>
    <col width="48" customWidth="1" min="25" max="25"/>
    <col width="28" customWidth="1" min="26" max="26"/>
    <col width="23" customWidth="1" min="27" max="27"/>
    <col width="31" customWidth="1" min="28" max="28"/>
    <col width="31" customWidth="1" min="29" max="29"/>
    <col width="22" customWidth="1" min="30" max="30"/>
    <col width="25" customWidth="1" min="31" max="31"/>
    <col width="26" customWidth="1" min="32" max="32"/>
  </cols>
  <sheetData>
    <row r="1">
      <c r="A1" s="11" t="inlineStr">
        <is>
          <t>Note</t>
        </is>
      </c>
      <c r="B1" s="11" t="inlineStr">
        <is>
          <t>MIDI</t>
        </is>
      </c>
      <c r="C1" s="11" t="inlineStr">
        <is>
          <t>Register</t>
        </is>
      </c>
      <c r="D1" s="11" t="inlineStr">
        <is>
          <t>Dynamic</t>
        </is>
      </c>
      <c r="E1" s="11" t="inlineStr">
        <is>
          <t>harmonic_density_sum</t>
        </is>
      </c>
      <c r="F1" s="11" t="inlineStr">
        <is>
          <t>inharmonic_density_sum</t>
        </is>
      </c>
      <c r="G1" s="11" t="inlineStr">
        <is>
          <t>subbass_density_sum</t>
        </is>
      </c>
      <c r="H1" s="11" t="inlineStr">
        <is>
          <t>Total sum</t>
        </is>
      </c>
      <c r="I1" s="11" t="inlineStr">
        <is>
          <t>component_harmonic_energy_ratio</t>
        </is>
      </c>
      <c r="J1" s="11" t="inlineStr">
        <is>
          <t>component_inharmonic_energy_ratio</t>
        </is>
      </c>
      <c r="K1" s="11" t="inlineStr">
        <is>
          <t>component_subbass_energy_ratio</t>
        </is>
      </c>
      <c r="L1" s="11" t="inlineStr">
        <is>
          <t>core_harmonic_energy_ratio</t>
        </is>
      </c>
      <c r="M1" s="11" t="inlineStr">
        <is>
          <t>core_residual_energy_ratio</t>
        </is>
      </c>
      <c r="N1" s="11" t="inlineStr">
        <is>
          <t>core_subbass_energy_ratio</t>
        </is>
      </c>
      <c r="O1" s="11" t="inlineStr">
        <is>
          <t>weighted_harmonic_density_contribution</t>
        </is>
      </c>
      <c r="P1" s="11" t="inlineStr">
        <is>
          <t>weighted_inharmonic_density_contribution</t>
        </is>
      </c>
      <c r="Q1" s="11" t="inlineStr">
        <is>
          <t>weighted_subbass_density_contribution</t>
        </is>
      </c>
      <c r="R1" s="11" t="inlineStr">
        <is>
          <t>density_metric_raw</t>
        </is>
      </c>
      <c r="S1" s="11" t="inlineStr">
        <is>
          <t>harmonic_amplitude_sum</t>
        </is>
      </c>
      <c r="T1" s="11" t="inlineStr">
        <is>
          <t>inharmonic_amplitude_sum</t>
        </is>
      </c>
      <c r="U1" s="11" t="inlineStr">
        <is>
          <t>subbass_amplitude_sum</t>
        </is>
      </c>
      <c r="V1" s="11" t="inlineStr">
        <is>
          <t>density_weighted_sum</t>
        </is>
      </c>
      <c r="W1" s="11" t="inlineStr">
        <is>
          <t>density_log_weighted</t>
        </is>
      </c>
      <c r="X1" s="11" t="inlineStr">
        <is>
          <t>amplitude_mass_chart_file</t>
        </is>
      </c>
      <c r="Y1" s="11" t="inlineStr">
        <is>
          <t>energy_ratio_chart_file</t>
        </is>
      </c>
      <c r="Z1" s="11" t="inlineStr">
        <is>
          <t>component_energy_ratio_sum</t>
        </is>
      </c>
      <c r="AA1" s="11" t="inlineStr">
        <is>
          <t>core_energy_ratio_sum</t>
        </is>
      </c>
      <c r="AB1" s="11" t="inlineStr">
        <is>
          <t>density_metric_raw_recomputed</t>
        </is>
      </c>
      <c r="AC1" s="11" t="inlineStr">
        <is>
          <t>density_metric_raw_difference</t>
        </is>
      </c>
      <c r="AD1" s="11" t="inlineStr">
        <is>
          <t>total_sum_recomputed</t>
        </is>
      </c>
      <c r="AE1" s="11" t="inlineStr">
        <is>
          <t>total_sum_difference</t>
        </is>
      </c>
      <c r="AF1" s="11" t="inlineStr">
        <is>
          <t>component_balance_status</t>
        </is>
      </c>
    </row>
    <row r="2">
      <c r="A2" t="inlineStr">
        <is>
          <t>B3</t>
        </is>
      </c>
      <c r="B2" t="n">
        <v>59</v>
      </c>
      <c r="C2" t="inlineStr">
        <is>
          <t>Middle</t>
        </is>
      </c>
      <c r="D2" t="inlineStr">
        <is>
          <t>pp</t>
        </is>
      </c>
      <c r="E2" s="15" t="n">
        <v>2.436362141939621</v>
      </c>
      <c r="F2" s="15" t="n">
        <v>1.731756217156635</v>
      </c>
      <c r="G2" s="15" t="n">
        <v>1.783870500695847</v>
      </c>
      <c r="H2" s="15" t="n">
        <v>5.951988859792102</v>
      </c>
      <c r="I2" s="19" t="n">
        <v>1</v>
      </c>
      <c r="J2" s="19" t="n">
        <v>0</v>
      </c>
      <c r="K2" s="19" t="n">
        <v>0</v>
      </c>
      <c r="L2" s="19" t="n">
        <v>0.7579924423454435</v>
      </c>
      <c r="M2" s="19" t="n">
        <v>0.2420075576545564</v>
      </c>
      <c r="N2" s="19" t="n">
        <v>0</v>
      </c>
      <c r="O2" s="15" t="n">
        <v>1.469658569169178</v>
      </c>
      <c r="P2" s="15" t="n">
        <v>0.5866190801471248</v>
      </c>
      <c r="Q2" s="15" t="n">
        <v>0.1035345288058248</v>
      </c>
      <c r="R2" s="15" t="n">
        <v>2.159812178122128</v>
      </c>
      <c r="S2" s="15" t="n">
        <v>136.0627162216749</v>
      </c>
      <c r="T2" s="15" t="n">
        <v>26.46039317997371</v>
      </c>
      <c r="U2" s="15" t="n">
        <v>29.89768463454104</v>
      </c>
      <c r="V2" s="15" t="n">
        <v>141.2478705201724</v>
      </c>
      <c r="W2" s="15" t="n">
        <v>0.5360989258106751</v>
      </c>
      <c r="X2" t="inlineStr">
        <is>
          <t>IOWA_flt_pp.B3_SustainStable/B3/component_amplitude_mass_pie.png</t>
        </is>
      </c>
      <c r="Y2" t="inlineStr">
        <is>
          <t>IOWA_flt_pp.B3_SustainStable/B3/component_energy_ratio_pie.png</t>
        </is>
      </c>
      <c r="Z2" s="19" t="n">
        <v>1</v>
      </c>
      <c r="AA2" s="19" t="n">
        <v>1</v>
      </c>
      <c r="AB2" s="15" t="n">
        <v>2.159812178122127</v>
      </c>
      <c r="AC2" s="15" t="n">
        <v>4.440892098500626e-16</v>
      </c>
      <c r="AD2" s="15" t="n">
        <v>5.951988859792102</v>
      </c>
      <c r="AE2" s="15" t="n">
        <v>-8.881784197001252e-16</v>
      </c>
      <c r="AF2" t="inlineStr">
        <is>
          <t>passed</t>
        </is>
      </c>
    </row>
    <row r="3">
      <c r="A3" t="inlineStr">
        <is>
          <t>C4</t>
        </is>
      </c>
      <c r="B3" t="n">
        <v>60</v>
      </c>
      <c r="C3" t="inlineStr">
        <is>
          <t>High</t>
        </is>
      </c>
      <c r="D3" t="inlineStr">
        <is>
          <t>pp</t>
        </is>
      </c>
      <c r="E3" s="15" t="n">
        <v>2.437362501781843</v>
      </c>
      <c r="F3" s="15" t="n">
        <v>1.494862636939286</v>
      </c>
      <c r="G3" s="15" t="n">
        <v>1.699265877219624</v>
      </c>
      <c r="H3" s="15" t="n">
        <v>5.631491015940753</v>
      </c>
      <c r="I3" s="19" t="n">
        <v>1</v>
      </c>
      <c r="J3" s="19" t="n">
        <v>0</v>
      </c>
      <c r="K3" s="19" t="n">
        <v>0</v>
      </c>
      <c r="L3" s="19" t="n">
        <v>0.7451045553878298</v>
      </c>
      <c r="M3" s="19" t="n">
        <v>0.2548954446121702</v>
      </c>
      <c r="N3" s="19" t="n">
        <v>0</v>
      </c>
      <c r="O3" s="15" t="n">
        <v>1.470262004672081</v>
      </c>
      <c r="P3" s="15" t="n">
        <v>0.5063732044614417</v>
      </c>
      <c r="Q3" s="15" t="n">
        <v>0.09862413882909271</v>
      </c>
      <c r="R3" s="15" t="n">
        <v>2.075259347962615</v>
      </c>
      <c r="S3" s="15" t="n">
        <v>136.3776392074245</v>
      </c>
      <c r="T3" s="15" t="n">
        <v>15.12545387702577</v>
      </c>
      <c r="U3" s="15" t="n">
        <v>24.51703761525057</v>
      </c>
      <c r="V3" s="15" t="n">
        <v>148.334068963212</v>
      </c>
      <c r="W3" s="15" t="n">
        <v>0.5362253349367255</v>
      </c>
      <c r="X3" t="inlineStr">
        <is>
          <t>IOWA_flt_pp.C4_SustainStable/C4/component_amplitude_mass_pie.png</t>
        </is>
      </c>
      <c r="Y3" t="inlineStr">
        <is>
          <t>IOWA_flt_pp.C4_SustainStable/C4/component_energy_ratio_pie.png</t>
        </is>
      </c>
      <c r="Z3" s="19" t="n">
        <v>1</v>
      </c>
      <c r="AA3" s="19" t="n">
        <v>1</v>
      </c>
      <c r="AB3" s="15" t="n">
        <v>2.075259347962615</v>
      </c>
      <c r="AC3" s="15" t="n">
        <v>0</v>
      </c>
      <c r="AD3" s="15" t="n">
        <v>5.631491015940753</v>
      </c>
      <c r="AE3" s="15" t="n">
        <v>0</v>
      </c>
      <c r="AF3" t="inlineStr">
        <is>
          <t>passed</t>
        </is>
      </c>
    </row>
    <row r="4">
      <c r="A4" t="inlineStr">
        <is>
          <t>C#4</t>
        </is>
      </c>
      <c r="B4" t="n">
        <v>61</v>
      </c>
      <c r="C4" t="inlineStr">
        <is>
          <t>High</t>
        </is>
      </c>
      <c r="D4" t="inlineStr">
        <is>
          <t>pp</t>
        </is>
      </c>
      <c r="E4" s="15" t="n">
        <v>2.447482721652468</v>
      </c>
      <c r="F4" s="15" t="n">
        <v>1.657947111276572</v>
      </c>
      <c r="G4" s="15" t="n">
        <v>1.685211641452673</v>
      </c>
      <c r="H4" s="15" t="n">
        <v>5.790641474381713</v>
      </c>
      <c r="I4" s="19" t="n">
        <v>1</v>
      </c>
      <c r="J4" s="19" t="n">
        <v>0</v>
      </c>
      <c r="K4" s="19" t="n">
        <v>0</v>
      </c>
      <c r="L4" s="19" t="n">
        <v>0.7411641947224819</v>
      </c>
      <c r="M4" s="19" t="n">
        <v>0.258835805277518</v>
      </c>
      <c r="N4" s="19" t="n">
        <v>0</v>
      </c>
      <c r="O4" s="15" t="n">
        <v>1.47636670790922</v>
      </c>
      <c r="P4" s="15" t="n">
        <v>0.5616168140262416</v>
      </c>
      <c r="Q4" s="15" t="n">
        <v>0.09780844134584514</v>
      </c>
      <c r="R4" s="15" t="n">
        <v>2.135791963281306</v>
      </c>
      <c r="S4" s="15" t="n">
        <v>139.6047069255395</v>
      </c>
      <c r="T4" s="15" t="n">
        <v>22.246632736006</v>
      </c>
      <c r="U4" s="15" t="n">
        <v>23.7204186575579</v>
      </c>
      <c r="V4" s="15" t="n">
        <v>160.9069342392096</v>
      </c>
      <c r="W4" s="15" t="n">
        <v>0.5375020982243069</v>
      </c>
      <c r="X4" t="inlineStr">
        <is>
          <t>IOWA_flt_pp.C#4_SustainStable/C#4/component_amplitude_mass_pie.png</t>
        </is>
      </c>
      <c r="Y4" t="inlineStr">
        <is>
          <t>IOWA_flt_pp.C#4_SustainStable/C#4/component_energy_ratio_pie.png</t>
        </is>
      </c>
      <c r="Z4" s="19" t="n">
        <v>1</v>
      </c>
      <c r="AA4" s="19" t="n">
        <v>0.9999999999999999</v>
      </c>
      <c r="AB4" s="15" t="n">
        <v>2.135791963281307</v>
      </c>
      <c r="AC4" s="15" t="n">
        <v>-8.881784197001252e-16</v>
      </c>
      <c r="AD4" s="15" t="n">
        <v>5.790641474381713</v>
      </c>
      <c r="AE4" s="15" t="n">
        <v>0</v>
      </c>
      <c r="AF4" t="inlineStr">
        <is>
          <t>passed</t>
        </is>
      </c>
    </row>
    <row r="5">
      <c r="A5" t="inlineStr">
        <is>
          <t>D4</t>
        </is>
      </c>
      <c r="B5" t="n">
        <v>62</v>
      </c>
      <c r="C5" t="inlineStr">
        <is>
          <t>High</t>
        </is>
      </c>
      <c r="D5" t="inlineStr">
        <is>
          <t>pp</t>
        </is>
      </c>
      <c r="E5" s="15" t="n">
        <v>2.438822006479602</v>
      </c>
      <c r="F5" s="15" t="n">
        <v>1.653519176127227</v>
      </c>
      <c r="G5" s="15" t="n">
        <v>1.473177576095986</v>
      </c>
      <c r="H5" s="15" t="n">
        <v>5.565518758702815</v>
      </c>
      <c r="I5" s="19" t="n">
        <v>1</v>
      </c>
      <c r="J5" s="19" t="n">
        <v>0</v>
      </c>
      <c r="K5" s="19" t="n">
        <v>0</v>
      </c>
      <c r="L5" s="19" t="n">
        <v>0.7410676487056388</v>
      </c>
      <c r="M5" s="19" t="n">
        <v>0.2589323512943612</v>
      </c>
      <c r="N5" s="19" t="n">
        <v>0</v>
      </c>
      <c r="O5" s="15" t="n">
        <v>1.471142404818217</v>
      </c>
      <c r="P5" s="15" t="n">
        <v>0.5601168850994528</v>
      </c>
      <c r="Q5" s="15" t="n">
        <v>0.08550214050230029</v>
      </c>
      <c r="R5" s="15" t="n">
        <v>2.11676143041997</v>
      </c>
      <c r="S5" s="15" t="n">
        <v>136.838408627743</v>
      </c>
      <c r="T5" s="15" t="n">
        <v>22.01589322417152</v>
      </c>
      <c r="U5" s="15" t="n">
        <v>14.36440673544402</v>
      </c>
      <c r="V5" s="15" t="n">
        <v>159.788413335502</v>
      </c>
      <c r="W5" s="15" t="n">
        <v>0.536409697309581</v>
      </c>
      <c r="X5" t="inlineStr">
        <is>
          <t>IOWA_flt_pp.D4_SustainStable/D4/component_amplitude_mass_pie.png</t>
        </is>
      </c>
      <c r="Y5" t="inlineStr">
        <is>
          <t>IOWA_flt_pp.D4_SustainStable/D4/component_energy_ratio_pie.png</t>
        </is>
      </c>
      <c r="Z5" s="19" t="n">
        <v>1</v>
      </c>
      <c r="AA5" s="19" t="n">
        <v>1</v>
      </c>
      <c r="AB5" s="15" t="n">
        <v>2.11676143041997</v>
      </c>
      <c r="AC5" s="15" t="n">
        <v>-4.440892098500626e-16</v>
      </c>
      <c r="AD5" s="15" t="n">
        <v>5.565518758702814</v>
      </c>
      <c r="AE5" s="15" t="n">
        <v>8.881784197001252e-16</v>
      </c>
      <c r="AF5" t="inlineStr">
        <is>
          <t>passed</t>
        </is>
      </c>
    </row>
    <row r="6">
      <c r="A6" t="inlineStr">
        <is>
          <t>D#4</t>
        </is>
      </c>
      <c r="B6" t="n">
        <v>63</v>
      </c>
      <c r="C6" t="inlineStr">
        <is>
          <t>High</t>
        </is>
      </c>
      <c r="D6" t="inlineStr">
        <is>
          <t>pp</t>
        </is>
      </c>
      <c r="E6" s="15" t="n">
        <v>2.430904078744872</v>
      </c>
      <c r="F6" s="15" t="n">
        <v>1.546613492242532</v>
      </c>
      <c r="G6" s="15" t="n">
        <v>1.468212120974713</v>
      </c>
      <c r="H6" s="15" t="n">
        <v>5.445729691962116</v>
      </c>
      <c r="I6" s="19" t="n">
        <v>1</v>
      </c>
      <c r="J6" s="19" t="n">
        <v>0</v>
      </c>
      <c r="K6" s="19" t="n">
        <v>0</v>
      </c>
      <c r="L6" s="19" t="n">
        <v>0.7580311211240678</v>
      </c>
      <c r="M6" s="19" t="n">
        <v>0.2419688788759322</v>
      </c>
      <c r="N6" s="19" t="n">
        <v>0</v>
      </c>
      <c r="O6" s="15" t="n">
        <v>1.466366164806482</v>
      </c>
      <c r="P6" s="15" t="n">
        <v>0.5239034080975294</v>
      </c>
      <c r="Q6" s="15" t="n">
        <v>0.08521394914755397</v>
      </c>
      <c r="R6" s="15" t="n">
        <v>2.075483522051566</v>
      </c>
      <c r="S6" s="15" t="n">
        <v>134.3571828512237</v>
      </c>
      <c r="T6" s="15" t="n">
        <v>17.10287060500038</v>
      </c>
      <c r="U6" s="15" t="n">
        <v>14.19542414318468</v>
      </c>
      <c r="V6" s="15" t="n">
        <v>174.4580991344237</v>
      </c>
      <c r="W6" s="15" t="n">
        <v>0.535408576215855</v>
      </c>
      <c r="X6" t="inlineStr">
        <is>
          <t>IOWA_flt_pp.D#4_SustainStable/D#4/component_amplitude_mass_pie.png</t>
        </is>
      </c>
      <c r="Y6" t="inlineStr">
        <is>
          <t>IOWA_flt_pp.D#4_SustainStable/D#4/component_energy_ratio_pie.png</t>
        </is>
      </c>
      <c r="Z6" s="19" t="n">
        <v>1</v>
      </c>
      <c r="AA6" s="19" t="n">
        <v>1</v>
      </c>
      <c r="AB6" s="15" t="n">
        <v>2.075483522051565</v>
      </c>
      <c r="AC6" s="15" t="n">
        <v>8.881784197001252e-16</v>
      </c>
      <c r="AD6" s="15" t="n">
        <v>5.445729691962117</v>
      </c>
      <c r="AE6" s="15" t="n">
        <v>-8.881784197001252e-16</v>
      </c>
      <c r="AF6" t="inlineStr">
        <is>
          <t>passed</t>
        </is>
      </c>
    </row>
    <row r="7">
      <c r="A7" t="inlineStr">
        <is>
          <t>E4</t>
        </is>
      </c>
      <c r="B7" t="n">
        <v>64</v>
      </c>
      <c r="C7" t="inlineStr">
        <is>
          <t>High</t>
        </is>
      </c>
      <c r="D7" t="inlineStr">
        <is>
          <t>pp</t>
        </is>
      </c>
      <c r="E7" s="15" t="n">
        <v>2.467838503524548</v>
      </c>
      <c r="F7" s="15" t="n">
        <v>1.483213366273726</v>
      </c>
      <c r="G7" s="15" t="n">
        <v>1.552856237236311</v>
      </c>
      <c r="H7" s="15" t="n">
        <v>5.503908107034585</v>
      </c>
      <c r="I7" s="19" t="n">
        <v>1</v>
      </c>
      <c r="J7" s="19" t="n">
        <v>0</v>
      </c>
      <c r="K7" s="19" t="n">
        <v>0</v>
      </c>
      <c r="L7" s="19" t="n">
        <v>0.7585515440435171</v>
      </c>
      <c r="M7" s="19" t="n">
        <v>0.241448455956483</v>
      </c>
      <c r="N7" s="19" t="n">
        <v>0</v>
      </c>
      <c r="O7" s="15" t="n">
        <v>1.488645690883657</v>
      </c>
      <c r="P7" s="15" t="n">
        <v>0.502427103749047</v>
      </c>
      <c r="Q7" s="15" t="n">
        <v>0.0901266312564355</v>
      </c>
      <c r="R7" s="15" t="n">
        <v>2.081199425889139</v>
      </c>
      <c r="S7" s="15" t="n">
        <v>146.3278731237649</v>
      </c>
      <c r="T7" s="15" t="n">
        <v>14.71189680648414</v>
      </c>
      <c r="U7" s="15" t="n">
        <v>17.35772955635607</v>
      </c>
      <c r="V7" s="15" t="n">
        <v>198.9333317085364</v>
      </c>
      <c r="W7" s="15" t="n">
        <v>0.5400588642767092</v>
      </c>
      <c r="X7" t="inlineStr">
        <is>
          <t>IOWA_flt_pp.E4_SustainStable/E4/component_amplitude_mass_pie.png</t>
        </is>
      </c>
      <c r="Y7" t="inlineStr">
        <is>
          <t>IOWA_flt_pp.E4_SustainStable/E4/component_energy_ratio_pie.png</t>
        </is>
      </c>
      <c r="Z7" s="19" t="n">
        <v>1</v>
      </c>
      <c r="AA7" s="19" t="n">
        <v>1</v>
      </c>
      <c r="AB7" s="15" t="n">
        <v>2.08119942588914</v>
      </c>
      <c r="AC7" s="15" t="n">
        <v>-8.881784197001252e-16</v>
      </c>
      <c r="AD7" s="15" t="n">
        <v>5.503908107034585</v>
      </c>
      <c r="AE7" s="15" t="n">
        <v>0</v>
      </c>
      <c r="AF7" t="inlineStr">
        <is>
          <t>passed</t>
        </is>
      </c>
    </row>
    <row r="8">
      <c r="A8" t="inlineStr">
        <is>
          <t>F4</t>
        </is>
      </c>
      <c r="B8" t="n">
        <v>65</v>
      </c>
      <c r="C8" t="inlineStr">
        <is>
          <t>High</t>
        </is>
      </c>
      <c r="D8" t="inlineStr">
        <is>
          <t>pp</t>
        </is>
      </c>
      <c r="E8" s="15" t="n">
        <v>2.546618341540176</v>
      </c>
      <c r="F8" s="15" t="n">
        <v>1.59179997553745</v>
      </c>
      <c r="G8" s="15" t="n">
        <v>1.793159381722212</v>
      </c>
      <c r="H8" s="15" t="n">
        <v>5.931577698799838</v>
      </c>
      <c r="I8" s="19" t="n">
        <v>1</v>
      </c>
      <c r="J8" s="19" t="n">
        <v>0</v>
      </c>
      <c r="K8" s="19" t="n">
        <v>0</v>
      </c>
      <c r="L8" s="19" t="n">
        <v>0.781249121711343</v>
      </c>
      <c r="M8" s="19" t="n">
        <v>0.218750878288657</v>
      </c>
      <c r="N8" s="19" t="n">
        <v>0</v>
      </c>
      <c r="O8" s="15" t="n">
        <v>1.536167141830704</v>
      </c>
      <c r="P8" s="15" t="n">
        <v>0.5392099812762132</v>
      </c>
      <c r="Q8" s="15" t="n">
        <v>0.1040736486129089</v>
      </c>
      <c r="R8" s="15" t="n">
        <v>2.179450771719826</v>
      </c>
      <c r="S8" s="15" t="n">
        <v>175.5306715835089</v>
      </c>
      <c r="T8" s="15" t="n">
        <v>19.03304631705687</v>
      </c>
      <c r="U8" s="15" t="n">
        <v>30.55484643790059</v>
      </c>
      <c r="V8" s="15" t="n">
        <v>339.1704392797926</v>
      </c>
      <c r="W8" s="15" t="n">
        <v>0.5498144557171616</v>
      </c>
      <c r="X8" t="inlineStr">
        <is>
          <t>IOWA_flt_pp.F4_SustainStable/F4/component_amplitude_mass_pie.png</t>
        </is>
      </c>
      <c r="Y8" t="inlineStr">
        <is>
          <t>IOWA_flt_pp.F4_SustainStable/F4/component_energy_ratio_pie.png</t>
        </is>
      </c>
      <c r="Z8" s="19" t="n">
        <v>1</v>
      </c>
      <c r="AA8" s="19" t="n">
        <v>1</v>
      </c>
      <c r="AB8" s="15" t="n">
        <v>2.179450771719826</v>
      </c>
      <c r="AC8" s="15" t="n">
        <v>0</v>
      </c>
      <c r="AD8" s="15" t="n">
        <v>5.931577698799838</v>
      </c>
      <c r="AE8" s="15" t="n">
        <v>0</v>
      </c>
      <c r="AF8" t="inlineStr">
        <is>
          <t>passed</t>
        </is>
      </c>
    </row>
    <row r="9">
      <c r="A9" t="inlineStr">
        <is>
          <t>F#4</t>
        </is>
      </c>
      <c r="B9" t="n">
        <v>66</v>
      </c>
      <c r="C9" t="inlineStr">
        <is>
          <t>High</t>
        </is>
      </c>
      <c r="D9" t="inlineStr">
        <is>
          <t>pp</t>
        </is>
      </c>
      <c r="E9" s="15" t="n">
        <v>2.51051597321511</v>
      </c>
      <c r="F9" s="15" t="n">
        <v>1.550197563003141</v>
      </c>
      <c r="G9" s="15" t="n">
        <v>1.746459601749475</v>
      </c>
      <c r="H9" s="15" t="n">
        <v>5.807173137967727</v>
      </c>
      <c r="I9" s="19" t="n">
        <v>1</v>
      </c>
      <c r="J9" s="19" t="n">
        <v>0</v>
      </c>
      <c r="K9" s="19" t="n">
        <v>0</v>
      </c>
      <c r="L9" s="19" t="n">
        <v>0.7554723841446258</v>
      </c>
      <c r="M9" s="19" t="n">
        <v>0.2445276158553741</v>
      </c>
      <c r="N9" s="19" t="n">
        <v>0</v>
      </c>
      <c r="O9" s="15" t="n">
        <v>1.514389527549605</v>
      </c>
      <c r="P9" s="15" t="n">
        <v>0.5251174844622867</v>
      </c>
      <c r="Q9" s="15" t="n">
        <v>0.1013632278099823</v>
      </c>
      <c r="R9" s="15" t="n">
        <v>2.140870239821874</v>
      </c>
      <c r="S9" s="15" t="n">
        <v>161.4891690187924</v>
      </c>
      <c r="T9" s="15" t="n">
        <v>17.24874162792291</v>
      </c>
      <c r="U9" s="15" t="n">
        <v>27.38878576012807</v>
      </c>
      <c r="V9" s="15" t="n">
        <v>265.2771378051285</v>
      </c>
      <c r="W9" s="15" t="n">
        <v>0.545370953460538</v>
      </c>
      <c r="X9" t="inlineStr">
        <is>
          <t>IOWA_flt_pp.F#4_SustainStable/F#4/component_amplitude_mass_pie.png</t>
        </is>
      </c>
      <c r="Y9" t="inlineStr">
        <is>
          <t>IOWA_flt_pp.F#4_SustainStable/F#4/component_energy_ratio_pie.png</t>
        </is>
      </c>
      <c r="Z9" s="19" t="n">
        <v>1</v>
      </c>
      <c r="AA9" s="19" t="n">
        <v>0.9999999999999999</v>
      </c>
      <c r="AB9" s="15" t="n">
        <v>2.140870239821874</v>
      </c>
      <c r="AC9" s="15" t="n">
        <v>0</v>
      </c>
      <c r="AD9" s="15" t="n">
        <v>5.807173137967726</v>
      </c>
      <c r="AE9" s="15" t="n">
        <v>8.881784197001252e-16</v>
      </c>
      <c r="AF9" t="inlineStr">
        <is>
          <t>passed</t>
        </is>
      </c>
    </row>
    <row r="10">
      <c r="A10" t="inlineStr">
        <is>
          <t>G4</t>
        </is>
      </c>
      <c r="B10" t="n">
        <v>67</v>
      </c>
      <c r="C10" t="inlineStr">
        <is>
          <t>High</t>
        </is>
      </c>
      <c r="D10" t="inlineStr">
        <is>
          <t>pp</t>
        </is>
      </c>
      <c r="E10" s="15" t="n">
        <v>2.577865905597653</v>
      </c>
      <c r="F10" s="15" t="n">
        <v>1.649774626397079</v>
      </c>
      <c r="G10" s="15" t="n">
        <v>1.744579200205965</v>
      </c>
      <c r="H10" s="15" t="n">
        <v>5.972219732200697</v>
      </c>
      <c r="I10" s="19" t="n">
        <v>1</v>
      </c>
      <c r="J10" s="19" t="n">
        <v>0</v>
      </c>
      <c r="K10" s="19" t="n">
        <v>0</v>
      </c>
      <c r="L10" s="19" t="n">
        <v>0.7852437411926503</v>
      </c>
      <c r="M10" s="19" t="n">
        <v>0.2147562588073496</v>
      </c>
      <c r="N10" s="19" t="n">
        <v>0</v>
      </c>
      <c r="O10" s="15" t="n">
        <v>1.555016248657727</v>
      </c>
      <c r="P10" s="15" t="n">
        <v>0.5588484477198133</v>
      </c>
      <c r="Q10" s="15" t="n">
        <v>0.1012540906906135</v>
      </c>
      <c r="R10" s="15" t="n">
        <v>2.215118787068154</v>
      </c>
      <c r="S10" s="15" t="n">
        <v>188.6628766973787</v>
      </c>
      <c r="T10" s="15" t="n">
        <v>21.82259247276743</v>
      </c>
      <c r="U10" s="15" t="n">
        <v>27.26829436519386</v>
      </c>
      <c r="V10" s="15" t="n">
        <v>389.708469600637</v>
      </c>
      <c r="W10" s="15" t="n">
        <v>0.5536240596661506</v>
      </c>
      <c r="X10" t="inlineStr">
        <is>
          <t>IOWA_flt_pp.G4_SustainStable/G4/component_amplitude_mass_pie.png</t>
        </is>
      </c>
      <c r="Y10" t="inlineStr">
        <is>
          <t>IOWA_flt_pp.G4_SustainStable/G4/component_energy_ratio_pie.png</t>
        </is>
      </c>
      <c r="Z10" s="19" t="n">
        <v>1</v>
      </c>
      <c r="AA10" s="19" t="n">
        <v>0.9999999999999999</v>
      </c>
      <c r="AB10" s="15" t="n">
        <v>2.215118787068154</v>
      </c>
      <c r="AC10" s="15" t="n">
        <v>0</v>
      </c>
      <c r="AD10" s="15" t="n">
        <v>5.972219732200697</v>
      </c>
      <c r="AE10" s="15" t="n">
        <v>0</v>
      </c>
      <c r="AF10" t="inlineStr">
        <is>
          <t>passed</t>
        </is>
      </c>
    </row>
    <row r="11">
      <c r="A11" t="inlineStr">
        <is>
          <t>G#4</t>
        </is>
      </c>
      <c r="B11" t="n">
        <v>68</v>
      </c>
      <c r="C11" t="inlineStr">
        <is>
          <t>High</t>
        </is>
      </c>
      <c r="D11" t="inlineStr">
        <is>
          <t>pp</t>
        </is>
      </c>
      <c r="E11" s="15" t="n">
        <v>2.517500716329375</v>
      </c>
      <c r="F11" s="15" t="n">
        <v>1.447667653723211</v>
      </c>
      <c r="G11" s="15" t="n">
        <v>1.764430468868313</v>
      </c>
      <c r="H11" s="15" t="n">
        <v>5.729598838920898</v>
      </c>
      <c r="I11" s="19" t="n">
        <v>1</v>
      </c>
      <c r="J11" s="19" t="n">
        <v>0</v>
      </c>
      <c r="K11" s="19" t="n">
        <v>0</v>
      </c>
      <c r="L11" s="19" t="n">
        <v>0.7746743737191384</v>
      </c>
      <c r="M11" s="19" t="n">
        <v>0.2253256262808617</v>
      </c>
      <c r="N11" s="19" t="n">
        <v>0</v>
      </c>
      <c r="O11" s="15" t="n">
        <v>1.518602853390874</v>
      </c>
      <c r="P11" s="15" t="n">
        <v>0.4903862674044293</v>
      </c>
      <c r="Q11" s="15" t="n">
        <v>0.1024062436895852</v>
      </c>
      <c r="R11" s="15" t="n">
        <v>2.111395364484888</v>
      </c>
      <c r="S11" s="15" t="n">
        <v>164.1154981848195</v>
      </c>
      <c r="T11" s="15" t="n">
        <v>13.51643792721294</v>
      </c>
      <c r="U11" s="15" t="n">
        <v>28.56701757419689</v>
      </c>
      <c r="V11" s="15" t="n">
        <v>371.6815397913475</v>
      </c>
      <c r="W11" s="15" t="n">
        <v>0.5462341945496726</v>
      </c>
      <c r="X11" t="inlineStr">
        <is>
          <t>IOWA_flt_pp.G#4_SustainStable/G#4/component_amplitude_mass_pie.png</t>
        </is>
      </c>
      <c r="Y11" t="inlineStr">
        <is>
          <t>IOWA_flt_pp.G#4_SustainStable/G#4/component_energy_ratio_pie.png</t>
        </is>
      </c>
      <c r="Z11" s="19" t="n">
        <v>1</v>
      </c>
      <c r="AA11" s="19" t="n">
        <v>1</v>
      </c>
      <c r="AB11" s="15" t="n">
        <v>2.111395364484888</v>
      </c>
      <c r="AC11" s="15" t="n">
        <v>-4.440892098500626e-16</v>
      </c>
      <c r="AD11" s="15" t="n">
        <v>5.729598838920899</v>
      </c>
      <c r="AE11" s="15" t="n">
        <v>-8.881784197001252e-16</v>
      </c>
      <c r="AF11" t="inlineStr">
        <is>
          <t>passed</t>
        </is>
      </c>
    </row>
    <row r="12">
      <c r="A12" t="inlineStr">
        <is>
          <t>A4</t>
        </is>
      </c>
      <c r="B12" t="n">
        <v>69</v>
      </c>
      <c r="C12" t="inlineStr">
        <is>
          <t>High</t>
        </is>
      </c>
      <c r="D12" t="inlineStr">
        <is>
          <t>pp</t>
        </is>
      </c>
      <c r="E12" s="15" t="n">
        <v>2.48740223479574</v>
      </c>
      <c r="F12" s="15" t="n">
        <v>1.538287168642253</v>
      </c>
      <c r="G12" s="15" t="n">
        <v>1.658377144407004</v>
      </c>
      <c r="H12" s="15" t="n">
        <v>5.684066547844997</v>
      </c>
      <c r="I12" s="19" t="n">
        <v>1</v>
      </c>
      <c r="J12" s="19" t="n">
        <v>0</v>
      </c>
      <c r="K12" s="19" t="n">
        <v>0</v>
      </c>
      <c r="L12" s="19" t="n">
        <v>0.7611557193294999</v>
      </c>
      <c r="M12" s="19" t="n">
        <v>0.2388442806705001</v>
      </c>
      <c r="N12" s="19" t="n">
        <v>0</v>
      </c>
      <c r="O12" s="15" t="n">
        <v>1.50044689433067</v>
      </c>
      <c r="P12" s="15" t="n">
        <v>0.5210829301093387</v>
      </c>
      <c r="Q12" s="15" t="n">
        <v>0.0962509869194835</v>
      </c>
      <c r="R12" s="15" t="n">
        <v>2.117780811359492</v>
      </c>
      <c r="S12" s="15" t="n">
        <v>153.0932885711639</v>
      </c>
      <c r="T12" s="15" t="n">
        <v>16.76860171405542</v>
      </c>
      <c r="U12" s="15" t="n">
        <v>22.26916733085261</v>
      </c>
      <c r="V12" s="15" t="n">
        <v>305.4005680311961</v>
      </c>
      <c r="W12" s="15" t="n">
        <v>0.5425020415192542</v>
      </c>
      <c r="X12" t="inlineStr">
        <is>
          <t>IOWA_flt_pp.A4_SustainStable/A4/component_amplitude_mass_pie.png</t>
        </is>
      </c>
      <c r="Y12" t="inlineStr">
        <is>
          <t>IOWA_flt_pp.A4_SustainStable/A4/component_energy_ratio_pie.png</t>
        </is>
      </c>
      <c r="Z12" s="19" t="n">
        <v>1</v>
      </c>
      <c r="AA12" s="19" t="n">
        <v>1</v>
      </c>
      <c r="AB12" s="15" t="n">
        <v>2.117780811359492</v>
      </c>
      <c r="AC12" s="15" t="n">
        <v>-4.440892098500626e-16</v>
      </c>
      <c r="AD12" s="15" t="n">
        <v>5.684066547844997</v>
      </c>
      <c r="AE12" s="15" t="n">
        <v>0</v>
      </c>
      <c r="AF12" t="inlineStr">
        <is>
          <t>passed</t>
        </is>
      </c>
    </row>
    <row r="13">
      <c r="A13" t="inlineStr">
        <is>
          <t>A#4</t>
        </is>
      </c>
      <c r="B13" t="n">
        <v>70</v>
      </c>
      <c r="C13" t="inlineStr">
        <is>
          <t>High</t>
        </is>
      </c>
      <c r="D13" t="inlineStr">
        <is>
          <t>pp</t>
        </is>
      </c>
      <c r="E13" s="15" t="n">
        <v>2.445854398066974</v>
      </c>
      <c r="F13" s="15" t="n">
        <v>1.471626065854411</v>
      </c>
      <c r="G13" s="15" t="n">
        <v>1.587977283853751</v>
      </c>
      <c r="H13" s="15" t="n">
        <v>5.505457747775137</v>
      </c>
      <c r="I13" s="19" t="n">
        <v>1</v>
      </c>
      <c r="J13" s="19" t="n">
        <v>0</v>
      </c>
      <c r="K13" s="19" t="n">
        <v>0</v>
      </c>
      <c r="L13" s="19" t="n">
        <v>0.756770658624083</v>
      </c>
      <c r="M13" s="19" t="n">
        <v>0.2432293413759169</v>
      </c>
      <c r="N13" s="19" t="n">
        <v>0</v>
      </c>
      <c r="O13" s="15" t="n">
        <v>1.475384473097076</v>
      </c>
      <c r="P13" s="15" t="n">
        <v>0.4985019949802577</v>
      </c>
      <c r="Q13" s="15" t="n">
        <v>0.092165030911167</v>
      </c>
      <c r="R13" s="15" t="n">
        <v>2.0660514989885</v>
      </c>
      <c r="S13" s="15" t="n">
        <v>139.0803883782596</v>
      </c>
      <c r="T13" s="15" t="n">
        <v>14.31139861666641</v>
      </c>
      <c r="U13" s="15" t="n">
        <v>18.86186948036529</v>
      </c>
      <c r="V13" s="15" t="n">
        <v>280.3332751903304</v>
      </c>
      <c r="W13" s="15" t="n">
        <v>0.5372969227196698</v>
      </c>
      <c r="X13" t="inlineStr">
        <is>
          <t>IOWA_flt_pp.A#4_SustainStable/A#4/component_amplitude_mass_pie.png</t>
        </is>
      </c>
      <c r="Y13" t="inlineStr">
        <is>
          <t>IOWA_flt_pp.A#4_SustainStable/A#4/component_energy_ratio_pie.png</t>
        </is>
      </c>
      <c r="Z13" s="19" t="n">
        <v>1</v>
      </c>
      <c r="AA13" s="19" t="n">
        <v>0.9999999999999999</v>
      </c>
      <c r="AB13" s="15" t="n">
        <v>2.066051498988501</v>
      </c>
      <c r="AC13" s="15" t="n">
        <v>-4.440892098500626e-16</v>
      </c>
      <c r="AD13" s="15" t="n">
        <v>5.505457747775136</v>
      </c>
      <c r="AE13" s="15" t="n">
        <v>8.881784197001252e-16</v>
      </c>
      <c r="AF13" t="inlineStr">
        <is>
          <t>passed</t>
        </is>
      </c>
    </row>
    <row r="14">
      <c r="A14" t="inlineStr">
        <is>
          <t>B4</t>
        </is>
      </c>
      <c r="B14" t="n">
        <v>71</v>
      </c>
      <c r="C14" t="inlineStr">
        <is>
          <t>High</t>
        </is>
      </c>
      <c r="D14" t="inlineStr">
        <is>
          <t>pp</t>
        </is>
      </c>
      <c r="E14" s="15" t="n">
        <v>2.388165178109013</v>
      </c>
      <c r="F14" s="15" t="n">
        <v>1.395225680971788</v>
      </c>
      <c r="G14" s="15" t="n">
        <v>1.486383062570804</v>
      </c>
      <c r="H14" s="15" t="n">
        <v>5.269773921651605</v>
      </c>
      <c r="I14" s="19" t="n">
        <v>1</v>
      </c>
      <c r="J14" s="19" t="n">
        <v>0</v>
      </c>
      <c r="K14" s="19" t="n">
        <v>0</v>
      </c>
      <c r="L14" s="19" t="n">
        <v>0.754635504618057</v>
      </c>
      <c r="M14" s="19" t="n">
        <v>0.2453644953819431</v>
      </c>
      <c r="N14" s="19" t="n">
        <v>0</v>
      </c>
      <c r="O14" s="15" t="n">
        <v>1.440585271861579</v>
      </c>
      <c r="P14" s="15" t="n">
        <v>0.472621953055929</v>
      </c>
      <c r="Q14" s="15" t="n">
        <v>0.08626857720232342</v>
      </c>
      <c r="R14" s="15" t="n">
        <v>1.999475802119832</v>
      </c>
      <c r="S14" s="15" t="n">
        <v>121.7180027819688</v>
      </c>
      <c r="T14" s="15" t="n">
        <v>11.92211899924375</v>
      </c>
      <c r="U14" s="15" t="n">
        <v>14.82332690740899</v>
      </c>
      <c r="V14" s="15" t="n">
        <v>265.0927811376121</v>
      </c>
      <c r="W14" s="15" t="n">
        <v>0.5299645746789261</v>
      </c>
      <c r="X14" t="inlineStr">
        <is>
          <t>IOWA_flt_pp.B4_SustainStable/B4/component_amplitude_mass_pie.png</t>
        </is>
      </c>
      <c r="Y14" t="inlineStr">
        <is>
          <t>IOWA_flt_pp.B4_SustainStable/B4/component_energy_ratio_pie.png</t>
        </is>
      </c>
      <c r="Z14" s="19" t="n">
        <v>1</v>
      </c>
      <c r="AA14" s="19" t="n">
        <v>1</v>
      </c>
      <c r="AB14" s="15" t="n">
        <v>1.999475802119832</v>
      </c>
      <c r="AC14" s="15" t="n">
        <v>4.440892098500626e-16</v>
      </c>
      <c r="AD14" s="15" t="n">
        <v>5.269773921651606</v>
      </c>
      <c r="AE14" s="15" t="n">
        <v>-8.881784197001252e-16</v>
      </c>
      <c r="AF14" t="inlineStr">
        <is>
          <t>passed</t>
        </is>
      </c>
    </row>
    <row r="15">
      <c r="A15" t="inlineStr">
        <is>
          <t>C5</t>
        </is>
      </c>
      <c r="B15" t="n">
        <v>72</v>
      </c>
      <c r="C15" t="inlineStr">
        <is>
          <t>Very high</t>
        </is>
      </c>
      <c r="D15" t="inlineStr">
        <is>
          <t>pp</t>
        </is>
      </c>
      <c r="E15" s="15" t="n">
        <v>2.366477172318856</v>
      </c>
      <c r="F15" s="15" t="n">
        <v>1.695201150572765</v>
      </c>
      <c r="G15" s="15" t="n">
        <v>1.467833745636082</v>
      </c>
      <c r="H15" s="15" t="n">
        <v>5.529512068527703</v>
      </c>
      <c r="I15" s="19" t="n">
        <v>1</v>
      </c>
      <c r="J15" s="19" t="n">
        <v>0</v>
      </c>
      <c r="K15" s="19" t="n">
        <v>0</v>
      </c>
      <c r="L15" s="19" t="n">
        <v>0.7521997590804294</v>
      </c>
      <c r="M15" s="19" t="n">
        <v>0.2478002409195706</v>
      </c>
      <c r="N15" s="19" t="n">
        <v>0</v>
      </c>
      <c r="O15" s="15" t="n">
        <v>1.427502666854295</v>
      </c>
      <c r="P15" s="15" t="n">
        <v>0.5742363328980027</v>
      </c>
      <c r="Q15" s="15" t="n">
        <v>0.08519198852183503</v>
      </c>
      <c r="R15" s="15" t="n">
        <v>2.086930988274133</v>
      </c>
      <c r="S15" s="15" t="n">
        <v>57.88225647943138</v>
      </c>
      <c r="T15" s="15" t="n">
        <v>12.14199299481362</v>
      </c>
      <c r="U15" s="15" t="n">
        <v>7.091313228408663</v>
      </c>
      <c r="V15" s="15" t="n">
        <v>65.52763993076428</v>
      </c>
      <c r="W15" s="15" t="n">
        <v>0.5271756739147415</v>
      </c>
      <c r="X15" t="inlineStr">
        <is>
          <t>IOWA_flt_pp.C5_SustainStable/C5/component_amplitude_mass_pie.png</t>
        </is>
      </c>
      <c r="Y15" t="inlineStr">
        <is>
          <t>IOWA_flt_pp.C5_SustainStable/C5/component_energy_ratio_pie.png</t>
        </is>
      </c>
      <c r="Z15" s="19" t="n">
        <v>1</v>
      </c>
      <c r="AA15" s="19" t="n">
        <v>1</v>
      </c>
      <c r="AB15" s="15" t="n">
        <v>2.086930988274132</v>
      </c>
      <c r="AC15" s="15" t="n">
        <v>4.440892098500626e-16</v>
      </c>
      <c r="AD15" s="15" t="n">
        <v>5.529512068527703</v>
      </c>
      <c r="AE15" s="15" t="n">
        <v>0</v>
      </c>
      <c r="AF15" t="inlineStr">
        <is>
          <t>passed</t>
        </is>
      </c>
    </row>
    <row r="16">
      <c r="A16" t="inlineStr">
        <is>
          <t>C#5</t>
        </is>
      </c>
      <c r="B16" t="n">
        <v>73</v>
      </c>
      <c r="C16" t="inlineStr">
        <is>
          <t>Very high</t>
        </is>
      </c>
      <c r="D16" t="inlineStr">
        <is>
          <t>pp</t>
        </is>
      </c>
      <c r="E16" s="15" t="n">
        <v>2.397054539120351</v>
      </c>
      <c r="F16" s="15" t="n">
        <v>1.668263215299607</v>
      </c>
      <c r="G16" s="15" t="n">
        <v>1.562137118155733</v>
      </c>
      <c r="H16" s="15" t="n">
        <v>5.627454872575692</v>
      </c>
      <c r="I16" s="19" t="n">
        <v>1</v>
      </c>
      <c r="J16" s="19" t="n">
        <v>0</v>
      </c>
      <c r="K16" s="19" t="n">
        <v>0</v>
      </c>
      <c r="L16" s="19" t="n">
        <v>0.7531017622540715</v>
      </c>
      <c r="M16" s="19" t="n">
        <v>0.2468982377459285</v>
      </c>
      <c r="N16" s="19" t="n">
        <v>0</v>
      </c>
      <c r="O16" s="15" t="n">
        <v>1.445947498338449</v>
      </c>
      <c r="P16" s="15" t="n">
        <v>0.5651113148068603</v>
      </c>
      <c r="Q16" s="15" t="n">
        <v>0.0906652867432102</v>
      </c>
      <c r="R16" s="15" t="n">
        <v>2.101724099888519</v>
      </c>
      <c r="S16" s="15" t="n">
        <v>62.12270050571838</v>
      </c>
      <c r="T16" s="15" t="n">
        <v>11.3967089858561</v>
      </c>
      <c r="U16" s="15" t="n">
        <v>8.871728187320157</v>
      </c>
      <c r="V16" s="15" t="n">
        <v>72.8860094830515</v>
      </c>
      <c r="W16" s="15" t="n">
        <v>0.5311025194484436</v>
      </c>
      <c r="X16" t="inlineStr">
        <is>
          <t>IOWA_flt_pp.C#5_SustainStable/C#5/component_amplitude_mass_pie.png</t>
        </is>
      </c>
      <c r="Y16" t="inlineStr">
        <is>
          <t>IOWA_flt_pp.C#5_SustainStable/C#5/component_energy_ratio_pie.png</t>
        </is>
      </c>
      <c r="Z16" s="19" t="n">
        <v>1</v>
      </c>
      <c r="AA16" s="19" t="n">
        <v>1</v>
      </c>
      <c r="AB16" s="15" t="n">
        <v>2.10172409988852</v>
      </c>
      <c r="AC16" s="15" t="n">
        <v>-4.440892098500626e-16</v>
      </c>
      <c r="AD16" s="15" t="n">
        <v>5.627454872575691</v>
      </c>
      <c r="AE16" s="15" t="n">
        <v>8.881784197001252e-16</v>
      </c>
      <c r="AF16" t="inlineStr">
        <is>
          <t>passed</t>
        </is>
      </c>
    </row>
    <row r="17">
      <c r="A17" t="inlineStr">
        <is>
          <t>D5</t>
        </is>
      </c>
      <c r="B17" t="n">
        <v>74</v>
      </c>
      <c r="C17" t="inlineStr">
        <is>
          <t>Very high</t>
        </is>
      </c>
      <c r="D17" t="inlineStr">
        <is>
          <t>pp</t>
        </is>
      </c>
      <c r="E17" s="15" t="n">
        <v>2.359925263663174</v>
      </c>
      <c r="F17" s="15" t="n">
        <v>1.583919647890139</v>
      </c>
      <c r="G17" s="15" t="n">
        <v>1.210207148121375</v>
      </c>
      <c r="H17" s="15" t="n">
        <v>5.154052059674687</v>
      </c>
      <c r="I17" s="19" t="n">
        <v>1</v>
      </c>
      <c r="J17" s="19" t="n">
        <v>0</v>
      </c>
      <c r="K17" s="19" t="n">
        <v>0</v>
      </c>
      <c r="L17" s="19" t="n">
        <v>0.7456739592721136</v>
      </c>
      <c r="M17" s="19" t="n">
        <v>0.2543260407278865</v>
      </c>
      <c r="N17" s="19" t="n">
        <v>0</v>
      </c>
      <c r="O17" s="15" t="n">
        <v>1.423550434739668</v>
      </c>
      <c r="P17" s="15" t="n">
        <v>0.5365405809819189</v>
      </c>
      <c r="Q17" s="15" t="n">
        <v>0.07023953072227591</v>
      </c>
      <c r="R17" s="15" t="n">
        <v>2.030330546443863</v>
      </c>
      <c r="S17" s="15" t="n">
        <v>57.01183646650104</v>
      </c>
      <c r="T17" s="15" t="n">
        <v>9.34090648692554</v>
      </c>
      <c r="U17" s="15" t="n">
        <v>3.806459616633018</v>
      </c>
      <c r="V17" s="15" t="n">
        <v>72.20879274745204</v>
      </c>
      <c r="W17" s="15" t="n">
        <v>0.5263296172887539</v>
      </c>
      <c r="X17" t="inlineStr">
        <is>
          <t>IOWA_flt_pp.D5_SustainStable/D5/component_amplitude_mass_pie.png</t>
        </is>
      </c>
      <c r="Y17" t="inlineStr">
        <is>
          <t>IOWA_flt_pp.D5_SustainStable/D5/component_energy_ratio_pie.png</t>
        </is>
      </c>
      <c r="Z17" s="19" t="n">
        <v>1</v>
      </c>
      <c r="AA17" s="19" t="n">
        <v>1</v>
      </c>
      <c r="AB17" s="15" t="n">
        <v>2.030330546443863</v>
      </c>
      <c r="AC17" s="15" t="n">
        <v>0</v>
      </c>
      <c r="AD17" s="15" t="n">
        <v>5.154052059674688</v>
      </c>
      <c r="AE17" s="15" t="n">
        <v>-1.77635683940025e-15</v>
      </c>
      <c r="AF17" t="inlineStr">
        <is>
          <t>passed</t>
        </is>
      </c>
    </row>
    <row r="18">
      <c r="A18" t="inlineStr">
        <is>
          <t>D#5</t>
        </is>
      </c>
      <c r="B18" t="n">
        <v>75</v>
      </c>
      <c r="C18" t="inlineStr">
        <is>
          <t>Very high</t>
        </is>
      </c>
      <c r="D18" t="inlineStr">
        <is>
          <t>pp</t>
        </is>
      </c>
      <c r="E18" s="15" t="n">
        <v>2.366231348006611</v>
      </c>
      <c r="F18" s="15" t="n">
        <v>1.627884260350769</v>
      </c>
      <c r="G18" s="15" t="n">
        <v>1.531722285627862</v>
      </c>
      <c r="H18" s="15" t="n">
        <v>5.525837893985242</v>
      </c>
      <c r="I18" s="19" t="n">
        <v>1</v>
      </c>
      <c r="J18" s="19" t="n">
        <v>0</v>
      </c>
      <c r="K18" s="19" t="n">
        <v>0</v>
      </c>
      <c r="L18" s="19" t="n">
        <v>0.7560052705659043</v>
      </c>
      <c r="M18" s="19" t="n">
        <v>0.2439947294340957</v>
      </c>
      <c r="N18" s="19" t="n">
        <v>0</v>
      </c>
      <c r="O18" s="15" t="n">
        <v>1.427354381096287</v>
      </c>
      <c r="P18" s="15" t="n">
        <v>0.5514332548266387</v>
      </c>
      <c r="Q18" s="15" t="n">
        <v>0.08890003228485525</v>
      </c>
      <c r="R18" s="15" t="n">
        <v>2.067687668207781</v>
      </c>
      <c r="S18" s="15" t="n">
        <v>57.84936110787791</v>
      </c>
      <c r="T18" s="15" t="n">
        <v>10.36266044359808</v>
      </c>
      <c r="U18" s="15" t="n">
        <v>8.254764538301094</v>
      </c>
      <c r="V18" s="15" t="n">
        <v>72.12908839899895</v>
      </c>
      <c r="W18" s="15" t="n">
        <v>0.5271439600385056</v>
      </c>
      <c r="X18" t="inlineStr">
        <is>
          <t>IOWA_flt_pp.D#5_SustainStable/D#5/component_amplitude_mass_pie.png</t>
        </is>
      </c>
      <c r="Y18" t="inlineStr">
        <is>
          <t>IOWA_flt_pp.D#5_SustainStable/D#5/component_energy_ratio_pie.png</t>
        </is>
      </c>
      <c r="Z18" s="19" t="n">
        <v>1</v>
      </c>
      <c r="AA18" s="19" t="n">
        <v>1</v>
      </c>
      <c r="AB18" s="15" t="n">
        <v>2.067687668207781</v>
      </c>
      <c r="AC18" s="15" t="n">
        <v>0</v>
      </c>
      <c r="AD18" s="15" t="n">
        <v>5.525837893985242</v>
      </c>
      <c r="AE18" s="15" t="n">
        <v>0</v>
      </c>
      <c r="AF18" t="inlineStr">
        <is>
          <t>passed</t>
        </is>
      </c>
    </row>
    <row r="19">
      <c r="A19" t="inlineStr">
        <is>
          <t>E5</t>
        </is>
      </c>
      <c r="B19" t="n">
        <v>76</v>
      </c>
      <c r="C19" t="inlineStr">
        <is>
          <t>Very high</t>
        </is>
      </c>
      <c r="D19" t="inlineStr">
        <is>
          <t>pp</t>
        </is>
      </c>
      <c r="E19" s="15" t="n">
        <v>2.365948298392226</v>
      </c>
      <c r="F19" s="15" t="n">
        <v>1.627895390053738</v>
      </c>
      <c r="G19" s="15" t="n">
        <v>1.360864141321943</v>
      </c>
      <c r="H19" s="15" t="n">
        <v>5.354707829767907</v>
      </c>
      <c r="I19" s="19" t="n">
        <v>1</v>
      </c>
      <c r="J19" s="19" t="n">
        <v>0</v>
      </c>
      <c r="K19" s="19" t="n">
        <v>0</v>
      </c>
      <c r="L19" s="19" t="n">
        <v>0.7525485158785286</v>
      </c>
      <c r="M19" s="19" t="n">
        <v>0.2474514841214714</v>
      </c>
      <c r="N19" s="19" t="n">
        <v>0</v>
      </c>
      <c r="O19" s="15" t="n">
        <v>1.427183640349614</v>
      </c>
      <c r="P19" s="15" t="n">
        <v>0.551437024927796</v>
      </c>
      <c r="Q19" s="15" t="n">
        <v>0.07898355154454897</v>
      </c>
      <c r="R19" s="15" t="n">
        <v>2.057604216821959</v>
      </c>
      <c r="S19" s="15" t="n">
        <v>57.81150742880516</v>
      </c>
      <c r="T19" s="15" t="n">
        <v>10.36293241866769</v>
      </c>
      <c r="U19" s="15" t="n">
        <v>5.488576162678356</v>
      </c>
      <c r="V19" s="15" t="n">
        <v>84.68891471048509</v>
      </c>
      <c r="W19" s="15" t="n">
        <v>0.5271074408449721</v>
      </c>
      <c r="X19" t="inlineStr">
        <is>
          <t>IOWA_flt_pp.E5_SustainStable/E5/component_amplitude_mass_pie.png</t>
        </is>
      </c>
      <c r="Y19" t="inlineStr">
        <is>
          <t>IOWA_flt_pp.E5_SustainStable/E5/component_energy_ratio_pie.png</t>
        </is>
      </c>
      <c r="Z19" s="19" t="n">
        <v>1</v>
      </c>
      <c r="AA19" s="19" t="n">
        <v>1</v>
      </c>
      <c r="AB19" s="15" t="n">
        <v>2.057604216821959</v>
      </c>
      <c r="AC19" s="15" t="n">
        <v>0</v>
      </c>
      <c r="AD19" s="15" t="n">
        <v>5.354707829767907</v>
      </c>
      <c r="AE19" s="15" t="n">
        <v>0</v>
      </c>
      <c r="AF19" t="inlineStr">
        <is>
          <t>passed</t>
        </is>
      </c>
    </row>
    <row r="20">
      <c r="A20" t="inlineStr">
        <is>
          <t>F5</t>
        </is>
      </c>
      <c r="B20" t="n">
        <v>77</v>
      </c>
      <c r="C20" t="inlineStr">
        <is>
          <t>Very high</t>
        </is>
      </c>
      <c r="D20" t="inlineStr">
        <is>
          <t>pp</t>
        </is>
      </c>
      <c r="E20" s="15" t="n">
        <v>2.370007180592821</v>
      </c>
      <c r="F20" s="15" t="n">
        <v>1.497152787309554</v>
      </c>
      <c r="G20" s="15" t="n">
        <v>1.311810502305936</v>
      </c>
      <c r="H20" s="15" t="n">
        <v>5.178970470208311</v>
      </c>
      <c r="I20" s="19" t="n">
        <v>1</v>
      </c>
      <c r="J20" s="19" t="n">
        <v>0</v>
      </c>
      <c r="K20" s="19" t="n">
        <v>0</v>
      </c>
      <c r="L20" s="19" t="n">
        <v>0.7651378644758958</v>
      </c>
      <c r="M20" s="19" t="n">
        <v>0.2348621355241043</v>
      </c>
      <c r="N20" s="19" t="n">
        <v>0</v>
      </c>
      <c r="O20" s="15" t="n">
        <v>1.429632032936524</v>
      </c>
      <c r="P20" s="15" t="n">
        <v>0.5071489752600655</v>
      </c>
      <c r="Q20" s="15" t="n">
        <v>0.0761365144979964</v>
      </c>
      <c r="R20" s="15" t="n">
        <v>2.012917522694586</v>
      </c>
      <c r="S20" s="15" t="n">
        <v>58.35668937365201</v>
      </c>
      <c r="T20" s="15" t="n">
        <v>7.604034343400342</v>
      </c>
      <c r="U20" s="15" t="n">
        <v>4.875668452743162</v>
      </c>
      <c r="V20" s="15" t="n">
        <v>94.72629130256867</v>
      </c>
      <c r="W20" s="15" t="n">
        <v>0.527630826238851</v>
      </c>
      <c r="X20" t="inlineStr">
        <is>
          <t>IOWA_flt_pp.F5_SustainStable/F5/component_amplitude_mass_pie.png</t>
        </is>
      </c>
      <c r="Y20" t="inlineStr">
        <is>
          <t>IOWA_flt_pp.F5_SustainStable/F5/component_energy_ratio_pie.png</t>
        </is>
      </c>
      <c r="Z20" s="19" t="n">
        <v>1</v>
      </c>
      <c r="AA20" s="19" t="n">
        <v>1</v>
      </c>
      <c r="AB20" s="15" t="n">
        <v>2.012917522694586</v>
      </c>
      <c r="AC20" s="15" t="n">
        <v>4.440892098500626e-16</v>
      </c>
      <c r="AD20" s="15" t="n">
        <v>5.178970470208311</v>
      </c>
      <c r="AE20" s="15" t="n">
        <v>0</v>
      </c>
      <c r="AF20" t="inlineStr">
        <is>
          <t>passed</t>
        </is>
      </c>
    </row>
    <row r="21">
      <c r="A21" t="inlineStr">
        <is>
          <t>F#5</t>
        </is>
      </c>
      <c r="B21" t="n">
        <v>78</v>
      </c>
      <c r="C21" t="inlineStr">
        <is>
          <t>Very high</t>
        </is>
      </c>
      <c r="D21" t="inlineStr">
        <is>
          <t>pp</t>
        </is>
      </c>
      <c r="E21" s="15" t="n">
        <v>2.375338402798072</v>
      </c>
      <c r="F21" s="15" t="n">
        <v>1.505145514680024</v>
      </c>
      <c r="G21" s="15" t="n">
        <v>1.332416362332304</v>
      </c>
      <c r="H21" s="15" t="n">
        <v>5.2129002798104</v>
      </c>
      <c r="I21" s="19" t="n">
        <v>1</v>
      </c>
      <c r="J21" s="19" t="n">
        <v>0</v>
      </c>
      <c r="K21" s="19" t="n">
        <v>0</v>
      </c>
      <c r="L21" s="19" t="n">
        <v>0.7558842136914404</v>
      </c>
      <c r="M21" s="19" t="n">
        <v>0.2441157863085597</v>
      </c>
      <c r="N21" s="19" t="n">
        <v>0</v>
      </c>
      <c r="O21" s="15" t="n">
        <v>1.432847924475478</v>
      </c>
      <c r="P21" s="15" t="n">
        <v>0.5098564500948491</v>
      </c>
      <c r="Q21" s="15" t="n">
        <v>0.07733246342345741</v>
      </c>
      <c r="R21" s="15" t="n">
        <v>2.020036837993785</v>
      </c>
      <c r="S21" s="15" t="n">
        <v>59.08055507679277</v>
      </c>
      <c r="T21" s="15" t="n">
        <v>7.749917777137322</v>
      </c>
      <c r="U21" s="15" t="n">
        <v>5.124726518540924</v>
      </c>
      <c r="V21" s="15" t="n">
        <v>95.80981879439895</v>
      </c>
      <c r="W21" s="15" t="n">
        <v>0.5283173206041921</v>
      </c>
      <c r="X21" t="inlineStr">
        <is>
          <t>IOWA_flt_pp.F#5_SustainStable/F#5/component_amplitude_mass_pie.png</t>
        </is>
      </c>
      <c r="Y21" t="inlineStr">
        <is>
          <t>IOWA_flt_pp.F#5_SustainStable/F#5/component_energy_ratio_pie.png</t>
        </is>
      </c>
      <c r="Z21" s="19" t="n">
        <v>1</v>
      </c>
      <c r="AA21" s="19" t="n">
        <v>1</v>
      </c>
      <c r="AB21" s="15" t="n">
        <v>2.020036837993785</v>
      </c>
      <c r="AC21" s="15" t="n">
        <v>4.440892098500626e-16</v>
      </c>
      <c r="AD21" s="15" t="n">
        <v>5.2129002798104</v>
      </c>
      <c r="AE21" s="15" t="n">
        <v>0</v>
      </c>
      <c r="AF21" t="inlineStr">
        <is>
          <t>passed</t>
        </is>
      </c>
    </row>
    <row r="22">
      <c r="A22" t="inlineStr">
        <is>
          <t>G5</t>
        </is>
      </c>
      <c r="B22" t="n">
        <v>79</v>
      </c>
      <c r="C22" t="inlineStr">
        <is>
          <t>Very high</t>
        </is>
      </c>
      <c r="D22" t="inlineStr">
        <is>
          <t>pp</t>
        </is>
      </c>
      <c r="E22" s="15" t="n">
        <v>2.408592678823542</v>
      </c>
      <c r="F22" s="15" t="n">
        <v>1.533304471608818</v>
      </c>
      <c r="G22" s="15" t="n">
        <v>1.284223169350216</v>
      </c>
      <c r="H22" s="15" t="n">
        <v>5.226120319782576</v>
      </c>
      <c r="I22" s="19" t="n">
        <v>1</v>
      </c>
      <c r="J22" s="19" t="n">
        <v>0</v>
      </c>
      <c r="K22" s="19" t="n">
        <v>0</v>
      </c>
      <c r="L22" s="19" t="n">
        <v>0.7660735569203622</v>
      </c>
      <c r="M22" s="19" t="n">
        <v>0.2339264430796378</v>
      </c>
      <c r="N22" s="19" t="n">
        <v>0</v>
      </c>
      <c r="O22" s="15" t="n">
        <v>1.452907516964237</v>
      </c>
      <c r="P22" s="15" t="n">
        <v>0.5193950798672275</v>
      </c>
      <c r="Q22" s="15" t="n">
        <v>0.07453536603039987</v>
      </c>
      <c r="R22" s="15" t="n">
        <v>2.046837962861864</v>
      </c>
      <c r="S22" s="15" t="n">
        <v>63.80199889661219</v>
      </c>
      <c r="T22" s="15" t="n">
        <v>8.285804905361729</v>
      </c>
      <c r="U22" s="15" t="n">
        <v>4.560200487795969</v>
      </c>
      <c r="V22" s="15" t="n">
        <v>112.3069831219306</v>
      </c>
      <c r="W22" s="15" t="n">
        <v>0.532575106858593</v>
      </c>
      <c r="X22" t="inlineStr">
        <is>
          <t>IOWA_flt_pp.G5_SustainStable/G5/component_amplitude_mass_pie.png</t>
        </is>
      </c>
      <c r="Y22" t="inlineStr">
        <is>
          <t>IOWA_flt_pp.G5_SustainStable/G5/component_energy_ratio_pie.png</t>
        </is>
      </c>
      <c r="Z22" s="19" t="n">
        <v>1</v>
      </c>
      <c r="AA22" s="19" t="n">
        <v>1</v>
      </c>
      <c r="AB22" s="15" t="n">
        <v>2.046837962861864</v>
      </c>
      <c r="AC22" s="15" t="n">
        <v>-4.440892098500626e-16</v>
      </c>
      <c r="AD22" s="15" t="n">
        <v>5.226120319782575</v>
      </c>
      <c r="AE22" s="15" t="n">
        <v>8.881784197001252e-16</v>
      </c>
      <c r="AF22" t="inlineStr">
        <is>
          <t>passed</t>
        </is>
      </c>
    </row>
    <row r="23">
      <c r="A23" t="inlineStr">
        <is>
          <t>G#5</t>
        </is>
      </c>
      <c r="B23" t="n">
        <v>80</v>
      </c>
      <c r="C23" t="inlineStr">
        <is>
          <t>Very high</t>
        </is>
      </c>
      <c r="D23" t="inlineStr">
        <is>
          <t>pp</t>
        </is>
      </c>
      <c r="E23" s="15" t="n">
        <v>2.38270224616838</v>
      </c>
      <c r="F23" s="15" t="n">
        <v>1.526091538178958</v>
      </c>
      <c r="G23" s="15" t="n">
        <v>1.026774230396359</v>
      </c>
      <c r="H23" s="15" t="n">
        <v>4.935568014743697</v>
      </c>
      <c r="I23" s="19" t="n">
        <v>1</v>
      </c>
      <c r="J23" s="19" t="n">
        <v>0</v>
      </c>
      <c r="K23" s="19" t="n">
        <v>0</v>
      </c>
      <c r="L23" s="19" t="n">
        <v>0.7674547450206517</v>
      </c>
      <c r="M23" s="19" t="n">
        <v>0.2325452549793482</v>
      </c>
      <c r="N23" s="19" t="n">
        <v>0</v>
      </c>
      <c r="O23" s="15" t="n">
        <v>1.437289930581588</v>
      </c>
      <c r="P23" s="15" t="n">
        <v>0.5169517542236596</v>
      </c>
      <c r="Q23" s="15" t="n">
        <v>0.05959321940274404</v>
      </c>
      <c r="R23" s="15" t="n">
        <v>2.013834904207992</v>
      </c>
      <c r="S23" s="15" t="n">
        <v>60.09513383817671</v>
      </c>
      <c r="T23" s="15" t="n">
        <v>8.145209665273569</v>
      </c>
      <c r="U23" s="15" t="n">
        <v>2.408974908199834</v>
      </c>
      <c r="V23" s="15" t="n">
        <v>113.5521536062888</v>
      </c>
      <c r="W23" s="15" t="n">
        <v>0.5292637717941616</v>
      </c>
      <c r="X23" t="inlineStr">
        <is>
          <t>IOWA_flt_pp.G#5_SustainStable/G#5/component_amplitude_mass_pie.png</t>
        </is>
      </c>
      <c r="Y23" t="inlineStr">
        <is>
          <t>IOWA_flt_pp.G#5_SustainStable/G#5/component_energy_ratio_pie.png</t>
        </is>
      </c>
      <c r="Z23" s="19" t="n">
        <v>1</v>
      </c>
      <c r="AA23" s="19" t="n">
        <v>0.9999999999999999</v>
      </c>
      <c r="AB23" s="15" t="n">
        <v>2.013834904207992</v>
      </c>
      <c r="AC23" s="15" t="n">
        <v>4.440892098500626e-16</v>
      </c>
      <c r="AD23" s="15" t="n">
        <v>4.935568014743697</v>
      </c>
      <c r="AE23" s="15" t="n">
        <v>0</v>
      </c>
      <c r="AF23" t="inlineStr">
        <is>
          <t>passed</t>
        </is>
      </c>
    </row>
    <row r="24">
      <c r="A24" t="inlineStr">
        <is>
          <t>A5</t>
        </is>
      </c>
      <c r="B24" t="n">
        <v>81</v>
      </c>
      <c r="C24" t="inlineStr">
        <is>
          <t>Very high</t>
        </is>
      </c>
      <c r="D24" t="inlineStr">
        <is>
          <t>pp</t>
        </is>
      </c>
      <c r="E24" s="15" t="n">
        <v>2.328784804098659</v>
      </c>
      <c r="F24" s="15" t="n">
        <v>1.414035026383615</v>
      </c>
      <c r="G24" s="15" t="n">
        <v>1.065201190813901</v>
      </c>
      <c r="H24" s="15" t="n">
        <v>4.808021021296175</v>
      </c>
      <c r="I24" s="19" t="n">
        <v>1</v>
      </c>
      <c r="J24" s="19" t="n">
        <v>0</v>
      </c>
      <c r="K24" s="19" t="n">
        <v>0</v>
      </c>
      <c r="L24" s="19" t="n">
        <v>0.7425652073912564</v>
      </c>
      <c r="M24" s="19" t="n">
        <v>0.2574347926087436</v>
      </c>
      <c r="N24" s="19" t="n">
        <v>0</v>
      </c>
      <c r="O24" s="15" t="n">
        <v>1.404765935317747</v>
      </c>
      <c r="P24" s="15" t="n">
        <v>0.4789934739399551</v>
      </c>
      <c r="Q24" s="15" t="n">
        <v>0.0618234918573411</v>
      </c>
      <c r="R24" s="15" t="n">
        <v>1.945582901115043</v>
      </c>
      <c r="S24" s="15" t="n">
        <v>53.04970591363431</v>
      </c>
      <c r="T24" s="15" t="n">
        <v>6.235971485773328</v>
      </c>
      <c r="U24" s="15" t="n">
        <v>2.654966974938743</v>
      </c>
      <c r="V24" s="15" t="n">
        <v>110.5332325239148</v>
      </c>
      <c r="W24" s="15" t="n">
        <v>0.5222857202352744</v>
      </c>
      <c r="X24" t="inlineStr">
        <is>
          <t>IOWA_flt_pp.A5_SustainStable/A5/component_amplitude_mass_pie.png</t>
        </is>
      </c>
      <c r="Y24" t="inlineStr">
        <is>
          <t>IOWA_flt_pp.A5_SustainStable/A5/component_energy_ratio_pie.png</t>
        </is>
      </c>
      <c r="Z24" s="19" t="n">
        <v>1</v>
      </c>
      <c r="AA24" s="19" t="n">
        <v>1</v>
      </c>
      <c r="AB24" s="15" t="n">
        <v>1.945582901115043</v>
      </c>
      <c r="AC24" s="15" t="n">
        <v>-2.220446049250313e-16</v>
      </c>
      <c r="AD24" s="15" t="n">
        <v>4.808021021296175</v>
      </c>
      <c r="AE24" s="15" t="n">
        <v>0</v>
      </c>
      <c r="AF24" t="inlineStr">
        <is>
          <t>passed</t>
        </is>
      </c>
    </row>
    <row r="25">
      <c r="A25" t="inlineStr">
        <is>
          <t>A#5</t>
        </is>
      </c>
      <c r="B25" t="n">
        <v>82</v>
      </c>
      <c r="C25" t="inlineStr">
        <is>
          <t>Very high</t>
        </is>
      </c>
      <c r="D25" t="inlineStr">
        <is>
          <t>pp</t>
        </is>
      </c>
      <c r="E25" s="15" t="n">
        <v>2.352147306675997</v>
      </c>
      <c r="F25" s="15" t="n">
        <v>1.581267762293805</v>
      </c>
      <c r="G25" s="15" t="n">
        <v>1.155651589713474</v>
      </c>
      <c r="H25" s="15" t="n">
        <v>5.089066658683276</v>
      </c>
      <c r="I25" s="19" t="n">
        <v>0.9999208009032621</v>
      </c>
      <c r="J25" s="19" t="n">
        <v>7.919909673797214e-05</v>
      </c>
      <c r="K25" s="19" t="n">
        <v>0</v>
      </c>
      <c r="L25" s="19" t="n">
        <v>0.7434467407731031</v>
      </c>
      <c r="M25" s="19" t="n">
        <v>0.2565532592268969</v>
      </c>
      <c r="N25" s="19" t="n">
        <v>0</v>
      </c>
      <c r="O25" s="15" t="n">
        <v>1.418858627663839</v>
      </c>
      <c r="P25" s="15" t="n">
        <v>0.5356422751616398</v>
      </c>
      <c r="Q25" s="15" t="n">
        <v>0.06707316633018721</v>
      </c>
      <c r="R25" s="15" t="n">
        <v>2.021574069155666</v>
      </c>
      <c r="S25" s="15" t="n">
        <v>55.99543958527824</v>
      </c>
      <c r="T25" s="15" t="n">
        <v>9.282521006033615</v>
      </c>
      <c r="U25" s="15" t="n">
        <v>3.327598488502373</v>
      </c>
      <c r="V25" s="15" t="n">
        <v>118.914132332669</v>
      </c>
      <c r="W25" s="15" t="n">
        <v>0.5253151850863379</v>
      </c>
      <c r="X25" t="inlineStr">
        <is>
          <t>IOWA_flt_pp.A#5_SustainStable/A#5/component_amplitude_mass_pie.png</t>
        </is>
      </c>
      <c r="Y25" t="inlineStr">
        <is>
          <t>IOWA_flt_pp.A#5_SustainStable/A#5/component_energy_ratio_pie.png</t>
        </is>
      </c>
      <c r="Z25" s="19" t="n">
        <v>1</v>
      </c>
      <c r="AA25" s="19" t="n">
        <v>1</v>
      </c>
      <c r="AB25" s="15" t="n">
        <v>2.021574069155666</v>
      </c>
      <c r="AC25" s="15" t="n">
        <v>0</v>
      </c>
      <c r="AD25" s="15" t="n">
        <v>5.089066658683276</v>
      </c>
      <c r="AE25" s="15" t="n">
        <v>0</v>
      </c>
      <c r="AF25" t="inlineStr">
        <is>
          <t>passed</t>
        </is>
      </c>
    </row>
    <row r="26">
      <c r="A26" t="inlineStr">
        <is>
          <t>B5</t>
        </is>
      </c>
      <c r="B26" t="n">
        <v>83</v>
      </c>
      <c r="C26" t="inlineStr">
        <is>
          <t>Very high</t>
        </is>
      </c>
      <c r="D26" t="inlineStr">
        <is>
          <t>pp</t>
        </is>
      </c>
      <c r="E26" s="15" t="n">
        <v>0.8590109889545239</v>
      </c>
      <c r="F26" s="15" t="n">
        <v>1.065933019546697</v>
      </c>
      <c r="G26" s="15" t="n">
        <v>1.781877754454055</v>
      </c>
      <c r="H26" s="15" t="n">
        <v>3.706821762955276</v>
      </c>
      <c r="I26" s="19" t="n">
        <v>1</v>
      </c>
      <c r="J26" s="19" t="n">
        <v>0</v>
      </c>
      <c r="K26" s="19" t="n">
        <v>0</v>
      </c>
      <c r="L26" s="19" t="n">
        <v>0.500307978082734</v>
      </c>
      <c r="M26" s="19" t="n">
        <v>0.499692021917266</v>
      </c>
      <c r="N26" s="19" t="n">
        <v>0</v>
      </c>
      <c r="O26" s="15" t="n">
        <v>0.5181712682181354</v>
      </c>
      <c r="P26" s="15" t="n">
        <v>0.3610766002916989</v>
      </c>
      <c r="Q26" s="15" t="n">
        <v>0.1034188712829872</v>
      </c>
      <c r="R26" s="15" t="n">
        <v>0.9826667397928215</v>
      </c>
      <c r="S26" s="15" t="n">
        <v>1.55697023019991</v>
      </c>
      <c r="T26" s="15" t="n">
        <v>2.659866255501598</v>
      </c>
      <c r="U26" s="15" t="n">
        <v>14.87926267290147</v>
      </c>
      <c r="V26" s="15" t="n">
        <v>0.1169078370448059</v>
      </c>
      <c r="W26" s="15" t="n">
        <v>0.2692819569737309</v>
      </c>
      <c r="X26" t="inlineStr">
        <is>
          <t>IOWA_flt_pp.B5_SustainStable/B5/component_amplitude_mass_pie.png</t>
        </is>
      </c>
      <c r="Y26" t="inlineStr">
        <is>
          <t>IOWA_flt_pp.B5_SustainStable/B5/component_energy_ratio_pie.png</t>
        </is>
      </c>
      <c r="Z26" s="19" t="n">
        <v>1</v>
      </c>
      <c r="AA26" s="19" t="n">
        <v>1</v>
      </c>
      <c r="AB26" s="15" t="n">
        <v>0.9826667397928216</v>
      </c>
      <c r="AC26" s="15" t="n">
        <v>-1.110223024625157e-16</v>
      </c>
      <c r="AD26" s="15" t="n">
        <v>3.706821762955276</v>
      </c>
      <c r="AE26" s="15" t="n">
        <v>4.440892098500626e-16</v>
      </c>
      <c r="AF26" t="inlineStr">
        <is>
          <t>passed</t>
        </is>
      </c>
    </row>
    <row r="27">
      <c r="A27" t="inlineStr">
        <is>
          <t>C6</t>
        </is>
      </c>
      <c r="B27" t="n">
        <v>84</v>
      </c>
      <c r="C27" t="inlineStr">
        <is>
          <t>Very high</t>
        </is>
      </c>
      <c r="D27" t="inlineStr">
        <is>
          <t>pp</t>
        </is>
      </c>
      <c r="E27" s="15" t="n">
        <v>2.466351641032736</v>
      </c>
      <c r="F27" s="15" t="n">
        <v>1.787707978342082</v>
      </c>
      <c r="G27" s="15" t="n">
        <v>1.459834104500633</v>
      </c>
      <c r="H27" s="15" t="n">
        <v>5.713893723875452</v>
      </c>
      <c r="I27" s="19" t="n">
        <v>0.9992373424890216</v>
      </c>
      <c r="J27" s="19" t="n">
        <v>0.0007626575109783497</v>
      </c>
      <c r="K27" s="19" t="n">
        <v>0</v>
      </c>
      <c r="L27" s="19" t="n">
        <v>0.7791247112887303</v>
      </c>
      <c r="M27" s="19" t="n">
        <v>0.2208752887112698</v>
      </c>
      <c r="N27" s="19" t="n">
        <v>0</v>
      </c>
      <c r="O27" s="15" t="n">
        <v>1.487748788011686</v>
      </c>
      <c r="P27" s="15" t="n">
        <v>0.6055723082943925</v>
      </c>
      <c r="Q27" s="15" t="n">
        <v>0.08472769524760275</v>
      </c>
      <c r="R27" s="15" t="n">
        <v>2.178048791553681</v>
      </c>
      <c r="S27" s="15" t="n">
        <v>72.91302435650326</v>
      </c>
      <c r="T27" s="15" t="n">
        <v>15.08373618540588</v>
      </c>
      <c r="U27" s="15" t="n">
        <v>6.957325116582393</v>
      </c>
      <c r="V27" s="15" t="n">
        <v>181.311474435786</v>
      </c>
      <c r="W27" s="15" t="n">
        <v>0.5398077664198213</v>
      </c>
      <c r="X27" t="inlineStr">
        <is>
          <t>IOWA_flt_pp.C6_SustainStable/C6/component_amplitude_mass_pie.png</t>
        </is>
      </c>
      <c r="Y27" t="inlineStr">
        <is>
          <t>IOWA_flt_pp.C6_SustainStable/C6/component_energy_ratio_pie.png</t>
        </is>
      </c>
      <c r="Z27" s="19" t="n">
        <v>1</v>
      </c>
      <c r="AA27" s="19" t="n">
        <v>1</v>
      </c>
      <c r="AB27" s="15" t="n">
        <v>2.178048791553681</v>
      </c>
      <c r="AC27" s="15" t="n">
        <v>0</v>
      </c>
      <c r="AD27" s="15" t="n">
        <v>5.713893723875451</v>
      </c>
      <c r="AE27" s="15" t="n">
        <v>8.881784197001252e-16</v>
      </c>
      <c r="AF27" t="inlineStr">
        <is>
          <t>passed</t>
        </is>
      </c>
    </row>
    <row r="28">
      <c r="A28" t="inlineStr">
        <is>
          <t>C#6</t>
        </is>
      </c>
      <c r="B28" t="n">
        <v>85</v>
      </c>
      <c r="C28" t="inlineStr">
        <is>
          <t>Very high</t>
        </is>
      </c>
      <c r="D28" t="inlineStr">
        <is>
          <t>pp</t>
        </is>
      </c>
      <c r="E28" s="15" t="n">
        <v>2.370462261050567</v>
      </c>
      <c r="F28" s="15" t="n">
        <v>1.48833018669361</v>
      </c>
      <c r="G28" s="15" t="n">
        <v>1.287039050228747</v>
      </c>
      <c r="H28" s="15" t="n">
        <v>5.145831497972924</v>
      </c>
      <c r="I28" s="19" t="n">
        <v>1</v>
      </c>
      <c r="J28" s="19" t="n">
        <v>0</v>
      </c>
      <c r="K28" s="19" t="n">
        <v>0</v>
      </c>
      <c r="L28" s="19" t="n">
        <v>0.7658446459243488</v>
      </c>
      <c r="M28" s="19" t="n">
        <v>0.2341553540756512</v>
      </c>
      <c r="N28" s="19" t="n">
        <v>0</v>
      </c>
      <c r="O28" s="15" t="n">
        <v>1.429906545860064</v>
      </c>
      <c r="P28" s="15" t="n">
        <v>0.5041603872552662</v>
      </c>
      <c r="Q28" s="15" t="n">
        <v>0.07469879768074572</v>
      </c>
      <c r="R28" s="15" t="n">
        <v>2.008765730796076</v>
      </c>
      <c r="S28" s="15" t="n">
        <v>58.41813325252136</v>
      </c>
      <c r="T28" s="15" t="n">
        <v>7.446091019979336</v>
      </c>
      <c r="U28" s="15" t="n">
        <v>4.5914902200278</v>
      </c>
      <c r="V28" s="15" t="n">
        <v>144.7747858944774</v>
      </c>
      <c r="W28" s="15" t="n">
        <v>0.5276894687217322</v>
      </c>
      <c r="X28" t="inlineStr">
        <is>
          <t>IOWA_flt_pp.C#6_SustainStable/C#6/component_amplitude_mass_pie.png</t>
        </is>
      </c>
      <c r="Y28" t="inlineStr">
        <is>
          <t>IOWA_flt_pp.C#6_SustainStable/C#6/component_energy_ratio_pie.png</t>
        </is>
      </c>
      <c r="Z28" s="19" t="n">
        <v>1</v>
      </c>
      <c r="AA28" s="19" t="n">
        <v>1</v>
      </c>
      <c r="AB28" s="15" t="n">
        <v>2.008765730796076</v>
      </c>
      <c r="AC28" s="15" t="n">
        <v>0</v>
      </c>
      <c r="AD28" s="15" t="n">
        <v>5.145831497972924</v>
      </c>
      <c r="AE28" s="15" t="n">
        <v>-8.881784197001252e-16</v>
      </c>
      <c r="AF28" t="inlineStr">
        <is>
          <t>passed</t>
        </is>
      </c>
    </row>
    <row r="29">
      <c r="A29" t="inlineStr">
        <is>
          <t>D6</t>
        </is>
      </c>
      <c r="B29" t="n">
        <v>86</v>
      </c>
      <c r="C29" t="inlineStr">
        <is>
          <t>Very high</t>
        </is>
      </c>
      <c r="D29" t="inlineStr">
        <is>
          <t>pp</t>
        </is>
      </c>
      <c r="E29" s="15" t="n">
        <v>2.341404402996872</v>
      </c>
      <c r="F29" s="15" t="n">
        <v>1.428399759674416</v>
      </c>
      <c r="G29" s="15" t="n">
        <v>1.063500316874139</v>
      </c>
      <c r="H29" s="15" t="n">
        <v>4.833304479545427</v>
      </c>
      <c r="I29" s="19" t="n">
        <v>1</v>
      </c>
      <c r="J29" s="19" t="n">
        <v>0</v>
      </c>
      <c r="K29" s="19" t="n">
        <v>0</v>
      </c>
      <c r="L29" s="19" t="n">
        <v>0.7571757878703586</v>
      </c>
      <c r="M29" s="19" t="n">
        <v>0.2428242121296414</v>
      </c>
      <c r="N29" s="19" t="n">
        <v>0</v>
      </c>
      <c r="O29" s="15" t="n">
        <v>1.412378310071473</v>
      </c>
      <c r="P29" s="15" t="n">
        <v>0.4838594167014852</v>
      </c>
      <c r="Q29" s="15" t="n">
        <v>0.06172477438774753</v>
      </c>
      <c r="R29" s="15" t="n">
        <v>1.957962501160706</v>
      </c>
      <c r="S29" s="15" t="n">
        <v>54.62119413895168</v>
      </c>
      <c r="T29" s="15" t="n">
        <v>6.454088957058368</v>
      </c>
      <c r="U29" s="15" t="n">
        <v>2.643612191495127</v>
      </c>
      <c r="V29" s="15" t="n">
        <v>148.2605403510583</v>
      </c>
      <c r="W29" s="15" t="n">
        <v>0.5239290405472955</v>
      </c>
      <c r="X29" t="inlineStr">
        <is>
          <t>IOWA_flt_pp.D6_SustainStable/D6/component_amplitude_mass_pie.png</t>
        </is>
      </c>
      <c r="Y29" t="inlineStr">
        <is>
          <t>IOWA_flt_pp.D6_SustainStable/D6/component_energy_ratio_pie.png</t>
        </is>
      </c>
      <c r="Z29" s="19" t="n">
        <v>1</v>
      </c>
      <c r="AA29" s="19" t="n">
        <v>1</v>
      </c>
      <c r="AB29" s="15" t="n">
        <v>1.957962501160706</v>
      </c>
      <c r="AC29" s="15" t="n">
        <v>2.220446049250313e-16</v>
      </c>
      <c r="AD29" s="15" t="n">
        <v>4.833304479545427</v>
      </c>
      <c r="AE29" s="15" t="n">
        <v>0</v>
      </c>
      <c r="AF29" t="inlineStr">
        <is>
          <t>passed</t>
        </is>
      </c>
    </row>
    <row r="30">
      <c r="A30" t="inlineStr">
        <is>
          <t>D#6</t>
        </is>
      </c>
      <c r="B30" t="n">
        <v>87</v>
      </c>
      <c r="C30" t="inlineStr">
        <is>
          <t>Very high</t>
        </is>
      </c>
      <c r="D30" t="inlineStr">
        <is>
          <t>pp</t>
        </is>
      </c>
      <c r="E30" s="15" t="n">
        <v>2.342177769688879</v>
      </c>
      <c r="F30" s="15" t="n">
        <v>1.504652315823611</v>
      </c>
      <c r="G30" s="15" t="n">
        <v>1.301740823249148</v>
      </c>
      <c r="H30" s="15" t="n">
        <v>5.148570908761638</v>
      </c>
      <c r="I30" s="19" t="n">
        <v>0.9984600694621206</v>
      </c>
      <c r="J30" s="19" t="n">
        <v>0.001539930537879428</v>
      </c>
      <c r="K30" s="19" t="n">
        <v>0</v>
      </c>
      <c r="L30" s="19" t="n">
        <v>0.7343101379931405</v>
      </c>
      <c r="M30" s="19" t="n">
        <v>0.2656898620068595</v>
      </c>
      <c r="N30" s="19" t="n">
        <v>0</v>
      </c>
      <c r="O30" s="15" t="n">
        <v>1.41284481912054</v>
      </c>
      <c r="P30" s="15" t="n">
        <v>0.5096893827809788</v>
      </c>
      <c r="Q30" s="15" t="n">
        <v>0.07555207774882443</v>
      </c>
      <c r="R30" s="15" t="n">
        <v>1.998086279650343</v>
      </c>
      <c r="S30" s="15" t="n">
        <v>54.71899266392652</v>
      </c>
      <c r="T30" s="15" t="n">
        <v>7.740837968472971</v>
      </c>
      <c r="U30" s="15" t="n">
        <v>4.758190405964641</v>
      </c>
      <c r="V30" s="15" t="n">
        <v>146.2019481883586</v>
      </c>
      <c r="W30" s="15" t="n">
        <v>0.5238619216111347</v>
      </c>
      <c r="X30" t="inlineStr">
        <is>
          <t>IOWA_flt_pp.D#6_SustainStable/D#6/component_amplitude_mass_pie.png</t>
        </is>
      </c>
      <c r="Y30" t="inlineStr">
        <is>
          <t>IOWA_flt_pp.D#6_SustainStable/D#6/component_energy_ratio_pie.png</t>
        </is>
      </c>
      <c r="Z30" s="19" t="n">
        <v>1</v>
      </c>
      <c r="AA30" s="19" t="n">
        <v>1</v>
      </c>
      <c r="AB30" s="15" t="n">
        <v>1.998086279650343</v>
      </c>
      <c r="AC30" s="15" t="n">
        <v>-2.220446049250313e-16</v>
      </c>
      <c r="AD30" s="15" t="n">
        <v>5.148570908761638</v>
      </c>
      <c r="AE30" s="15" t="n">
        <v>0</v>
      </c>
      <c r="AF30" t="inlineStr">
        <is>
          <t>passed</t>
        </is>
      </c>
    </row>
    <row r="31">
      <c r="A31" t="inlineStr">
        <is>
          <t>E6</t>
        </is>
      </c>
      <c r="B31" t="n">
        <v>88</v>
      </c>
      <c r="C31" t="inlineStr">
        <is>
          <t>Very high</t>
        </is>
      </c>
      <c r="D31" t="inlineStr">
        <is>
          <t>pp</t>
        </is>
      </c>
      <c r="E31" s="15" t="n">
        <v>2.335693809023272</v>
      </c>
      <c r="F31" s="15" t="n">
        <v>1.477271780933428</v>
      </c>
      <c r="G31" s="15" t="n">
        <v>1.194159669928058</v>
      </c>
      <c r="H31" s="15" t="n">
        <v>5.007125259884758</v>
      </c>
      <c r="I31" s="19" t="n">
        <v>1</v>
      </c>
      <c r="J31" s="19" t="n">
        <v>0</v>
      </c>
      <c r="K31" s="19" t="n">
        <v>0</v>
      </c>
      <c r="L31" s="19" t="n">
        <v>0.7453599805577319</v>
      </c>
      <c r="M31" s="19" t="n">
        <v>0.2546400194422681</v>
      </c>
      <c r="N31" s="19" t="n">
        <v>0</v>
      </c>
      <c r="O31" s="15" t="n">
        <v>1.408933574486449</v>
      </c>
      <c r="P31" s="15" t="n">
        <v>0.5004144374785809</v>
      </c>
      <c r="Q31" s="15" t="n">
        <v>0.06930814691800381</v>
      </c>
      <c r="R31" s="15" t="n">
        <v>1.978656158883033</v>
      </c>
      <c r="S31" s="15" t="n">
        <v>53.90440863322163</v>
      </c>
      <c r="T31" s="15" t="n">
        <v>7.2525999461633</v>
      </c>
      <c r="U31" s="15" t="n">
        <v>3.659306112876768</v>
      </c>
      <c r="V31" s="15" t="n">
        <v>157.4656387571313</v>
      </c>
      <c r="W31" s="15" t="n">
        <v>0.5231861789097813</v>
      </c>
      <c r="X31" t="inlineStr">
        <is>
          <t>IOWA_flt_pp.E6_SustainStable/E6/component_amplitude_mass_pie.png</t>
        </is>
      </c>
      <c r="Y31" t="inlineStr">
        <is>
          <t>IOWA_flt_pp.E6_SustainStable/E6/component_energy_ratio_pie.png</t>
        </is>
      </c>
      <c r="Z31" s="19" t="n">
        <v>1</v>
      </c>
      <c r="AA31" s="19" t="n">
        <v>1</v>
      </c>
      <c r="AB31" s="15" t="n">
        <v>1.978656158883034</v>
      </c>
      <c r="AC31" s="15" t="n">
        <v>-8.881784197001252e-16</v>
      </c>
      <c r="AD31" s="15" t="n">
        <v>5.007125259884758</v>
      </c>
      <c r="AE31" s="15" t="n">
        <v>8.881784197001252e-16</v>
      </c>
      <c r="AF31" t="inlineStr">
        <is>
          <t>passed</t>
        </is>
      </c>
    </row>
    <row r="32">
      <c r="A32" t="inlineStr">
        <is>
          <t>F6</t>
        </is>
      </c>
      <c r="B32" t="n">
        <v>89</v>
      </c>
      <c r="C32" t="inlineStr">
        <is>
          <t>Very high</t>
        </is>
      </c>
      <c r="D32" t="inlineStr">
        <is>
          <t>pp</t>
        </is>
      </c>
      <c r="E32" s="15" t="n">
        <v>2.330496980615256</v>
      </c>
      <c r="F32" s="15" t="n">
        <v>1.554496335852427</v>
      </c>
      <c r="G32" s="15" t="n">
        <v>1.165910039447891</v>
      </c>
      <c r="H32" s="15" t="n">
        <v>5.050903355915574</v>
      </c>
      <c r="I32" s="19" t="n">
        <v>1</v>
      </c>
      <c r="J32" s="19" t="n">
        <v>0</v>
      </c>
      <c r="K32" s="19" t="n">
        <v>0</v>
      </c>
      <c r="L32" s="19" t="n">
        <v>0.7573727592308432</v>
      </c>
      <c r="M32" s="19" t="n">
        <v>0.2426272407691568</v>
      </c>
      <c r="N32" s="19" t="n">
        <v>0</v>
      </c>
      <c r="O32" s="15" t="n">
        <v>1.405798751764133</v>
      </c>
      <c r="P32" s="15" t="n">
        <v>0.5265736606547704</v>
      </c>
      <c r="Q32" s="15" t="n">
        <v>0.06766855919032859</v>
      </c>
      <c r="R32" s="15" t="n">
        <v>2.000040971609232</v>
      </c>
      <c r="S32" s="15" t="n">
        <v>26.63012557192321</v>
      </c>
      <c r="T32" s="15" t="n">
        <v>4.356324044314581</v>
      </c>
      <c r="U32" s="15" t="n">
        <v>1.706555370173985</v>
      </c>
      <c r="V32" s="15" t="n">
        <v>42.31706184185217</v>
      </c>
      <c r="W32" s="15" t="n">
        <v>0.522509044267393</v>
      </c>
      <c r="X32" t="inlineStr">
        <is>
          <t>IOWA_flt_pp.F6_SustainStable/F6/component_amplitude_mass_pie.png</t>
        </is>
      </c>
      <c r="Y32" t="inlineStr">
        <is>
          <t>IOWA_flt_pp.F6_SustainStable/F6/component_energy_ratio_pie.png</t>
        </is>
      </c>
      <c r="Z32" s="19" t="n">
        <v>1</v>
      </c>
      <c r="AA32" s="19" t="n">
        <v>1</v>
      </c>
      <c r="AB32" s="15" t="n">
        <v>2.000040971609232</v>
      </c>
      <c r="AC32" s="15" t="n">
        <v>0</v>
      </c>
      <c r="AD32" s="15" t="n">
        <v>5.050903355915574</v>
      </c>
      <c r="AE32" s="15" t="n">
        <v>0</v>
      </c>
      <c r="AF32" t="inlineStr">
        <is>
          <t>passed</t>
        </is>
      </c>
    </row>
    <row r="33">
      <c r="A33" t="inlineStr">
        <is>
          <t>F#6</t>
        </is>
      </c>
      <c r="B33" t="n">
        <v>90</v>
      </c>
      <c r="C33" t="inlineStr">
        <is>
          <t>Very high</t>
        </is>
      </c>
      <c r="D33" t="inlineStr">
        <is>
          <t>pp</t>
        </is>
      </c>
      <c r="E33" s="15" t="n">
        <v>2.316576203065105</v>
      </c>
      <c r="F33" s="15" t="n">
        <v>1.558312225355238</v>
      </c>
      <c r="G33" s="15" t="n">
        <v>1.086170269482553</v>
      </c>
      <c r="H33" s="15" t="n">
        <v>4.961058697902897</v>
      </c>
      <c r="I33" s="19" t="n">
        <v>0.9991478832337596</v>
      </c>
      <c r="J33" s="19" t="n">
        <v>0.0008521167662404538</v>
      </c>
      <c r="K33" s="19" t="n">
        <v>0</v>
      </c>
      <c r="L33" s="19" t="n">
        <v>0.7632487582280522</v>
      </c>
      <c r="M33" s="19" t="n">
        <v>0.2367512417719478</v>
      </c>
      <c r="N33" s="19" t="n">
        <v>0</v>
      </c>
      <c r="O33" s="15" t="n">
        <v>1.397401482054552</v>
      </c>
      <c r="P33" s="15" t="n">
        <v>0.5278662638329229</v>
      </c>
      <c r="Q33" s="15" t="n">
        <v>0.06304052172503856</v>
      </c>
      <c r="R33" s="15" t="n">
        <v>1.988308267612514</v>
      </c>
      <c r="S33" s="15" t="n">
        <v>25.78612181609465</v>
      </c>
      <c r="T33" s="15" t="n">
        <v>4.395872285095821</v>
      </c>
      <c r="U33" s="15" t="n">
        <v>1.39933451206449</v>
      </c>
      <c r="V33" s="15" t="n">
        <v>46.14932327712041</v>
      </c>
      <c r="W33" s="15" t="n">
        <v>0.5206053635661989</v>
      </c>
      <c r="X33" t="inlineStr">
        <is>
          <t>IOWA_flt_pp.F#6_SustainStable/F#6/component_amplitude_mass_pie.png</t>
        </is>
      </c>
      <c r="Y33" t="inlineStr">
        <is>
          <t>IOWA_flt_pp.F#6_SustainStable/F#6/component_energy_ratio_pie.png</t>
        </is>
      </c>
      <c r="Z33" s="19" t="n">
        <v>1</v>
      </c>
      <c r="AA33" s="19" t="n">
        <v>1</v>
      </c>
      <c r="AB33" s="15" t="n">
        <v>1.988308267612513</v>
      </c>
      <c r="AC33" s="15" t="n">
        <v>6.661338147750939e-16</v>
      </c>
      <c r="AD33" s="15" t="n">
        <v>4.961058697902896</v>
      </c>
      <c r="AE33" s="15" t="n">
        <v>8.881784197001252e-16</v>
      </c>
      <c r="AF33" t="inlineStr">
        <is>
          <t>passed</t>
        </is>
      </c>
    </row>
    <row r="34">
      <c r="A34" t="inlineStr">
        <is>
          <t>G6</t>
        </is>
      </c>
      <c r="B34" t="n">
        <v>91</v>
      </c>
      <c r="C34" t="inlineStr">
        <is>
          <t>Very high</t>
        </is>
      </c>
      <c r="D34" t="inlineStr">
        <is>
          <t>pp</t>
        </is>
      </c>
      <c r="E34" s="15" t="n">
        <v>2.326190700752178</v>
      </c>
      <c r="F34" s="15" t="n">
        <v>1.650763137891281</v>
      </c>
      <c r="G34" s="15" t="n">
        <v>0.8405670873702417</v>
      </c>
      <c r="H34" s="15" t="n">
        <v>4.817520926013701</v>
      </c>
      <c r="I34" s="19" t="n">
        <v>1</v>
      </c>
      <c r="J34" s="19" t="n">
        <v>0</v>
      </c>
      <c r="K34" s="19" t="n">
        <v>0</v>
      </c>
      <c r="L34" s="19" t="n">
        <v>0.7606751395535584</v>
      </c>
      <c r="M34" s="19" t="n">
        <v>0.2393248604464416</v>
      </c>
      <c r="N34" s="19" t="n">
        <v>0</v>
      </c>
      <c r="O34" s="15" t="n">
        <v>1.403201124345339</v>
      </c>
      <c r="P34" s="15" t="n">
        <v>0.5591832983747141</v>
      </c>
      <c r="Q34" s="15" t="n">
        <v>0.04878589409187217</v>
      </c>
      <c r="R34" s="15" t="n">
        <v>2.011170316811925</v>
      </c>
      <c r="S34" s="15" t="n">
        <v>26.36614402315464</v>
      </c>
      <c r="T34" s="15" t="n">
        <v>5.468364876028606</v>
      </c>
      <c r="U34" s="15" t="n">
        <v>0.7409186637133518</v>
      </c>
      <c r="V34" s="15" t="n">
        <v>52.24251653676053</v>
      </c>
      <c r="W34" s="15" t="n">
        <v>0.5219471450368827</v>
      </c>
      <c r="X34" t="inlineStr">
        <is>
          <t>IOWA_flt_pp.G6_SustainStable/G6/component_amplitude_mass_pie.png</t>
        </is>
      </c>
      <c r="Y34" t="inlineStr">
        <is>
          <t>IOWA_flt_pp.G6_SustainStable/G6/component_energy_ratio_pie.png</t>
        </is>
      </c>
      <c r="Z34" s="19" t="n">
        <v>1</v>
      </c>
      <c r="AA34" s="19" t="n">
        <v>1</v>
      </c>
      <c r="AB34" s="15" t="n">
        <v>2.011170316811925</v>
      </c>
      <c r="AC34" s="15" t="n">
        <v>-4.440892098500626e-16</v>
      </c>
      <c r="AD34" s="15" t="n">
        <v>4.8175209260137</v>
      </c>
      <c r="AE34" s="15" t="n">
        <v>8.881784197001252e-16</v>
      </c>
      <c r="AF34" t="inlineStr">
        <is>
          <t>passed</t>
        </is>
      </c>
    </row>
    <row r="35">
      <c r="A35" t="inlineStr">
        <is>
          <t>G#6</t>
        </is>
      </c>
      <c r="B35" t="n">
        <v>92</v>
      </c>
      <c r="C35" t="inlineStr">
        <is>
          <t>Very high</t>
        </is>
      </c>
      <c r="D35" t="inlineStr">
        <is>
          <t>pp</t>
        </is>
      </c>
      <c r="E35" s="15" t="n">
        <v>2.333537992423802</v>
      </c>
      <c r="F35" s="15" t="n">
        <v>1.628291693490446</v>
      </c>
      <c r="G35" s="15" t="n">
        <v>1.199710963079951</v>
      </c>
      <c r="H35" s="15" t="n">
        <v>5.161540648994198</v>
      </c>
      <c r="I35" s="19" t="n">
        <v>1</v>
      </c>
      <c r="J35" s="19" t="n">
        <v>0</v>
      </c>
      <c r="K35" s="19" t="n">
        <v>0</v>
      </c>
      <c r="L35" s="19" t="n">
        <v>0.7636132361374903</v>
      </c>
      <c r="M35" s="19" t="n">
        <v>0.2363867638625098</v>
      </c>
      <c r="N35" s="19" t="n">
        <v>0</v>
      </c>
      <c r="O35" s="15" t="n">
        <v>1.407633146161599</v>
      </c>
      <c r="P35" s="15" t="n">
        <v>0.5515712696645536</v>
      </c>
      <c r="Q35" s="15" t="n">
        <v>0.06963033988017234</v>
      </c>
      <c r="R35" s="15" t="n">
        <v>2.028834755706325</v>
      </c>
      <c r="S35" s="15" t="n">
        <v>26.81812744752254</v>
      </c>
      <c r="T35" s="15" t="n">
        <v>5.186310688550339</v>
      </c>
      <c r="U35" s="15" t="n">
        <v>1.854798432604877</v>
      </c>
      <c r="V35" s="15" t="n">
        <v>50.25800661946755</v>
      </c>
      <c r="W35" s="15" t="n">
        <v>0.5229054091558938</v>
      </c>
      <c r="X35" t="inlineStr">
        <is>
          <t>IOWA_flt_pp.G#6_SustainStable/G#6/component_amplitude_mass_pie.png</t>
        </is>
      </c>
      <c r="Y35" t="inlineStr">
        <is>
          <t>IOWA_flt_pp.G#6_SustainStable/G#6/component_energy_ratio_pie.png</t>
        </is>
      </c>
      <c r="Z35" s="19" t="n">
        <v>1</v>
      </c>
      <c r="AA35" s="19" t="n">
        <v>1</v>
      </c>
      <c r="AB35" s="15" t="n">
        <v>2.028834755706325</v>
      </c>
      <c r="AC35" s="15" t="n">
        <v>0</v>
      </c>
      <c r="AD35" s="15" t="n">
        <v>5.161540648994199</v>
      </c>
      <c r="AE35" s="15" t="n">
        <v>-8.881784197001252e-16</v>
      </c>
      <c r="AF35" t="inlineStr">
        <is>
          <t>passed</t>
        </is>
      </c>
    </row>
    <row r="36">
      <c r="A36" t="inlineStr">
        <is>
          <t>A6</t>
        </is>
      </c>
      <c r="B36" t="n">
        <v>93</v>
      </c>
      <c r="C36" t="inlineStr">
        <is>
          <t>Very high</t>
        </is>
      </c>
      <c r="D36" t="inlineStr">
        <is>
          <t>pp</t>
        </is>
      </c>
      <c r="E36" s="15" t="n">
        <v>2.310566045746566</v>
      </c>
      <c r="F36" s="15" t="n">
        <v>1.486749642142486</v>
      </c>
      <c r="G36" s="15" t="n">
        <v>1.11982973711131</v>
      </c>
      <c r="H36" s="15" t="n">
        <v>4.917145425000363</v>
      </c>
      <c r="I36" s="19" t="n">
        <v>1</v>
      </c>
      <c r="J36" s="19" t="n">
        <v>0</v>
      </c>
      <c r="K36" s="19" t="n">
        <v>0</v>
      </c>
      <c r="L36" s="19" t="n">
        <v>0.757770613037333</v>
      </c>
      <c r="M36" s="19" t="n">
        <v>0.2422293869626669</v>
      </c>
      <c r="N36" s="19" t="n">
        <v>0</v>
      </c>
      <c r="O36" s="15" t="n">
        <v>1.39377604433608</v>
      </c>
      <c r="P36" s="15" t="n">
        <v>0.5036249899623181</v>
      </c>
      <c r="Q36" s="15" t="n">
        <v>0.06499409241273077</v>
      </c>
      <c r="R36" s="15" t="n">
        <v>1.962395126711129</v>
      </c>
      <c r="S36" s="15" t="n">
        <v>25.43001020703096</v>
      </c>
      <c r="T36" s="15" t="n">
        <v>3.709066622878201</v>
      </c>
      <c r="U36" s="15" t="n">
        <v>1.52217503020649</v>
      </c>
      <c r="V36" s="15" t="n">
        <v>55.11369720293987</v>
      </c>
      <c r="W36" s="15" t="n">
        <v>0.5199022564726359</v>
      </c>
      <c r="X36" t="inlineStr">
        <is>
          <t>IOWA_flt_pp.A6_SustainStable/A6/component_amplitude_mass_pie.png</t>
        </is>
      </c>
      <c r="Y36" t="inlineStr">
        <is>
          <t>IOWA_flt_pp.A6_SustainStable/A6/component_energy_ratio_pie.png</t>
        </is>
      </c>
      <c r="Z36" s="19" t="n">
        <v>1</v>
      </c>
      <c r="AA36" s="19" t="n">
        <v>0.9999999999999999</v>
      </c>
      <c r="AB36" s="15" t="n">
        <v>1.962395126711129</v>
      </c>
      <c r="AC36" s="15" t="n">
        <v>0</v>
      </c>
      <c r="AD36" s="15" t="n">
        <v>4.917145425000362</v>
      </c>
      <c r="AE36" s="15" t="n">
        <v>8.881784197001252e-16</v>
      </c>
      <c r="AF36" t="inlineStr">
        <is>
          <t>passed</t>
        </is>
      </c>
    </row>
    <row r="37">
      <c r="A37" t="inlineStr">
        <is>
          <t>A#6</t>
        </is>
      </c>
      <c r="B37" t="n">
        <v>94</v>
      </c>
      <c r="C37" t="inlineStr">
        <is>
          <t>Very high</t>
        </is>
      </c>
      <c r="D37" t="inlineStr">
        <is>
          <t>pp</t>
        </is>
      </c>
      <c r="E37" s="15" t="n">
        <v>2.31973960762258</v>
      </c>
      <c r="F37" s="15" t="n">
        <v>1.699300706837432</v>
      </c>
      <c r="G37" s="15" t="n">
        <v>1.518354365306234</v>
      </c>
      <c r="H37" s="15" t="n">
        <v>5.537394679766246</v>
      </c>
      <c r="I37" s="19" t="n">
        <v>1</v>
      </c>
      <c r="J37" s="19" t="n">
        <v>0</v>
      </c>
      <c r="K37" s="19" t="n">
        <v>0</v>
      </c>
      <c r="L37" s="19" t="n">
        <v>0.7450689367532977</v>
      </c>
      <c r="M37" s="19" t="n">
        <v>0.2549310632467024</v>
      </c>
      <c r="N37" s="19" t="n">
        <v>0</v>
      </c>
      <c r="O37" s="15" t="n">
        <v>1.399309706015026</v>
      </c>
      <c r="P37" s="15" t="n">
        <v>0.5756250260068624</v>
      </c>
      <c r="Q37" s="15" t="n">
        <v>0.08812416804410812</v>
      </c>
      <c r="R37" s="15" t="n">
        <v>2.063058900065997</v>
      </c>
      <c r="S37" s="15" t="n">
        <v>25.97554769156876</v>
      </c>
      <c r="T37" s="15" t="n">
        <v>6.129761004014673</v>
      </c>
      <c r="U37" s="15" t="n">
        <v>3.998484613046035</v>
      </c>
      <c r="V37" s="15" t="n">
        <v>57.61351632531486</v>
      </c>
      <c r="W37" s="15" t="n">
        <v>0.5211040200270296</v>
      </c>
      <c r="X37" t="inlineStr">
        <is>
          <t>IOWA_flt_pp.A#6_SustainStable/A#6/component_amplitude_mass_pie.png</t>
        </is>
      </c>
      <c r="Y37" t="inlineStr">
        <is>
          <t>IOWA_flt_pp.A#6_SustainStable/A#6/component_energy_ratio_pie.png</t>
        </is>
      </c>
      <c r="Z37" s="19" t="n">
        <v>1</v>
      </c>
      <c r="AA37" s="19" t="n">
        <v>1</v>
      </c>
      <c r="AB37" s="15" t="n">
        <v>2.063058900065996</v>
      </c>
      <c r="AC37" s="15" t="n">
        <v>8.881784197001252e-16</v>
      </c>
      <c r="AD37" s="15" t="n">
        <v>5.537394679766246</v>
      </c>
      <c r="AE37" s="15" t="n">
        <v>0</v>
      </c>
      <c r="AF37" t="inlineStr">
        <is>
          <t>passed</t>
        </is>
      </c>
    </row>
    <row r="38">
      <c r="A38" t="inlineStr">
        <is>
          <t>B6</t>
        </is>
      </c>
      <c r="B38" t="n">
        <v>95</v>
      </c>
      <c r="C38" t="inlineStr">
        <is>
          <t>Very high</t>
        </is>
      </c>
      <c r="D38" t="inlineStr">
        <is>
          <t>pp</t>
        </is>
      </c>
      <c r="E38" s="15" t="n">
        <v>0.6384497323664312</v>
      </c>
      <c r="F38" s="15" t="n">
        <v>0.8503642182550468</v>
      </c>
      <c r="G38" s="15" t="n">
        <v>1.308546200210932</v>
      </c>
      <c r="H38" s="15" t="n">
        <v>2.79736015083241</v>
      </c>
      <c r="I38" s="19" t="n">
        <v>1</v>
      </c>
      <c r="J38" s="19" t="n">
        <v>0</v>
      </c>
      <c r="K38" s="19" t="n">
        <v>0</v>
      </c>
      <c r="L38" s="19" t="n">
        <v>0.5000876159772879</v>
      </c>
      <c r="M38" s="19" t="n">
        <v>0.499912384022712</v>
      </c>
      <c r="N38" s="19" t="n">
        <v>0</v>
      </c>
      <c r="O38" s="15" t="n">
        <v>0.3851246512183522</v>
      </c>
      <c r="P38" s="15" t="n">
        <v>0.2880543292183747</v>
      </c>
      <c r="Q38" s="15" t="n">
        <v>0.07594705681081888</v>
      </c>
      <c r="R38" s="15" t="n">
        <v>0.7491260372475459</v>
      </c>
      <c r="S38" s="15" t="n">
        <v>0.4187005162561224</v>
      </c>
      <c r="T38" s="15" t="n">
        <v>0.760674684448625</v>
      </c>
      <c r="U38" s="15" t="n">
        <v>2.418643322986378</v>
      </c>
      <c r="V38" s="15" t="n">
        <v>0.01753101223131434</v>
      </c>
      <c r="W38" s="15" t="n">
        <v>0.2144331217691967</v>
      </c>
      <c r="X38" t="inlineStr">
        <is>
          <t>IOWA_flt_pp.B6_SustainStable/B6/component_amplitude_mass_pie.png</t>
        </is>
      </c>
      <c r="Y38" t="inlineStr">
        <is>
          <t>IOWA_flt_pp.B6_SustainStable/B6/component_energy_ratio_pie.png</t>
        </is>
      </c>
      <c r="Z38" s="19" t="n">
        <v>1</v>
      </c>
      <c r="AA38" s="19" t="n">
        <v>1</v>
      </c>
      <c r="AB38" s="15" t="n">
        <v>0.7491260372475459</v>
      </c>
      <c r="AC38" s="15" t="n">
        <v>0</v>
      </c>
      <c r="AD38" s="15" t="n">
        <v>2.79736015083241</v>
      </c>
      <c r="AE38" s="15" t="n">
        <v>0</v>
      </c>
      <c r="AF38" t="inlineStr">
        <is>
          <t>passed</t>
        </is>
      </c>
    </row>
  </sheetData>
  <autoFilter ref="A1:AF3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W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9" customWidth="1" min="4" max="4"/>
    <col width="19" customWidth="1" min="5" max="5"/>
    <col width="45" customWidth="1" min="6" max="6"/>
    <col width="45" customWidth="1" min="7" max="7"/>
    <col width="17" customWidth="1" min="8" max="8"/>
    <col width="48" customWidth="1" min="9" max="9"/>
    <col width="23" customWidth="1" min="10" max="10"/>
    <col width="24" customWidth="1" min="11" max="11"/>
    <col width="36" customWidth="1" min="12" max="12"/>
    <col width="32" customWidth="1" min="13" max="13"/>
    <col width="27" customWidth="1" min="14" max="14"/>
    <col width="35" customWidth="1" min="15" max="15"/>
    <col width="42" customWidth="1" min="16" max="16"/>
    <col width="35" customWidth="1" min="17" max="17"/>
    <col width="34" customWidth="1" min="18" max="18"/>
    <col width="30" customWidth="1" min="19" max="19"/>
    <col width="31" customWidth="1" min="20" max="20"/>
    <col width="30" customWidth="1" min="21" max="21"/>
    <col width="48" customWidth="1" min="22" max="22"/>
    <col width="27" customWidth="1" min="23" max="23"/>
  </cols>
  <sheetData>
    <row r="1">
      <c r="A1" s="11" t="inlineStr">
        <is>
          <t>Note</t>
        </is>
      </c>
      <c r="B1" s="11" t="inlineStr">
        <is>
          <t>MIDI</t>
        </is>
      </c>
      <c r="C1" s="11" t="inlineStr">
        <is>
          <t>Register</t>
        </is>
      </c>
      <c r="D1" s="11" t="inlineStr">
        <is>
          <t>f0_nominal_hz</t>
        </is>
      </c>
      <c r="E1" s="11" t="inlineStr">
        <is>
          <t>f0_final_hz</t>
        </is>
      </c>
      <c r="F1" s="11" t="inlineStr">
        <is>
          <t>f0_source</t>
        </is>
      </c>
      <c r="G1" s="11" t="inlineStr">
        <is>
          <t>f0_final_source</t>
        </is>
      </c>
      <c r="H1" s="11" t="inlineStr">
        <is>
          <t>f0_fit_accepted</t>
        </is>
      </c>
      <c r="I1" s="11" t="inlineStr">
        <is>
          <t>acoustic_f0_status</t>
        </is>
      </c>
      <c r="J1" s="11" t="inlineStr">
        <is>
          <t>f0_fit_quality</t>
        </is>
      </c>
      <c r="K1" s="11" t="inlineStr">
        <is>
          <t>f0_fit_residual_std_hz</t>
        </is>
      </c>
      <c r="L1" s="11" t="inlineStr">
        <is>
          <t>f0_fit_rejection_reason</t>
        </is>
      </c>
      <c r="M1" s="11" t="inlineStr">
        <is>
          <t>f0_detuning_cents_from_nominal</t>
        </is>
      </c>
      <c r="N1" s="11" t="inlineStr">
        <is>
          <t>harmonic_alignment_status</t>
        </is>
      </c>
      <c r="O1" s="11" t="inlineStr">
        <is>
          <t>harmonic_alignment_coverage_ratio</t>
        </is>
      </c>
      <c r="P1" s="11" t="inlineStr">
        <is>
          <t>harmonic_alignment_energy_coverage_ratio</t>
        </is>
      </c>
      <c r="Q1" s="11" t="inlineStr">
        <is>
          <t>mean_abs_harmonic_deviation_cents</t>
        </is>
      </c>
      <c r="R1" s="11" t="inlineStr">
        <is>
          <t>max_abs_harmonic_deviation_cents</t>
        </is>
      </c>
      <c r="S1" s="11" t="inlineStr">
        <is>
          <t>rms_harmonic_deviation_cents</t>
        </is>
      </c>
      <c r="T1" s="11" t="inlineStr">
        <is>
          <t>debug_counts_invariant_status</t>
        </is>
      </c>
      <c r="U1" s="11" t="inlineStr">
        <is>
          <t>arithmetic_validation_status</t>
        </is>
      </c>
      <c r="V1" s="11" t="inlineStr">
        <is>
          <t>acoustic_validation_status</t>
        </is>
      </c>
      <c r="W1" s="11" t="inlineStr">
        <is>
          <t>validation_summary_status</t>
        </is>
      </c>
    </row>
    <row r="2">
      <c r="A2" t="inlineStr">
        <is>
          <t>B3</t>
        </is>
      </c>
      <c r="B2" t="n">
        <v>59</v>
      </c>
      <c r="C2" t="inlineStr">
        <is>
          <t>Middle</t>
        </is>
      </c>
      <c r="D2" s="15" t="n">
        <v>246.941650628062</v>
      </c>
      <c r="E2" s="15" t="n">
        <v>246.2889292393006</v>
      </c>
      <c r="F2" t="inlineStr">
        <is>
          <t>prior_constrained_harmonic_fit</t>
        </is>
      </c>
      <c r="G2" t="inlineStr">
        <is>
          <t>prior_constrained_harmonic_fit</t>
        </is>
      </c>
      <c r="H2" t="n">
        <v>1</v>
      </c>
      <c r="I2" t="inlineStr">
        <is>
          <t>fit_accepted_acoustically_verified</t>
        </is>
      </c>
      <c r="J2" t="n">
        <v>0.005727757079986005</v>
      </c>
      <c r="K2" s="15" t="n">
        <v>1.412582987671155</v>
      </c>
      <c r="M2" s="15" t="n">
        <v>-4.582092832683948</v>
      </c>
      <c r="N2" t="inlineStr">
        <is>
          <t>excellent</t>
        </is>
      </c>
      <c r="O2" s="19" t="n">
        <v>0.9382716049382716</v>
      </c>
      <c r="P2" s="19" t="n">
        <v>0.04799361777398953</v>
      </c>
      <c r="Q2" s="15" t="n">
        <v>6.268644865125835</v>
      </c>
      <c r="R2" s="15" t="n">
        <v>17.75733904032261</v>
      </c>
      <c r="S2" s="15" t="n">
        <v>10.65170178262167</v>
      </c>
      <c r="T2" t="inlineStr">
        <is>
          <t>passed</t>
        </is>
      </c>
      <c r="U2" t="inlineStr">
        <is>
          <t>passed</t>
        </is>
      </c>
      <c r="V2" t="inlineStr">
        <is>
          <t>passed</t>
        </is>
      </c>
      <c r="W2" t="inlineStr">
        <is>
          <t>passed</t>
        </is>
      </c>
    </row>
    <row r="3">
      <c r="A3" t="inlineStr">
        <is>
          <t>C4</t>
        </is>
      </c>
      <c r="B3" t="n">
        <v>60</v>
      </c>
      <c r="C3" t="inlineStr">
        <is>
          <t>High</t>
        </is>
      </c>
      <c r="D3" s="15" t="n">
        <v>261.6255653005986</v>
      </c>
      <c r="E3" s="15" t="n">
        <v>261.5832572353145</v>
      </c>
      <c r="F3" t="inlineStr">
        <is>
          <t>prior_constrained_harmonic_fit</t>
        </is>
      </c>
      <c r="G3" t="inlineStr">
        <is>
          <t>prior_constrained_harmonic_fit</t>
        </is>
      </c>
      <c r="H3" t="n">
        <v>1</v>
      </c>
      <c r="I3" t="inlineStr">
        <is>
          <t>fit_accepted_acoustically_verified</t>
        </is>
      </c>
      <c r="J3" t="n">
        <v>0.001167914725609601</v>
      </c>
      <c r="K3" s="15" t="n">
        <v>0.305506938098048</v>
      </c>
      <c r="M3" s="15" t="n">
        <v>-0.2799844351808436</v>
      </c>
      <c r="N3" t="inlineStr">
        <is>
          <t>excellent</t>
        </is>
      </c>
      <c r="O3" s="19" t="n">
        <v>0.9342105263157895</v>
      </c>
      <c r="P3" s="19" t="n">
        <v>0.1055354679237966</v>
      </c>
      <c r="Q3" s="15" t="n">
        <v>4.333585532179169</v>
      </c>
      <c r="R3" s="15" t="n">
        <v>16.06259844661095</v>
      </c>
      <c r="S3" s="15" t="n">
        <v>6.619109433519143</v>
      </c>
      <c r="T3" t="inlineStr">
        <is>
          <t>passed</t>
        </is>
      </c>
      <c r="U3" t="inlineStr">
        <is>
          <t>passed</t>
        </is>
      </c>
      <c r="V3" t="inlineStr">
        <is>
          <t>passed</t>
        </is>
      </c>
      <c r="W3" t="inlineStr">
        <is>
          <t>passed</t>
        </is>
      </c>
    </row>
    <row r="4">
      <c r="A4" t="inlineStr">
        <is>
          <t>C#4</t>
        </is>
      </c>
      <c r="B4" t="n">
        <v>61</v>
      </c>
      <c r="C4" t="inlineStr">
        <is>
          <t>High</t>
        </is>
      </c>
      <c r="D4" s="15" t="n">
        <v>277.182630976872</v>
      </c>
      <c r="E4" s="15" t="n">
        <v>277.0547427754287</v>
      </c>
      <c r="F4" t="inlineStr">
        <is>
          <t>prior_constrained_harmonic_fit</t>
        </is>
      </c>
      <c r="G4" t="inlineStr">
        <is>
          <t>prior_constrained_harmonic_fit</t>
        </is>
      </c>
      <c r="H4" t="n">
        <v>1</v>
      </c>
      <c r="I4" t="inlineStr">
        <is>
          <t>fit_accepted_acoustically_verified</t>
        </is>
      </c>
      <c r="J4" t="n">
        <v>0.0006468884613092998</v>
      </c>
      <c r="K4" s="15" t="n">
        <v>0.1792235162524409</v>
      </c>
      <c r="M4" s="15" t="n">
        <v>-0.798951580053603</v>
      </c>
      <c r="N4" t="inlineStr">
        <is>
          <t>excellent</t>
        </is>
      </c>
      <c r="O4" s="19" t="n">
        <v>0.9027777777777778</v>
      </c>
      <c r="P4" s="19" t="n">
        <v>0.02990149007464742</v>
      </c>
      <c r="Q4" s="15" t="n">
        <v>4.225153259339543</v>
      </c>
      <c r="R4" s="15" t="n">
        <v>12.64982035048839</v>
      </c>
      <c r="S4" s="15" t="n">
        <v>5.853828622950147</v>
      </c>
      <c r="T4" t="inlineStr">
        <is>
          <t>passed</t>
        </is>
      </c>
      <c r="U4" t="inlineStr">
        <is>
          <t>passed</t>
        </is>
      </c>
      <c r="V4" t="inlineStr">
        <is>
          <t>passed</t>
        </is>
      </c>
      <c r="W4" t="inlineStr">
        <is>
          <t>passed</t>
        </is>
      </c>
    </row>
    <row r="5">
      <c r="A5" t="inlineStr">
        <is>
          <t>D4</t>
        </is>
      </c>
      <c r="B5" t="n">
        <v>62</v>
      </c>
      <c r="C5" t="inlineStr">
        <is>
          <t>High</t>
        </is>
      </c>
      <c r="D5" s="15" t="n">
        <v>293.6647679174076</v>
      </c>
      <c r="E5" s="15" t="n">
        <v>293.2659000702337</v>
      </c>
      <c r="F5" t="inlineStr">
        <is>
          <t>prior_constrained_harmonic_fit</t>
        </is>
      </c>
      <c r="G5" t="inlineStr">
        <is>
          <t>prior_constrained_harmonic_fit</t>
        </is>
      </c>
      <c r="H5" t="n">
        <v>1</v>
      </c>
      <c r="I5" t="inlineStr">
        <is>
          <t>fit_accepted_acoustically_verified</t>
        </is>
      </c>
      <c r="J5" t="n">
        <v>0.000527309122031147</v>
      </c>
      <c r="K5" s="15" t="n">
        <v>0.154641784287709</v>
      </c>
      <c r="M5" s="15" t="n">
        <v>-2.353033303836842</v>
      </c>
      <c r="N5" t="inlineStr">
        <is>
          <t>excellent</t>
        </is>
      </c>
      <c r="O5" s="19" t="n">
        <v>0.9264705882352942</v>
      </c>
      <c r="P5" s="19" t="n">
        <v>0.1144897416798384</v>
      </c>
      <c r="Q5" s="15" t="n">
        <v>4.173204704157666</v>
      </c>
      <c r="R5" s="15" t="n">
        <v>16.54227570253089</v>
      </c>
      <c r="S5" s="15" t="n">
        <v>6.180812372490732</v>
      </c>
      <c r="T5" t="inlineStr">
        <is>
          <t>passed</t>
        </is>
      </c>
      <c r="U5" t="inlineStr">
        <is>
          <t>passed</t>
        </is>
      </c>
      <c r="V5" t="inlineStr">
        <is>
          <t>passed</t>
        </is>
      </c>
      <c r="W5" t="inlineStr">
        <is>
          <t>passed</t>
        </is>
      </c>
    </row>
    <row r="6">
      <c r="A6" t="inlineStr">
        <is>
          <t>D#4</t>
        </is>
      </c>
      <c r="B6" t="n">
        <v>63</v>
      </c>
      <c r="C6" t="inlineStr">
        <is>
          <t>High</t>
        </is>
      </c>
      <c r="D6" s="15" t="n">
        <v>311.1269837220809</v>
      </c>
      <c r="E6" s="15" t="n">
        <v>311.1345551043926</v>
      </c>
      <c r="F6" t="inlineStr">
        <is>
          <t>prior_constrained_harmonic_fit</t>
        </is>
      </c>
      <c r="G6" t="inlineStr">
        <is>
          <t>prior_constrained_harmonic_fit</t>
        </is>
      </c>
      <c r="H6" t="n">
        <v>1</v>
      </c>
      <c r="I6" t="inlineStr">
        <is>
          <t>fit_accepted_acoustically_verified</t>
        </is>
      </c>
      <c r="J6" t="n">
        <v>0.0006366236532095624</v>
      </c>
      <c r="K6" s="15" t="n">
        <v>0.1980756171102903</v>
      </c>
      <c r="M6" s="15" t="n">
        <v>0.04212966426285086</v>
      </c>
      <c r="N6" t="inlineStr">
        <is>
          <t>excellent</t>
        </is>
      </c>
      <c r="O6" s="19" t="n">
        <v>0.90625</v>
      </c>
      <c r="P6" s="19" t="n">
        <v>0.1139960608999146</v>
      </c>
      <c r="Q6" s="15" t="n">
        <v>3.614091039701833</v>
      </c>
      <c r="R6" s="15" t="n">
        <v>15.5640602477023</v>
      </c>
      <c r="S6" s="15" t="n">
        <v>5.456108494157144</v>
      </c>
      <c r="T6" t="inlineStr">
        <is>
          <t>passed</t>
        </is>
      </c>
      <c r="U6" t="inlineStr">
        <is>
          <t>passed</t>
        </is>
      </c>
      <c r="V6" t="inlineStr">
        <is>
          <t>passed</t>
        </is>
      </c>
      <c r="W6" t="inlineStr">
        <is>
          <t>passed</t>
        </is>
      </c>
    </row>
    <row r="7">
      <c r="A7" t="inlineStr">
        <is>
          <t>E4</t>
        </is>
      </c>
      <c r="B7" t="n">
        <v>64</v>
      </c>
      <c r="C7" t="inlineStr">
        <is>
          <t>High</t>
        </is>
      </c>
      <c r="D7" s="15" t="n">
        <v>329.6275569128699</v>
      </c>
      <c r="E7" s="15" t="n">
        <v>329.5043856010349</v>
      </c>
      <c r="F7" t="inlineStr">
        <is>
          <t>prior_constrained_harmonic_fit</t>
        </is>
      </c>
      <c r="G7" t="inlineStr">
        <is>
          <t>prior_constrained_harmonic_fit</t>
        </is>
      </c>
      <c r="H7" t="n">
        <v>1</v>
      </c>
      <c r="I7" t="inlineStr">
        <is>
          <t>fit_accepted_acoustically_verified</t>
        </is>
      </c>
      <c r="J7" t="n">
        <v>0.000310303849503558</v>
      </c>
      <c r="K7" s="15" t="n">
        <v>0.1022464792803059</v>
      </c>
      <c r="M7" s="15" t="n">
        <v>-0.647027879079094</v>
      </c>
      <c r="N7" t="inlineStr">
        <is>
          <t>excellent</t>
        </is>
      </c>
      <c r="O7" s="19" t="n">
        <v>0.9</v>
      </c>
      <c r="P7" s="19" t="n">
        <v>0.05235579394332022</v>
      </c>
      <c r="Q7" s="15" t="n">
        <v>4.1275966863482</v>
      </c>
      <c r="R7" s="15" t="n">
        <v>14.96449642667486</v>
      </c>
      <c r="S7" s="15" t="n">
        <v>5.681131473130968</v>
      </c>
      <c r="T7" t="inlineStr">
        <is>
          <t>passed</t>
        </is>
      </c>
      <c r="U7" t="inlineStr">
        <is>
          <t>passed</t>
        </is>
      </c>
      <c r="V7" t="inlineStr">
        <is>
          <t>passed</t>
        </is>
      </c>
      <c r="W7" t="inlineStr">
        <is>
          <t>passed</t>
        </is>
      </c>
    </row>
    <row r="8">
      <c r="A8" t="inlineStr">
        <is>
          <t>F4</t>
        </is>
      </c>
      <c r="B8" t="n">
        <v>65</v>
      </c>
      <c r="C8" t="inlineStr">
        <is>
          <t>High</t>
        </is>
      </c>
      <c r="D8" s="15" t="n">
        <v>349.2282314330039</v>
      </c>
      <c r="E8" s="15" t="n">
        <v>348.6638106737653</v>
      </c>
      <c r="F8" t="inlineStr">
        <is>
          <t>prior_constrained_harmonic_fit</t>
        </is>
      </c>
      <c r="G8" t="inlineStr">
        <is>
          <t>prior_constrained_harmonic_fit</t>
        </is>
      </c>
      <c r="H8" t="n">
        <v>1</v>
      </c>
      <c r="I8" t="inlineStr">
        <is>
          <t>fit_accepted_acoustically_verified</t>
        </is>
      </c>
      <c r="J8" t="n">
        <v>0.0005315713154744749</v>
      </c>
      <c r="K8" s="15" t="n">
        <v>0.1853396804981967</v>
      </c>
      <c r="M8" s="15" t="n">
        <v>-2.800274513769423</v>
      </c>
      <c r="N8" t="inlineStr">
        <is>
          <t>excellent</t>
        </is>
      </c>
      <c r="O8" s="19" t="n">
        <v>0.8947368421052632</v>
      </c>
      <c r="P8" s="19" t="n">
        <v>0.0136908037486831</v>
      </c>
      <c r="Q8" s="15" t="n">
        <v>4.631373135197315</v>
      </c>
      <c r="R8" s="15" t="n">
        <v>15.87508522920683</v>
      </c>
      <c r="S8" s="15" t="n">
        <v>6.294443071884531</v>
      </c>
      <c r="T8" t="inlineStr">
        <is>
          <t>passed</t>
        </is>
      </c>
      <c r="U8" t="inlineStr">
        <is>
          <t>passed</t>
        </is>
      </c>
      <c r="V8" t="inlineStr">
        <is>
          <t>passed</t>
        </is>
      </c>
      <c r="W8" t="inlineStr">
        <is>
          <t>passed</t>
        </is>
      </c>
    </row>
    <row r="9">
      <c r="A9" t="inlineStr">
        <is>
          <t>F#4</t>
        </is>
      </c>
      <c r="B9" t="n">
        <v>66</v>
      </c>
      <c r="C9" t="inlineStr">
        <is>
          <t>High</t>
        </is>
      </c>
      <c r="D9" s="15" t="n">
        <v>369.9944227116344</v>
      </c>
      <c r="E9" s="15" t="n">
        <v>370.8867779187667</v>
      </c>
      <c r="F9" t="inlineStr">
        <is>
          <t>prior_constrained_harmonic_fit</t>
        </is>
      </c>
      <c r="G9" t="inlineStr">
        <is>
          <t>prior_constrained_harmonic_fit</t>
        </is>
      </c>
      <c r="H9" t="n">
        <v>1</v>
      </c>
      <c r="I9" t="inlineStr">
        <is>
          <t>fit_accepted_acoustically_verified</t>
        </is>
      </c>
      <c r="J9" t="n">
        <v>0.0005410483895063398</v>
      </c>
      <c r="K9" s="15" t="n">
        <v>0.2006676938821442</v>
      </c>
      <c r="M9" s="15" t="n">
        <v>4.170375666671657</v>
      </c>
      <c r="N9" t="inlineStr">
        <is>
          <t>excellent</t>
        </is>
      </c>
      <c r="O9" s="19" t="n">
        <v>0.9056603773584906</v>
      </c>
      <c r="P9" s="19" t="n">
        <v>0.0564898167499007</v>
      </c>
      <c r="Q9" s="15" t="n">
        <v>5.658161441279723</v>
      </c>
      <c r="R9" s="15" t="n">
        <v>12.80849309729288</v>
      </c>
      <c r="S9" s="15" t="n">
        <v>6.898061276083799</v>
      </c>
      <c r="T9" t="inlineStr">
        <is>
          <t>passed</t>
        </is>
      </c>
      <c r="U9" t="inlineStr">
        <is>
          <t>passed</t>
        </is>
      </c>
      <c r="V9" t="inlineStr">
        <is>
          <t>passed</t>
        </is>
      </c>
      <c r="W9" t="inlineStr">
        <is>
          <t>passed</t>
        </is>
      </c>
    </row>
    <row r="10">
      <c r="A10" t="inlineStr">
        <is>
          <t>G4</t>
        </is>
      </c>
      <c r="B10" t="n">
        <v>67</v>
      </c>
      <c r="C10" t="inlineStr">
        <is>
          <t>High</t>
        </is>
      </c>
      <c r="D10" s="15" t="n">
        <v>391.9954359817492</v>
      </c>
      <c r="E10" s="15" t="n">
        <v>392.5810305347479</v>
      </c>
      <c r="F10" t="inlineStr">
        <is>
          <t>prior_constrained_harmonic_fit</t>
        </is>
      </c>
      <c r="G10" t="inlineStr">
        <is>
          <t>prior_constrained_harmonic_fit</t>
        </is>
      </c>
      <c r="H10" t="n">
        <v>1</v>
      </c>
      <c r="I10" t="inlineStr">
        <is>
          <t>fit_accepted_acoustically_verified</t>
        </is>
      </c>
      <c r="J10" t="n">
        <v>0.0004438123476138945</v>
      </c>
      <c r="K10" s="15" t="n">
        <v>0.1742323087903085</v>
      </c>
      <c r="M10" s="15" t="n">
        <v>2.584327877840719</v>
      </c>
      <c r="N10" t="inlineStr">
        <is>
          <t>excellent</t>
        </is>
      </c>
      <c r="O10" s="19" t="n">
        <v>0.9</v>
      </c>
      <c r="P10" s="19" t="n">
        <v>0.05576646843634991</v>
      </c>
      <c r="Q10" s="15" t="n">
        <v>4.888788480906326</v>
      </c>
      <c r="R10" s="15" t="n">
        <v>17.50132869559275</v>
      </c>
      <c r="S10" s="15" t="n">
        <v>6.346456758601433</v>
      </c>
      <c r="T10" t="inlineStr">
        <is>
          <t>passed</t>
        </is>
      </c>
      <c r="U10" t="inlineStr">
        <is>
          <t>passed</t>
        </is>
      </c>
      <c r="V10" t="inlineStr">
        <is>
          <t>passed</t>
        </is>
      </c>
      <c r="W10" t="inlineStr">
        <is>
          <t>passed</t>
        </is>
      </c>
    </row>
    <row r="11">
      <c r="A11" t="inlineStr">
        <is>
          <t>G#4</t>
        </is>
      </c>
      <c r="B11" t="n">
        <v>68</v>
      </c>
      <c r="C11" t="inlineStr">
        <is>
          <t>High</t>
        </is>
      </c>
      <c r="D11" s="15" t="n">
        <v>415.3046975799452</v>
      </c>
      <c r="E11" s="15" t="n">
        <v>414.9100877794747</v>
      </c>
      <c r="F11" t="inlineStr">
        <is>
          <t>prior_constrained_harmonic_fit</t>
        </is>
      </c>
      <c r="G11" t="inlineStr">
        <is>
          <t>prior_constrained_harmonic_fit</t>
        </is>
      </c>
      <c r="H11" t="n">
        <v>1</v>
      </c>
      <c r="I11" t="inlineStr">
        <is>
          <t>fit_accepted_acoustically_verified</t>
        </is>
      </c>
      <c r="J11" t="n">
        <v>0.0004191864013591141</v>
      </c>
      <c r="K11" s="15" t="n">
        <v>0.1739246665838722</v>
      </c>
      <c r="M11" s="15" t="n">
        <v>-1.645747549101646</v>
      </c>
      <c r="N11" t="inlineStr">
        <is>
          <t>excellent</t>
        </is>
      </c>
      <c r="O11" s="19" t="n">
        <v>0.8958333333333334</v>
      </c>
      <c r="P11" s="19" t="n">
        <v>0.05278229718134915</v>
      </c>
      <c r="Q11" s="15" t="n">
        <v>4.826096547272038</v>
      </c>
      <c r="R11" s="15" t="n">
        <v>14.28961843851743</v>
      </c>
      <c r="S11" s="15" t="n">
        <v>6.322744676541889</v>
      </c>
      <c r="T11" t="inlineStr">
        <is>
          <t>passed</t>
        </is>
      </c>
      <c r="U11" t="inlineStr">
        <is>
          <t>passed</t>
        </is>
      </c>
      <c r="V11" t="inlineStr">
        <is>
          <t>passed</t>
        </is>
      </c>
      <c r="W11" t="inlineStr">
        <is>
          <t>passed</t>
        </is>
      </c>
    </row>
    <row r="12">
      <c r="A12" t="inlineStr">
        <is>
          <t>A4</t>
        </is>
      </c>
      <c r="B12" t="n">
        <v>69</v>
      </c>
      <c r="C12" t="inlineStr">
        <is>
          <t>High</t>
        </is>
      </c>
      <c r="D12" s="15" t="n">
        <v>439.9999999999999</v>
      </c>
      <c r="E12" s="15" t="n">
        <v>440.2794333742448</v>
      </c>
      <c r="F12" t="inlineStr">
        <is>
          <t>prior_constrained_harmonic_fit</t>
        </is>
      </c>
      <c r="G12" t="inlineStr">
        <is>
          <t>prior_constrained_harmonic_fit</t>
        </is>
      </c>
      <c r="H12" t="n">
        <v>1</v>
      </c>
      <c r="I12" t="inlineStr">
        <is>
          <t>fit_accepted_acoustically_verified</t>
        </is>
      </c>
      <c r="J12" t="n">
        <v>0.0002304038200477796</v>
      </c>
      <c r="K12" s="15" t="n">
        <v>0.1014420633378979</v>
      </c>
      <c r="M12" s="15" t="n">
        <v>1.099115962150769</v>
      </c>
      <c r="N12" t="inlineStr">
        <is>
          <t>excellent</t>
        </is>
      </c>
      <c r="O12" s="19" t="n">
        <v>0.8888888888888888</v>
      </c>
      <c r="P12" s="19" t="n">
        <v>0.06624412402732299</v>
      </c>
      <c r="Q12" s="15" t="n">
        <v>4.980566546494792</v>
      </c>
      <c r="R12" s="15" t="n">
        <v>15.75028700781062</v>
      </c>
      <c r="S12" s="15" t="n">
        <v>6.830002559592151</v>
      </c>
      <c r="T12" t="inlineStr">
        <is>
          <t>passed</t>
        </is>
      </c>
      <c r="U12" t="inlineStr">
        <is>
          <t>passed</t>
        </is>
      </c>
      <c r="V12" t="inlineStr">
        <is>
          <t>passed</t>
        </is>
      </c>
      <c r="W12" t="inlineStr">
        <is>
          <t>passed</t>
        </is>
      </c>
    </row>
    <row r="13">
      <c r="A13" t="inlineStr">
        <is>
          <t>A#4</t>
        </is>
      </c>
      <c r="B13" t="n">
        <v>70</v>
      </c>
      <c r="C13" t="inlineStr">
        <is>
          <t>High</t>
        </is>
      </c>
      <c r="D13" s="15" t="n">
        <v>466.1637615180898</v>
      </c>
      <c r="E13" s="15" t="n">
        <v>466.6777408353979</v>
      </c>
      <c r="F13" t="inlineStr">
        <is>
          <t>prior_constrained_harmonic_fit</t>
        </is>
      </c>
      <c r="G13" t="inlineStr">
        <is>
          <t>prior_constrained_harmonic_fit</t>
        </is>
      </c>
      <c r="H13" t="n">
        <v>1</v>
      </c>
      <c r="I13" t="inlineStr">
        <is>
          <t>fit_accepted_acoustically_verified</t>
        </is>
      </c>
      <c r="J13" t="n">
        <v>0.0001897567001004514</v>
      </c>
      <c r="K13" s="15" t="n">
        <v>0.08855522811125877</v>
      </c>
      <c r="M13" s="15" t="n">
        <v>1.907759426310213</v>
      </c>
      <c r="N13" t="inlineStr">
        <is>
          <t>excellent</t>
        </is>
      </c>
      <c r="O13" s="19" t="n">
        <v>0.9047619047619048</v>
      </c>
      <c r="P13" s="19" t="n">
        <v>0.08000937799802724</v>
      </c>
      <c r="Q13" s="15" t="n">
        <v>5.568256322197279</v>
      </c>
      <c r="R13" s="15" t="n">
        <v>17.61108108068625</v>
      </c>
      <c r="S13" s="15" t="n">
        <v>7.488283266383549</v>
      </c>
      <c r="T13" t="inlineStr">
        <is>
          <t>passed</t>
        </is>
      </c>
      <c r="U13" t="inlineStr">
        <is>
          <t>passed</t>
        </is>
      </c>
      <c r="V13" t="inlineStr">
        <is>
          <t>passed</t>
        </is>
      </c>
      <c r="W13" t="inlineStr">
        <is>
          <t>passed</t>
        </is>
      </c>
    </row>
    <row r="14">
      <c r="A14" t="inlineStr">
        <is>
          <t>B4</t>
        </is>
      </c>
      <c r="B14" t="n">
        <v>71</v>
      </c>
      <c r="C14" t="inlineStr">
        <is>
          <t>High</t>
        </is>
      </c>
      <c r="D14" s="15" t="n">
        <v>493.8833012561242</v>
      </c>
      <c r="E14" s="15" t="n">
        <v>493.6807486752511</v>
      </c>
      <c r="F14" t="inlineStr">
        <is>
          <t>prior_constrained_harmonic_fit</t>
        </is>
      </c>
      <c r="G14" t="inlineStr">
        <is>
          <t>prior_constrained_harmonic_fit</t>
        </is>
      </c>
      <c r="H14" t="n">
        <v>1</v>
      </c>
      <c r="I14" t="inlineStr">
        <is>
          <t>fit_accepted_acoustically_verified</t>
        </is>
      </c>
      <c r="J14" t="n">
        <v>0.0001444482061953183</v>
      </c>
      <c r="K14" s="15" t="n">
        <v>0.0713112985793018</v>
      </c>
      <c r="M14" s="15" t="n">
        <v>-0.7101634160851574</v>
      </c>
      <c r="N14" t="inlineStr">
        <is>
          <t>excellent</t>
        </is>
      </c>
      <c r="O14" s="19" t="n">
        <v>0.925</v>
      </c>
      <c r="P14" s="19" t="n">
        <v>0.1042924536065188</v>
      </c>
      <c r="Q14" s="15" t="n">
        <v>5.461170580793497</v>
      </c>
      <c r="R14" s="15" t="n">
        <v>17.00620377401736</v>
      </c>
      <c r="S14" s="15" t="n">
        <v>7.52801974700684</v>
      </c>
      <c r="T14" t="inlineStr">
        <is>
          <t>passed</t>
        </is>
      </c>
      <c r="U14" t="inlineStr">
        <is>
          <t>passed</t>
        </is>
      </c>
      <c r="V14" t="inlineStr">
        <is>
          <t>passed</t>
        </is>
      </c>
      <c r="W14" t="inlineStr">
        <is>
          <t>passed</t>
        </is>
      </c>
    </row>
    <row r="15">
      <c r="A15" t="inlineStr">
        <is>
          <t>C5</t>
        </is>
      </c>
      <c r="B15" t="n">
        <v>72</v>
      </c>
      <c r="C15" t="inlineStr">
        <is>
          <t>Very high</t>
        </is>
      </c>
      <c r="D15" s="15" t="n">
        <v>523.2511306011972</v>
      </c>
      <c r="E15" s="15" t="n">
        <v>523.4580744924493</v>
      </c>
      <c r="F15" t="inlineStr">
        <is>
          <t>prior_constrained_harmonic_fit</t>
        </is>
      </c>
      <c r="G15" t="inlineStr">
        <is>
          <t>prior_constrained_harmonic_fit</t>
        </is>
      </c>
      <c r="H15" t="n">
        <v>1</v>
      </c>
      <c r="I15" t="inlineStr">
        <is>
          <t>fit_accepted_acoustically_verified</t>
        </is>
      </c>
      <c r="J15" t="n">
        <v>0.002108546427631768</v>
      </c>
      <c r="K15" s="15" t="n">
        <v>1.103735652986058</v>
      </c>
      <c r="M15" s="15" t="n">
        <v>0.6845613159922435</v>
      </c>
      <c r="N15" t="inlineStr">
        <is>
          <t>excellent</t>
        </is>
      </c>
      <c r="O15" s="19" t="n">
        <v>0.8947368421052632</v>
      </c>
      <c r="P15" s="19" t="n">
        <v>0.04717916650636161</v>
      </c>
      <c r="Q15" s="15" t="n">
        <v>4.631921890961023</v>
      </c>
      <c r="R15" s="15" t="n">
        <v>13.52483779136041</v>
      </c>
      <c r="S15" s="15" t="n">
        <v>5.869357761842642</v>
      </c>
      <c r="T15" t="inlineStr">
        <is>
          <t>passed</t>
        </is>
      </c>
      <c r="U15" t="inlineStr">
        <is>
          <t>passed</t>
        </is>
      </c>
      <c r="V15" t="inlineStr">
        <is>
          <t>passed</t>
        </is>
      </c>
      <c r="W15" t="inlineStr">
        <is>
          <t>passed</t>
        </is>
      </c>
    </row>
    <row r="16">
      <c r="A16" t="inlineStr">
        <is>
          <t>C#5</t>
        </is>
      </c>
      <c r="B16" t="n">
        <v>73</v>
      </c>
      <c r="C16" t="inlineStr">
        <is>
          <t>Very high</t>
        </is>
      </c>
      <c r="D16" s="15" t="n">
        <v>554.365261953744</v>
      </c>
      <c r="E16" s="15" t="n">
        <v>552.9701018631929</v>
      </c>
      <c r="F16" t="inlineStr">
        <is>
          <t>prior_constrained_harmonic_fit</t>
        </is>
      </c>
      <c r="G16" t="inlineStr">
        <is>
          <t>prior_constrained_harmonic_fit</t>
        </is>
      </c>
      <c r="H16" t="n">
        <v>1</v>
      </c>
      <c r="I16" t="inlineStr">
        <is>
          <t>fit_accepted_acoustically_verified</t>
        </is>
      </c>
      <c r="J16" t="n">
        <v>0.0002127524808097137</v>
      </c>
      <c r="K16" s="15" t="n">
        <v>0.1176457609849944</v>
      </c>
      <c r="M16" s="15" t="n">
        <v>-4.362454247624226</v>
      </c>
      <c r="N16" t="inlineStr">
        <is>
          <t>excellent</t>
        </is>
      </c>
      <c r="O16" s="19" t="n">
        <v>0.8888888888888888</v>
      </c>
      <c r="P16" s="19" t="n">
        <v>0.03807820347473314</v>
      </c>
      <c r="Q16" s="15" t="n">
        <v>7.383510011737704</v>
      </c>
      <c r="R16" s="15" t="n">
        <v>16.44654112776318</v>
      </c>
      <c r="S16" s="15" t="n">
        <v>8.840621469941849</v>
      </c>
      <c r="T16" t="inlineStr">
        <is>
          <t>passed</t>
        </is>
      </c>
      <c r="U16" t="inlineStr">
        <is>
          <t>passed</t>
        </is>
      </c>
      <c r="V16" t="inlineStr">
        <is>
          <t>passed</t>
        </is>
      </c>
      <c r="W16" t="inlineStr">
        <is>
          <t>passed</t>
        </is>
      </c>
    </row>
    <row r="17">
      <c r="A17" t="inlineStr">
        <is>
          <t>D5</t>
        </is>
      </c>
      <c r="B17" t="n">
        <v>74</v>
      </c>
      <c r="C17" t="inlineStr">
        <is>
          <t>Very high</t>
        </is>
      </c>
      <c r="D17" s="15" t="n">
        <v>587.3295358348153</v>
      </c>
      <c r="E17" s="15" t="n">
        <v>587.1695474110808</v>
      </c>
      <c r="F17" t="inlineStr">
        <is>
          <t>prior_constrained_harmonic_fit</t>
        </is>
      </c>
      <c r="G17" t="inlineStr">
        <is>
          <t>prior_constrained_harmonic_fit</t>
        </is>
      </c>
      <c r="H17" t="n">
        <v>1</v>
      </c>
      <c r="I17" t="inlineStr">
        <is>
          <t>fit_accepted_acoustically_verified</t>
        </is>
      </c>
      <c r="J17" t="n">
        <v>7.39949403793769e-05</v>
      </c>
      <c r="K17" s="15" t="n">
        <v>0.04344757565326864</v>
      </c>
      <c r="M17" s="15" t="n">
        <v>-0.471651978771025</v>
      </c>
      <c r="N17" t="inlineStr">
        <is>
          <t>excellent</t>
        </is>
      </c>
      <c r="O17" s="19" t="n">
        <v>0.9117647058823529</v>
      </c>
      <c r="P17" s="19" t="n">
        <v>0.06396741808027147</v>
      </c>
      <c r="Q17" s="15" t="n">
        <v>5.653265554738316</v>
      </c>
      <c r="R17" s="15" t="n">
        <v>17.97109433254084</v>
      </c>
      <c r="S17" s="15" t="n">
        <v>7.869022330159791</v>
      </c>
      <c r="T17" t="inlineStr">
        <is>
          <t>passed</t>
        </is>
      </c>
      <c r="U17" t="inlineStr">
        <is>
          <t>passed</t>
        </is>
      </c>
      <c r="V17" t="inlineStr">
        <is>
          <t>passed</t>
        </is>
      </c>
      <c r="W17" t="inlineStr">
        <is>
          <t>passed</t>
        </is>
      </c>
    </row>
    <row r="18">
      <c r="A18" t="inlineStr">
        <is>
          <t>D#5</t>
        </is>
      </c>
      <c r="B18" t="n">
        <v>75</v>
      </c>
      <c r="C18" t="inlineStr">
        <is>
          <t>Very high</t>
        </is>
      </c>
      <c r="D18" s="15" t="n">
        <v>622.2539674441617</v>
      </c>
      <c r="E18" s="15" t="n">
        <v>621.6191607679255</v>
      </c>
      <c r="F18" t="inlineStr">
        <is>
          <t>prior_constrained_harmonic_fit</t>
        </is>
      </c>
      <c r="G18" t="inlineStr">
        <is>
          <t>prior_constrained_harmonic_fit</t>
        </is>
      </c>
      <c r="H18" t="n">
        <v>1</v>
      </c>
      <c r="I18" t="inlineStr">
        <is>
          <t>fit_accepted_acoustically_verified</t>
        </is>
      </c>
      <c r="J18" t="n">
        <v>0.0001545770296318371</v>
      </c>
      <c r="K18" s="15" t="n">
        <v>0.0960880434337413</v>
      </c>
      <c r="M18" s="15" t="n">
        <v>-1.767059683116761</v>
      </c>
      <c r="N18" t="inlineStr">
        <is>
          <t>excellent</t>
        </is>
      </c>
      <c r="O18" s="19" t="n">
        <v>0.875</v>
      </c>
      <c r="P18" s="19" t="n">
        <v>0.01120556910349065</v>
      </c>
      <c r="Q18" s="15" t="n">
        <v>4.516230754456437</v>
      </c>
      <c r="R18" s="15" t="n">
        <v>13.72384916034196</v>
      </c>
      <c r="S18" s="15" t="n">
        <v>5.719635412162309</v>
      </c>
      <c r="T18" t="inlineStr">
        <is>
          <t>passed</t>
        </is>
      </c>
      <c r="U18" t="inlineStr">
        <is>
          <t>passed</t>
        </is>
      </c>
      <c r="V18" t="inlineStr">
        <is>
          <t>passed</t>
        </is>
      </c>
      <c r="W18" t="inlineStr">
        <is>
          <t>passed</t>
        </is>
      </c>
    </row>
    <row r="19">
      <c r="A19" t="inlineStr">
        <is>
          <t>E5</t>
        </is>
      </c>
      <c r="B19" t="n">
        <v>76</v>
      </c>
      <c r="C19" t="inlineStr">
        <is>
          <t>Very high</t>
        </is>
      </c>
      <c r="D19" s="15" t="n">
        <v>659.2551138257397</v>
      </c>
      <c r="E19" s="15" t="n">
        <v>660.6082828993534</v>
      </c>
      <c r="F19" t="inlineStr">
        <is>
          <t>prior_constrained_harmonic_fit</t>
        </is>
      </c>
      <c r="G19" t="inlineStr">
        <is>
          <t>prior_constrained_harmonic_fit</t>
        </is>
      </c>
      <c r="H19" t="n">
        <v>1</v>
      </c>
      <c r="I19" t="inlineStr">
        <is>
          <t>fit_accepted_acoustically_verified</t>
        </is>
      </c>
      <c r="J19" t="n">
        <v>0.0001655015268066702</v>
      </c>
      <c r="K19" s="15" t="n">
        <v>0.1093316794409757</v>
      </c>
      <c r="M19" s="15" t="n">
        <v>3.549841901803743</v>
      </c>
      <c r="N19" t="inlineStr">
        <is>
          <t>excellent</t>
        </is>
      </c>
      <c r="O19" s="19" t="n">
        <v>0.9</v>
      </c>
      <c r="P19" s="19" t="n">
        <v>0.02778934497276359</v>
      </c>
      <c r="Q19" s="15" t="n">
        <v>6.346545971844654</v>
      </c>
      <c r="R19" s="15" t="n">
        <v>16.42583011240751</v>
      </c>
      <c r="S19" s="15" t="n">
        <v>8.29630414249957</v>
      </c>
      <c r="T19" t="inlineStr">
        <is>
          <t>passed</t>
        </is>
      </c>
      <c r="U19" t="inlineStr">
        <is>
          <t>passed</t>
        </is>
      </c>
      <c r="V19" t="inlineStr">
        <is>
          <t>passed</t>
        </is>
      </c>
      <c r="W19" t="inlineStr">
        <is>
          <t>passed</t>
        </is>
      </c>
    </row>
    <row r="20">
      <c r="A20" t="inlineStr">
        <is>
          <t>F5</t>
        </is>
      </c>
      <c r="B20" t="n">
        <v>77</v>
      </c>
      <c r="C20" t="inlineStr">
        <is>
          <t>Very high</t>
        </is>
      </c>
      <c r="D20" s="15" t="n">
        <v>698.4564628660079</v>
      </c>
      <c r="E20" s="15" t="n">
        <v>699.2963670262352</v>
      </c>
      <c r="F20" t="inlineStr">
        <is>
          <t>prior_constrained_harmonic_fit</t>
        </is>
      </c>
      <c r="G20" t="inlineStr">
        <is>
          <t>prior_constrained_harmonic_fit</t>
        </is>
      </c>
      <c r="H20" t="n">
        <v>1</v>
      </c>
      <c r="I20" t="inlineStr">
        <is>
          <t>fit_accepted_acoustically_verified</t>
        </is>
      </c>
      <c r="J20" t="n">
        <v>5.418205866063887e-05</v>
      </c>
      <c r="K20" s="15" t="n">
        <v>0.03788931677938712</v>
      </c>
      <c r="M20" s="15" t="n">
        <v>2.080583668373577</v>
      </c>
      <c r="N20" t="inlineStr">
        <is>
          <t>excellent</t>
        </is>
      </c>
      <c r="O20" s="19" t="n">
        <v>0.8928571428571429</v>
      </c>
      <c r="P20" s="19" t="n">
        <v>0.05021674221381252</v>
      </c>
      <c r="Q20" s="15" t="n">
        <v>8.650761363373965</v>
      </c>
      <c r="R20" s="15" t="n">
        <v>17.63165831336629</v>
      </c>
      <c r="S20" s="15" t="n">
        <v>10.48919800264949</v>
      </c>
      <c r="T20" t="inlineStr">
        <is>
          <t>passed</t>
        </is>
      </c>
      <c r="U20" t="inlineStr">
        <is>
          <t>passed</t>
        </is>
      </c>
      <c r="V20" t="inlineStr">
        <is>
          <t>passed</t>
        </is>
      </c>
      <c r="W20" t="inlineStr">
        <is>
          <t>passed</t>
        </is>
      </c>
    </row>
    <row r="21">
      <c r="A21" t="inlineStr">
        <is>
          <t>F#5</t>
        </is>
      </c>
      <c r="B21" t="n">
        <v>78</v>
      </c>
      <c r="C21" t="inlineStr">
        <is>
          <t>Very high</t>
        </is>
      </c>
      <c r="D21" s="15" t="n">
        <v>739.9888454232688</v>
      </c>
      <c r="E21" s="15" t="n">
        <v>740.1348320063811</v>
      </c>
      <c r="F21" t="inlineStr">
        <is>
          <t>prior_constrained_harmonic_fit</t>
        </is>
      </c>
      <c r="G21" t="inlineStr">
        <is>
          <t>prior_constrained_harmonic_fit</t>
        </is>
      </c>
      <c r="H21" t="n">
        <v>1</v>
      </c>
      <c r="I21" t="inlineStr">
        <is>
          <t>fit_accepted_acoustically_verified</t>
        </is>
      </c>
      <c r="J21" t="n">
        <v>0.0002934761148808873</v>
      </c>
      <c r="K21" s="15" t="n">
        <v>0.2172118949852509</v>
      </c>
      <c r="M21" s="15" t="n">
        <v>0.3415078727061915</v>
      </c>
      <c r="N21" t="inlineStr">
        <is>
          <t>excellent</t>
        </is>
      </c>
      <c r="O21" s="19" t="n">
        <v>0.8888888888888888</v>
      </c>
      <c r="P21" s="19" t="n">
        <v>0.006424214005916092</v>
      </c>
      <c r="Q21" s="15" t="n">
        <v>5.979814698271601</v>
      </c>
      <c r="R21" s="15" t="n">
        <v>17.23803524331503</v>
      </c>
      <c r="S21" s="15" t="n">
        <v>8.621413614971972</v>
      </c>
      <c r="T21" t="inlineStr">
        <is>
          <t>passed</t>
        </is>
      </c>
      <c r="U21" t="inlineStr">
        <is>
          <t>passed</t>
        </is>
      </c>
      <c r="V21" t="inlineStr">
        <is>
          <t>passed</t>
        </is>
      </c>
      <c r="W21" t="inlineStr">
        <is>
          <t>passed</t>
        </is>
      </c>
    </row>
    <row r="22">
      <c r="A22" t="inlineStr">
        <is>
          <t>G5</t>
        </is>
      </c>
      <c r="B22" t="n">
        <v>79</v>
      </c>
      <c r="C22" t="inlineStr">
        <is>
          <t>Very high</t>
        </is>
      </c>
      <c r="D22" s="15" t="n">
        <v>783.9908719634984</v>
      </c>
      <c r="E22" s="15" t="n">
        <v>784.1211132206306</v>
      </c>
      <c r="F22" t="inlineStr">
        <is>
          <t>prior_constrained_harmonic_fit</t>
        </is>
      </c>
      <c r="G22" t="inlineStr">
        <is>
          <t>prior_constrained_harmonic_fit</t>
        </is>
      </c>
      <c r="H22" t="n">
        <v>1</v>
      </c>
      <c r="I22" t="inlineStr">
        <is>
          <t>fit_accepted_acoustically_verified</t>
        </is>
      </c>
      <c r="J22" t="n">
        <v>2.566943665246737e-05</v>
      </c>
      <c r="K22" s="15" t="n">
        <v>0.02012794724367917</v>
      </c>
      <c r="M22" s="15" t="n">
        <v>0.2875790780115368</v>
      </c>
      <c r="N22" t="inlineStr">
        <is>
          <t>excellent</t>
        </is>
      </c>
      <c r="O22" s="19" t="n">
        <v>0.88</v>
      </c>
      <c r="P22" s="19" t="n">
        <v>0.01911641825221954</v>
      </c>
      <c r="Q22" s="15" t="n">
        <v>3.504873906388483</v>
      </c>
      <c r="R22" s="15" t="n">
        <v>15.87682089472917</v>
      </c>
      <c r="S22" s="15" t="n">
        <v>5.601403721373613</v>
      </c>
      <c r="T22" t="inlineStr">
        <is>
          <t>passed</t>
        </is>
      </c>
      <c r="U22" t="inlineStr">
        <is>
          <t>passed</t>
        </is>
      </c>
      <c r="V22" t="inlineStr">
        <is>
          <t>passed</t>
        </is>
      </c>
      <c r="W22" t="inlineStr">
        <is>
          <t>passed</t>
        </is>
      </c>
    </row>
    <row r="23">
      <c r="A23" t="inlineStr">
        <is>
          <t>G#5</t>
        </is>
      </c>
      <c r="B23" t="n">
        <v>80</v>
      </c>
      <c r="C23" t="inlineStr">
        <is>
          <t>Very high</t>
        </is>
      </c>
      <c r="D23" s="15" t="n">
        <v>830.6093951598904</v>
      </c>
      <c r="E23" s="15" t="n">
        <v>829.8428596536518</v>
      </c>
      <c r="F23" t="inlineStr">
        <is>
          <t>prior_constrained_harmonic_fit</t>
        </is>
      </c>
      <c r="G23" t="inlineStr">
        <is>
          <t>prior_constrained_harmonic_fit</t>
        </is>
      </c>
      <c r="H23" t="n">
        <v>1</v>
      </c>
      <c r="I23" t="inlineStr">
        <is>
          <t>fit_accepted_acoustically_verified</t>
        </is>
      </c>
      <c r="J23" t="n">
        <v>0.001462281288793313</v>
      </c>
      <c r="K23" s="15" t="n">
        <v>1.21346368631027</v>
      </c>
      <c r="M23" s="15" t="n">
        <v>-1.598422909954794</v>
      </c>
      <c r="N23" t="inlineStr">
        <is>
          <t>excellent</t>
        </is>
      </c>
      <c r="O23" s="19" t="n">
        <v>0.9166666666666666</v>
      </c>
      <c r="P23" s="19" t="n">
        <v>0.1918465337212971</v>
      </c>
      <c r="Q23" s="15" t="n">
        <v>5.593972974192592</v>
      </c>
      <c r="R23" s="15" t="n">
        <v>17.33608022600296</v>
      </c>
      <c r="S23" s="15" t="n">
        <v>7.907577361028594</v>
      </c>
      <c r="T23" t="inlineStr">
        <is>
          <t>passed</t>
        </is>
      </c>
      <c r="U23" t="inlineStr">
        <is>
          <t>passed</t>
        </is>
      </c>
      <c r="V23" t="inlineStr">
        <is>
          <t>passed</t>
        </is>
      </c>
      <c r="W23" t="inlineStr">
        <is>
          <t>passed</t>
        </is>
      </c>
    </row>
    <row r="24">
      <c r="A24" t="inlineStr">
        <is>
          <t>A5</t>
        </is>
      </c>
      <c r="B24" t="n">
        <v>81</v>
      </c>
      <c r="C24" t="inlineStr">
        <is>
          <t>Very high</t>
        </is>
      </c>
      <c r="D24" s="15" t="n">
        <v>879.9999999999999</v>
      </c>
      <c r="E24" s="15" t="n">
        <v>878.087950137004</v>
      </c>
      <c r="F24" t="inlineStr">
        <is>
          <t>prior_constrained_harmonic_fit</t>
        </is>
      </c>
      <c r="G24" t="inlineStr">
        <is>
          <t>prior_constrained_harmonic_fit</t>
        </is>
      </c>
      <c r="H24" t="n">
        <v>1</v>
      </c>
      <c r="I24" t="inlineStr">
        <is>
          <t>fit_accepted_acoustically_verified</t>
        </is>
      </c>
      <c r="J24" t="n">
        <v>0.001302951314083475</v>
      </c>
      <c r="K24" s="15" t="n">
        <v>1.144105848511874</v>
      </c>
      <c r="M24" s="15" t="n">
        <v>-3.765690028415746</v>
      </c>
      <c r="N24" t="inlineStr">
        <is>
          <t>excellent</t>
        </is>
      </c>
      <c r="O24" s="19" t="n">
        <v>0.9090909090909091</v>
      </c>
      <c r="P24" s="19" t="n">
        <v>0.1840172450968763</v>
      </c>
      <c r="Q24" s="15" t="n">
        <v>4.416159845872933</v>
      </c>
      <c r="R24" s="15" t="n">
        <v>16.40895323374479</v>
      </c>
      <c r="S24" s="15" t="n">
        <v>7.068106609851484</v>
      </c>
      <c r="T24" t="inlineStr">
        <is>
          <t>passed</t>
        </is>
      </c>
      <c r="U24" t="inlineStr">
        <is>
          <t>passed</t>
        </is>
      </c>
      <c r="V24" t="inlineStr">
        <is>
          <t>passed</t>
        </is>
      </c>
      <c r="W24" t="inlineStr">
        <is>
          <t>passed</t>
        </is>
      </c>
    </row>
    <row r="25">
      <c r="A25" t="inlineStr">
        <is>
          <t>A#5</t>
        </is>
      </c>
      <c r="B25" t="n">
        <v>82</v>
      </c>
      <c r="C25" t="inlineStr">
        <is>
          <t>Very high</t>
        </is>
      </c>
      <c r="D25" s="15" t="n">
        <v>932.3275230361796</v>
      </c>
      <c r="E25" s="15" t="n">
        <v>931.0979714336125</v>
      </c>
      <c r="F25" t="inlineStr">
        <is>
          <t>prior_constrained_harmonic_fit</t>
        </is>
      </c>
      <c r="G25" t="inlineStr">
        <is>
          <t>prior_constrained_harmonic_fit</t>
        </is>
      </c>
      <c r="H25" t="n">
        <v>1</v>
      </c>
      <c r="I25" t="inlineStr">
        <is>
          <t>fit_accepted_acoustically_verified</t>
        </is>
      </c>
      <c r="J25" t="n">
        <v>0.0001209542621191601</v>
      </c>
      <c r="K25" s="15" t="n">
        <v>0.1126202680953994</v>
      </c>
      <c r="M25" s="15" t="n">
        <v>-2.284654701451164</v>
      </c>
      <c r="N25" t="inlineStr">
        <is>
          <t>excellent</t>
        </is>
      </c>
      <c r="O25" s="19" t="n">
        <v>0.8571428571428571</v>
      </c>
      <c r="P25" s="19" t="n">
        <v>0.02260925881871241</v>
      </c>
      <c r="Q25" s="15" t="n">
        <v>1.047292149031751</v>
      </c>
      <c r="R25" s="15" t="n">
        <v>4.144727658877779</v>
      </c>
      <c r="S25" s="15" t="n">
        <v>1.390551663575992</v>
      </c>
      <c r="T25" t="inlineStr">
        <is>
          <t>passed</t>
        </is>
      </c>
      <c r="U25" t="inlineStr">
        <is>
          <t>passed</t>
        </is>
      </c>
      <c r="V25" t="inlineStr">
        <is>
          <t>passed</t>
        </is>
      </c>
      <c r="W25" t="inlineStr">
        <is>
          <t>passed</t>
        </is>
      </c>
    </row>
    <row r="26">
      <c r="A26" t="inlineStr">
        <is>
          <t>B5</t>
        </is>
      </c>
      <c r="B26" t="n">
        <v>83</v>
      </c>
      <c r="C26" t="inlineStr">
        <is>
          <t>Very high</t>
        </is>
      </c>
      <c r="D26" s="15" t="n">
        <v>987.7666025122484</v>
      </c>
      <c r="E26" s="15" t="n">
        <v>987.7666025122484</v>
      </c>
      <c r="F26" t="inlineStr">
        <is>
          <t>filename_note_nominal_fallback_fit_rejected</t>
        </is>
      </c>
      <c r="G26" t="inlineStr">
        <is>
          <t>filename_note_nominal_fallback_fit_rejected</t>
        </is>
      </c>
      <c r="H26" t="n">
        <v>0</v>
      </c>
      <c r="I26" t="inlineStr">
        <is>
          <t>nominal_fallback_used_not_acoustically_verified</t>
        </is>
      </c>
      <c r="J26" t="n">
        <v/>
      </c>
      <c r="K26" s="15" t="n">
        <v>0</v>
      </c>
      <c r="L26" t="inlineStr">
        <is>
          <t>insufficient_strict_harmonic_peaks</t>
        </is>
      </c>
      <c r="M26" s="15" t="n">
        <v>0</v>
      </c>
      <c r="N26" t="inlineStr">
        <is>
          <t>good</t>
        </is>
      </c>
      <c r="O26" s="19" t="n">
        <v>1</v>
      </c>
      <c r="P26" s="19" t="n">
        <v>0.0416950654482028</v>
      </c>
      <c r="Q26" s="15" t="n">
        <v>10.04706227884025</v>
      </c>
      <c r="R26" s="15" t="n">
        <v>17.89794294663424</v>
      </c>
      <c r="S26" s="15" t="n">
        <v>11.71419780506523</v>
      </c>
      <c r="T26" t="inlineStr">
        <is>
          <t>passed</t>
        </is>
      </c>
      <c r="U26" t="inlineStr">
        <is>
          <t>passed</t>
        </is>
      </c>
      <c r="V26" t="inlineStr">
        <is>
          <t>nominal_fallback_used_not_acoustically_verified</t>
        </is>
      </c>
      <c r="W26" t="inlineStr">
        <is>
          <t>warning</t>
        </is>
      </c>
    </row>
    <row r="27">
      <c r="A27" t="inlineStr">
        <is>
          <t>C6</t>
        </is>
      </c>
      <c r="B27" t="n">
        <v>84</v>
      </c>
      <c r="C27" t="inlineStr">
        <is>
          <t>Very high</t>
        </is>
      </c>
      <c r="D27" s="15" t="n">
        <v>1046.502261202394</v>
      </c>
      <c r="E27" s="15" t="n">
        <v>1046.433215590241</v>
      </c>
      <c r="F27" t="inlineStr">
        <is>
          <t>prior_constrained_harmonic_fit</t>
        </is>
      </c>
      <c r="G27" t="inlineStr">
        <is>
          <t>prior_constrained_harmonic_fit</t>
        </is>
      </c>
      <c r="H27" t="n">
        <v>1</v>
      </c>
      <c r="I27" t="inlineStr">
        <is>
          <t>fit_accepted_acoustically_verified</t>
        </is>
      </c>
      <c r="J27" t="n">
        <v>0.0008720033942684782</v>
      </c>
      <c r="K27" s="15" t="n">
        <v>0.9124933158699685</v>
      </c>
      <c r="M27" s="15" t="n">
        <v>-0.1142262779404487</v>
      </c>
      <c r="N27" t="inlineStr">
        <is>
          <t>good</t>
        </is>
      </c>
      <c r="O27" s="19" t="n">
        <v>0.8421052631578947</v>
      </c>
      <c r="P27" s="19" t="n">
        <v>0.07726110964125048</v>
      </c>
      <c r="Q27" s="15" t="n">
        <v>4.078666941037681</v>
      </c>
      <c r="R27" s="15" t="n">
        <v>16.53042498183061</v>
      </c>
      <c r="S27" s="15" t="n">
        <v>6.571925238743512</v>
      </c>
      <c r="T27" t="inlineStr">
        <is>
          <t>passed</t>
        </is>
      </c>
      <c r="U27" t="inlineStr">
        <is>
          <t>passed</t>
        </is>
      </c>
      <c r="V27" t="inlineStr">
        <is>
          <t>passed</t>
        </is>
      </c>
      <c r="W27" t="inlineStr">
        <is>
          <t>passed</t>
        </is>
      </c>
    </row>
    <row r="28">
      <c r="A28" t="inlineStr">
        <is>
          <t>C#6</t>
        </is>
      </c>
      <c r="B28" t="n">
        <v>85</v>
      </c>
      <c r="C28" t="inlineStr">
        <is>
          <t>Very high</t>
        </is>
      </c>
      <c r="D28" s="15" t="n">
        <v>1108.730523907488</v>
      </c>
      <c r="E28" s="15" t="n">
        <v>1108.154624267364</v>
      </c>
      <c r="F28" t="inlineStr">
        <is>
          <t>prior_constrained_harmonic_fit</t>
        </is>
      </c>
      <c r="G28" t="inlineStr">
        <is>
          <t>prior_constrained_harmonic_fit</t>
        </is>
      </c>
      <c r="H28" t="n">
        <v>1</v>
      </c>
      <c r="I28" t="inlineStr">
        <is>
          <t>fit_accepted_acoustically_verified</t>
        </is>
      </c>
      <c r="J28" t="n">
        <v>0.0002191987519765894</v>
      </c>
      <c r="K28" s="15" t="n">
        <v>0.2429061106364926</v>
      </c>
      <c r="M28" s="15" t="n">
        <v>-0.8994756350603923</v>
      </c>
      <c r="N28" t="inlineStr">
        <is>
          <t>good</t>
        </is>
      </c>
      <c r="O28" s="19" t="n">
        <v>0.8333333333333334</v>
      </c>
      <c r="P28" s="19" t="n">
        <v>0.03790349165377603</v>
      </c>
      <c r="Q28" s="15" t="n">
        <v>3.539799052963356</v>
      </c>
      <c r="R28" s="15" t="n">
        <v>13.81809328530838</v>
      </c>
      <c r="S28" s="15" t="n">
        <v>5.385673642872211</v>
      </c>
      <c r="T28" t="inlineStr">
        <is>
          <t>passed</t>
        </is>
      </c>
      <c r="U28" t="inlineStr">
        <is>
          <t>passed</t>
        </is>
      </c>
      <c r="V28" t="inlineStr">
        <is>
          <t>passed</t>
        </is>
      </c>
      <c r="W28" t="inlineStr">
        <is>
          <t>passed</t>
        </is>
      </c>
    </row>
    <row r="29">
      <c r="A29" t="inlineStr">
        <is>
          <t>D6</t>
        </is>
      </c>
      <c r="B29" t="n">
        <v>86</v>
      </c>
      <c r="C29" t="inlineStr">
        <is>
          <t>Very high</t>
        </is>
      </c>
      <c r="D29" s="15" t="n">
        <v>1174.659071669631</v>
      </c>
      <c r="E29" s="15" t="n">
        <v>1175.708268382239</v>
      </c>
      <c r="F29" t="inlineStr">
        <is>
          <t>prior_constrained_harmonic_fit</t>
        </is>
      </c>
      <c r="G29" t="inlineStr">
        <is>
          <t>prior_constrained_harmonic_fit</t>
        </is>
      </c>
      <c r="H29" t="n">
        <v>1</v>
      </c>
      <c r="I29" t="inlineStr">
        <is>
          <t>fit_accepted_acoustically_verified</t>
        </is>
      </c>
      <c r="J29" t="n">
        <v>9.924665601842535e-05</v>
      </c>
      <c r="K29" s="15" t="n">
        <v>0.1166851140901506</v>
      </c>
      <c r="M29" s="15" t="n">
        <v>1.545635154757742</v>
      </c>
      <c r="N29" t="inlineStr">
        <is>
          <t>excellent</t>
        </is>
      </c>
      <c r="O29" s="19" t="n">
        <v>0.8823529411764706</v>
      </c>
      <c r="P29" s="19" t="n">
        <v>0.1269085539816475</v>
      </c>
      <c r="Q29" s="15" t="n">
        <v>5.540956676375743</v>
      </c>
      <c r="R29" s="15" t="n">
        <v>17.8818383176184</v>
      </c>
      <c r="S29" s="15" t="n">
        <v>8.567913665131835</v>
      </c>
      <c r="T29" t="inlineStr">
        <is>
          <t>passed</t>
        </is>
      </c>
      <c r="U29" t="inlineStr">
        <is>
          <t>passed</t>
        </is>
      </c>
      <c r="V29" t="inlineStr">
        <is>
          <t>passed</t>
        </is>
      </c>
      <c r="W29" t="inlineStr">
        <is>
          <t>passed</t>
        </is>
      </c>
    </row>
    <row r="30">
      <c r="A30" t="inlineStr">
        <is>
          <t>D#6</t>
        </is>
      </c>
      <c r="B30" t="n">
        <v>87</v>
      </c>
      <c r="C30" t="inlineStr">
        <is>
          <t>Very high</t>
        </is>
      </c>
      <c r="D30" s="15" t="n">
        <v>1244.507934888323</v>
      </c>
      <c r="E30" s="15" t="n">
        <v>1242.709071164591</v>
      </c>
      <c r="F30" t="inlineStr">
        <is>
          <t>prior_constrained_harmonic_fit</t>
        </is>
      </c>
      <c r="G30" t="inlineStr">
        <is>
          <t>prior_constrained_harmonic_fit</t>
        </is>
      </c>
      <c r="H30" t="n">
        <v>1</v>
      </c>
      <c r="I30" t="inlineStr">
        <is>
          <t>fit_accepted_acoustically_verified</t>
        </is>
      </c>
      <c r="J30" t="n">
        <v>0.0002588677312015243</v>
      </c>
      <c r="K30" s="15" t="n">
        <v>0.3216972777959314</v>
      </c>
      <c r="M30" s="15" t="n">
        <v>-2.504208248480303</v>
      </c>
      <c r="N30" t="inlineStr">
        <is>
          <t>excellent</t>
        </is>
      </c>
      <c r="O30" s="19" t="n">
        <v>0.875</v>
      </c>
      <c r="P30" s="19" t="n">
        <v>0.119769265537226</v>
      </c>
      <c r="Q30" s="15" t="n">
        <v>2.479596935964345</v>
      </c>
      <c r="R30" s="15" t="n">
        <v>12.81400030563744</v>
      </c>
      <c r="S30" s="15" t="n">
        <v>4.679572238360125</v>
      </c>
      <c r="T30" t="inlineStr">
        <is>
          <t>passed</t>
        </is>
      </c>
      <c r="U30" t="inlineStr">
        <is>
          <t>passed</t>
        </is>
      </c>
      <c r="V30" t="inlineStr">
        <is>
          <t>passed</t>
        </is>
      </c>
      <c r="W30" t="inlineStr">
        <is>
          <t>passed</t>
        </is>
      </c>
    </row>
    <row r="31">
      <c r="A31" t="inlineStr">
        <is>
          <t>E6</t>
        </is>
      </c>
      <c r="B31" t="n">
        <v>88</v>
      </c>
      <c r="C31" t="inlineStr">
        <is>
          <t>Very high</t>
        </is>
      </c>
      <c r="D31" s="15" t="n">
        <v>1318.510227651479</v>
      </c>
      <c r="E31" s="15" t="n">
        <v>1317.336441839296</v>
      </c>
      <c r="F31" t="inlineStr">
        <is>
          <t>prior_constrained_harmonic_fit</t>
        </is>
      </c>
      <c r="G31" t="inlineStr">
        <is>
          <t>prior_constrained_harmonic_fit</t>
        </is>
      </c>
      <c r="H31" t="n">
        <v>1</v>
      </c>
      <c r="I31" t="inlineStr">
        <is>
          <t>fit_accepted_acoustically_verified</t>
        </is>
      </c>
      <c r="J31" t="n">
        <v>0.0009845634787698789</v>
      </c>
      <c r="K31" s="15" t="n">
        <v>1.296952015238186</v>
      </c>
      <c r="M31" s="15" t="n">
        <v>-1.541894012433038</v>
      </c>
      <c r="N31" t="inlineStr">
        <is>
          <t>excellent</t>
        </is>
      </c>
      <c r="O31" s="19" t="n">
        <v>0.8666666666666667</v>
      </c>
      <c r="P31" s="19" t="n">
        <v>0.14005716154293</v>
      </c>
      <c r="Q31" s="15" t="n">
        <v>8.283279028172299</v>
      </c>
      <c r="R31" s="15" t="n">
        <v>17.67561795209205</v>
      </c>
      <c r="S31" s="15" t="n">
        <v>10.68554891425599</v>
      </c>
      <c r="T31" t="inlineStr">
        <is>
          <t>passed</t>
        </is>
      </c>
      <c r="U31" t="inlineStr">
        <is>
          <t>passed</t>
        </is>
      </c>
      <c r="V31" t="inlineStr">
        <is>
          <t>passed</t>
        </is>
      </c>
      <c r="W31" t="inlineStr">
        <is>
          <t>passed</t>
        </is>
      </c>
    </row>
    <row r="32">
      <c r="A32" t="inlineStr">
        <is>
          <t>F6</t>
        </is>
      </c>
      <c r="B32" t="n">
        <v>89</v>
      </c>
      <c r="C32" t="inlineStr">
        <is>
          <t>Very high</t>
        </is>
      </c>
      <c r="D32" s="15" t="n">
        <v>1396.912925732016</v>
      </c>
      <c r="E32" s="15" t="n">
        <v>1394.248232533003</v>
      </c>
      <c r="F32" t="inlineStr">
        <is>
          <t>prior_constrained_harmonic_fit</t>
        </is>
      </c>
      <c r="G32" t="inlineStr">
        <is>
          <t>prior_constrained_harmonic_fit</t>
        </is>
      </c>
      <c r="H32" t="n">
        <v>1</v>
      </c>
      <c r="I32" t="inlineStr">
        <is>
          <t>fit_accepted_acoustically_verified</t>
        </is>
      </c>
      <c r="J32" t="n">
        <v>0.001029919976429325</v>
      </c>
      <c r="K32" s="15" t="n">
        <v>1.435964106787019</v>
      </c>
      <c r="M32" s="15" t="n">
        <v>-3.305584118158465</v>
      </c>
      <c r="N32" t="inlineStr">
        <is>
          <t>excellent</t>
        </is>
      </c>
      <c r="O32" s="19" t="n">
        <v>0.8571428571428571</v>
      </c>
      <c r="P32" s="19" t="n">
        <v>0.1203833715525773</v>
      </c>
      <c r="Q32" s="15" t="n">
        <v>2.29877680502381</v>
      </c>
      <c r="R32" s="15" t="n">
        <v>16.19078362382178</v>
      </c>
      <c r="S32" s="15" t="n">
        <v>4.839243403731872</v>
      </c>
      <c r="T32" t="inlineStr">
        <is>
          <t>passed</t>
        </is>
      </c>
      <c r="U32" t="inlineStr">
        <is>
          <t>passed</t>
        </is>
      </c>
      <c r="V32" t="inlineStr">
        <is>
          <t>passed</t>
        </is>
      </c>
      <c r="W32" t="inlineStr">
        <is>
          <t>passed</t>
        </is>
      </c>
    </row>
    <row r="33">
      <c r="A33" t="inlineStr">
        <is>
          <t>F#6</t>
        </is>
      </c>
      <c r="B33" t="n">
        <v>90</v>
      </c>
      <c r="C33" t="inlineStr">
        <is>
          <t>Very high</t>
        </is>
      </c>
      <c r="D33" s="15" t="n">
        <v>1479.977690846538</v>
      </c>
      <c r="E33" s="15" t="n">
        <v>1481.870690667774</v>
      </c>
      <c r="F33" t="inlineStr">
        <is>
          <t>prior_constrained_harmonic_fit</t>
        </is>
      </c>
      <c r="G33" t="inlineStr">
        <is>
          <t>prior_constrained_harmonic_fit</t>
        </is>
      </c>
      <c r="H33" t="n">
        <v>1</v>
      </c>
      <c r="I33" t="inlineStr">
        <is>
          <t>fit_accepted_acoustically_verified</t>
        </is>
      </c>
      <c r="J33" t="n">
        <v>0.0007204043805208543</v>
      </c>
      <c r="K33" s="15" t="n">
        <v>1.067546136922528</v>
      </c>
      <c r="M33" s="15" t="n">
        <v>2.212960131306667</v>
      </c>
      <c r="N33" t="inlineStr">
        <is>
          <t>excellent</t>
        </is>
      </c>
      <c r="O33" s="19" t="n">
        <v>0.9230769230769231</v>
      </c>
      <c r="P33" s="19" t="n">
        <v>0.1694541294894427</v>
      </c>
      <c r="Q33" s="15" t="n">
        <v>6.898800072277759</v>
      </c>
      <c r="R33" s="15" t="n">
        <v>17.07391330600511</v>
      </c>
      <c r="S33" s="15" t="n">
        <v>9.18307287757022</v>
      </c>
      <c r="T33" t="inlineStr">
        <is>
          <t>passed</t>
        </is>
      </c>
      <c r="U33" t="inlineStr">
        <is>
          <t>passed</t>
        </is>
      </c>
      <c r="V33" t="inlineStr">
        <is>
          <t>passed</t>
        </is>
      </c>
      <c r="W33" t="inlineStr">
        <is>
          <t>passed</t>
        </is>
      </c>
    </row>
    <row r="34">
      <c r="A34" t="inlineStr">
        <is>
          <t>G6</t>
        </is>
      </c>
      <c r="B34" t="n">
        <v>91</v>
      </c>
      <c r="C34" t="inlineStr">
        <is>
          <t>Very high</t>
        </is>
      </c>
      <c r="D34" s="15" t="n">
        <v>1567.981743926997</v>
      </c>
      <c r="E34" s="15" t="n">
        <v>1566.395326583628</v>
      </c>
      <c r="F34" t="inlineStr">
        <is>
          <t>prior_constrained_harmonic_fit</t>
        </is>
      </c>
      <c r="G34" t="inlineStr">
        <is>
          <t>prior_constrained_harmonic_fit</t>
        </is>
      </c>
      <c r="H34" t="n">
        <v>1</v>
      </c>
      <c r="I34" t="inlineStr">
        <is>
          <t>fit_accepted_acoustically_verified</t>
        </is>
      </c>
      <c r="J34" t="n">
        <v>0.0007732556393304498</v>
      </c>
      <c r="K34" s="15" t="n">
        <v>1.211224019701652</v>
      </c>
      <c r="M34" s="15" t="n">
        <v>-1.752475782975762</v>
      </c>
      <c r="N34" t="inlineStr">
        <is>
          <t>excellent</t>
        </is>
      </c>
      <c r="O34" s="19" t="n">
        <v>0.9166666666666666</v>
      </c>
      <c r="P34" s="19" t="n">
        <v>0.193711250373301</v>
      </c>
      <c r="Q34" s="15" t="n">
        <v>1.636880362012558</v>
      </c>
      <c r="R34" s="15" t="n">
        <v>5.799030029999727</v>
      </c>
      <c r="S34" s="15" t="n">
        <v>2.247212264110215</v>
      </c>
      <c r="T34" t="inlineStr">
        <is>
          <t>passed</t>
        </is>
      </c>
      <c r="U34" t="inlineStr">
        <is>
          <t>passed</t>
        </is>
      </c>
      <c r="V34" t="inlineStr">
        <is>
          <t>passed</t>
        </is>
      </c>
      <c r="W34" t="inlineStr">
        <is>
          <t>passed</t>
        </is>
      </c>
    </row>
    <row r="35">
      <c r="A35" t="inlineStr">
        <is>
          <t>G#6</t>
        </is>
      </c>
      <c r="B35" t="n">
        <v>92</v>
      </c>
      <c r="C35" t="inlineStr">
        <is>
          <t>Very high</t>
        </is>
      </c>
      <c r="D35" s="15" t="n">
        <v>1661.218790319781</v>
      </c>
      <c r="E35" s="15" t="n">
        <v>1661.890715566864</v>
      </c>
      <c r="F35" t="inlineStr">
        <is>
          <t>prior_constrained_harmonic_fit</t>
        </is>
      </c>
      <c r="G35" t="inlineStr">
        <is>
          <t>prior_constrained_harmonic_fit</t>
        </is>
      </c>
      <c r="H35" t="n">
        <v>1</v>
      </c>
      <c r="I35" t="inlineStr">
        <is>
          <t>fit_accepted_acoustically_verified</t>
        </is>
      </c>
      <c r="J35" t="n">
        <v>0.001905782129454641</v>
      </c>
      <c r="K35" s="15" t="n">
        <v>3.167201626833915</v>
      </c>
      <c r="M35" s="15" t="n">
        <v>0.7001032496643148</v>
      </c>
      <c r="N35" t="inlineStr">
        <is>
          <t>excellent</t>
        </is>
      </c>
      <c r="O35" s="19" t="n">
        <v>0.9166666666666666</v>
      </c>
      <c r="P35" s="19" t="n">
        <v>0.2237943618586734</v>
      </c>
      <c r="Q35" s="15" t="n">
        <v>3.838336453666291</v>
      </c>
      <c r="R35" s="15" t="n">
        <v>17.54163730249817</v>
      </c>
      <c r="S35" s="15" t="n">
        <v>6.4664127428642</v>
      </c>
      <c r="T35" t="inlineStr">
        <is>
          <t>passed</t>
        </is>
      </c>
      <c r="U35" t="inlineStr">
        <is>
          <t>passed</t>
        </is>
      </c>
      <c r="V35" t="inlineStr">
        <is>
          <t>passed</t>
        </is>
      </c>
      <c r="W35" t="inlineStr">
        <is>
          <t>passed</t>
        </is>
      </c>
    </row>
    <row r="36">
      <c r="A36" t="inlineStr">
        <is>
          <t>A6</t>
        </is>
      </c>
      <c r="B36" t="n">
        <v>93</v>
      </c>
      <c r="C36" t="inlineStr">
        <is>
          <t>Very high</t>
        </is>
      </c>
      <c r="D36" s="15" t="n">
        <v>1760</v>
      </c>
      <c r="E36" s="15" t="n">
        <v>1759.13494492592</v>
      </c>
      <c r="F36" t="inlineStr">
        <is>
          <t>prior_constrained_harmonic_fit</t>
        </is>
      </c>
      <c r="G36" t="inlineStr">
        <is>
          <t>prior_constrained_harmonic_fit</t>
        </is>
      </c>
      <c r="H36" t="n">
        <v>1</v>
      </c>
      <c r="I36" t="inlineStr">
        <is>
          <t>fit_accepted_acoustically_verified</t>
        </is>
      </c>
      <c r="J36" t="n">
        <v>3.759088383184459e-05</v>
      </c>
      <c r="K36" s="15" t="n">
        <v>0.0661274373592486</v>
      </c>
      <c r="M36" s="15" t="n">
        <v>-0.8511255477076195</v>
      </c>
      <c r="N36" t="inlineStr">
        <is>
          <t>excellent</t>
        </is>
      </c>
      <c r="O36" s="19" t="n">
        <v>0.9090909090909091</v>
      </c>
      <c r="P36" s="19" t="n">
        <v>0.1405096838034599</v>
      </c>
      <c r="Q36" s="15" t="n">
        <v>7.523865533287437</v>
      </c>
      <c r="R36" s="15" t="n">
        <v>16.99536881178951</v>
      </c>
      <c r="S36" s="15" t="n">
        <v>10.00755782863195</v>
      </c>
      <c r="T36" t="inlineStr">
        <is>
          <t>passed</t>
        </is>
      </c>
      <c r="U36" t="inlineStr">
        <is>
          <t>passed</t>
        </is>
      </c>
      <c r="V36" t="inlineStr">
        <is>
          <t>passed</t>
        </is>
      </c>
      <c r="W36" t="inlineStr">
        <is>
          <t>passed</t>
        </is>
      </c>
    </row>
    <row r="37">
      <c r="A37" t="inlineStr">
        <is>
          <t>A#6</t>
        </is>
      </c>
      <c r="B37" t="n">
        <v>94</v>
      </c>
      <c r="C37" t="inlineStr">
        <is>
          <t>Very high</t>
        </is>
      </c>
      <c r="D37" s="15" t="n">
        <v>1864.655046072359</v>
      </c>
      <c r="E37" s="15" t="n">
        <v>1861.140122947805</v>
      </c>
      <c r="F37" t="inlineStr">
        <is>
          <t>prior_constrained_harmonic_fit</t>
        </is>
      </c>
      <c r="G37" t="inlineStr">
        <is>
          <t>prior_constrained_harmonic_fit</t>
        </is>
      </c>
      <c r="H37" t="n">
        <v>1</v>
      </c>
      <c r="I37" t="inlineStr">
        <is>
          <t>fit_accepted_acoustically_verified</t>
        </is>
      </c>
      <c r="J37" t="n">
        <v>0.003644591064369566</v>
      </c>
      <c r="K37" s="15" t="n">
        <v>6.783094661635245</v>
      </c>
      <c r="M37" s="15" t="n">
        <v>-3.266500772214915</v>
      </c>
      <c r="N37" t="inlineStr">
        <is>
          <t>good</t>
        </is>
      </c>
      <c r="O37" s="19" t="n">
        <v>0.8</v>
      </c>
      <c r="P37" s="19" t="n">
        <v>0.02774881545025271</v>
      </c>
      <c r="Q37" s="15" t="n">
        <v>7.484654014762724</v>
      </c>
      <c r="R37" s="15" t="n">
        <v>17.31578543181149</v>
      </c>
      <c r="S37" s="15" t="n">
        <v>9.856700270589943</v>
      </c>
      <c r="T37" t="inlineStr">
        <is>
          <t>passed</t>
        </is>
      </c>
      <c r="U37" t="inlineStr">
        <is>
          <t>passed</t>
        </is>
      </c>
      <c r="V37" t="inlineStr">
        <is>
          <t>passed</t>
        </is>
      </c>
      <c r="W37" t="inlineStr">
        <is>
          <t>passed</t>
        </is>
      </c>
    </row>
    <row r="38">
      <c r="A38" t="inlineStr">
        <is>
          <t>B6</t>
        </is>
      </c>
      <c r="B38" t="n">
        <v>95</v>
      </c>
      <c r="C38" t="inlineStr">
        <is>
          <t>Very high</t>
        </is>
      </c>
      <c r="D38" s="15" t="n">
        <v>1975.533205024497</v>
      </c>
      <c r="E38" s="15" t="n">
        <v>1975.34528355509</v>
      </c>
      <c r="F38" t="inlineStr">
        <is>
          <t>prior_constrained_harmonic_fit</t>
        </is>
      </c>
      <c r="G38" t="inlineStr">
        <is>
          <t>prior_constrained_harmonic_fit</t>
        </is>
      </c>
      <c r="H38" t="n">
        <v>1</v>
      </c>
      <c r="I38" t="inlineStr">
        <is>
          <t>fit_accepted_acoustically_verified</t>
        </is>
      </c>
      <c r="J38" t="n">
        <v>0.00010884698385918</v>
      </c>
      <c r="K38" s="15" t="n">
        <v>0.2150103761954281</v>
      </c>
      <c r="M38" s="15" t="n">
        <v>-0.1646904846980405</v>
      </c>
      <c r="N38" t="inlineStr">
        <is>
          <t>excellent</t>
        </is>
      </c>
      <c r="O38" s="19" t="n">
        <v>1</v>
      </c>
      <c r="P38" s="19" t="n">
        <v>0.1467061664832722</v>
      </c>
      <c r="Q38" s="15" t="n">
        <v>5.69487415914901</v>
      </c>
      <c r="R38" s="15" t="n">
        <v>13.92415510776364</v>
      </c>
      <c r="S38" s="15" t="n">
        <v>6.836922220847995</v>
      </c>
      <c r="T38" t="inlineStr">
        <is>
          <t>passed</t>
        </is>
      </c>
      <c r="U38" t="inlineStr">
        <is>
          <t>passed</t>
        </is>
      </c>
      <c r="V38" t="inlineStr">
        <is>
          <t>passed</t>
        </is>
      </c>
      <c r="W38" t="inlineStr">
        <is>
          <t>passed</t>
        </is>
      </c>
    </row>
  </sheetData>
  <autoFilter ref="A1:W38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A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31" customWidth="1" min="3" max="3"/>
    <col width="33" customWidth="1" min="4" max="4"/>
    <col width="22" customWidth="1" min="5" max="5"/>
    <col width="34" customWidth="1" min="6" max="6"/>
    <col width="28" customWidth="1" min="7" max="7"/>
    <col width="21" customWidth="1" min="8" max="8"/>
    <col width="48" customWidth="1" min="9" max="9"/>
    <col width="48" customWidth="1" min="10" max="10"/>
    <col width="46" customWidth="1" min="11" max="11"/>
    <col width="48" customWidth="1" min="12" max="12"/>
    <col width="48" customWidth="1" min="13" max="13"/>
    <col width="48" customWidth="1" min="14" max="14"/>
    <col width="48" customWidth="1" min="15" max="15"/>
    <col width="32" customWidth="1" min="16" max="16"/>
    <col width="32" customWidth="1" min="17" max="17"/>
    <col width="38" customWidth="1" min="18" max="18"/>
    <col width="48" customWidth="1" min="19" max="19"/>
    <col width="28" customWidth="1" min="20" max="20"/>
    <col width="30" customWidth="1" min="21" max="21"/>
    <col width="27" customWidth="1" min="22" max="22"/>
    <col width="25" customWidth="1" min="23" max="23"/>
    <col width="27" customWidth="1" min="24" max="24"/>
    <col width="24" customWidth="1" min="25" max="25"/>
    <col width="24" customWidth="1" min="26" max="26"/>
    <col width="31" customWidth="1" min="27" max="27"/>
    <col width="30" customWidth="1" min="28" max="28"/>
    <col width="26" customWidth="1" min="29" max="29"/>
    <col width="34" customWidth="1" min="30" max="30"/>
    <col width="34" customWidth="1" min="31" max="31"/>
    <col width="27" customWidth="1" min="32" max="32"/>
    <col width="46" customWidth="1" min="33" max="33"/>
    <col width="48" customWidth="1" min="34" max="34"/>
    <col width="37" customWidth="1" min="35" max="35"/>
    <col width="48" customWidth="1" min="36" max="36"/>
    <col width="43" customWidth="1" min="37" max="37"/>
    <col width="33" customWidth="1" min="38" max="38"/>
    <col width="41" customWidth="1" min="39" max="39"/>
    <col width="48" customWidth="1" min="40" max="40"/>
    <col width="42" customWidth="1" min="41" max="41"/>
    <col width="20" customWidth="1" min="42" max="42"/>
    <col width="35" customWidth="1" min="43" max="43"/>
    <col width="22" customWidth="1" min="44" max="44"/>
    <col width="37" customWidth="1" min="45" max="45"/>
    <col width="40" customWidth="1" min="46" max="46"/>
    <col width="42" customWidth="1" min="47" max="47"/>
    <col width="39" customWidth="1" min="48" max="48"/>
    <col width="28" customWidth="1" min="49" max="49"/>
    <col width="27" customWidth="1" min="50" max="50"/>
    <col width="33" customWidth="1" min="51" max="51"/>
    <col width="35" customWidth="1" min="52" max="52"/>
    <col width="32" customWidth="1" min="53" max="53"/>
  </cols>
  <sheetData>
    <row r="1">
      <c r="A1" s="11" t="inlineStr">
        <is>
          <t>Note</t>
        </is>
      </c>
      <c r="B1" s="11" t="inlineStr">
        <is>
          <t>MIDI</t>
        </is>
      </c>
      <c r="C1" s="11" t="inlineStr">
        <is>
          <t>spectral_body_thickness_index</t>
        </is>
      </c>
      <c r="D1" s="11" t="inlineStr">
        <is>
          <t>body_weighted_effective_density</t>
        </is>
      </c>
      <c r="E1" s="11" t="inlineStr">
        <is>
          <t>low_mid_energy_ratio</t>
        </is>
      </c>
      <c r="F1" s="11" t="inlineStr">
        <is>
          <t>harmonic_body_density_normalized</t>
        </is>
      </c>
      <c r="G1" s="11" t="inlineStr">
        <is>
          <t>core_residual_energy_ratio</t>
        </is>
      </c>
      <c r="H1" s="11" t="inlineStr">
        <is>
          <t>spectral_entropy</t>
        </is>
      </c>
      <c r="I1" s="11" t="inlineStr">
        <is>
          <t>salient_harmonic_order_count_up_to_body_ceiling</t>
        </is>
      </c>
      <c r="J1" s="11" t="inlineStr">
        <is>
          <t>expected_harmonic_order_count_up_to_body_ceiling</t>
        </is>
      </c>
      <c r="K1" s="11" t="inlineStr">
        <is>
          <t>salient_harmonic_coverage_up_to_body_ceiling</t>
        </is>
      </c>
      <c r="L1" s="11" t="inlineStr">
        <is>
          <t>salient_harmonic_order_count_up_to_density_ceiling_hz</t>
        </is>
      </c>
      <c r="M1" s="11" t="inlineStr">
        <is>
          <t>expected_harmonic_order_count_up_to_density_ceiling_hz</t>
        </is>
      </c>
      <c r="N1" s="11" t="inlineStr">
        <is>
          <t>salient_harmonic_coverage_up_to_density_ceiling_hz</t>
        </is>
      </c>
      <c r="O1" s="11" t="inlineStr">
        <is>
          <t>salient_inharmonic_log_bin_count_up_to_body_ceiling</t>
        </is>
      </c>
      <c r="P1" s="11" t="inlineStr">
        <is>
          <t>salient_subbass_particle_count</t>
        </is>
      </c>
      <c r="Q1" s="11" t="inlineStr">
        <is>
          <t>final_note_density_count_based</t>
        </is>
      </c>
      <c r="R1" s="11" t="inlineStr">
        <is>
          <t>final_note_density_salience_weighted</t>
        </is>
      </c>
      <c r="S1" s="11" t="inlineStr">
        <is>
          <t>final_note_density_salience_weighted_norm_for_chart</t>
        </is>
      </c>
      <c r="T1" s="11" t="inlineStr">
        <is>
          <t>harmonic_density_component</t>
        </is>
      </c>
      <c r="U1" s="11" t="inlineStr">
        <is>
          <t>inharmonic_density_component</t>
        </is>
      </c>
      <c r="V1" s="11" t="inlineStr">
        <is>
          <t>subbass_density_component</t>
        </is>
      </c>
      <c r="W1" s="11" t="inlineStr">
        <is>
          <t>harmonic_density_weight</t>
        </is>
      </c>
      <c r="X1" s="11" t="inlineStr">
        <is>
          <t>inharmonic_density_weight</t>
        </is>
      </c>
      <c r="Y1" s="11" t="inlineStr">
        <is>
          <t>subbass_density_weight</t>
        </is>
      </c>
      <c r="Z1" s="11" t="inlineStr">
        <is>
          <t>density_summation_mode</t>
        </is>
      </c>
      <c r="AA1" s="11" t="inlineStr">
        <is>
          <t>density_salience_threshold_db</t>
        </is>
      </c>
      <c r="AB1" s="11" t="inlineStr">
        <is>
          <t>density_frequency_ceiling_hz</t>
        </is>
      </c>
      <c r="AC1" s="11" t="inlineStr">
        <is>
          <t>harmonic_occupancy_ratio</t>
        </is>
      </c>
      <c r="AD1" s="11" t="inlineStr">
        <is>
          <t>residual_log_frequency_occupancy</t>
        </is>
      </c>
      <c r="AE1" s="11" t="inlineStr">
        <is>
          <t>note_effective_component_density</t>
        </is>
      </c>
      <c r="AF1" s="11" t="inlineStr">
        <is>
          <t>effective_partial_density</t>
        </is>
      </c>
      <c r="AG1" s="11" t="inlineStr">
        <is>
          <t>spectral_body_thickness_index_norm_for_chart</t>
        </is>
      </c>
      <c r="AH1" s="11" t="inlineStr">
        <is>
          <t>body_weighted_effective_density_norm_for_chart</t>
        </is>
      </c>
      <c r="AI1" s="11" t="inlineStr">
        <is>
          <t>low_mid_energy_ratio_norm_for_chart</t>
        </is>
      </c>
      <c r="AJ1" s="11" t="inlineStr">
        <is>
          <t>harmonic_body_density_normalized_norm_for_chart</t>
        </is>
      </c>
      <c r="AK1" s="11" t="inlineStr">
        <is>
          <t>core_residual_energy_ratio_norm_for_chart</t>
        </is>
      </c>
      <c r="AL1" s="11" t="inlineStr">
        <is>
          <t>spectral_entropy_norm_for_chart</t>
        </is>
      </c>
      <c r="AM1" s="11" t="inlineStr">
        <is>
          <t>harmonic_occupancy_ratio_norm_for_chart</t>
        </is>
      </c>
      <c r="AN1" s="11" t="inlineStr">
        <is>
          <t>residual_log_frequency_occupancy_norm_for_chart</t>
        </is>
      </c>
      <c r="AO1" s="11" t="inlineStr">
        <is>
          <t>effective_partial_density_norm_for_chart</t>
        </is>
      </c>
      <c r="AP1" s="11" t="inlineStr">
        <is>
          <t>density_metric_raw</t>
        </is>
      </c>
      <c r="AQ1" s="11" t="inlineStr">
        <is>
          <t>density_metric_raw_norm_for_chart</t>
        </is>
      </c>
      <c r="AR1" s="11" t="inlineStr">
        <is>
          <t>density_weighted_sum</t>
        </is>
      </c>
      <c r="AS1" s="11" t="inlineStr">
        <is>
          <t>density_weighted_sum_norm_for_chart</t>
        </is>
      </c>
      <c r="AT1" s="11" t="inlineStr">
        <is>
          <t>weighted_harmonic_density_contribution</t>
        </is>
      </c>
      <c r="AU1" s="11" t="inlineStr">
        <is>
          <t>weighted_inharmonic_density_contribution</t>
        </is>
      </c>
      <c r="AV1" s="11" t="inlineStr">
        <is>
          <t>weighted_subbass_density_contribution</t>
        </is>
      </c>
      <c r="AW1" s="11" t="inlineStr">
        <is>
          <t>core_harmonic_energy_ratio</t>
        </is>
      </c>
      <c r="AX1" s="11" t="inlineStr">
        <is>
          <t>core_subbass_energy_ratio</t>
        </is>
      </c>
      <c r="AY1" s="11" t="inlineStr">
        <is>
          <t>component_harmonic_energy_ratio</t>
        </is>
      </c>
      <c r="AZ1" s="11" t="inlineStr">
        <is>
          <t>component_inharmonic_energy_ratio</t>
        </is>
      </c>
      <c r="BA1" s="11" t="inlineStr">
        <is>
          <t>component_subbass_energy_ratio</t>
        </is>
      </c>
    </row>
    <row r="2">
      <c r="A2" t="inlineStr">
        <is>
          <t>B3</t>
        </is>
      </c>
      <c r="B2" t="n">
        <v>59</v>
      </c>
      <c r="C2" s="15" t="n">
        <v>0.07568657739256884</v>
      </c>
      <c r="D2" s="15" t="n">
        <v>15.02688677696401</v>
      </c>
      <c r="E2" s="15" t="n">
        <v>0.9272662162283466</v>
      </c>
      <c r="F2" s="15" t="n">
        <v>0.06810793889144837</v>
      </c>
      <c r="G2" s="19" t="n">
        <v>0.2420075576545564</v>
      </c>
      <c r="H2" s="15" t="n">
        <v>0.09149594204021531</v>
      </c>
      <c r="I2" s="15" t="n">
        <v>14</v>
      </c>
      <c r="J2" s="15" t="n">
        <v>81</v>
      </c>
      <c r="K2" s="15" t="n">
        <v>0.1728395061728395</v>
      </c>
      <c r="L2" t="n">
        <v>14</v>
      </c>
      <c r="M2" t="n">
        <v>81</v>
      </c>
      <c r="N2" t="n">
        <v>0.1728395061728395</v>
      </c>
      <c r="O2" t="n">
        <v>48</v>
      </c>
      <c r="P2" t="n">
        <v>0</v>
      </c>
      <c r="Q2" s="15" t="n">
        <v>33.17453241381957</v>
      </c>
      <c r="R2" s="15" t="n">
        <v>17.61984101569025</v>
      </c>
      <c r="S2" s="15" t="n">
        <v>0.4875736512965421</v>
      </c>
      <c r="T2" s="15" t="n">
        <v>8.344963203541592</v>
      </c>
      <c r="U2" s="15" t="n">
        <v>24.79104067794075</v>
      </c>
      <c r="V2" s="15" t="n">
        <v>0</v>
      </c>
      <c r="W2" t="n">
        <v>1</v>
      </c>
      <c r="X2" t="n">
        <v>0.5</v>
      </c>
      <c r="Y2" t="n">
        <v>0.25</v>
      </c>
      <c r="Z2" t="inlineStr">
        <is>
          <t>his_note_adaptive</t>
        </is>
      </c>
      <c r="AA2" t="n">
        <v>-90</v>
      </c>
      <c r="AB2" t="n">
        <v>20000</v>
      </c>
      <c r="AC2" s="15" t="n">
        <v>0.1728395061728395</v>
      </c>
      <c r="AD2" s="15" t="n">
        <v>0.4</v>
      </c>
      <c r="AE2" t="n">
        <v>1.122924824383129</v>
      </c>
      <c r="AF2" s="15" t="n">
        <v>1.094086880536073</v>
      </c>
      <c r="AG2" s="15" t="n">
        <v>0.2732596139795989</v>
      </c>
      <c r="AH2" s="15" t="n">
        <v>0.384762147108748</v>
      </c>
      <c r="AI2" s="15" t="n">
        <v>0.8476115361519286</v>
      </c>
      <c r="AJ2" s="15" t="n">
        <v>0</v>
      </c>
      <c r="AK2" s="15" t="n">
        <v>0.09556624051692889</v>
      </c>
      <c r="AL2" s="15" t="n">
        <v>0.2268119945037381</v>
      </c>
      <c r="AM2" s="15" t="n">
        <v>0.02687000726216412</v>
      </c>
      <c r="AN2" s="15" t="n">
        <v>0.6744186046511629</v>
      </c>
      <c r="AO2" s="15" t="n">
        <v>0.09818034948423275</v>
      </c>
      <c r="AP2" s="15" t="n">
        <v>2.159812178122128</v>
      </c>
      <c r="AQ2" s="15" t="n">
        <v>0.9622736135954327</v>
      </c>
      <c r="AR2" s="15" t="n">
        <v>141.2478705201724</v>
      </c>
      <c r="AS2" s="15" t="n">
        <v>0.3624162779343186</v>
      </c>
      <c r="AT2" s="15" t="n">
        <v>1.469658569169178</v>
      </c>
      <c r="AU2" s="15" t="n">
        <v>0.5866190801471248</v>
      </c>
      <c r="AV2" s="15" t="n">
        <v>0.1035345288058248</v>
      </c>
      <c r="AW2" s="19" t="n">
        <v>0.7579924423454435</v>
      </c>
      <c r="AX2" s="19" t="n">
        <v>0</v>
      </c>
      <c r="AY2" s="19" t="n">
        <v>1</v>
      </c>
      <c r="AZ2" s="19" t="n">
        <v>0</v>
      </c>
      <c r="BA2" s="19" t="n">
        <v>0</v>
      </c>
    </row>
    <row r="3">
      <c r="A3" t="inlineStr">
        <is>
          <t>C4</t>
        </is>
      </c>
      <c r="B3" t="n">
        <v>60</v>
      </c>
      <c r="C3" s="15" t="n">
        <v>0.06557713205416027</v>
      </c>
      <c r="D3" s="15" t="n">
        <v>14.01334951362946</v>
      </c>
      <c r="E3" s="15" t="n">
        <v>0.9513594270318719</v>
      </c>
      <c r="F3" s="15" t="n">
        <v>0.07089707293676342</v>
      </c>
      <c r="G3" s="19" t="n">
        <v>0.2548954446121702</v>
      </c>
      <c r="H3" s="15" t="n">
        <v>0.08085477832169553</v>
      </c>
      <c r="I3" s="15" t="n">
        <v>12</v>
      </c>
      <c r="J3" s="15" t="n">
        <v>76</v>
      </c>
      <c r="K3" s="15" t="n">
        <v>0.1578947368421053</v>
      </c>
      <c r="L3" t="n">
        <v>12</v>
      </c>
      <c r="M3" t="n">
        <v>76</v>
      </c>
      <c r="N3" t="n">
        <v>0.1578947368421053</v>
      </c>
      <c r="O3" t="n">
        <v>46</v>
      </c>
      <c r="P3" t="n">
        <v>0</v>
      </c>
      <c r="Q3" s="15" t="n">
        <v>32.1011733343849</v>
      </c>
      <c r="R3" s="15" t="n">
        <v>16.16774624141337</v>
      </c>
      <c r="S3" s="15" t="n">
        <v>0.4321960022507578</v>
      </c>
      <c r="T3" s="15" t="n">
        <v>7.451674176550473</v>
      </c>
      <c r="U3" s="15" t="n">
        <v>22.19441805898895</v>
      </c>
      <c r="V3" s="15" t="n">
        <v>0</v>
      </c>
      <c r="W3" t="n">
        <v>1</v>
      </c>
      <c r="X3" t="n">
        <v>0.5</v>
      </c>
      <c r="Y3" t="n">
        <v>0.25</v>
      </c>
      <c r="Z3" t="inlineStr">
        <is>
          <t>his_note_adaptive</t>
        </is>
      </c>
      <c r="AA3" t="n">
        <v>-90</v>
      </c>
      <c r="AB3" t="n">
        <v>20000</v>
      </c>
      <c r="AC3" s="15" t="n">
        <v>0.1578947368421053</v>
      </c>
      <c r="AD3" s="15" t="n">
        <v>0.3833333333333334</v>
      </c>
      <c r="AE3" t="n">
        <v>1.086638720412701</v>
      </c>
      <c r="AF3" s="15" t="n">
        <v>1.064570815091029</v>
      </c>
      <c r="AG3" s="15" t="n">
        <v>0.2686015283787603</v>
      </c>
      <c r="AH3" s="15" t="n">
        <v>0.3255636776573517</v>
      </c>
      <c r="AI3" s="15" t="n">
        <v>0.9120682223336483</v>
      </c>
      <c r="AJ3" s="15" t="n">
        <v>0.006416690739852477</v>
      </c>
      <c r="AK3" s="15" t="n">
        <v>0.1407621378446832</v>
      </c>
      <c r="AL3" s="15" t="n">
        <v>0.2004332993067701</v>
      </c>
      <c r="AM3" s="15" t="n">
        <v>0.009287925696594489</v>
      </c>
      <c r="AN3" s="15" t="n">
        <v>0.6279069767441863</v>
      </c>
      <c r="AO3" s="15" t="n">
        <v>0.06738011884333206</v>
      </c>
      <c r="AP3" s="15" t="n">
        <v>2.075259347962615</v>
      </c>
      <c r="AQ3" s="15" t="n">
        <v>0.9045974551220302</v>
      </c>
      <c r="AR3" s="15" t="n">
        <v>148.334068963212</v>
      </c>
      <c r="AS3" s="15" t="n">
        <v>0.3806004278370805</v>
      </c>
      <c r="AT3" s="15" t="n">
        <v>1.470262004672081</v>
      </c>
      <c r="AU3" s="15" t="n">
        <v>0.5063732044614417</v>
      </c>
      <c r="AV3" s="15" t="n">
        <v>0.09862413882909271</v>
      </c>
      <c r="AW3" s="19" t="n">
        <v>0.7451045553878298</v>
      </c>
      <c r="AX3" s="19" t="n">
        <v>0</v>
      </c>
      <c r="AY3" s="19" t="n">
        <v>1</v>
      </c>
      <c r="AZ3" s="19" t="n">
        <v>0</v>
      </c>
      <c r="BA3" s="19" t="n">
        <v>0</v>
      </c>
    </row>
    <row r="4">
      <c r="A4" t="inlineStr">
        <is>
          <t>C#4</t>
        </is>
      </c>
      <c r="B4" t="n">
        <v>61</v>
      </c>
      <c r="C4" s="15" t="n">
        <v>0.2082033999019278</v>
      </c>
      <c r="D4" s="15" t="n">
        <v>15.09036369179345</v>
      </c>
      <c r="E4" s="15" t="n">
        <v>0.9435019761406565</v>
      </c>
      <c r="F4" s="15" t="n">
        <v>0.08373595312016864</v>
      </c>
      <c r="G4" s="19" t="n">
        <v>0.258835805277518</v>
      </c>
      <c r="H4" s="15" t="n">
        <v>0.1011892474088753</v>
      </c>
      <c r="I4" s="15" t="n">
        <v>12</v>
      </c>
      <c r="J4" s="15" t="n">
        <v>72</v>
      </c>
      <c r="K4" s="15" t="n">
        <v>0.1666666666666667</v>
      </c>
      <c r="L4" t="n">
        <v>12</v>
      </c>
      <c r="M4" t="n">
        <v>72</v>
      </c>
      <c r="N4" t="n">
        <v>0.1666666666666667</v>
      </c>
      <c r="O4" t="n">
        <v>50</v>
      </c>
      <c r="P4" t="n">
        <v>0</v>
      </c>
      <c r="Q4" s="15" t="n">
        <v>34.9982713024504</v>
      </c>
      <c r="R4" s="15" t="n">
        <v>17.52299099041251</v>
      </c>
      <c r="S4" s="15" t="n">
        <v>0.4838801412000149</v>
      </c>
      <c r="T4" s="15" t="n">
        <v>7.48296520068117</v>
      </c>
      <c r="U4" s="15" t="n">
        <v>24.07208074734145</v>
      </c>
      <c r="V4" s="15" t="n">
        <v>0</v>
      </c>
      <c r="W4" t="n">
        <v>1</v>
      </c>
      <c r="X4" t="n">
        <v>0.5</v>
      </c>
      <c r="Y4" t="n">
        <v>0.25</v>
      </c>
      <c r="Z4" t="inlineStr">
        <is>
          <t>his_note_adaptive</t>
        </is>
      </c>
      <c r="AA4" t="n">
        <v>-90</v>
      </c>
      <c r="AB4" t="n">
        <v>20000</v>
      </c>
      <c r="AC4" s="15" t="n">
        <v>0.1666666666666667</v>
      </c>
      <c r="AD4" s="15" t="n">
        <v>0.4166666666666667</v>
      </c>
      <c r="AE4" t="n">
        <v>1.133597821407769</v>
      </c>
      <c r="AF4" s="15" t="n">
        <v>1.107879356078876</v>
      </c>
      <c r="AG4" s="15" t="n">
        <v>0.3343188197160924</v>
      </c>
      <c r="AH4" s="15" t="n">
        <v>0.388469693283258</v>
      </c>
      <c r="AI4" s="15" t="n">
        <v>0.8910471450511948</v>
      </c>
      <c r="AJ4" s="15" t="n">
        <v>0.03595385971217625</v>
      </c>
      <c r="AK4" s="15" t="n">
        <v>0.1545803949919631</v>
      </c>
      <c r="AL4" s="15" t="n">
        <v>0.2508410156272457</v>
      </c>
      <c r="AM4" s="15" t="n">
        <v>0.01960784313725496</v>
      </c>
      <c r="AN4" s="15" t="n">
        <v>0.7209302325581396</v>
      </c>
      <c r="AO4" s="15" t="n">
        <v>0.1125728988102351</v>
      </c>
      <c r="AP4" s="15" t="n">
        <v>2.135791963281306</v>
      </c>
      <c r="AQ4" s="15" t="n">
        <v>0.9458886656864058</v>
      </c>
      <c r="AR4" s="15" t="n">
        <v>160.9069342392096</v>
      </c>
      <c r="AS4" s="15" t="n">
        <v>0.4128641117747693</v>
      </c>
      <c r="AT4" s="15" t="n">
        <v>1.47636670790922</v>
      </c>
      <c r="AU4" s="15" t="n">
        <v>0.5616168140262416</v>
      </c>
      <c r="AV4" s="15" t="n">
        <v>0.09780844134584514</v>
      </c>
      <c r="AW4" s="19" t="n">
        <v>0.7411641947224819</v>
      </c>
      <c r="AX4" s="19" t="n">
        <v>0</v>
      </c>
      <c r="AY4" s="19" t="n">
        <v>1</v>
      </c>
      <c r="AZ4" s="19" t="n">
        <v>0</v>
      </c>
      <c r="BA4" s="19" t="n">
        <v>0</v>
      </c>
    </row>
    <row r="5">
      <c r="A5" t="inlineStr">
        <is>
          <t>D4</t>
        </is>
      </c>
      <c r="B5" t="n">
        <v>62</v>
      </c>
      <c r="C5" s="15" t="n">
        <v>-0.04274130263814088</v>
      </c>
      <c r="D5" s="15" t="n">
        <v>13.3517535929717</v>
      </c>
      <c r="E5" s="15" t="n">
        <v>0.961826919838874</v>
      </c>
      <c r="F5" s="15" t="n">
        <v>0.08110772080696427</v>
      </c>
      <c r="G5" s="19" t="n">
        <v>0.2589323512943612</v>
      </c>
      <c r="H5" s="15" t="n">
        <v>0.06748901008363713</v>
      </c>
      <c r="I5" s="15" t="n">
        <v>13</v>
      </c>
      <c r="J5" s="15" t="n">
        <v>68</v>
      </c>
      <c r="K5" s="15" t="n">
        <v>0.1911764705882353</v>
      </c>
      <c r="L5" t="n">
        <v>13</v>
      </c>
      <c r="M5" t="n">
        <v>68</v>
      </c>
      <c r="N5" t="n">
        <v>0.1911764705882353</v>
      </c>
      <c r="O5" t="n">
        <v>31</v>
      </c>
      <c r="P5" t="n">
        <v>0</v>
      </c>
      <c r="Q5" s="15" t="n">
        <v>21.25665768649618</v>
      </c>
      <c r="R5" s="15" t="n">
        <v>11.24819363295084</v>
      </c>
      <c r="S5" s="15" t="n">
        <v>0.2445820374877634</v>
      </c>
      <c r="T5" s="15" t="n">
        <v>7.807115606440269</v>
      </c>
      <c r="U5" s="15" t="n">
        <v>15.30886835301382</v>
      </c>
      <c r="V5" s="15" t="n">
        <v>0</v>
      </c>
      <c r="W5" t="n">
        <v>1</v>
      </c>
      <c r="X5" t="n">
        <v>0.5</v>
      </c>
      <c r="Y5" t="n">
        <v>0.25</v>
      </c>
      <c r="Z5" t="inlineStr">
        <is>
          <t>his_note_adaptive</t>
        </is>
      </c>
      <c r="AA5" t="n">
        <v>-90</v>
      </c>
      <c r="AB5" t="n">
        <v>20000</v>
      </c>
      <c r="AC5" s="15" t="n">
        <v>0.1911764705882353</v>
      </c>
      <c r="AD5" s="15" t="n">
        <v>0.2583333333333334</v>
      </c>
      <c r="AE5" t="n">
        <v>1.073354909803128</v>
      </c>
      <c r="AF5" s="15" t="n">
        <v>1.058615210420889</v>
      </c>
      <c r="AG5" s="15" t="n">
        <v>0.2186921096069281</v>
      </c>
      <c r="AH5" s="15" t="n">
        <v>0.2869213234834441</v>
      </c>
      <c r="AI5" s="15" t="n">
        <v>0.940071957679359</v>
      </c>
      <c r="AJ5" s="15" t="n">
        <v>0.02990734001383218</v>
      </c>
      <c r="AK5" s="15" t="n">
        <v>0.1549189674731616</v>
      </c>
      <c r="AL5" s="15" t="n">
        <v>0.1673005014520161</v>
      </c>
      <c r="AM5" s="15" t="n">
        <v>0.04844290657439449</v>
      </c>
      <c r="AN5" s="15" t="n">
        <v>0.2790697674418607</v>
      </c>
      <c r="AO5" s="15" t="n">
        <v>0.06116540171621804</v>
      </c>
      <c r="AP5" s="15" t="n">
        <v>2.11676143041997</v>
      </c>
      <c r="AQ5" s="15" t="n">
        <v>0.9329073375975289</v>
      </c>
      <c r="AR5" s="15" t="n">
        <v>159.788413335502</v>
      </c>
      <c r="AS5" s="15" t="n">
        <v>0.4099938348631243</v>
      </c>
      <c r="AT5" s="15" t="n">
        <v>1.471142404818217</v>
      </c>
      <c r="AU5" s="15" t="n">
        <v>0.5601168850994528</v>
      </c>
      <c r="AV5" s="15" t="n">
        <v>0.08550214050230029</v>
      </c>
      <c r="AW5" s="19" t="n">
        <v>0.7410676487056388</v>
      </c>
      <c r="AX5" s="19" t="n">
        <v>0</v>
      </c>
      <c r="AY5" s="19" t="n">
        <v>1</v>
      </c>
      <c r="AZ5" s="19" t="n">
        <v>0</v>
      </c>
      <c r="BA5" s="19" t="n">
        <v>0</v>
      </c>
    </row>
    <row r="6">
      <c r="A6" t="inlineStr">
        <is>
          <t>D#4</t>
        </is>
      </c>
      <c r="B6" t="n">
        <v>63</v>
      </c>
      <c r="C6" s="15" t="n">
        <v>-0.1758049276765882</v>
      </c>
      <c r="D6" s="15" t="n">
        <v>12.59674872658149</v>
      </c>
      <c r="E6" s="15" t="n">
        <v>0.9605761686974433</v>
      </c>
      <c r="F6" s="15" t="n">
        <v>0.07435592940436607</v>
      </c>
      <c r="G6" s="19" t="n">
        <v>0.2419688788759322</v>
      </c>
      <c r="H6" s="15" t="n">
        <v>0.05555320037492211</v>
      </c>
      <c r="I6" s="15" t="n">
        <v>12</v>
      </c>
      <c r="J6" s="15" t="n">
        <v>64</v>
      </c>
      <c r="K6" s="15" t="n">
        <v>0.1875</v>
      </c>
      <c r="L6" t="n">
        <v>12</v>
      </c>
      <c r="M6" t="n">
        <v>64</v>
      </c>
      <c r="N6" t="n">
        <v>0.1875</v>
      </c>
      <c r="O6" t="n">
        <v>28</v>
      </c>
      <c r="P6" t="n">
        <v>0</v>
      </c>
      <c r="Q6" s="15" t="n">
        <v>18.4550775633504</v>
      </c>
      <c r="R6" s="15" t="n">
        <v>9.969319927796274</v>
      </c>
      <c r="S6" s="15" t="n">
        <v>0.1958104142628268</v>
      </c>
      <c r="T6" s="15" t="n">
        <v>7.352868971772915</v>
      </c>
      <c r="U6" s="15" t="n">
        <v>13.83818458347958</v>
      </c>
      <c r="V6" s="15" t="n">
        <v>0</v>
      </c>
      <c r="W6" t="n">
        <v>1</v>
      </c>
      <c r="X6" t="n">
        <v>0.5</v>
      </c>
      <c r="Y6" t="n">
        <v>0.25</v>
      </c>
      <c r="Z6" t="inlineStr">
        <is>
          <t>his_note_adaptive</t>
        </is>
      </c>
      <c r="AA6" t="n">
        <v>-90</v>
      </c>
      <c r="AB6" t="n">
        <v>20000</v>
      </c>
      <c r="AC6" s="15" t="n">
        <v>0.1875</v>
      </c>
      <c r="AD6" s="15" t="n">
        <v>0.2333333333333333</v>
      </c>
      <c r="AE6" t="n">
        <v>1.054099689120195</v>
      </c>
      <c r="AF6" s="15" t="n">
        <v>1.043371771437309</v>
      </c>
      <c r="AG6" s="15" t="n">
        <v>0.1573809560234471</v>
      </c>
      <c r="AH6" s="15" t="n">
        <v>0.2428231594242275</v>
      </c>
      <c r="AI6" s="15" t="n">
        <v>0.9367258169564783</v>
      </c>
      <c r="AJ6" s="15" t="n">
        <v>0.0143741470347283</v>
      </c>
      <c r="AK6" s="15" t="n">
        <v>0.09543059980924612</v>
      </c>
      <c r="AL6" s="15" t="n">
        <v>0.1377124700521007</v>
      </c>
      <c r="AM6" s="15" t="n">
        <v>0.04411764705882354</v>
      </c>
      <c r="AN6" s="15" t="n">
        <v>0.2093023255813953</v>
      </c>
      <c r="AO6" s="15" t="n">
        <v>0.04525876140438769</v>
      </c>
      <c r="AP6" s="15" t="n">
        <v>2.075483522051566</v>
      </c>
      <c r="AQ6" s="15" t="n">
        <v>0.9047503713550596</v>
      </c>
      <c r="AR6" s="15" t="n">
        <v>174.4580991344237</v>
      </c>
      <c r="AS6" s="15" t="n">
        <v>0.4476382457187124</v>
      </c>
      <c r="AT6" s="15" t="n">
        <v>1.466366164806482</v>
      </c>
      <c r="AU6" s="15" t="n">
        <v>0.5239034080975294</v>
      </c>
      <c r="AV6" s="15" t="n">
        <v>0.08521394914755397</v>
      </c>
      <c r="AW6" s="19" t="n">
        <v>0.7580311211240678</v>
      </c>
      <c r="AX6" s="19" t="n">
        <v>0</v>
      </c>
      <c r="AY6" s="19" t="n">
        <v>1</v>
      </c>
      <c r="AZ6" s="19" t="n">
        <v>0</v>
      </c>
      <c r="BA6" s="19" t="n">
        <v>0</v>
      </c>
    </row>
    <row r="7">
      <c r="A7" t="inlineStr">
        <is>
          <t>E4</t>
        </is>
      </c>
      <c r="B7" t="n">
        <v>64</v>
      </c>
      <c r="C7" s="15" t="n">
        <v>0.3037609691753465</v>
      </c>
      <c r="D7" s="15" t="n">
        <v>15.17057136672202</v>
      </c>
      <c r="E7" s="15" t="n">
        <v>0.9791025700951307</v>
      </c>
      <c r="F7" s="15" t="n">
        <v>0.1254871852027916</v>
      </c>
      <c r="G7" s="19" t="n">
        <v>0.241448455956483</v>
      </c>
      <c r="H7" s="15" t="n">
        <v>0.1203438097027004</v>
      </c>
      <c r="I7" s="15" t="n">
        <v>12</v>
      </c>
      <c r="J7" s="15" t="n">
        <v>60</v>
      </c>
      <c r="K7" s="15" t="n">
        <v>0.2</v>
      </c>
      <c r="L7" t="n">
        <v>12</v>
      </c>
      <c r="M7" t="n">
        <v>60</v>
      </c>
      <c r="N7" t="n">
        <v>0.2</v>
      </c>
      <c r="O7" t="n">
        <v>36</v>
      </c>
      <c r="P7" t="n">
        <v>0</v>
      </c>
      <c r="Q7" s="15" t="n">
        <v>22.73256154845673</v>
      </c>
      <c r="R7" s="15" t="n">
        <v>11.75915245845003</v>
      </c>
      <c r="S7" s="15" t="n">
        <v>0.2640681612701667</v>
      </c>
      <c r="T7" s="15" t="n">
        <v>7.255574576751653</v>
      </c>
      <c r="U7" s="15" t="n">
        <v>17.3264107581014</v>
      </c>
      <c r="V7" s="15" t="n">
        <v>0</v>
      </c>
      <c r="W7" t="n">
        <v>1</v>
      </c>
      <c r="X7" t="n">
        <v>0.5</v>
      </c>
      <c r="Y7" t="n">
        <v>0.25</v>
      </c>
      <c r="Z7" t="inlineStr">
        <is>
          <t>his_note_adaptive</t>
        </is>
      </c>
      <c r="AA7" t="n">
        <v>-90</v>
      </c>
      <c r="AB7" t="n">
        <v>20000</v>
      </c>
      <c r="AC7" s="15" t="n">
        <v>0.2</v>
      </c>
      <c r="AD7" s="15" t="n">
        <v>0.3</v>
      </c>
      <c r="AE7" t="n">
        <v>1.143729091163408</v>
      </c>
      <c r="AF7" s="15" t="n">
        <v>1.131486866625121</v>
      </c>
      <c r="AG7" s="15" t="n">
        <v>0.3783484694726947</v>
      </c>
      <c r="AH7" s="15" t="n">
        <v>0.3931544461441494</v>
      </c>
      <c r="AI7" s="15" t="n">
        <v>0.9862895903657317</v>
      </c>
      <c r="AJ7" s="15" t="n">
        <v>0.1320068782940552</v>
      </c>
      <c r="AK7" s="15" t="n">
        <v>0.0936055542519882</v>
      </c>
      <c r="AL7" s="15" t="n">
        <v>0.2983238261304594</v>
      </c>
      <c r="AM7" s="15" t="n">
        <v>0.05882352941176473</v>
      </c>
      <c r="AN7" s="15" t="n">
        <v>0.3953488372093023</v>
      </c>
      <c r="AO7" s="15" t="n">
        <v>0.1372075091052847</v>
      </c>
      <c r="AP7" s="15" t="n">
        <v>2.081199425889139</v>
      </c>
      <c r="AQ7" s="15" t="n">
        <v>0.9086493700631174</v>
      </c>
      <c r="AR7" s="15" t="n">
        <v>198.9333317085364</v>
      </c>
      <c r="AS7" s="15" t="n">
        <v>0.5104450245028699</v>
      </c>
      <c r="AT7" s="15" t="n">
        <v>1.488645690883657</v>
      </c>
      <c r="AU7" s="15" t="n">
        <v>0.502427103749047</v>
      </c>
      <c r="AV7" s="15" t="n">
        <v>0.0901266312564355</v>
      </c>
      <c r="AW7" s="19" t="n">
        <v>0.7585515440435171</v>
      </c>
      <c r="AX7" s="19" t="n">
        <v>0</v>
      </c>
      <c r="AY7" s="19" t="n">
        <v>1</v>
      </c>
      <c r="AZ7" s="19" t="n">
        <v>0</v>
      </c>
      <c r="BA7" s="19" t="n">
        <v>0</v>
      </c>
    </row>
    <row r="8">
      <c r="A8" t="inlineStr">
        <is>
          <t>F4</t>
        </is>
      </c>
      <c r="B8" t="n">
        <v>65</v>
      </c>
      <c r="C8" s="15" t="n">
        <v>1.328519117322226</v>
      </c>
      <c r="D8" s="15" t="n">
        <v>23.70126395135726</v>
      </c>
      <c r="E8" s="15" t="n">
        <v>0.9446909070009407</v>
      </c>
      <c r="F8" s="15" t="n">
        <v>0.2365596860714883</v>
      </c>
      <c r="G8" s="19" t="n">
        <v>0.218750878288657</v>
      </c>
      <c r="H8" s="15" t="n">
        <v>0.3739017046430888</v>
      </c>
      <c r="I8" s="15" t="n">
        <v>12</v>
      </c>
      <c r="J8" s="15" t="n">
        <v>57</v>
      </c>
      <c r="K8" s="15" t="n">
        <v>0.2105263157894737</v>
      </c>
      <c r="L8" t="n">
        <v>12</v>
      </c>
      <c r="M8" t="n">
        <v>57</v>
      </c>
      <c r="N8" t="n">
        <v>0.2105263157894737</v>
      </c>
      <c r="O8" t="n">
        <v>48</v>
      </c>
      <c r="P8" t="n">
        <v>0</v>
      </c>
      <c r="Q8" s="15" t="n">
        <v>28.49852379479405</v>
      </c>
      <c r="R8" s="15" t="n">
        <v>14.92999078057527</v>
      </c>
      <c r="S8" s="15" t="n">
        <v>0.3849924803257312</v>
      </c>
      <c r="T8" s="15" t="n">
        <v>7.605728414690788</v>
      </c>
      <c r="U8" s="15" t="n">
        <v>23.58736704196245</v>
      </c>
      <c r="V8" s="15" t="n">
        <v>0</v>
      </c>
      <c r="W8" t="n">
        <v>1</v>
      </c>
      <c r="X8" t="n">
        <v>0.5</v>
      </c>
      <c r="Y8" t="n">
        <v>0.25</v>
      </c>
      <c r="Z8" t="inlineStr">
        <is>
          <t>his_note_adaptive</t>
        </is>
      </c>
      <c r="AA8" t="n">
        <v>-90</v>
      </c>
      <c r="AB8" t="n">
        <v>20000</v>
      </c>
      <c r="AC8" s="15" t="n">
        <v>0.2105263157894737</v>
      </c>
      <c r="AD8" s="15" t="n">
        <v>0.4</v>
      </c>
      <c r="AE8" t="n">
        <v>1.989291355751834</v>
      </c>
      <c r="AF8" s="15" t="n">
        <v>1.92862643482239</v>
      </c>
      <c r="AG8" s="15" t="n">
        <v>0.8505218691437396</v>
      </c>
      <c r="AH8" s="15" t="n">
        <v>0.8914133288114847</v>
      </c>
      <c r="AI8" s="15" t="n">
        <v>0.8942278976697662</v>
      </c>
      <c r="AJ8" s="15" t="n">
        <v>0.387540630418154</v>
      </c>
      <c r="AK8" s="15" t="n">
        <v>0.01400853472212977</v>
      </c>
      <c r="AL8" s="15" t="n">
        <v>0.9268759847422735</v>
      </c>
      <c r="AM8" s="15" t="n">
        <v>0.07120743034055731</v>
      </c>
      <c r="AN8" s="15" t="n">
        <v>0.6744186046511629</v>
      </c>
      <c r="AO8" s="15" t="n">
        <v>0.9690284914505537</v>
      </c>
      <c r="AP8" s="15" t="n">
        <v>2.179450771719826</v>
      </c>
      <c r="AQ8" s="15" t="n">
        <v>0.9756697191355872</v>
      </c>
      <c r="AR8" s="15" t="n">
        <v>339.1704392797926</v>
      </c>
      <c r="AS8" s="15" t="n">
        <v>0.8703125340714607</v>
      </c>
      <c r="AT8" s="15" t="n">
        <v>1.536167141830704</v>
      </c>
      <c r="AU8" s="15" t="n">
        <v>0.5392099812762132</v>
      </c>
      <c r="AV8" s="15" t="n">
        <v>0.1040736486129089</v>
      </c>
      <c r="AW8" s="19" t="n">
        <v>0.781249121711343</v>
      </c>
      <c r="AX8" s="19" t="n">
        <v>0</v>
      </c>
      <c r="AY8" s="19" t="n">
        <v>1</v>
      </c>
      <c r="AZ8" s="19" t="n">
        <v>0</v>
      </c>
      <c r="BA8" s="19" t="n">
        <v>0</v>
      </c>
    </row>
    <row r="9">
      <c r="A9" t="inlineStr">
        <is>
          <t>F#4</t>
        </is>
      </c>
      <c r="B9" t="n">
        <v>66</v>
      </c>
      <c r="C9" s="15" t="n">
        <v>1.047777107387103</v>
      </c>
      <c r="D9" s="15" t="n">
        <v>20.8166462381281</v>
      </c>
      <c r="E9" s="15" t="n">
        <v>0.9595378182761274</v>
      </c>
      <c r="F9" s="15" t="n">
        <v>0.1932258777785501</v>
      </c>
      <c r="G9" s="19" t="n">
        <v>0.2445276158553741</v>
      </c>
      <c r="H9" s="15" t="n">
        <v>0.2774233661146823</v>
      </c>
      <c r="I9" s="15" t="n">
        <v>13</v>
      </c>
      <c r="J9" s="15" t="n">
        <v>53</v>
      </c>
      <c r="K9" s="15" t="n">
        <v>0.2452830188679245</v>
      </c>
      <c r="L9" t="n">
        <v>13</v>
      </c>
      <c r="M9" t="n">
        <v>53</v>
      </c>
      <c r="N9" t="n">
        <v>0.2452830188679245</v>
      </c>
      <c r="O9" t="n">
        <v>50</v>
      </c>
      <c r="P9" t="n">
        <v>0</v>
      </c>
      <c r="Q9" s="15" t="n">
        <v>30.89040237269282</v>
      </c>
      <c r="R9" s="15" t="n">
        <v>15.62114633843793</v>
      </c>
      <c r="S9" s="15" t="n">
        <v>0.4113506565256432</v>
      </c>
      <c r="T9" s="15" t="n">
        <v>7.92721231010906</v>
      </c>
      <c r="U9" s="15" t="n">
        <v>23.83940663183575</v>
      </c>
      <c r="V9" s="15" t="n">
        <v>0</v>
      </c>
      <c r="W9" t="n">
        <v>1</v>
      </c>
      <c r="X9" t="n">
        <v>0.5</v>
      </c>
      <c r="Y9" t="n">
        <v>0.25</v>
      </c>
      <c r="Z9" t="inlineStr">
        <is>
          <t>his_note_adaptive</t>
        </is>
      </c>
      <c r="AA9" t="n">
        <v>-90</v>
      </c>
      <c r="AB9" t="n">
        <v>20000</v>
      </c>
      <c r="AC9" s="15" t="n">
        <v>0.2452830188679245</v>
      </c>
      <c r="AD9" s="15" t="n">
        <v>0.4166666666666667</v>
      </c>
      <c r="AE9" t="n">
        <v>1.443472157081931</v>
      </c>
      <c r="AF9" s="15" t="n">
        <v>1.401903045868126</v>
      </c>
      <c r="AG9" s="15" t="n">
        <v>0.7211655820029522</v>
      </c>
      <c r="AH9" s="15" t="n">
        <v>0.7229291893988556</v>
      </c>
      <c r="AI9" s="15" t="n">
        <v>0.9339479129320124</v>
      </c>
      <c r="AJ9" s="15" t="n">
        <v>0.2878467319255737</v>
      </c>
      <c r="AK9" s="15" t="n">
        <v>0.1044037087596833</v>
      </c>
      <c r="AL9" s="15" t="n">
        <v>0.6877129803500492</v>
      </c>
      <c r="AM9" s="15" t="n">
        <v>0.1120976692563818</v>
      </c>
      <c r="AN9" s="15" t="n">
        <v>0.7209302325581396</v>
      </c>
      <c r="AO9" s="15" t="n">
        <v>0.4193887742614828</v>
      </c>
      <c r="AP9" s="15" t="n">
        <v>2.140870239821874</v>
      </c>
      <c r="AQ9" s="15" t="n">
        <v>0.9493527186574655</v>
      </c>
      <c r="AR9" s="15" t="n">
        <v>265.2771378051285</v>
      </c>
      <c r="AS9" s="15" t="n">
        <v>0.6806922628320754</v>
      </c>
      <c r="AT9" s="15" t="n">
        <v>1.514389527549605</v>
      </c>
      <c r="AU9" s="15" t="n">
        <v>0.5251174844622867</v>
      </c>
      <c r="AV9" s="15" t="n">
        <v>0.1013632278099823</v>
      </c>
      <c r="AW9" s="19" t="n">
        <v>0.7554723841446258</v>
      </c>
      <c r="AX9" s="19" t="n">
        <v>0</v>
      </c>
      <c r="AY9" s="19" t="n">
        <v>1</v>
      </c>
      <c r="AZ9" s="19" t="n">
        <v>0</v>
      </c>
      <c r="BA9" s="19" t="n">
        <v>0</v>
      </c>
    </row>
    <row r="10">
      <c r="A10" t="inlineStr">
        <is>
          <t>G4</t>
        </is>
      </c>
      <c r="B10" t="n">
        <v>67</v>
      </c>
      <c r="C10" s="15" t="n">
        <v>1.652931573999022</v>
      </c>
      <c r="D10" s="15" t="n">
        <v>25.56037684010139</v>
      </c>
      <c r="E10" s="15" t="n">
        <v>0.9477837793439531</v>
      </c>
      <c r="F10" s="15" t="n">
        <v>0.3077376725977132</v>
      </c>
      <c r="G10" s="19" t="n">
        <v>0.2147562588073496</v>
      </c>
      <c r="H10" s="15" t="n">
        <v>0.4033999270647363</v>
      </c>
      <c r="I10" s="15" t="n">
        <v>11</v>
      </c>
      <c r="J10" s="15" t="n">
        <v>50</v>
      </c>
      <c r="K10" s="15" t="n">
        <v>0.22</v>
      </c>
      <c r="L10" t="n">
        <v>11</v>
      </c>
      <c r="M10" t="n">
        <v>50</v>
      </c>
      <c r="N10" t="n">
        <v>0.22</v>
      </c>
      <c r="O10" t="n">
        <v>47</v>
      </c>
      <c r="P10" t="n">
        <v>0</v>
      </c>
      <c r="Q10" s="15" t="n">
        <v>26.30043988133391</v>
      </c>
      <c r="R10" s="15" t="n">
        <v>13.95355111570681</v>
      </c>
      <c r="S10" s="15" t="n">
        <v>0.3477545988641741</v>
      </c>
      <c r="T10" s="15" t="n">
        <v>7.527483181208361</v>
      </c>
      <c r="U10" s="15" t="n">
        <v>22.6472083287298</v>
      </c>
      <c r="V10" s="15" t="n">
        <v>0</v>
      </c>
      <c r="W10" t="n">
        <v>1</v>
      </c>
      <c r="X10" t="n">
        <v>0.5</v>
      </c>
      <c r="Y10" t="n">
        <v>0.25</v>
      </c>
      <c r="Z10" t="inlineStr">
        <is>
          <t>his_note_adaptive</t>
        </is>
      </c>
      <c r="AA10" t="n">
        <v>-90</v>
      </c>
      <c r="AB10" t="n">
        <v>20000</v>
      </c>
      <c r="AC10" s="15" t="n">
        <v>0.22</v>
      </c>
      <c r="AD10" s="15" t="n">
        <v>0.3916666666666667</v>
      </c>
      <c r="AE10" t="n">
        <v>1.998823178116754</v>
      </c>
      <c r="AF10" s="15" t="n">
        <v>1.958306637023969</v>
      </c>
      <c r="AG10" s="15" t="n">
        <v>1</v>
      </c>
      <c r="AH10" s="15" t="n">
        <v>1</v>
      </c>
      <c r="AI10" s="15" t="n">
        <v>0.9025022743661464</v>
      </c>
      <c r="AJ10" s="15" t="n">
        <v>0.5512929347548143</v>
      </c>
      <c r="AK10" s="15" t="n">
        <v>0</v>
      </c>
      <c r="AL10" s="15" t="n">
        <v>1</v>
      </c>
      <c r="AM10" s="15" t="n">
        <v>0.0823529411764706</v>
      </c>
      <c r="AN10" s="15" t="n">
        <v>0.6511627906976746</v>
      </c>
      <c r="AO10" s="15" t="n">
        <v>1</v>
      </c>
      <c r="AP10" s="15" t="n">
        <v>2.215118787068154</v>
      </c>
      <c r="AQ10" s="15" t="n">
        <v>1</v>
      </c>
      <c r="AR10" s="15" t="n">
        <v>389.708469600637</v>
      </c>
      <c r="AS10" s="15" t="n">
        <v>1</v>
      </c>
      <c r="AT10" s="15" t="n">
        <v>1.555016248657727</v>
      </c>
      <c r="AU10" s="15" t="n">
        <v>0.5588484477198133</v>
      </c>
      <c r="AV10" s="15" t="n">
        <v>0.1012540906906135</v>
      </c>
      <c r="AW10" s="19" t="n">
        <v>0.7852437411926503</v>
      </c>
      <c r="AX10" s="19" t="n">
        <v>0</v>
      </c>
      <c r="AY10" s="19" t="n">
        <v>1</v>
      </c>
      <c r="AZ10" s="19" t="n">
        <v>0</v>
      </c>
      <c r="BA10" s="19" t="n">
        <v>0</v>
      </c>
    </row>
    <row r="11">
      <c r="A11" t="inlineStr">
        <is>
          <t>G#4</t>
        </is>
      </c>
      <c r="B11" t="n">
        <v>68</v>
      </c>
      <c r="C11" s="15" t="n">
        <v>0.8761048648130193</v>
      </c>
      <c r="D11" s="15" t="n">
        <v>20.098279289583</v>
      </c>
      <c r="E11" s="15" t="n">
        <v>0.9363296048252558</v>
      </c>
      <c r="F11" s="15" t="n">
        <v>0.2228695836941497</v>
      </c>
      <c r="G11" s="19" t="n">
        <v>0.2253256262808617</v>
      </c>
      <c r="H11" s="15" t="n">
        <v>0.3326011907530185</v>
      </c>
      <c r="I11" s="15" t="n">
        <v>11</v>
      </c>
      <c r="J11" s="15" t="n">
        <v>48</v>
      </c>
      <c r="K11" s="15" t="n">
        <v>0.2291666666666667</v>
      </c>
      <c r="L11" t="n">
        <v>11</v>
      </c>
      <c r="M11" t="n">
        <v>48</v>
      </c>
      <c r="N11" t="n">
        <v>0.2291666666666667</v>
      </c>
      <c r="O11" t="n">
        <v>44</v>
      </c>
      <c r="P11" t="n">
        <v>0</v>
      </c>
      <c r="Q11" s="15" t="n">
        <v>25.11131007012012</v>
      </c>
      <c r="R11" s="15" t="n">
        <v>12.85576504272458</v>
      </c>
      <c r="S11" s="15" t="n">
        <v>0.3058890037571098</v>
      </c>
      <c r="T11" s="15" t="n">
        <v>6.856111414319184</v>
      </c>
      <c r="U11" s="15" t="n">
        <v>20.8865996364303</v>
      </c>
      <c r="V11" s="15" t="n">
        <v>0</v>
      </c>
      <c r="W11" t="n">
        <v>1</v>
      </c>
      <c r="X11" t="n">
        <v>0.5</v>
      </c>
      <c r="Y11" t="n">
        <v>0.25</v>
      </c>
      <c r="Z11" t="inlineStr">
        <is>
          <t>his_note_adaptive</t>
        </is>
      </c>
      <c r="AA11" t="n">
        <v>-90</v>
      </c>
      <c r="AB11" t="n">
        <v>20000</v>
      </c>
      <c r="AC11" s="15" t="n">
        <v>0.2291666666666667</v>
      </c>
      <c r="AD11" s="15" t="n">
        <v>0.3666666666666666</v>
      </c>
      <c r="AE11" t="n">
        <v>1.740239667141038</v>
      </c>
      <c r="AF11" s="15" t="n">
        <v>1.7000122404886</v>
      </c>
      <c r="AG11" s="15" t="n">
        <v>0.6420649019527955</v>
      </c>
      <c r="AH11" s="15" t="n">
        <v>0.6809709650722748</v>
      </c>
      <c r="AI11" s="15" t="n">
        <v>0.8718588645507021</v>
      </c>
      <c r="AJ11" s="15" t="n">
        <v>0.3560451369334089</v>
      </c>
      <c r="AK11" s="15" t="n">
        <v>0.03706519530495667</v>
      </c>
      <c r="AL11" s="15" t="n">
        <v>0.8244949203960659</v>
      </c>
      <c r="AM11" s="15" t="n">
        <v>0.09313725490196084</v>
      </c>
      <c r="AN11" s="15" t="n">
        <v>0.5813953488372091</v>
      </c>
      <c r="AO11" s="15" t="n">
        <v>0.7304679039503421</v>
      </c>
      <c r="AP11" s="15" t="n">
        <v>2.111395364484888</v>
      </c>
      <c r="AQ11" s="15" t="n">
        <v>0.9292469743824049</v>
      </c>
      <c r="AR11" s="15" t="n">
        <v>371.6815397913475</v>
      </c>
      <c r="AS11" s="15" t="n">
        <v>0.9537404439667261</v>
      </c>
      <c r="AT11" s="15" t="n">
        <v>1.518602853390874</v>
      </c>
      <c r="AU11" s="15" t="n">
        <v>0.4903862674044293</v>
      </c>
      <c r="AV11" s="15" t="n">
        <v>0.1024062436895852</v>
      </c>
      <c r="AW11" s="19" t="n">
        <v>0.7746743737191384</v>
      </c>
      <c r="AX11" s="19" t="n">
        <v>0</v>
      </c>
      <c r="AY11" s="19" t="n">
        <v>1</v>
      </c>
      <c r="AZ11" s="19" t="n">
        <v>0</v>
      </c>
      <c r="BA11" s="19" t="n">
        <v>0</v>
      </c>
    </row>
    <row r="12">
      <c r="A12" t="inlineStr">
        <is>
          <t>A4</t>
        </is>
      </c>
      <c r="B12" t="n">
        <v>69</v>
      </c>
      <c r="C12" s="15" t="n">
        <v>0.5021592381750944</v>
      </c>
      <c r="D12" s="15" t="n">
        <v>16.7902400229265</v>
      </c>
      <c r="E12" s="15" t="n">
        <v>0.9506822496212796</v>
      </c>
      <c r="F12" s="15" t="n">
        <v>0.1888523843011765</v>
      </c>
      <c r="G12" s="19" t="n">
        <v>0.2388442806705001</v>
      </c>
      <c r="H12" s="15" t="n">
        <v>0.2040142764801667</v>
      </c>
      <c r="I12" s="15" t="n">
        <v>10</v>
      </c>
      <c r="J12" s="15" t="n">
        <v>45</v>
      </c>
      <c r="K12" s="15" t="n">
        <v>0.2222222222222222</v>
      </c>
      <c r="L12" t="n">
        <v>10</v>
      </c>
      <c r="M12" t="n">
        <v>45</v>
      </c>
      <c r="N12" t="n">
        <v>0.2222222222222222</v>
      </c>
      <c r="O12" t="n">
        <v>39</v>
      </c>
      <c r="P12" t="n">
        <v>0</v>
      </c>
      <c r="Q12" s="15" t="n">
        <v>22.45859282592325</v>
      </c>
      <c r="R12" s="15" t="n">
        <v>11.41003141451626</v>
      </c>
      <c r="S12" s="15" t="n">
        <v>0.2507539458429471</v>
      </c>
      <c r="T12" s="15" t="n">
        <v>6.304088467290774</v>
      </c>
      <c r="U12" s="15" t="n">
        <v>18.18924656969196</v>
      </c>
      <c r="V12" s="15" t="n">
        <v>0</v>
      </c>
      <c r="W12" t="n">
        <v>1</v>
      </c>
      <c r="X12" t="n">
        <v>0.5</v>
      </c>
      <c r="Y12" t="n">
        <v>0.25</v>
      </c>
      <c r="Z12" t="inlineStr">
        <is>
          <t>his_note_adaptive</t>
        </is>
      </c>
      <c r="AA12" t="n">
        <v>-90</v>
      </c>
      <c r="AB12" t="n">
        <v>20000</v>
      </c>
      <c r="AC12" s="15" t="n">
        <v>0.2222222222222222</v>
      </c>
      <c r="AD12" s="15" t="n">
        <v>0.325</v>
      </c>
      <c r="AE12" t="n">
        <v>1.32244591085551</v>
      </c>
      <c r="AF12" s="15" t="n">
        <v>1.299387728713765</v>
      </c>
      <c r="AG12" s="15" t="n">
        <v>0.4697635856460715</v>
      </c>
      <c r="AH12" s="15" t="n">
        <v>0.4877557093974138</v>
      </c>
      <c r="AI12" s="15" t="n">
        <v>0.9102565662534419</v>
      </c>
      <c r="AJ12" s="15" t="n">
        <v>0.2777850587893518</v>
      </c>
      <c r="AK12" s="15" t="n">
        <v>0.08447309993765049</v>
      </c>
      <c r="AL12" s="15" t="n">
        <v>0.5057370187561465</v>
      </c>
      <c r="AM12" s="15" t="n">
        <v>0.0849673202614379</v>
      </c>
      <c r="AN12" s="15" t="n">
        <v>0.4651162790697675</v>
      </c>
      <c r="AO12" s="15" t="n">
        <v>0.3124132893867005</v>
      </c>
      <c r="AP12" s="15" t="n">
        <v>2.117780811359492</v>
      </c>
      <c r="AQ12" s="15" t="n">
        <v>0.9336026895627052</v>
      </c>
      <c r="AR12" s="15" t="n">
        <v>305.4005680311961</v>
      </c>
      <c r="AS12" s="15" t="n">
        <v>0.7836544470989419</v>
      </c>
      <c r="AT12" s="15" t="n">
        <v>1.50044689433067</v>
      </c>
      <c r="AU12" s="15" t="n">
        <v>0.5210829301093387</v>
      </c>
      <c r="AV12" s="15" t="n">
        <v>0.0962509869194835</v>
      </c>
      <c r="AW12" s="19" t="n">
        <v>0.7611557193294999</v>
      </c>
      <c r="AX12" s="19" t="n">
        <v>0</v>
      </c>
      <c r="AY12" s="19" t="n">
        <v>1</v>
      </c>
      <c r="AZ12" s="19" t="n">
        <v>0</v>
      </c>
      <c r="BA12" s="19" t="n">
        <v>0</v>
      </c>
    </row>
    <row r="13">
      <c r="A13" t="inlineStr">
        <is>
          <t>A#4</t>
        </is>
      </c>
      <c r="B13" t="n">
        <v>70</v>
      </c>
      <c r="C13" s="15" t="n">
        <v>0.172378275273281</v>
      </c>
      <c r="D13" s="15" t="n">
        <v>13.64849748015052</v>
      </c>
      <c r="E13" s="15" t="n">
        <v>0.9647591785795427</v>
      </c>
      <c r="F13" s="15" t="n">
        <v>0.1818959279179536</v>
      </c>
      <c r="G13" s="19" t="n">
        <v>0.2432293413759169</v>
      </c>
      <c r="H13" s="15" t="n">
        <v>0.110239751193673</v>
      </c>
      <c r="I13" s="15" t="n">
        <v>10</v>
      </c>
      <c r="J13" s="15" t="n">
        <v>42</v>
      </c>
      <c r="K13" s="15" t="n">
        <v>0.2380952380952381</v>
      </c>
      <c r="L13" t="n">
        <v>10</v>
      </c>
      <c r="M13" t="n">
        <v>42</v>
      </c>
      <c r="N13" t="n">
        <v>0.2380952380952381</v>
      </c>
      <c r="O13" t="n">
        <v>33</v>
      </c>
      <c r="P13" t="n">
        <v>0</v>
      </c>
      <c r="Q13" s="15" t="n">
        <v>18.84123066130054</v>
      </c>
      <c r="R13" s="15" t="n">
        <v>9.573758269115165</v>
      </c>
      <c r="S13" s="15" t="n">
        <v>0.1807251215543538</v>
      </c>
      <c r="T13" s="15" t="n">
        <v>6.029763244005411</v>
      </c>
      <c r="U13" s="15" t="n">
        <v>15.24928128398991</v>
      </c>
      <c r="V13" s="15" t="n">
        <v>0</v>
      </c>
      <c r="W13" t="n">
        <v>1</v>
      </c>
      <c r="X13" t="n">
        <v>0.5</v>
      </c>
      <c r="Y13" t="n">
        <v>0.25</v>
      </c>
      <c r="Z13" t="inlineStr">
        <is>
          <t>his_note_adaptive</t>
        </is>
      </c>
      <c r="AA13" t="n">
        <v>-90</v>
      </c>
      <c r="AB13" t="n">
        <v>20000</v>
      </c>
      <c r="AC13" s="15" t="n">
        <v>0.2380952380952381</v>
      </c>
      <c r="AD13" s="15" t="n">
        <v>0.275</v>
      </c>
      <c r="AE13" t="n">
        <v>1.123857920372341</v>
      </c>
      <c r="AF13" s="15" t="n">
        <v>1.109161362466776</v>
      </c>
      <c r="AG13" s="15" t="n">
        <v>0.3178118312914222</v>
      </c>
      <c r="AH13" s="15" t="n">
        <v>0.3042534774905389</v>
      </c>
      <c r="AI13" s="15" t="n">
        <v>0.9479166440099677</v>
      </c>
      <c r="AJ13" s="15" t="n">
        <v>0.2617810128986955</v>
      </c>
      <c r="AK13" s="15" t="n">
        <v>0.09985085379829442</v>
      </c>
      <c r="AL13" s="15" t="n">
        <v>0.2732765769092023</v>
      </c>
      <c r="AM13" s="15" t="n">
        <v>0.1036414565826331</v>
      </c>
      <c r="AN13" s="15" t="n">
        <v>0.3255813953488373</v>
      </c>
      <c r="AO13" s="15" t="n">
        <v>0.1139106818729522</v>
      </c>
      <c r="AP13" s="15" t="n">
        <v>2.0660514989885</v>
      </c>
      <c r="AQ13" s="15" t="n">
        <v>0.8983164902432873</v>
      </c>
      <c r="AR13" s="15" t="n">
        <v>280.3332751903304</v>
      </c>
      <c r="AS13" s="15" t="n">
        <v>0.7193283610686432</v>
      </c>
      <c r="AT13" s="15" t="n">
        <v>1.475384473097076</v>
      </c>
      <c r="AU13" s="15" t="n">
        <v>0.4985019949802577</v>
      </c>
      <c r="AV13" s="15" t="n">
        <v>0.092165030911167</v>
      </c>
      <c r="AW13" s="19" t="n">
        <v>0.756770658624083</v>
      </c>
      <c r="AX13" s="19" t="n">
        <v>0</v>
      </c>
      <c r="AY13" s="19" t="n">
        <v>1</v>
      </c>
      <c r="AZ13" s="19" t="n">
        <v>0</v>
      </c>
      <c r="BA13" s="19" t="n">
        <v>0</v>
      </c>
    </row>
    <row r="14">
      <c r="A14" t="inlineStr">
        <is>
          <t>B4</t>
        </is>
      </c>
      <c r="B14" t="n">
        <v>71</v>
      </c>
      <c r="C14" s="15" t="n">
        <v>-0.1217707987397589</v>
      </c>
      <c r="D14" s="15" t="n">
        <v>11.15431283568557</v>
      </c>
      <c r="E14" s="15" t="n">
        <v>0.9806371558144246</v>
      </c>
      <c r="F14" s="15" t="n">
        <v>0.1506481481770914</v>
      </c>
      <c r="G14" s="19" t="n">
        <v>0.2453644953819431</v>
      </c>
      <c r="H14" s="15" t="n">
        <v>0.05526430108608648</v>
      </c>
      <c r="I14" s="15" t="n">
        <v>8</v>
      </c>
      <c r="J14" s="15" t="n">
        <v>40</v>
      </c>
      <c r="K14" s="15" t="n">
        <v>0.2</v>
      </c>
      <c r="L14" t="n">
        <v>8</v>
      </c>
      <c r="M14" t="n">
        <v>40</v>
      </c>
      <c r="N14" t="n">
        <v>0.2</v>
      </c>
      <c r="O14" t="n">
        <v>28</v>
      </c>
      <c r="P14" t="n">
        <v>0</v>
      </c>
      <c r="Q14" s="15" t="n">
        <v>15.76263684362999</v>
      </c>
      <c r="R14" s="15" t="n">
        <v>7.805171981703813</v>
      </c>
      <c r="S14" s="15" t="n">
        <v>0.1132776295129165</v>
      </c>
      <c r="T14" s="15" t="n">
        <v>4.826918955325418</v>
      </c>
      <c r="U14" s="15" t="n">
        <v>12.50022143326458</v>
      </c>
      <c r="V14" s="15" t="n">
        <v>0</v>
      </c>
      <c r="W14" t="n">
        <v>1</v>
      </c>
      <c r="X14" t="n">
        <v>0.5</v>
      </c>
      <c r="Y14" t="n">
        <v>0.25</v>
      </c>
      <c r="Z14" t="inlineStr">
        <is>
          <t>his_note_adaptive</t>
        </is>
      </c>
      <c r="AA14" t="n">
        <v>-90</v>
      </c>
      <c r="AB14" t="n">
        <v>20000</v>
      </c>
      <c r="AC14" s="15" t="n">
        <v>0.2</v>
      </c>
      <c r="AD14" s="15" t="n">
        <v>0.2333333333333333</v>
      </c>
      <c r="AE14" t="n">
        <v>1.048085577762321</v>
      </c>
      <c r="AF14" s="15" t="n">
        <v>1.037795659901771</v>
      </c>
      <c r="AG14" s="15" t="n">
        <v>0.1822780289615872</v>
      </c>
      <c r="AH14" s="15" t="n">
        <v>0.1585736699265592</v>
      </c>
      <c r="AI14" s="15" t="n">
        <v>0.9903950751404302</v>
      </c>
      <c r="AJ14" s="15" t="n">
        <v>0.1898922704981877</v>
      </c>
      <c r="AK14" s="15" t="n">
        <v>0.1073385204385029</v>
      </c>
      <c r="AL14" s="15" t="n">
        <v>0.1369963090677948</v>
      </c>
      <c r="AM14" s="15" t="n">
        <v>0.05882352941176473</v>
      </c>
      <c r="AN14" s="15" t="n">
        <v>0.2093023255813953</v>
      </c>
      <c r="AO14" s="15" t="n">
        <v>0.03944004814486711</v>
      </c>
      <c r="AP14" s="15" t="n">
        <v>1.999475802119832</v>
      </c>
      <c r="AQ14" s="15" t="n">
        <v>0.8529031027099485</v>
      </c>
      <c r="AR14" s="15" t="n">
        <v>265.0927811376121</v>
      </c>
      <c r="AS14" s="15" t="n">
        <v>0.6802191785253574</v>
      </c>
      <c r="AT14" s="15" t="n">
        <v>1.440585271861579</v>
      </c>
      <c r="AU14" s="15" t="n">
        <v>0.472621953055929</v>
      </c>
      <c r="AV14" s="15" t="n">
        <v>0.08626857720232342</v>
      </c>
      <c r="AW14" s="19" t="n">
        <v>0.754635504618057</v>
      </c>
      <c r="AX14" s="19" t="n">
        <v>0</v>
      </c>
      <c r="AY14" s="19" t="n">
        <v>1</v>
      </c>
      <c r="AZ14" s="19" t="n">
        <v>0</v>
      </c>
      <c r="BA14" s="19" t="n">
        <v>0</v>
      </c>
    </row>
    <row r="15">
      <c r="A15" t="inlineStr">
        <is>
          <t>C5</t>
        </is>
      </c>
      <c r="B15" t="n">
        <v>72</v>
      </c>
      <c r="C15" s="15" t="n">
        <v>-0.3632477905766353</v>
      </c>
      <c r="D15" s="15" t="n">
        <v>10.23755013544561</v>
      </c>
      <c r="E15" s="15" t="n">
        <v>0.9598988020475092</v>
      </c>
      <c r="F15" s="15" t="n">
        <v>0.08164649373248829</v>
      </c>
      <c r="G15" s="19" t="n">
        <v>0.2478002409195706</v>
      </c>
      <c r="H15" s="15" t="n">
        <v>0.03972293163290085</v>
      </c>
      <c r="I15" s="15" t="n">
        <v>8</v>
      </c>
      <c r="J15" s="15" t="n">
        <v>38</v>
      </c>
      <c r="K15" s="15" t="n">
        <v>0.2105263157894737</v>
      </c>
      <c r="L15" t="n">
        <v>8</v>
      </c>
      <c r="M15" t="n">
        <v>38</v>
      </c>
      <c r="N15" t="n">
        <v>0.2105263157894737</v>
      </c>
      <c r="O15" t="n">
        <v>36</v>
      </c>
      <c r="P15" t="n">
        <v>0</v>
      </c>
      <c r="Q15" s="15" t="n">
        <v>20.50982324090302</v>
      </c>
      <c r="R15" s="15" t="n">
        <v>10.2906888928193</v>
      </c>
      <c r="S15" s="15" t="n">
        <v>0.2080662656538729</v>
      </c>
      <c r="T15" s="15" t="n">
        <v>4.799219122691222</v>
      </c>
      <c r="U15" s="15" t="n">
        <v>17.09045222827482</v>
      </c>
      <c r="V15" s="15" t="n">
        <v>0</v>
      </c>
      <c r="W15" t="n">
        <v>1</v>
      </c>
      <c r="X15" t="n">
        <v>0.5</v>
      </c>
      <c r="Y15" t="n">
        <v>0.25</v>
      </c>
      <c r="Z15" t="inlineStr">
        <is>
          <t>his_note_adaptive</t>
        </is>
      </c>
      <c r="AA15" t="n">
        <v>-90</v>
      </c>
      <c r="AB15" t="n">
        <v>20000</v>
      </c>
      <c r="AC15" s="15" t="n">
        <v>0.2105263157894737</v>
      </c>
      <c r="AD15" s="15" t="n">
        <v>0.3</v>
      </c>
      <c r="AE15" t="n">
        <v>1.049699123306585</v>
      </c>
      <c r="AF15" s="15" t="n">
        <v>1.022530262442164</v>
      </c>
      <c r="AG15" s="15" t="n">
        <v>0.07101371514847803</v>
      </c>
      <c r="AH15" s="15" t="n">
        <v>0.1050275886253324</v>
      </c>
      <c r="AI15" s="15" t="n">
        <v>0.9349136546033237</v>
      </c>
      <c r="AJ15" s="15" t="n">
        <v>0.0311468427361557</v>
      </c>
      <c r="AK15" s="15" t="n">
        <v>0.1158803167467111</v>
      </c>
      <c r="AL15" s="15" t="n">
        <v>0.09847034907005882</v>
      </c>
      <c r="AM15" s="15" t="n">
        <v>0.07120743034055731</v>
      </c>
      <c r="AN15" s="15" t="n">
        <v>0.3953488372093023</v>
      </c>
      <c r="AO15" s="15" t="n">
        <v>0.02351049400234971</v>
      </c>
      <c r="AP15" s="15" t="n">
        <v>2.086930988274133</v>
      </c>
      <c r="AQ15" s="15" t="n">
        <v>0.9125590499613948</v>
      </c>
      <c r="AR15" s="15" t="n">
        <v>65.52763993076428</v>
      </c>
      <c r="AS15" s="15" t="n">
        <v>0.1681078578727878</v>
      </c>
      <c r="AT15" s="15" t="n">
        <v>1.427502666854295</v>
      </c>
      <c r="AU15" s="15" t="n">
        <v>0.5742363328980027</v>
      </c>
      <c r="AV15" s="15" t="n">
        <v>0.08519198852183503</v>
      </c>
      <c r="AW15" s="19" t="n">
        <v>0.7521997590804294</v>
      </c>
      <c r="AX15" s="19" t="n">
        <v>0</v>
      </c>
      <c r="AY15" s="19" t="n">
        <v>1</v>
      </c>
      <c r="AZ15" s="19" t="n">
        <v>0</v>
      </c>
      <c r="BA15" s="19" t="n">
        <v>0</v>
      </c>
    </row>
    <row r="16">
      <c r="A16" t="inlineStr">
        <is>
          <t>C#5</t>
        </is>
      </c>
      <c r="B16" t="n">
        <v>73</v>
      </c>
      <c r="C16" s="15" t="n">
        <v>-0.2993531374227154</v>
      </c>
      <c r="D16" s="15" t="n">
        <v>10.91190681924303</v>
      </c>
      <c r="E16" s="15" t="n">
        <v>0.9494276273488637</v>
      </c>
      <c r="F16" s="15" t="n">
        <v>0.09871920618041224</v>
      </c>
      <c r="G16" s="19" t="n">
        <v>0.2468982377459285</v>
      </c>
      <c r="H16" s="15" t="n">
        <v>0.06654062751389243</v>
      </c>
      <c r="I16" s="15" t="n">
        <v>7</v>
      </c>
      <c r="J16" s="15" t="n">
        <v>36</v>
      </c>
      <c r="K16" s="15" t="n">
        <v>0.1944444444444444</v>
      </c>
      <c r="L16" t="n">
        <v>7</v>
      </c>
      <c r="M16" t="n">
        <v>36</v>
      </c>
      <c r="N16" t="n">
        <v>0.1944444444444444</v>
      </c>
      <c r="O16" t="n">
        <v>36</v>
      </c>
      <c r="P16" t="n">
        <v>0</v>
      </c>
      <c r="Q16" s="15" t="n">
        <v>20.25144687935841</v>
      </c>
      <c r="R16" s="15" t="n">
        <v>10.39838488592547</v>
      </c>
      <c r="S16" s="15" t="n">
        <v>0.2121734017826704</v>
      </c>
      <c r="T16" s="15" t="n">
        <v>4.601143105733806</v>
      </c>
      <c r="U16" s="15" t="n">
        <v>17.28806047831418</v>
      </c>
      <c r="V16" s="15" t="n">
        <v>0</v>
      </c>
      <c r="W16" t="n">
        <v>1</v>
      </c>
      <c r="X16" t="n">
        <v>0.5</v>
      </c>
      <c r="Y16" t="n">
        <v>0.25</v>
      </c>
      <c r="Z16" t="inlineStr">
        <is>
          <t>his_note_adaptive</t>
        </is>
      </c>
      <c r="AA16" t="n">
        <v>-90</v>
      </c>
      <c r="AB16" t="n">
        <v>20000</v>
      </c>
      <c r="AC16" s="15" t="n">
        <v>0.1944444444444444</v>
      </c>
      <c r="AD16" s="15" t="n">
        <v>0.3</v>
      </c>
      <c r="AE16" t="n">
        <v>1.076388348432581</v>
      </c>
      <c r="AF16" s="15" t="n">
        <v>1.047336571544375</v>
      </c>
      <c r="AG16" s="15" t="n">
        <v>0.1004541793741544</v>
      </c>
      <c r="AH16" s="15" t="n">
        <v>0.1444152707454611</v>
      </c>
      <c r="AI16" s="15" t="n">
        <v>0.906900069074665</v>
      </c>
      <c r="AJ16" s="15" t="n">
        <v>0.07042437980999079</v>
      </c>
      <c r="AK16" s="15" t="n">
        <v>0.1127171261508193</v>
      </c>
      <c r="AL16" s="15" t="n">
        <v>0.164949527874392</v>
      </c>
      <c r="AM16" s="15" t="n">
        <v>0.05228758169934635</v>
      </c>
      <c r="AN16" s="15" t="n">
        <v>0.3953488372093023</v>
      </c>
      <c r="AO16" s="15" t="n">
        <v>0.04939605937759044</v>
      </c>
      <c r="AP16" s="15" t="n">
        <v>2.101724099888519</v>
      </c>
      <c r="AQ16" s="15" t="n">
        <v>0.9226498990574742</v>
      </c>
      <c r="AR16" s="15" t="n">
        <v>72.8860094830515</v>
      </c>
      <c r="AS16" s="15" t="n">
        <v>0.1869904358945959</v>
      </c>
      <c r="AT16" s="15" t="n">
        <v>1.445947498338449</v>
      </c>
      <c r="AU16" s="15" t="n">
        <v>0.5651113148068603</v>
      </c>
      <c r="AV16" s="15" t="n">
        <v>0.0906652867432102</v>
      </c>
      <c r="AW16" s="19" t="n">
        <v>0.7531017622540715</v>
      </c>
      <c r="AX16" s="19" t="n">
        <v>0</v>
      </c>
      <c r="AY16" s="19" t="n">
        <v>1</v>
      </c>
      <c r="AZ16" s="19" t="n">
        <v>0</v>
      </c>
      <c r="BA16" s="19" t="n">
        <v>0</v>
      </c>
    </row>
    <row r="17">
      <c r="A17" t="inlineStr">
        <is>
          <t>D5</t>
        </is>
      </c>
      <c r="B17" t="n">
        <v>74</v>
      </c>
      <c r="C17" s="15" t="n">
        <v>-0.3668002778045779</v>
      </c>
      <c r="D17" s="15" t="n">
        <v>9.782610198874776</v>
      </c>
      <c r="E17" s="15" t="n">
        <v>0.9842273726422215</v>
      </c>
      <c r="F17" s="15" t="n">
        <v>0.09017237830594765</v>
      </c>
      <c r="G17" s="19" t="n">
        <v>0.2543260407278865</v>
      </c>
      <c r="H17" s="15" t="n">
        <v>0.0423130105100409</v>
      </c>
      <c r="I17" s="15" t="n">
        <v>6</v>
      </c>
      <c r="J17" s="15" t="n">
        <v>34</v>
      </c>
      <c r="K17" s="15" t="n">
        <v>0.1764705882352941</v>
      </c>
      <c r="L17" t="n">
        <v>6</v>
      </c>
      <c r="M17" t="n">
        <v>34</v>
      </c>
      <c r="N17" t="n">
        <v>0.1764705882352941</v>
      </c>
      <c r="O17" t="n">
        <v>26</v>
      </c>
      <c r="P17" t="n">
        <v>0</v>
      </c>
      <c r="Q17" s="15" t="n">
        <v>14.33182934777758</v>
      </c>
      <c r="R17" s="15" t="n">
        <v>7.515841611888962</v>
      </c>
      <c r="S17" s="15" t="n">
        <v>0.1022436144047272</v>
      </c>
      <c r="T17" s="15" t="n">
        <v>3.905878628518369</v>
      </c>
      <c r="U17" s="15" t="n">
        <v>12.57135371853209</v>
      </c>
      <c r="V17" s="15" t="n">
        <v>0</v>
      </c>
      <c r="W17" t="n">
        <v>1</v>
      </c>
      <c r="X17" t="n">
        <v>0.5</v>
      </c>
      <c r="Y17" t="n">
        <v>0.25</v>
      </c>
      <c r="Z17" t="inlineStr">
        <is>
          <t>his_note_adaptive</t>
        </is>
      </c>
      <c r="AA17" t="n">
        <v>-90</v>
      </c>
      <c r="AB17" t="n">
        <v>20000</v>
      </c>
      <c r="AC17" s="15" t="n">
        <v>0.1764705882352941</v>
      </c>
      <c r="AD17" s="15" t="n">
        <v>0.2166666666666667</v>
      </c>
      <c r="AE17" t="n">
        <v>1.041389408449943</v>
      </c>
      <c r="AF17" s="15" t="n">
        <v>1.025979231781034</v>
      </c>
      <c r="AG17" s="15" t="n">
        <v>0.06937685090422785</v>
      </c>
      <c r="AH17" s="15" t="n">
        <v>0.07845555332718958</v>
      </c>
      <c r="AI17" s="15" t="n">
        <v>1</v>
      </c>
      <c r="AJ17" s="15" t="n">
        <v>0.05076152016030512</v>
      </c>
      <c r="AK17" s="15" t="n">
        <v>0.1387653233492777</v>
      </c>
      <c r="AL17" s="15" t="n">
        <v>0.1048909721375598</v>
      </c>
      <c r="AM17" s="15" t="n">
        <v>0.03114186851211071</v>
      </c>
      <c r="AN17" s="15" t="n">
        <v>0.1627906976744188</v>
      </c>
      <c r="AO17" s="15" t="n">
        <v>0.0271095187879661</v>
      </c>
      <c r="AP17" s="15" t="n">
        <v>2.030330546443863</v>
      </c>
      <c r="AQ17" s="15" t="n">
        <v>0.8739500992437352</v>
      </c>
      <c r="AR17" s="15" t="n">
        <v>72.20879274745204</v>
      </c>
      <c r="AS17" s="15" t="n">
        <v>0.1852526055563987</v>
      </c>
      <c r="AT17" s="15" t="n">
        <v>1.423550434739668</v>
      </c>
      <c r="AU17" s="15" t="n">
        <v>0.5365405809819189</v>
      </c>
      <c r="AV17" s="15" t="n">
        <v>0.07023953072227591</v>
      </c>
      <c r="AW17" s="19" t="n">
        <v>0.7456739592721136</v>
      </c>
      <c r="AX17" s="19" t="n">
        <v>0</v>
      </c>
      <c r="AY17" s="19" t="n">
        <v>1</v>
      </c>
      <c r="AZ17" s="19" t="n">
        <v>0</v>
      </c>
      <c r="BA17" s="19" t="n">
        <v>0</v>
      </c>
    </row>
    <row r="18">
      <c r="A18" t="inlineStr">
        <is>
          <t>D#5</t>
        </is>
      </c>
      <c r="B18" t="n">
        <v>75</v>
      </c>
      <c r="C18" s="15" t="n">
        <v>-0.2467343503133975</v>
      </c>
      <c r="D18" s="15" t="n">
        <v>10.83834331478208</v>
      </c>
      <c r="E18" s="15" t="n">
        <v>0.9581174098563072</v>
      </c>
      <c r="F18" s="15" t="n">
        <v>0.1070844439106944</v>
      </c>
      <c r="G18" s="19" t="n">
        <v>0.2439947294340957</v>
      </c>
      <c r="H18" s="15" t="n">
        <v>0.06087835548790062</v>
      </c>
      <c r="I18" s="15" t="n">
        <v>8</v>
      </c>
      <c r="J18" s="15" t="n">
        <v>32</v>
      </c>
      <c r="K18" s="15" t="n">
        <v>0.25</v>
      </c>
      <c r="L18" t="n">
        <v>8</v>
      </c>
      <c r="M18" t="n">
        <v>32</v>
      </c>
      <c r="N18" t="n">
        <v>0.25</v>
      </c>
      <c r="O18" t="n">
        <v>39</v>
      </c>
      <c r="P18" t="n">
        <v>0</v>
      </c>
      <c r="Q18" s="15" t="n">
        <v>20.86024568646377</v>
      </c>
      <c r="R18" s="15" t="n">
        <v>10.44067453870927</v>
      </c>
      <c r="S18" s="15" t="n">
        <v>0.2137861763698496</v>
      </c>
      <c r="T18" s="15" t="n">
        <v>4.86130080546921</v>
      </c>
      <c r="U18" s="15" t="n">
        <v>18.31054508487624</v>
      </c>
      <c r="V18" s="15" t="n">
        <v>0</v>
      </c>
      <c r="W18" t="n">
        <v>1</v>
      </c>
      <c r="X18" t="n">
        <v>0.5</v>
      </c>
      <c r="Y18" t="n">
        <v>0.25</v>
      </c>
      <c r="Z18" t="inlineStr">
        <is>
          <t>his_note_adaptive</t>
        </is>
      </c>
      <c r="AA18" t="n">
        <v>-90</v>
      </c>
      <c r="AB18" t="n">
        <v>20000</v>
      </c>
      <c r="AC18" s="15" t="n">
        <v>0.25</v>
      </c>
      <c r="AD18" s="15" t="n">
        <v>0.325</v>
      </c>
      <c r="AE18" t="n">
        <v>1.07420213997368</v>
      </c>
      <c r="AF18" s="15" t="n">
        <v>1.04193753421869</v>
      </c>
      <c r="AG18" s="15" t="n">
        <v>0.1246991113523996</v>
      </c>
      <c r="AH18" s="15" t="n">
        <v>0.1401185891836586</v>
      </c>
      <c r="AI18" s="15" t="n">
        <v>0.9301478872520468</v>
      </c>
      <c r="AJ18" s="15" t="n">
        <v>0.08966947259093053</v>
      </c>
      <c r="AK18" s="15" t="n">
        <v>0.1025349555604458</v>
      </c>
      <c r="AL18" s="15" t="n">
        <v>0.1509131544243712</v>
      </c>
      <c r="AM18" s="15" t="n">
        <v>0.1176470588235294</v>
      </c>
      <c r="AN18" s="15" t="n">
        <v>0.4651162790697675</v>
      </c>
      <c r="AO18" s="15" t="n">
        <v>0.04376212435398288</v>
      </c>
      <c r="AP18" s="15" t="n">
        <v>2.067687668207781</v>
      </c>
      <c r="AQ18" s="15" t="n">
        <v>0.8994325729930014</v>
      </c>
      <c r="AR18" s="15" t="n">
        <v>72.12908839899895</v>
      </c>
      <c r="AS18" s="15" t="n">
        <v>0.1850480733475108</v>
      </c>
      <c r="AT18" s="15" t="n">
        <v>1.427354381096287</v>
      </c>
      <c r="AU18" s="15" t="n">
        <v>0.5514332548266387</v>
      </c>
      <c r="AV18" s="15" t="n">
        <v>0.08890003228485525</v>
      </c>
      <c r="AW18" s="19" t="n">
        <v>0.7560052705659043</v>
      </c>
      <c r="AX18" s="19" t="n">
        <v>0</v>
      </c>
      <c r="AY18" s="19" t="n">
        <v>1</v>
      </c>
      <c r="AZ18" s="19" t="n">
        <v>0</v>
      </c>
      <c r="BA18" s="19" t="n">
        <v>0</v>
      </c>
    </row>
    <row r="19">
      <c r="A19" t="inlineStr">
        <is>
          <t>E5</t>
        </is>
      </c>
      <c r="B19" t="n">
        <v>76</v>
      </c>
      <c r="C19" s="15" t="n">
        <v>-0.3974643455977783</v>
      </c>
      <c r="D19" s="15" t="n">
        <v>9.801561654679517</v>
      </c>
      <c r="E19" s="15" t="n">
        <v>0.9732255768391069</v>
      </c>
      <c r="F19" s="15" t="n">
        <v>0.1008527768374433</v>
      </c>
      <c r="G19" s="19" t="n">
        <v>0.2474514841214714</v>
      </c>
      <c r="H19" s="15" t="n">
        <v>0.0481731349073982</v>
      </c>
      <c r="I19" s="15" t="n">
        <v>5</v>
      </c>
      <c r="J19" s="15" t="n">
        <v>30</v>
      </c>
      <c r="K19" s="15" t="n">
        <v>0.1666666666666667</v>
      </c>
      <c r="L19" t="n">
        <v>5</v>
      </c>
      <c r="M19" t="n">
        <v>30</v>
      </c>
      <c r="N19" t="n">
        <v>0.1666666666666667</v>
      </c>
      <c r="O19" t="n">
        <v>25</v>
      </c>
      <c r="P19" t="n">
        <v>0</v>
      </c>
      <c r="Q19" s="15" t="n">
        <v>13.01865227223404</v>
      </c>
      <c r="R19" s="15" t="n">
        <v>6.927134863917458</v>
      </c>
      <c r="S19" s="15" t="n">
        <v>0.07979246572107063</v>
      </c>
      <c r="T19" s="15" t="n">
        <v>3.485478096185623</v>
      </c>
      <c r="U19" s="15" t="n">
        <v>12.0696058295933</v>
      </c>
      <c r="V19" s="15" t="n">
        <v>0</v>
      </c>
      <c r="W19" t="n">
        <v>1</v>
      </c>
      <c r="X19" t="n">
        <v>0.5</v>
      </c>
      <c r="Y19" t="n">
        <v>0.25</v>
      </c>
      <c r="Z19" t="inlineStr">
        <is>
          <t>his_note_adaptive</t>
        </is>
      </c>
      <c r="AA19" t="n">
        <v>-90</v>
      </c>
      <c r="AB19" t="n">
        <v>20000</v>
      </c>
      <c r="AC19" s="15" t="n">
        <v>0.1666666666666667</v>
      </c>
      <c r="AD19" s="15" t="n">
        <v>0.2083333333333333</v>
      </c>
      <c r="AE19" t="n">
        <v>1.051043010763795</v>
      </c>
      <c r="AF19" s="15" t="n">
        <v>1.025543634175074</v>
      </c>
      <c r="AG19" s="15" t="n">
        <v>0.05524790041591851</v>
      </c>
      <c r="AH19" s="15" t="n">
        <v>0.07956246593721576</v>
      </c>
      <c r="AI19" s="15" t="n">
        <v>0.9705668412027112</v>
      </c>
      <c r="AJ19" s="15" t="n">
        <v>0.07533287931390964</v>
      </c>
      <c r="AK19" s="15" t="n">
        <v>0.1146572786729687</v>
      </c>
      <c r="AL19" s="15" t="n">
        <v>0.1194178076776586</v>
      </c>
      <c r="AM19" s="15" t="n">
        <v>0.01960784313725496</v>
      </c>
      <c r="AN19" s="15" t="n">
        <v>0.1395348837209302</v>
      </c>
      <c r="AO19" s="15" t="n">
        <v>0.02665496949327213</v>
      </c>
      <c r="AP19" s="15" t="n">
        <v>2.057604216821959</v>
      </c>
      <c r="AQ19" s="15" t="n">
        <v>0.8925543320282655</v>
      </c>
      <c r="AR19" s="15" t="n">
        <v>84.68891471048509</v>
      </c>
      <c r="AS19" s="15" t="n">
        <v>0.2172782975271701</v>
      </c>
      <c r="AT19" s="15" t="n">
        <v>1.427183640349614</v>
      </c>
      <c r="AU19" s="15" t="n">
        <v>0.551437024927796</v>
      </c>
      <c r="AV19" s="15" t="n">
        <v>0.07898355154454897</v>
      </c>
      <c r="AW19" s="19" t="n">
        <v>0.7525485158785286</v>
      </c>
      <c r="AX19" s="19" t="n">
        <v>0</v>
      </c>
      <c r="AY19" s="19" t="n">
        <v>1</v>
      </c>
      <c r="AZ19" s="19" t="n">
        <v>0</v>
      </c>
      <c r="BA19" s="19" t="n">
        <v>0</v>
      </c>
    </row>
    <row r="20">
      <c r="A20" t="inlineStr">
        <is>
          <t>F5</t>
        </is>
      </c>
      <c r="B20" t="n">
        <v>77</v>
      </c>
      <c r="C20" s="15" t="n">
        <v>-0.3608562676701021</v>
      </c>
      <c r="D20" s="15" t="n">
        <v>9.836709359051888</v>
      </c>
      <c r="E20" s="15" t="n">
        <v>0.9522558422704779</v>
      </c>
      <c r="F20" s="15" t="n">
        <v>0.1415853310081709</v>
      </c>
      <c r="G20" s="19" t="n">
        <v>0.2348621355241043</v>
      </c>
      <c r="H20" s="15" t="n">
        <v>0.05609760253756187</v>
      </c>
      <c r="I20" s="15" t="n">
        <v>5</v>
      </c>
      <c r="J20" s="15" t="n">
        <v>28</v>
      </c>
      <c r="K20" s="15" t="n">
        <v>0.1785714285714286</v>
      </c>
      <c r="L20" t="n">
        <v>5</v>
      </c>
      <c r="M20" t="n">
        <v>28</v>
      </c>
      <c r="N20" t="n">
        <v>0.1785714285714286</v>
      </c>
      <c r="O20" t="n">
        <v>33</v>
      </c>
      <c r="P20" t="n">
        <v>0</v>
      </c>
      <c r="Q20" s="15" t="n">
        <v>16.85674956623809</v>
      </c>
      <c r="R20" s="15" t="n">
        <v>8.248287740562365</v>
      </c>
      <c r="S20" s="15" t="n">
        <v>0.1301764638145172</v>
      </c>
      <c r="T20" s="15" t="n">
        <v>3.416013444576159</v>
      </c>
      <c r="U20" s="15" t="n">
        <v>14.82754571416958</v>
      </c>
      <c r="V20" s="15" t="n">
        <v>0</v>
      </c>
      <c r="W20" t="n">
        <v>1</v>
      </c>
      <c r="X20" t="n">
        <v>0.5</v>
      </c>
      <c r="Y20" t="n">
        <v>0.25</v>
      </c>
      <c r="Z20" t="inlineStr">
        <is>
          <t>his_note_adaptive</t>
        </is>
      </c>
      <c r="AA20" t="n">
        <v>-90</v>
      </c>
      <c r="AB20" t="n">
        <v>20000</v>
      </c>
      <c r="AC20" s="15" t="n">
        <v>0.1785714285714286</v>
      </c>
      <c r="AD20" s="15" t="n">
        <v>0.275</v>
      </c>
      <c r="AE20" t="n">
        <v>1.042384160106946</v>
      </c>
      <c r="AF20" s="15" t="n">
        <v>1.024812221386599</v>
      </c>
      <c r="AG20" s="15" t="n">
        <v>0.07211564686105915</v>
      </c>
      <c r="AH20" s="15" t="n">
        <v>0.08161536559748971</v>
      </c>
      <c r="AI20" s="15" t="n">
        <v>0.9144664064608913</v>
      </c>
      <c r="AJ20" s="15" t="n">
        <v>0.1690423242209662</v>
      </c>
      <c r="AK20" s="15" t="n">
        <v>0.07050831084750438</v>
      </c>
      <c r="AL20" s="15" t="n">
        <v>0.1390620046605995</v>
      </c>
      <c r="AM20" s="15" t="n">
        <v>0.03361344537815131</v>
      </c>
      <c r="AN20" s="15" t="n">
        <v>0.3255813953488373</v>
      </c>
      <c r="AO20" s="15" t="n">
        <v>0.02589173488733597</v>
      </c>
      <c r="AP20" s="15" t="n">
        <v>2.012917522694586</v>
      </c>
      <c r="AQ20" s="15" t="n">
        <v>0.8620721252555231</v>
      </c>
      <c r="AR20" s="15" t="n">
        <v>94.72629130256867</v>
      </c>
      <c r="AS20" s="15" t="n">
        <v>0.2430355723266366</v>
      </c>
      <c r="AT20" s="15" t="n">
        <v>1.429632032936524</v>
      </c>
      <c r="AU20" s="15" t="n">
        <v>0.5071489752600655</v>
      </c>
      <c r="AV20" s="15" t="n">
        <v>0.0761365144979964</v>
      </c>
      <c r="AW20" s="19" t="n">
        <v>0.7651378644758958</v>
      </c>
      <c r="AX20" s="19" t="n">
        <v>0</v>
      </c>
      <c r="AY20" s="19" t="n">
        <v>1</v>
      </c>
      <c r="AZ20" s="19" t="n">
        <v>0</v>
      </c>
      <c r="BA20" s="19" t="n">
        <v>0</v>
      </c>
    </row>
    <row r="21">
      <c r="A21" t="inlineStr">
        <is>
          <t>F#5</t>
        </is>
      </c>
      <c r="B21" t="n">
        <v>78</v>
      </c>
      <c r="C21" s="15" t="n">
        <v>-0.1476782970540816</v>
      </c>
      <c r="D21" s="15" t="n">
        <v>10.79463055520198</v>
      </c>
      <c r="E21" s="15" t="n">
        <v>0.9616629277665419</v>
      </c>
      <c r="F21" s="15" t="n">
        <v>0.1657865760869426</v>
      </c>
      <c r="G21" s="19" t="n">
        <v>0.2441157863085597</v>
      </c>
      <c r="H21" s="15" t="n">
        <v>0.0876278229897464</v>
      </c>
      <c r="I21" s="15" t="n">
        <v>5</v>
      </c>
      <c r="J21" s="15" t="n">
        <v>27</v>
      </c>
      <c r="K21" s="15" t="n">
        <v>0.1851851851851852</v>
      </c>
      <c r="L21" t="n">
        <v>5</v>
      </c>
      <c r="M21" t="n">
        <v>27</v>
      </c>
      <c r="N21" t="n">
        <v>0.1851851851851852</v>
      </c>
      <c r="O21" t="n">
        <v>37</v>
      </c>
      <c r="P21" t="n">
        <v>0</v>
      </c>
      <c r="Q21" s="15" t="n">
        <v>19.87089361997641</v>
      </c>
      <c r="R21" s="15" t="n">
        <v>9.647673317587865</v>
      </c>
      <c r="S21" s="15" t="n">
        <v>0.1835439744873943</v>
      </c>
      <c r="T21" s="15" t="n">
        <v>3.336559565365961</v>
      </c>
      <c r="U21" s="15" t="n">
        <v>16.91715836675939</v>
      </c>
      <c r="V21" s="15" t="n">
        <v>0</v>
      </c>
      <c r="W21" t="n">
        <v>1</v>
      </c>
      <c r="X21" t="n">
        <v>0.5</v>
      </c>
      <c r="Y21" t="n">
        <v>0.25</v>
      </c>
      <c r="Z21" t="inlineStr">
        <is>
          <t>his_note_adaptive</t>
        </is>
      </c>
      <c r="AA21" t="n">
        <v>-90</v>
      </c>
      <c r="AB21" t="n">
        <v>20000</v>
      </c>
      <c r="AC21" s="15" t="n">
        <v>0.1851851851851852</v>
      </c>
      <c r="AD21" s="15" t="n">
        <v>0.3083333333333333</v>
      </c>
      <c r="AE21" t="n">
        <v>1.079636231432818</v>
      </c>
      <c r="AF21" s="15" t="n">
        <v>1.061502789537027</v>
      </c>
      <c r="AG21" s="15" t="n">
        <v>0.1703407425119338</v>
      </c>
      <c r="AH21" s="15" t="n">
        <v>0.1375654235959178</v>
      </c>
      <c r="AI21" s="15" t="n">
        <v>0.9396332288760958</v>
      </c>
      <c r="AJ21" s="15" t="n">
        <v>0.2247197863532365</v>
      </c>
      <c r="AK21" s="15" t="n">
        <v>0.1029594839635179</v>
      </c>
      <c r="AL21" s="15" t="n">
        <v>0.2172231998834352</v>
      </c>
      <c r="AM21" s="15" t="n">
        <v>0.0413943355119826</v>
      </c>
      <c r="AN21" s="15" t="n">
        <v>0.4186046511627906</v>
      </c>
      <c r="AO21" s="15" t="n">
        <v>0.06417861168949489</v>
      </c>
      <c r="AP21" s="15" t="n">
        <v>2.020036837993785</v>
      </c>
      <c r="AQ21" s="15" t="n">
        <v>0.8669284352884823</v>
      </c>
      <c r="AR21" s="15" t="n">
        <v>95.80981879439895</v>
      </c>
      <c r="AS21" s="15" t="n">
        <v>0.245816051379486</v>
      </c>
      <c r="AT21" s="15" t="n">
        <v>1.432847924475478</v>
      </c>
      <c r="AU21" s="15" t="n">
        <v>0.5098564500948491</v>
      </c>
      <c r="AV21" s="15" t="n">
        <v>0.07733246342345741</v>
      </c>
      <c r="AW21" s="19" t="n">
        <v>0.7558842136914404</v>
      </c>
      <c r="AX21" s="19" t="n">
        <v>0</v>
      </c>
      <c r="AY21" s="19" t="n">
        <v>1</v>
      </c>
      <c r="AZ21" s="19" t="n">
        <v>0</v>
      </c>
      <c r="BA21" s="19" t="n">
        <v>0</v>
      </c>
    </row>
    <row r="22">
      <c r="A22" t="inlineStr">
        <is>
          <t>G5</t>
        </is>
      </c>
      <c r="B22" t="n">
        <v>79</v>
      </c>
      <c r="C22" s="15" t="n">
        <v>-0.2361585080710901</v>
      </c>
      <c r="D22" s="15" t="n">
        <v>11.09000424837235</v>
      </c>
      <c r="E22" s="15" t="n">
        <v>0.9211356355416374</v>
      </c>
      <c r="F22" s="15" t="n">
        <v>0.1932233019575639</v>
      </c>
      <c r="G22" s="19" t="n">
        <v>0.2339264430796378</v>
      </c>
      <c r="H22" s="15" t="n">
        <v>0.1059079931428766</v>
      </c>
      <c r="I22" s="15" t="n">
        <v>6</v>
      </c>
      <c r="J22" s="15" t="n">
        <v>25</v>
      </c>
      <c r="K22" s="15" t="n">
        <v>0.24</v>
      </c>
      <c r="L22" t="n">
        <v>6</v>
      </c>
      <c r="M22" t="n">
        <v>25</v>
      </c>
      <c r="N22" t="n">
        <v>0.24</v>
      </c>
      <c r="O22" t="n">
        <v>35</v>
      </c>
      <c r="P22" t="n">
        <v>0</v>
      </c>
      <c r="Q22" s="15" t="n">
        <v>16.73744211569963</v>
      </c>
      <c r="R22" s="15" t="n">
        <v>8.240320998862607</v>
      </c>
      <c r="S22" s="15" t="n">
        <v>0.1298726410656837</v>
      </c>
      <c r="T22" s="15" t="n">
        <v>3.870727709630668</v>
      </c>
      <c r="U22" s="15" t="n">
        <v>15.67225399701774</v>
      </c>
      <c r="V22" s="15" t="n">
        <v>0</v>
      </c>
      <c r="W22" t="n">
        <v>1</v>
      </c>
      <c r="X22" t="n">
        <v>0.5</v>
      </c>
      <c r="Y22" t="n">
        <v>0.25</v>
      </c>
      <c r="Z22" t="inlineStr">
        <is>
          <t>his_note_adaptive</t>
        </is>
      </c>
      <c r="AA22" t="n">
        <v>-90</v>
      </c>
      <c r="AB22" t="n">
        <v>20000</v>
      </c>
      <c r="AC22" s="15" t="n">
        <v>0.24</v>
      </c>
      <c r="AD22" s="15" t="n">
        <v>0.2916666666666667</v>
      </c>
      <c r="AE22" t="n">
        <v>1.099482356638717</v>
      </c>
      <c r="AF22" s="15" t="n">
        <v>1.084667890800249</v>
      </c>
      <c r="AG22" s="15" t="n">
        <v>0.1295720966465055</v>
      </c>
      <c r="AH22" s="15" t="n">
        <v>0.1548175476020587</v>
      </c>
      <c r="AI22" s="15" t="n">
        <v>0.8312103632797305</v>
      </c>
      <c r="AJ22" s="15" t="n">
        <v>0.2878408059835426</v>
      </c>
      <c r="AK22" s="15" t="n">
        <v>0.06722697700359753</v>
      </c>
      <c r="AL22" s="15" t="n">
        <v>0.2625384538700743</v>
      </c>
      <c r="AM22" s="15" t="n">
        <v>0.1058823529411765</v>
      </c>
      <c r="AN22" s="15" t="n">
        <v>0.3720930232558141</v>
      </c>
      <c r="AO22" s="15" t="n">
        <v>0.08835156465490622</v>
      </c>
      <c r="AP22" s="15" t="n">
        <v>2.046837962861864</v>
      </c>
      <c r="AQ22" s="15" t="n">
        <v>0.8852103298417523</v>
      </c>
      <c r="AR22" s="15" t="n">
        <v>112.3069831219306</v>
      </c>
      <c r="AS22" s="15" t="n">
        <v>0.2881500209279955</v>
      </c>
      <c r="AT22" s="15" t="n">
        <v>1.452907516964237</v>
      </c>
      <c r="AU22" s="15" t="n">
        <v>0.5193950798672275</v>
      </c>
      <c r="AV22" s="15" t="n">
        <v>0.07453536603039987</v>
      </c>
      <c r="AW22" s="19" t="n">
        <v>0.7660735569203622</v>
      </c>
      <c r="AX22" s="19" t="n">
        <v>0</v>
      </c>
      <c r="AY22" s="19" t="n">
        <v>1</v>
      </c>
      <c r="AZ22" s="19" t="n">
        <v>0</v>
      </c>
      <c r="BA22" s="19" t="n">
        <v>0</v>
      </c>
    </row>
    <row r="23">
      <c r="A23" t="inlineStr">
        <is>
          <t>G#5</t>
        </is>
      </c>
      <c r="B23" t="n">
        <v>80</v>
      </c>
      <c r="C23" s="15" t="n">
        <v>-0.3023238544326854</v>
      </c>
      <c r="D23" s="15" t="n">
        <v>9.980181342098438</v>
      </c>
      <c r="E23" s="15" t="n">
        <v>0.9678130184685402</v>
      </c>
      <c r="F23" s="15" t="n">
        <v>0.1783050923371456</v>
      </c>
      <c r="G23" s="19" t="n">
        <v>0.2325452549793482</v>
      </c>
      <c r="H23" s="15" t="n">
        <v>0.08803979618753238</v>
      </c>
      <c r="I23" s="15" t="n">
        <v>5</v>
      </c>
      <c r="J23" s="15" t="n">
        <v>24</v>
      </c>
      <c r="K23" s="15" t="n">
        <v>0.2083333333333333</v>
      </c>
      <c r="L23" t="n">
        <v>5</v>
      </c>
      <c r="M23" t="n">
        <v>24</v>
      </c>
      <c r="N23" t="n">
        <v>0.2083333333333333</v>
      </c>
      <c r="O23" t="n">
        <v>20</v>
      </c>
      <c r="P23" t="n">
        <v>0</v>
      </c>
      <c r="Q23" s="15" t="n">
        <v>9.155039931170881</v>
      </c>
      <c r="R23" s="15" t="n">
        <v>4.97499290926309</v>
      </c>
      <c r="S23" s="15" t="n">
        <v>0.005344823619861625</v>
      </c>
      <c r="T23" s="15" t="n">
        <v>3.314924267160696</v>
      </c>
      <c r="U23" s="15" t="n">
        <v>9.307894261198483</v>
      </c>
      <c r="V23" s="15" t="n">
        <v>0</v>
      </c>
      <c r="W23" t="n">
        <v>1</v>
      </c>
      <c r="X23" t="n">
        <v>0.5</v>
      </c>
      <c r="Y23" t="n">
        <v>0.25</v>
      </c>
      <c r="Z23" t="inlineStr">
        <is>
          <t>his_note_adaptive</t>
        </is>
      </c>
      <c r="AA23" t="n">
        <v>-90</v>
      </c>
      <c r="AB23" t="n">
        <v>20000</v>
      </c>
      <c r="AC23" s="15" t="n">
        <v>0.2083333333333333</v>
      </c>
      <c r="AD23" s="15" t="n">
        <v>0.1666666666666667</v>
      </c>
      <c r="AE23" t="n">
        <v>1.069125161667427</v>
      </c>
      <c r="AF23" s="15" t="n">
        <v>1.061541110301956</v>
      </c>
      <c r="AG23" s="15" t="n">
        <v>0.09908537488834018</v>
      </c>
      <c r="AH23" s="15" t="n">
        <v>0.08999524674519349</v>
      </c>
      <c r="AI23" s="15" t="n">
        <v>0.9560865969888178</v>
      </c>
      <c r="AJ23" s="15" t="n">
        <v>0.253519925032228</v>
      </c>
      <c r="AK23" s="15" t="n">
        <v>0.06238335634054347</v>
      </c>
      <c r="AL23" s="15" t="n">
        <v>0.2182444524175733</v>
      </c>
      <c r="AM23" s="15" t="n">
        <v>0.06862745098039211</v>
      </c>
      <c r="AN23" s="15" t="n">
        <v>0.02325581395348859</v>
      </c>
      <c r="AO23" s="15" t="n">
        <v>0.06421859968858468</v>
      </c>
      <c r="AP23" s="15" t="n">
        <v>2.013834904207992</v>
      </c>
      <c r="AQ23" s="15" t="n">
        <v>0.862697900187574</v>
      </c>
      <c r="AR23" s="15" t="n">
        <v>113.5521536062888</v>
      </c>
      <c r="AS23" s="15" t="n">
        <v>0.2913452979053576</v>
      </c>
      <c r="AT23" s="15" t="n">
        <v>1.437289930581588</v>
      </c>
      <c r="AU23" s="15" t="n">
        <v>0.5169517542236596</v>
      </c>
      <c r="AV23" s="15" t="n">
        <v>0.05959321940274404</v>
      </c>
      <c r="AW23" s="19" t="n">
        <v>0.7674547450206517</v>
      </c>
      <c r="AX23" s="19" t="n">
        <v>0</v>
      </c>
      <c r="AY23" s="19" t="n">
        <v>1</v>
      </c>
      <c r="AZ23" s="19" t="n">
        <v>0</v>
      </c>
      <c r="BA23" s="19" t="n">
        <v>0</v>
      </c>
    </row>
    <row r="24">
      <c r="A24" t="inlineStr">
        <is>
          <t>A5</t>
        </is>
      </c>
      <c r="B24" t="n">
        <v>81</v>
      </c>
      <c r="C24" s="15" t="n">
        <v>-0.349818535989768</v>
      </c>
      <c r="D24" s="15" t="n">
        <v>8.870184134811876</v>
      </c>
      <c r="E24" s="15" t="n">
        <v>0.9672108592637809</v>
      </c>
      <c r="F24" s="15" t="n">
        <v>0.2034072143564745</v>
      </c>
      <c r="G24" s="19" t="n">
        <v>0.2574347926087436</v>
      </c>
      <c r="H24" s="15" t="n">
        <v>0.02427072012546208</v>
      </c>
      <c r="I24" s="15" t="n">
        <v>5</v>
      </c>
      <c r="J24" s="15" t="n">
        <v>22</v>
      </c>
      <c r="K24" s="15" t="n">
        <v>0.2272727272727273</v>
      </c>
      <c r="L24" t="n">
        <v>5</v>
      </c>
      <c r="M24" t="n">
        <v>22</v>
      </c>
      <c r="N24" t="n">
        <v>0.2272727272727273</v>
      </c>
      <c r="O24" t="n">
        <v>22</v>
      </c>
      <c r="P24" t="n">
        <v>0</v>
      </c>
      <c r="Q24" s="15" t="n">
        <v>10.49310571012457</v>
      </c>
      <c r="R24" s="15" t="n">
        <v>5.287202806703764</v>
      </c>
      <c r="S24" s="15" t="n">
        <v>0.01725138126015052</v>
      </c>
      <c r="T24" s="15" t="n">
        <v>3.112735055012248</v>
      </c>
      <c r="U24" s="15" t="n">
        <v>9.842252695756409</v>
      </c>
      <c r="V24" s="15" t="n">
        <v>0</v>
      </c>
      <c r="W24" t="n">
        <v>1</v>
      </c>
      <c r="X24" t="n">
        <v>0.5</v>
      </c>
      <c r="Y24" t="n">
        <v>0.25</v>
      </c>
      <c r="Z24" t="inlineStr">
        <is>
          <t>his_note_adaptive</t>
        </is>
      </c>
      <c r="AA24" t="n">
        <v>-90</v>
      </c>
      <c r="AB24" t="n">
        <v>20000</v>
      </c>
      <c r="AC24" s="15" t="n">
        <v>0.2272727272727273</v>
      </c>
      <c r="AD24" s="15" t="n">
        <v>0.1833333333333333</v>
      </c>
      <c r="AE24" t="n">
        <v>1.01668379146532</v>
      </c>
      <c r="AF24" s="15" t="n">
        <v>1.006960084117158</v>
      </c>
      <c r="AG24" s="15" t="n">
        <v>0.07720145496279004</v>
      </c>
      <c r="AH24" s="15" t="n">
        <v>0.02516276535175997</v>
      </c>
      <c r="AI24" s="15" t="n">
        <v>0.9544756374861963</v>
      </c>
      <c r="AJ24" s="15" t="n">
        <v>0.3112699475464311</v>
      </c>
      <c r="AK24" s="15" t="n">
        <v>0.1496672525240734</v>
      </c>
      <c r="AL24" s="15" t="n">
        <v>0.0601654053387253</v>
      </c>
      <c r="AM24" s="15" t="n">
        <v>0.09090909090909094</v>
      </c>
      <c r="AN24" s="15" t="n">
        <v>0.06976744186046509</v>
      </c>
      <c r="AO24" s="15" t="n">
        <v>0.007262898792783691</v>
      </c>
      <c r="AP24" s="15" t="n">
        <v>1.945582901115043</v>
      </c>
      <c r="AQ24" s="15" t="n">
        <v>0.8161410511845342</v>
      </c>
      <c r="AR24" s="15" t="n">
        <v>110.5332325239148</v>
      </c>
      <c r="AS24" s="15" t="n">
        <v>0.2835983354193692</v>
      </c>
      <c r="AT24" s="15" t="n">
        <v>1.404765935317747</v>
      </c>
      <c r="AU24" s="15" t="n">
        <v>0.4789934739399551</v>
      </c>
      <c r="AV24" s="15" t="n">
        <v>0.0618234918573411</v>
      </c>
      <c r="AW24" s="19" t="n">
        <v>0.7425652073912564</v>
      </c>
      <c r="AX24" s="19" t="n">
        <v>0</v>
      </c>
      <c r="AY24" s="19" t="n">
        <v>1</v>
      </c>
      <c r="AZ24" s="19" t="n">
        <v>0</v>
      </c>
      <c r="BA24" s="19" t="n">
        <v>0</v>
      </c>
    </row>
    <row r="25">
      <c r="A25" t="inlineStr">
        <is>
          <t>A#5</t>
        </is>
      </c>
      <c r="B25" t="n">
        <v>82</v>
      </c>
      <c r="C25" s="15" t="n">
        <v>-0.3492982607698422</v>
      </c>
      <c r="D25" s="15" t="n">
        <v>9.169884895819598</v>
      </c>
      <c r="E25" s="15" t="n">
        <v>0.9524167183221312</v>
      </c>
      <c r="F25" s="15" t="n">
        <v>0.2269496091815559</v>
      </c>
      <c r="G25" s="19" t="n">
        <v>0.2565532592268969</v>
      </c>
      <c r="H25" s="15" t="n">
        <v>0.02958114815545839</v>
      </c>
      <c r="I25" s="15" t="n">
        <v>6</v>
      </c>
      <c r="J25" s="15" t="n">
        <v>21</v>
      </c>
      <c r="K25" s="15" t="n">
        <v>0.2857142857142857</v>
      </c>
      <c r="L25" t="n">
        <v>6</v>
      </c>
      <c r="M25" t="n">
        <v>21</v>
      </c>
      <c r="N25" t="n">
        <v>0.2857142857142857</v>
      </c>
      <c r="O25" t="n">
        <v>19</v>
      </c>
      <c r="P25" t="n">
        <v>0</v>
      </c>
      <c r="Q25" s="15" t="n">
        <v>9.26513603946854</v>
      </c>
      <c r="R25" s="15" t="n">
        <v>5.119973184902237</v>
      </c>
      <c r="S25" s="15" t="n">
        <v>0.01087384759620912</v>
      </c>
      <c r="T25" s="15" t="n">
        <v>3.722267943134264</v>
      </c>
      <c r="U25" s="15" t="n">
        <v>9.287171801149679</v>
      </c>
      <c r="V25" s="15" t="n">
        <v>0</v>
      </c>
      <c r="W25" t="n">
        <v>1</v>
      </c>
      <c r="X25" t="n">
        <v>0.5</v>
      </c>
      <c r="Y25" t="n">
        <v>0.25</v>
      </c>
      <c r="Z25" t="inlineStr">
        <is>
          <t>his_note_adaptive</t>
        </is>
      </c>
      <c r="AA25" t="n">
        <v>-90</v>
      </c>
      <c r="AB25" t="n">
        <v>20000</v>
      </c>
      <c r="AC25" s="15" t="n">
        <v>0.2857142857142857</v>
      </c>
      <c r="AD25" s="15" t="n">
        <v>0.1583333333333333</v>
      </c>
      <c r="AE25" t="n">
        <v>1.033698874834495</v>
      </c>
      <c r="AF25" s="15" t="n">
        <v>1.017828191068661</v>
      </c>
      <c r="AG25" s="15" t="n">
        <v>0.07744117993575189</v>
      </c>
      <c r="AH25" s="15" t="n">
        <v>0.04266762381814238</v>
      </c>
      <c r="AI25" s="15" t="n">
        <v>0.9148967989586008</v>
      </c>
      <c r="AJ25" s="15" t="n">
        <v>0.3654316566696607</v>
      </c>
      <c r="AK25" s="15" t="n">
        <v>0.1465758464349321</v>
      </c>
      <c r="AL25" s="15" t="n">
        <v>0.07332958230979378</v>
      </c>
      <c r="AM25" s="15" t="n">
        <v>0.1596638655462185</v>
      </c>
      <c r="AN25" s="15" t="n">
        <v>0</v>
      </c>
      <c r="AO25" s="15" t="n">
        <v>0.01860384805851569</v>
      </c>
      <c r="AP25" s="15" t="n">
        <v>2.021574069155666</v>
      </c>
      <c r="AQ25" s="15" t="n">
        <v>0.8679770292614529</v>
      </c>
      <c r="AR25" s="15" t="n">
        <v>118.914132332669</v>
      </c>
      <c r="AS25" s="15" t="n">
        <v>0.3051048652840684</v>
      </c>
      <c r="AT25" s="15" t="n">
        <v>1.418858627663839</v>
      </c>
      <c r="AU25" s="15" t="n">
        <v>0.5356422751616398</v>
      </c>
      <c r="AV25" s="15" t="n">
        <v>0.06707316633018721</v>
      </c>
      <c r="AW25" s="19" t="n">
        <v>0.7434467407731031</v>
      </c>
      <c r="AX25" s="19" t="n">
        <v>0</v>
      </c>
      <c r="AY25" s="19" t="n">
        <v>0.9999208009032621</v>
      </c>
      <c r="AZ25" s="19" t="n">
        <v>7.919909673797214e-05</v>
      </c>
      <c r="BA25" s="19" t="n">
        <v>0</v>
      </c>
    </row>
    <row r="26">
      <c r="A26" t="inlineStr">
        <is>
          <t>B5</t>
        </is>
      </c>
      <c r="B26" t="n">
        <v>83</v>
      </c>
      <c r="C26" s="15" t="n">
        <v>1.053323327331833</v>
      </c>
      <c r="D26" s="15" t="n">
        <v>13.85425133485697</v>
      </c>
      <c r="E26" s="15" t="n">
        <v>0.9447928795592863</v>
      </c>
      <c r="F26" s="15" t="n">
        <v>0.5027765489886181</v>
      </c>
      <c r="G26" s="19" t="n">
        <v>0.499692021917266</v>
      </c>
      <c r="H26" s="15" t="n">
        <v>0</v>
      </c>
      <c r="I26" s="15" t="n">
        <v>3</v>
      </c>
      <c r="J26" s="15" t="n">
        <v>20</v>
      </c>
      <c r="K26" s="15" t="n">
        <v>0.15</v>
      </c>
      <c r="L26" t="n">
        <v>3</v>
      </c>
      <c r="M26" t="n">
        <v>20</v>
      </c>
      <c r="N26" t="n">
        <v>0.15</v>
      </c>
      <c r="O26" t="n">
        <v>52</v>
      </c>
      <c r="P26" t="n">
        <v>0</v>
      </c>
      <c r="Q26" s="15" t="n">
        <v>51.99839125391748</v>
      </c>
      <c r="R26" s="15" t="n">
        <v>31.05651873631512</v>
      </c>
      <c r="S26" s="15" t="n">
        <v>1</v>
      </c>
      <c r="T26" s="15" t="n">
        <v>1.680536245563536</v>
      </c>
      <c r="U26" s="15" t="n">
        <v>31.05748322709824</v>
      </c>
      <c r="V26" s="15" t="n">
        <v>0</v>
      </c>
      <c r="W26" t="n">
        <v>1</v>
      </c>
      <c r="X26" t="n">
        <v>0.5</v>
      </c>
      <c r="Y26" t="n">
        <v>0.25</v>
      </c>
      <c r="Z26" t="inlineStr">
        <is>
          <t>his_note_adaptive</t>
        </is>
      </c>
      <c r="AA26" t="n">
        <v>-90</v>
      </c>
      <c r="AB26" t="n">
        <v>20000</v>
      </c>
      <c r="AC26" s="15" t="n">
        <v>0.15</v>
      </c>
      <c r="AD26" s="15" t="n">
        <v>0.4333333333333333</v>
      </c>
      <c r="AE26" t="n">
        <v>3.70598115132151</v>
      </c>
      <c r="AF26" s="15" t="n">
        <v>1.90457440655264</v>
      </c>
      <c r="AG26" s="15" t="n">
        <v>0.7237210898867996</v>
      </c>
      <c r="AH26" s="15" t="n">
        <v>0.3162711049848389</v>
      </c>
      <c r="AI26" s="15" t="n">
        <v>0.8945007053601162</v>
      </c>
      <c r="AJ26" s="15" t="n">
        <v>1</v>
      </c>
      <c r="AK26" s="15" t="n">
        <v>0.9992272229632815</v>
      </c>
      <c r="AL26" s="15" t="n">
        <v>0</v>
      </c>
      <c r="AM26" s="15" t="n">
        <v>0</v>
      </c>
      <c r="AN26" s="15" t="n">
        <v>0.7674418604651162</v>
      </c>
      <c r="AO26" s="15" t="n">
        <v>0.9439300236527683</v>
      </c>
      <c r="AP26" s="15" t="n">
        <v>0.9826667397928215</v>
      </c>
      <c r="AQ26" s="15" t="n">
        <v>0.1593054962746942</v>
      </c>
      <c r="AR26" s="15" t="n">
        <v>0.1169078370448059</v>
      </c>
      <c r="AS26" s="15" t="n">
        <v>0.0002550144613920676</v>
      </c>
      <c r="AT26" s="15" t="n">
        <v>0.5181712682181354</v>
      </c>
      <c r="AU26" s="15" t="n">
        <v>0.3610766002916989</v>
      </c>
      <c r="AV26" s="15" t="n">
        <v>0.1034188712829872</v>
      </c>
      <c r="AW26" s="19" t="n">
        <v>0.500307978082734</v>
      </c>
      <c r="AX26" s="19" t="n">
        <v>0</v>
      </c>
      <c r="AY26" s="19" t="n">
        <v>1</v>
      </c>
      <c r="AZ26" s="19" t="n">
        <v>0</v>
      </c>
      <c r="BA26" s="19" t="n">
        <v>0</v>
      </c>
    </row>
    <row r="27">
      <c r="A27" t="inlineStr">
        <is>
          <t>C6</t>
        </is>
      </c>
      <c r="B27" t="n">
        <v>84</v>
      </c>
      <c r="C27" s="15" t="n">
        <v>-0.5173688894764955</v>
      </c>
      <c r="D27" s="15" t="n">
        <v>14.57158194105278</v>
      </c>
      <c r="E27" s="15" t="n">
        <v>0.6104382092402979</v>
      </c>
      <c r="F27" s="15" t="n">
        <v>0.4078464446714947</v>
      </c>
      <c r="G27" s="19" t="n">
        <v>0.2208752887112698</v>
      </c>
      <c r="H27" s="15" t="n">
        <v>0.2286900184655664</v>
      </c>
      <c r="I27" s="15" t="n">
        <v>12</v>
      </c>
      <c r="J27" s="15" t="n">
        <v>19</v>
      </c>
      <c r="K27" s="15" t="n">
        <v>0.631578947368421</v>
      </c>
      <c r="L27" t="n">
        <v>12</v>
      </c>
      <c r="M27" t="n">
        <v>19</v>
      </c>
      <c r="N27" t="n">
        <v>0.631578947368421</v>
      </c>
      <c r="O27" t="n">
        <v>52</v>
      </c>
      <c r="P27" t="n">
        <v>0</v>
      </c>
      <c r="Q27" s="15" t="n">
        <v>21.52983831854706</v>
      </c>
      <c r="R27" s="15" t="n">
        <v>10.7836816593688</v>
      </c>
      <c r="S27" s="15" t="n">
        <v>0.2268672288497385</v>
      </c>
      <c r="T27" s="15" t="n">
        <v>6.860121670076349</v>
      </c>
      <c r="U27" s="15" t="n">
        <v>23.32864866137433</v>
      </c>
      <c r="V27" s="15" t="n">
        <v>0</v>
      </c>
      <c r="W27" t="n">
        <v>1</v>
      </c>
      <c r="X27" t="n">
        <v>0.5</v>
      </c>
      <c r="Y27" t="n">
        <v>0.25</v>
      </c>
      <c r="Z27" t="inlineStr">
        <is>
          <t>his_note_adaptive</t>
        </is>
      </c>
      <c r="AA27" t="n">
        <v>-90</v>
      </c>
      <c r="AB27" t="n">
        <v>20000</v>
      </c>
      <c r="AC27" s="15" t="n">
        <v>0.631578947368421</v>
      </c>
      <c r="AD27" s="15" t="n">
        <v>0.4333333333333333</v>
      </c>
      <c r="AE27" t="n">
        <v>1.441731342235473</v>
      </c>
      <c r="AF27" s="15" t="n">
        <v>1.400900417860769</v>
      </c>
      <c r="AG27" s="15" t="n">
        <v>0</v>
      </c>
      <c r="AH27" s="15" t="n">
        <v>0.358168798847346</v>
      </c>
      <c r="AI27" s="15" t="n">
        <v>0</v>
      </c>
      <c r="AJ27" s="15" t="n">
        <v>0.7816034972115842</v>
      </c>
      <c r="AK27" s="15" t="n">
        <v>0.02145852521771643</v>
      </c>
      <c r="AL27" s="15" t="n">
        <v>0.5669064447521999</v>
      </c>
      <c r="AM27" s="15" t="n">
        <v>0.5665634674922601</v>
      </c>
      <c r="AN27" s="15" t="n">
        <v>0.7674418604651162</v>
      </c>
      <c r="AO27" s="15" t="n">
        <v>0.4183425245866701</v>
      </c>
      <c r="AP27" s="15" t="n">
        <v>2.178048791553681</v>
      </c>
      <c r="AQ27" s="15" t="n">
        <v>0.9747133841425822</v>
      </c>
      <c r="AR27" s="15" t="n">
        <v>181.311474435786</v>
      </c>
      <c r="AS27" s="15" t="n">
        <v>0.4652249397439509</v>
      </c>
      <c r="AT27" s="15" t="n">
        <v>1.487748788011686</v>
      </c>
      <c r="AU27" s="15" t="n">
        <v>0.6055723082943925</v>
      </c>
      <c r="AV27" s="15" t="n">
        <v>0.08472769524760275</v>
      </c>
      <c r="AW27" s="19" t="n">
        <v>0.7791247112887303</v>
      </c>
      <c r="AX27" s="19" t="n">
        <v>0</v>
      </c>
      <c r="AY27" s="19" t="n">
        <v>0.9992373424890216</v>
      </c>
      <c r="AZ27" s="19" t="n">
        <v>0.0007626575109783497</v>
      </c>
      <c r="BA27" s="19" t="n">
        <v>0</v>
      </c>
    </row>
    <row r="28">
      <c r="A28" t="inlineStr">
        <is>
          <t>C#6</t>
        </is>
      </c>
      <c r="B28" t="n">
        <v>85</v>
      </c>
      <c r="C28" s="15" t="n">
        <v>-0.4469613778479568</v>
      </c>
      <c r="D28" s="15" t="n">
        <v>9.785216028758462</v>
      </c>
      <c r="E28" s="15" t="n">
        <v>0.8439621756344665</v>
      </c>
      <c r="F28" s="15" t="n">
        <v>0.325819561913583</v>
      </c>
      <c r="G28" s="19" t="n">
        <v>0.2341553540756512</v>
      </c>
      <c r="H28" s="15" t="n">
        <v>0.04458191579252502</v>
      </c>
      <c r="I28" s="15" t="n">
        <v>8</v>
      </c>
      <c r="J28" s="15" t="n">
        <v>18</v>
      </c>
      <c r="K28" s="15" t="n">
        <v>0.4444444444444444</v>
      </c>
      <c r="L28" t="n">
        <v>8</v>
      </c>
      <c r="M28" t="n">
        <v>18</v>
      </c>
      <c r="N28" t="n">
        <v>0.4444444444444444</v>
      </c>
      <c r="O28" t="n">
        <v>30</v>
      </c>
      <c r="P28" t="n">
        <v>0</v>
      </c>
      <c r="Q28" s="15" t="n">
        <v>12.88844658524267</v>
      </c>
      <c r="R28" s="15" t="n">
        <v>6.569700401651831</v>
      </c>
      <c r="S28" s="15" t="n">
        <v>0.06616120655062731</v>
      </c>
      <c r="T28" s="15" t="n">
        <v>4.584331136685051</v>
      </c>
      <c r="U28" s="15" t="n">
        <v>13.51930118650117</v>
      </c>
      <c r="V28" s="15" t="n">
        <v>0</v>
      </c>
      <c r="W28" t="n">
        <v>1</v>
      </c>
      <c r="X28" t="n">
        <v>0.5</v>
      </c>
      <c r="Y28" t="n">
        <v>0.25</v>
      </c>
      <c r="Z28" t="inlineStr">
        <is>
          <t>his_note_adaptive</t>
        </is>
      </c>
      <c r="AA28" t="n">
        <v>-90</v>
      </c>
      <c r="AB28" t="n">
        <v>20000</v>
      </c>
      <c r="AC28" s="15" t="n">
        <v>0.4444444444444444</v>
      </c>
      <c r="AD28" s="15" t="n">
        <v>0.25</v>
      </c>
      <c r="AE28" t="n">
        <v>1.038909649238708</v>
      </c>
      <c r="AF28" s="15" t="n">
        <v>1.025900840033551</v>
      </c>
      <c r="AG28" s="15" t="n">
        <v>0.03244136598293317</v>
      </c>
      <c r="AH28" s="15" t="n">
        <v>0.07860775408620006</v>
      </c>
      <c r="AI28" s="15" t="n">
        <v>0.6247478237967743</v>
      </c>
      <c r="AJ28" s="15" t="n">
        <v>0.5928921873712563</v>
      </c>
      <c r="AK28" s="15" t="n">
        <v>0.06802973372446608</v>
      </c>
      <c r="AL28" s="15" t="n">
        <v>0.1105154284903246</v>
      </c>
      <c r="AM28" s="15" t="n">
        <v>0.3464052287581699</v>
      </c>
      <c r="AN28" s="15" t="n">
        <v>0.2558139534883722</v>
      </c>
      <c r="AO28" s="15" t="n">
        <v>0.02702771642486616</v>
      </c>
      <c r="AP28" s="15" t="n">
        <v>2.008765730796076</v>
      </c>
      <c r="AQ28" s="15" t="n">
        <v>0.8592400567483507</v>
      </c>
      <c r="AR28" s="15" t="n">
        <v>144.7747858944774</v>
      </c>
      <c r="AS28" s="15" t="n">
        <v>0.3714668229305165</v>
      </c>
      <c r="AT28" s="15" t="n">
        <v>1.429906545860064</v>
      </c>
      <c r="AU28" s="15" t="n">
        <v>0.5041603872552662</v>
      </c>
      <c r="AV28" s="15" t="n">
        <v>0.07469879768074572</v>
      </c>
      <c r="AW28" s="19" t="n">
        <v>0.7658446459243488</v>
      </c>
      <c r="AX28" s="19" t="n">
        <v>0</v>
      </c>
      <c r="AY28" s="19" t="n">
        <v>1</v>
      </c>
      <c r="AZ28" s="19" t="n">
        <v>0</v>
      </c>
      <c r="BA28" s="19" t="n">
        <v>0</v>
      </c>
    </row>
    <row r="29">
      <c r="A29" t="inlineStr">
        <is>
          <t>D6</t>
        </is>
      </c>
      <c r="B29" t="n">
        <v>86</v>
      </c>
      <c r="C29" s="15" t="n">
        <v>-0.4897228653954491</v>
      </c>
      <c r="D29" s="15" t="n">
        <v>8.955650569277045</v>
      </c>
      <c r="E29" s="15" t="n">
        <v>0.9041371007777236</v>
      </c>
      <c r="F29" s="15" t="n">
        <v>0.2596294648492636</v>
      </c>
      <c r="G29" s="19" t="n">
        <v>0.2428242121296414</v>
      </c>
      <c r="H29" s="15" t="n">
        <v>0.01437447935218779</v>
      </c>
      <c r="I29" s="15" t="n">
        <v>6</v>
      </c>
      <c r="J29" s="15" t="n">
        <v>17</v>
      </c>
      <c r="K29" s="15" t="n">
        <v>0.3529411764705883</v>
      </c>
      <c r="L29" t="n">
        <v>6</v>
      </c>
      <c r="M29" t="n">
        <v>17</v>
      </c>
      <c r="N29" t="n">
        <v>0.3529411764705883</v>
      </c>
      <c r="O29" t="n">
        <v>20</v>
      </c>
      <c r="P29" t="n">
        <v>0</v>
      </c>
      <c r="Q29" s="15" t="n">
        <v>8.835592042448646</v>
      </c>
      <c r="R29" s="15" t="n">
        <v>4.834842675701965</v>
      </c>
      <c r="S29" s="15" t="n">
        <v>0</v>
      </c>
      <c r="T29" s="15" t="n">
        <v>3.676828559716872</v>
      </c>
      <c r="U29" s="15" t="n">
        <v>9.394222804409219</v>
      </c>
      <c r="V29" s="15" t="n">
        <v>0</v>
      </c>
      <c r="W29" t="n">
        <v>1</v>
      </c>
      <c r="X29" t="n">
        <v>0.5</v>
      </c>
      <c r="Y29" t="n">
        <v>0.25</v>
      </c>
      <c r="Z29" t="inlineStr">
        <is>
          <t>his_note_adaptive</t>
        </is>
      </c>
      <c r="AA29" t="n">
        <v>-90</v>
      </c>
      <c r="AB29" t="n">
        <v>20000</v>
      </c>
      <c r="AC29" s="15" t="n">
        <v>0.3529411764705883</v>
      </c>
      <c r="AD29" s="15" t="n">
        <v>0.1666666666666667</v>
      </c>
      <c r="AE29" t="n">
        <v>1.01496403344544</v>
      </c>
      <c r="AF29" s="15" t="n">
        <v>1.00711266503646</v>
      </c>
      <c r="AG29" s="15" t="n">
        <v>0.01273833948170202</v>
      </c>
      <c r="AH29" s="15" t="n">
        <v>0.0301546707240009</v>
      </c>
      <c r="AI29" s="15" t="n">
        <v>0.7857340990424075</v>
      </c>
      <c r="AJ29" s="15" t="n">
        <v>0.4406150375455011</v>
      </c>
      <c r="AK29" s="15" t="n">
        <v>0.09843012595676714</v>
      </c>
      <c r="AL29" s="15" t="n">
        <v>0.03563332164381135</v>
      </c>
      <c r="AM29" s="15" t="n">
        <v>0.2387543252595157</v>
      </c>
      <c r="AN29" s="15" t="n">
        <v>0.02325581395348859</v>
      </c>
      <c r="AO29" s="15" t="n">
        <v>0.007422118100473938</v>
      </c>
      <c r="AP29" s="15" t="n">
        <v>1.957962501160706</v>
      </c>
      <c r="AQ29" s="15" t="n">
        <v>0.824585567739734</v>
      </c>
      <c r="AR29" s="15" t="n">
        <v>148.2605403510583</v>
      </c>
      <c r="AS29" s="15" t="n">
        <v>0.3804117434082867</v>
      </c>
      <c r="AT29" s="15" t="n">
        <v>1.412378310071473</v>
      </c>
      <c r="AU29" s="15" t="n">
        <v>0.4838594167014852</v>
      </c>
      <c r="AV29" s="15" t="n">
        <v>0.06172477438774753</v>
      </c>
      <c r="AW29" s="19" t="n">
        <v>0.7571757878703586</v>
      </c>
      <c r="AX29" s="19" t="n">
        <v>0</v>
      </c>
      <c r="AY29" s="19" t="n">
        <v>1</v>
      </c>
      <c r="AZ29" s="19" t="n">
        <v>0</v>
      </c>
      <c r="BA29" s="19" t="n">
        <v>0</v>
      </c>
    </row>
    <row r="30">
      <c r="A30" t="inlineStr">
        <is>
          <t>D#6</t>
        </is>
      </c>
      <c r="B30" t="n">
        <v>87</v>
      </c>
      <c r="C30" s="15" t="n">
        <v>-0.2379403016513453</v>
      </c>
      <c r="D30" s="15" t="n">
        <v>10.31387749914031</v>
      </c>
      <c r="E30" s="15" t="n">
        <v>0.8638752736823357</v>
      </c>
      <c r="F30" s="15" t="n">
        <v>0.2959413287141233</v>
      </c>
      <c r="G30" s="19" t="n">
        <v>0.2656898620068595</v>
      </c>
      <c r="H30" s="15" t="n">
        <v>0.03879077128563239</v>
      </c>
      <c r="I30" s="15" t="n">
        <v>10</v>
      </c>
      <c r="J30" s="15" t="n">
        <v>16</v>
      </c>
      <c r="K30" s="15" t="n">
        <v>0.625</v>
      </c>
      <c r="L30" t="n">
        <v>10</v>
      </c>
      <c r="M30" t="n">
        <v>16</v>
      </c>
      <c r="N30" t="n">
        <v>0.625</v>
      </c>
      <c r="O30" t="n">
        <v>45</v>
      </c>
      <c r="P30" t="n">
        <v>0</v>
      </c>
      <c r="Q30" s="15" t="n">
        <v>19.94737820871493</v>
      </c>
      <c r="R30" s="15" t="n">
        <v>9.338181535754366</v>
      </c>
      <c r="S30" s="15" t="n">
        <v>0.1717410759572589</v>
      </c>
      <c r="T30" s="15" t="n">
        <v>5.314224040189097</v>
      </c>
      <c r="U30" s="15" t="n">
        <v>19.47257907502585</v>
      </c>
      <c r="V30" s="15" t="n">
        <v>0</v>
      </c>
      <c r="W30" t="n">
        <v>1</v>
      </c>
      <c r="X30" t="n">
        <v>0.5</v>
      </c>
      <c r="Y30" t="n">
        <v>0.25</v>
      </c>
      <c r="Z30" t="inlineStr">
        <is>
          <t>his_note_adaptive</t>
        </is>
      </c>
      <c r="AA30" t="n">
        <v>-90</v>
      </c>
      <c r="AB30" t="n">
        <v>20000</v>
      </c>
      <c r="AC30" s="15" t="n">
        <v>0.625</v>
      </c>
      <c r="AD30" s="15" t="n">
        <v>0.375</v>
      </c>
      <c r="AE30" t="n">
        <v>1.036825368067674</v>
      </c>
      <c r="AF30" s="15" t="n">
        <v>1.022985862271656</v>
      </c>
      <c r="AG30" s="15" t="n">
        <v>0.128751107290312</v>
      </c>
      <c r="AH30" s="15" t="n">
        <v>0.1094857010908972</v>
      </c>
      <c r="AI30" s="15" t="n">
        <v>0.6780214336217261</v>
      </c>
      <c r="AJ30" s="15" t="n">
        <v>0.5241542281411649</v>
      </c>
      <c r="AK30" s="15" t="n">
        <v>0.178616549656938</v>
      </c>
      <c r="AL30" s="15" t="n">
        <v>0.09615958923911101</v>
      </c>
      <c r="AM30" s="15" t="n">
        <v>0.5588235294117647</v>
      </c>
      <c r="AN30" s="15" t="n">
        <v>0.6046511627906976</v>
      </c>
      <c r="AO30" s="15" t="n">
        <v>0.02398591576391346</v>
      </c>
      <c r="AP30" s="15" t="n">
        <v>1.998086279650343</v>
      </c>
      <c r="AQ30" s="15" t="n">
        <v>0.8519552655056656</v>
      </c>
      <c r="AR30" s="15" t="n">
        <v>146.2019481883586</v>
      </c>
      <c r="AS30" s="15" t="n">
        <v>0.3751291156670397</v>
      </c>
      <c r="AT30" s="15" t="n">
        <v>1.41284481912054</v>
      </c>
      <c r="AU30" s="15" t="n">
        <v>0.5096893827809788</v>
      </c>
      <c r="AV30" s="15" t="n">
        <v>0.07555207774882443</v>
      </c>
      <c r="AW30" s="19" t="n">
        <v>0.7343101379931405</v>
      </c>
      <c r="AX30" s="19" t="n">
        <v>0</v>
      </c>
      <c r="AY30" s="19" t="n">
        <v>0.9984600694621206</v>
      </c>
      <c r="AZ30" s="19" t="n">
        <v>0.001539930537879428</v>
      </c>
      <c r="BA30" s="19" t="n">
        <v>0</v>
      </c>
    </row>
    <row r="31">
      <c r="A31" t="inlineStr">
        <is>
          <t>E6</t>
        </is>
      </c>
      <c r="B31" t="n">
        <v>88</v>
      </c>
      <c r="C31" s="15" t="n">
        <v>-0.3134879486993622</v>
      </c>
      <c r="D31" s="15" t="n">
        <v>9.3986396921853</v>
      </c>
      <c r="E31" s="15" t="n">
        <v>0.8779317265468766</v>
      </c>
      <c r="F31" s="15" t="n">
        <v>0.366891895839181</v>
      </c>
      <c r="G31" s="19" t="n">
        <v>0.2546400194422681</v>
      </c>
      <c r="H31" s="15" t="n">
        <v>0.03494547796779765</v>
      </c>
      <c r="I31" s="15" t="n">
        <v>8</v>
      </c>
      <c r="J31" s="15" t="n">
        <v>15</v>
      </c>
      <c r="K31" s="15" t="n">
        <v>0.5333333333333333</v>
      </c>
      <c r="L31" t="n">
        <v>8</v>
      </c>
      <c r="M31" t="n">
        <v>15</v>
      </c>
      <c r="N31" t="n">
        <v>0.5333333333333333</v>
      </c>
      <c r="O31" t="n">
        <v>24</v>
      </c>
      <c r="P31" t="n">
        <v>0</v>
      </c>
      <c r="Q31" s="15" t="n">
        <v>10.94182080972802</v>
      </c>
      <c r="R31" s="15" t="n">
        <v>5.745272947936805</v>
      </c>
      <c r="S31" s="15" t="n">
        <v>0.0347205216832944</v>
      </c>
      <c r="T31" s="15" t="n">
        <v>4.576636772997333</v>
      </c>
      <c r="U31" s="15" t="n">
        <v>10.93262512456531</v>
      </c>
      <c r="V31" s="15" t="n">
        <v>0</v>
      </c>
      <c r="W31" t="n">
        <v>1</v>
      </c>
      <c r="X31" t="n">
        <v>0.5</v>
      </c>
      <c r="Y31" t="n">
        <v>0.25</v>
      </c>
      <c r="Z31" t="inlineStr">
        <is>
          <t>his_note_adaptive</t>
        </is>
      </c>
      <c r="AA31" t="n">
        <v>-90</v>
      </c>
      <c r="AB31" t="n">
        <v>20000</v>
      </c>
      <c r="AC31" s="15" t="n">
        <v>0.5333333333333333</v>
      </c>
      <c r="AD31" s="15" t="n">
        <v>0.2</v>
      </c>
      <c r="AE31" t="n">
        <v>1.026703620732652</v>
      </c>
      <c r="AF31" s="15" t="n">
        <v>1.014667332970235</v>
      </c>
      <c r="AG31" s="15" t="n">
        <v>0.09394134324177332</v>
      </c>
      <c r="AH31" s="15" t="n">
        <v>0.05602868543314633</v>
      </c>
      <c r="AI31" s="15" t="n">
        <v>0.7156267315833108</v>
      </c>
      <c r="AJ31" s="15" t="n">
        <v>0.687383330673314</v>
      </c>
      <c r="AK31" s="15" t="n">
        <v>0.1398663998705848</v>
      </c>
      <c r="AL31" s="15" t="n">
        <v>0.08662737800195415</v>
      </c>
      <c r="AM31" s="15" t="n">
        <v>0.4509803921568627</v>
      </c>
      <c r="AN31" s="15" t="n">
        <v>0.116279069767442</v>
      </c>
      <c r="AO31" s="15" t="n">
        <v>0.01530546946412108</v>
      </c>
      <c r="AP31" s="15" t="n">
        <v>1.978656158883033</v>
      </c>
      <c r="AQ31" s="15" t="n">
        <v>0.838701365873701</v>
      </c>
      <c r="AR31" s="15" t="n">
        <v>157.4656387571313</v>
      </c>
      <c r="AS31" s="15" t="n">
        <v>0.4040332790781102</v>
      </c>
      <c r="AT31" s="15" t="n">
        <v>1.408933574486449</v>
      </c>
      <c r="AU31" s="15" t="n">
        <v>0.5004144374785809</v>
      </c>
      <c r="AV31" s="15" t="n">
        <v>0.06930814691800381</v>
      </c>
      <c r="AW31" s="19" t="n">
        <v>0.7453599805577319</v>
      </c>
      <c r="AX31" s="19" t="n">
        <v>0</v>
      </c>
      <c r="AY31" s="19" t="n">
        <v>1</v>
      </c>
      <c r="AZ31" s="19" t="n">
        <v>0</v>
      </c>
      <c r="BA31" s="19" t="n">
        <v>0</v>
      </c>
    </row>
    <row r="32">
      <c r="A32" t="inlineStr">
        <is>
          <t>F6</t>
        </is>
      </c>
      <c r="B32" t="n">
        <v>89</v>
      </c>
      <c r="C32" s="15" t="n">
        <v>-0.485498484233972</v>
      </c>
      <c r="D32" s="15" t="n">
        <v>8.901456003789946</v>
      </c>
      <c r="E32" s="15" t="n">
        <v>0.9054434628328172</v>
      </c>
      <c r="F32" s="15" t="n">
        <v>0.2386593403704948</v>
      </c>
      <c r="G32" s="19" t="n">
        <v>0.2426272407691568</v>
      </c>
      <c r="H32" s="15" t="n">
        <v>0.02743385231796173</v>
      </c>
      <c r="I32" s="15" t="n">
        <v>9</v>
      </c>
      <c r="J32" s="15" t="n">
        <v>14</v>
      </c>
      <c r="K32" s="15" t="n">
        <v>0.6428571428571429</v>
      </c>
      <c r="L32" t="n">
        <v>9</v>
      </c>
      <c r="M32" t="n">
        <v>14</v>
      </c>
      <c r="N32" t="n">
        <v>0.6428571428571429</v>
      </c>
      <c r="O32" t="n">
        <v>27</v>
      </c>
      <c r="P32" t="n">
        <v>0</v>
      </c>
      <c r="Q32" s="15" t="n">
        <v>11.95419717632496</v>
      </c>
      <c r="R32" s="15" t="n">
        <v>6.365943798811493</v>
      </c>
      <c r="S32" s="15" t="n">
        <v>0.05839066578239643</v>
      </c>
      <c r="T32" s="15" t="n">
        <v>5.045192577498851</v>
      </c>
      <c r="U32" s="15" t="n">
        <v>13.09256401707281</v>
      </c>
      <c r="V32" s="15" t="n">
        <v>0</v>
      </c>
      <c r="W32" t="n">
        <v>1</v>
      </c>
      <c r="X32" t="n">
        <v>0.5</v>
      </c>
      <c r="Y32" t="n">
        <v>0.25</v>
      </c>
      <c r="Z32" t="inlineStr">
        <is>
          <t>his_note_adaptive</t>
        </is>
      </c>
      <c r="AA32" t="n">
        <v>-90</v>
      </c>
      <c r="AB32" t="n">
        <v>20000</v>
      </c>
      <c r="AC32" s="15" t="n">
        <v>0.6428571428571429</v>
      </c>
      <c r="AD32" s="15" t="n">
        <v>0.225</v>
      </c>
      <c r="AE32" t="n">
        <v>1.028271512077881</v>
      </c>
      <c r="AF32" s="15" t="n">
        <v>1.016736037800083</v>
      </c>
      <c r="AG32" s="15" t="n">
        <v>0.01468478940076634</v>
      </c>
      <c r="AH32" s="15" t="n">
        <v>0.02698928604059555</v>
      </c>
      <c r="AI32" s="15" t="n">
        <v>0.7892290159180178</v>
      </c>
      <c r="AJ32" s="15" t="n">
        <v>0.3923711018399048</v>
      </c>
      <c r="AK32" s="15" t="n">
        <v>0.09773937677389112</v>
      </c>
      <c r="AL32" s="15" t="n">
        <v>0.06800658720386737</v>
      </c>
      <c r="AM32" s="15" t="n">
        <v>0.5798319327731093</v>
      </c>
      <c r="AN32" s="15" t="n">
        <v>0.1860465116279071</v>
      </c>
      <c r="AO32" s="15" t="n">
        <v>0.01746417811741017</v>
      </c>
      <c r="AP32" s="15" t="n">
        <v>2.000040971609232</v>
      </c>
      <c r="AQ32" s="15" t="n">
        <v>0.8532886226857255</v>
      </c>
      <c r="AR32" s="15" t="n">
        <v>42.31706184185217</v>
      </c>
      <c r="AS32" s="15" t="n">
        <v>0.1085463546646588</v>
      </c>
      <c r="AT32" s="15" t="n">
        <v>1.405798751764133</v>
      </c>
      <c r="AU32" s="15" t="n">
        <v>0.5265736606547704</v>
      </c>
      <c r="AV32" s="15" t="n">
        <v>0.06766855919032859</v>
      </c>
      <c r="AW32" s="19" t="n">
        <v>0.7573727592308432</v>
      </c>
      <c r="AX32" s="19" t="n">
        <v>0</v>
      </c>
      <c r="AY32" s="19" t="n">
        <v>1</v>
      </c>
      <c r="AZ32" s="19" t="n">
        <v>0</v>
      </c>
      <c r="BA32" s="19" t="n">
        <v>0</v>
      </c>
    </row>
    <row r="33">
      <c r="A33" t="inlineStr">
        <is>
          <t>F#6</t>
        </is>
      </c>
      <c r="B33" t="n">
        <v>90</v>
      </c>
      <c r="C33" s="15" t="n">
        <v>-0.4210598472408419</v>
      </c>
      <c r="D33" s="15" t="n">
        <v>8.716614908000206</v>
      </c>
      <c r="E33" s="15" t="n">
        <v>0.9106949954319029</v>
      </c>
      <c r="F33" s="15" t="n">
        <v>0.24566963879199</v>
      </c>
      <c r="G33" s="19" t="n">
        <v>0.2367512417719478</v>
      </c>
      <c r="H33" s="15" t="n">
        <v>0.04589624451972641</v>
      </c>
      <c r="I33" s="15" t="n">
        <v>7</v>
      </c>
      <c r="J33" s="15" t="n">
        <v>13</v>
      </c>
      <c r="K33" s="15" t="n">
        <v>0.5384615384615384</v>
      </c>
      <c r="L33" t="n">
        <v>7</v>
      </c>
      <c r="M33" t="n">
        <v>13</v>
      </c>
      <c r="N33" t="n">
        <v>0.5384615384615384</v>
      </c>
      <c r="O33" t="n">
        <v>37</v>
      </c>
      <c r="P33" t="n">
        <v>0</v>
      </c>
      <c r="Q33" s="15" t="n">
        <v>13.93317852839334</v>
      </c>
      <c r="R33" s="15" t="n">
        <v>6.921234373391126</v>
      </c>
      <c r="S33" s="15" t="n">
        <v>0.0795674423277264</v>
      </c>
      <c r="T33" s="15" t="n">
        <v>3.915334368931489</v>
      </c>
      <c r="U33" s="15" t="n">
        <v>16.92192287151925</v>
      </c>
      <c r="V33" s="15" t="n">
        <v>0</v>
      </c>
      <c r="W33" t="n">
        <v>1</v>
      </c>
      <c r="X33" t="n">
        <v>0.5</v>
      </c>
      <c r="Y33" t="n">
        <v>0.25</v>
      </c>
      <c r="Z33" t="inlineStr">
        <is>
          <t>his_note_adaptive</t>
        </is>
      </c>
      <c r="AA33" t="n">
        <v>-90</v>
      </c>
      <c r="AB33" t="n">
        <v>20000</v>
      </c>
      <c r="AC33" s="15" t="n">
        <v>0.5384615384615384</v>
      </c>
      <c r="AD33" s="15" t="n">
        <v>0.3083333333333333</v>
      </c>
      <c r="AE33" t="n">
        <v>1.024146451256055</v>
      </c>
      <c r="AF33" s="15" t="n">
        <v>1.002701991977177</v>
      </c>
      <c r="AG33" s="15" t="n">
        <v>0.04437590271783121</v>
      </c>
      <c r="AH33" s="15" t="n">
        <v>0.01619312653238847</v>
      </c>
      <c r="AI33" s="15" t="n">
        <v>0.803278467088005</v>
      </c>
      <c r="AJ33" s="15" t="n">
        <v>0.4084990168966834</v>
      </c>
      <c r="AK33" s="15" t="n">
        <v>0.07713312469787079</v>
      </c>
      <c r="AL33" s="15" t="n">
        <v>0.1137735568116777</v>
      </c>
      <c r="AM33" s="15" t="n">
        <v>0.4570135746606334</v>
      </c>
      <c r="AN33" s="15" t="n">
        <v>0.4186046511627906</v>
      </c>
      <c r="AO33" s="15" t="n">
        <v>0.002819548433440859</v>
      </c>
      <c r="AP33" s="15" t="n">
        <v>1.988308267612514</v>
      </c>
      <c r="AQ33" s="15" t="n">
        <v>0.8452853743762411</v>
      </c>
      <c r="AR33" s="15" t="n">
        <v>46.14932327712041</v>
      </c>
      <c r="AS33" s="15" t="n">
        <v>0.1183804592223629</v>
      </c>
      <c r="AT33" s="15" t="n">
        <v>1.397401482054552</v>
      </c>
      <c r="AU33" s="15" t="n">
        <v>0.5278662638329229</v>
      </c>
      <c r="AV33" s="15" t="n">
        <v>0.06304052172503856</v>
      </c>
      <c r="AW33" s="19" t="n">
        <v>0.7632487582280522</v>
      </c>
      <c r="AX33" s="19" t="n">
        <v>0</v>
      </c>
      <c r="AY33" s="19" t="n">
        <v>0.9991478832337596</v>
      </c>
      <c r="AZ33" s="19" t="n">
        <v>0.0008521167662404538</v>
      </c>
      <c r="BA33" s="19" t="n">
        <v>0</v>
      </c>
    </row>
    <row r="34">
      <c r="A34" t="inlineStr">
        <is>
          <t>G6</t>
        </is>
      </c>
      <c r="B34" t="n">
        <v>91</v>
      </c>
      <c r="C34" s="15" t="n">
        <v>-0.3662692002288479</v>
      </c>
      <c r="D34" s="15" t="n">
        <v>8.43937231536963</v>
      </c>
      <c r="E34" s="15" t="n">
        <v>0.9390291820323918</v>
      </c>
      <c r="F34" s="15" t="n">
        <v>0.2648331842030069</v>
      </c>
      <c r="G34" s="19" t="n">
        <v>0.2393248604464416</v>
      </c>
      <c r="H34" s="15" t="n">
        <v>0.03259003906871111</v>
      </c>
      <c r="I34" s="15" t="n">
        <v>8</v>
      </c>
      <c r="J34" s="15" t="n">
        <v>12</v>
      </c>
      <c r="K34" s="15" t="n">
        <v>0.6666666666666666</v>
      </c>
      <c r="L34" t="n">
        <v>8</v>
      </c>
      <c r="M34" t="n">
        <v>12</v>
      </c>
      <c r="N34" t="n">
        <v>0.6666666666666666</v>
      </c>
      <c r="O34" t="n">
        <v>28</v>
      </c>
      <c r="P34" t="n">
        <v>0</v>
      </c>
      <c r="Q34" s="15" t="n">
        <v>11.17224441001275</v>
      </c>
      <c r="R34" s="15" t="n">
        <v>5.593651878832494</v>
      </c>
      <c r="S34" s="15" t="n">
        <v>0.02893824183383592</v>
      </c>
      <c r="T34" s="15" t="n">
        <v>4.30600025429481</v>
      </c>
      <c r="U34" s="15" t="n">
        <v>12.42423742715192</v>
      </c>
      <c r="V34" s="15" t="n">
        <v>0</v>
      </c>
      <c r="W34" t="n">
        <v>1</v>
      </c>
      <c r="X34" t="n">
        <v>0.5</v>
      </c>
      <c r="Y34" t="n">
        <v>0.25</v>
      </c>
      <c r="Z34" t="inlineStr">
        <is>
          <t>his_note_adaptive</t>
        </is>
      </c>
      <c r="AA34" t="n">
        <v>-90</v>
      </c>
      <c r="AB34" t="n">
        <v>20000</v>
      </c>
      <c r="AC34" s="15" t="n">
        <v>0.6666666666666666</v>
      </c>
      <c r="AD34" s="15" t="n">
        <v>0.2333333333333333</v>
      </c>
      <c r="AE34" t="n">
        <v>1.0240887271288</v>
      </c>
      <c r="AF34" s="15" t="n">
        <v>1.002501506963074</v>
      </c>
      <c r="AG34" s="15" t="n">
        <v>0.06962155323216246</v>
      </c>
      <c r="AH34" s="15" t="n">
        <v>0</v>
      </c>
      <c r="AI34" s="15" t="n">
        <v>0.8790810568223202</v>
      </c>
      <c r="AJ34" s="15" t="n">
        <v>0.4525867309985435</v>
      </c>
      <c r="AK34" s="15" t="n">
        <v>0.08615842153324485</v>
      </c>
      <c r="AL34" s="15" t="n">
        <v>0.08078841090985414</v>
      </c>
      <c r="AM34" s="15" t="n">
        <v>0.6078431372549019</v>
      </c>
      <c r="AN34" s="15" t="n">
        <v>0.2093023255813953</v>
      </c>
      <c r="AO34" s="15" t="n">
        <v>0.00261034085169493</v>
      </c>
      <c r="AP34" s="15" t="n">
        <v>2.011170316811925</v>
      </c>
      <c r="AQ34" s="15" t="n">
        <v>0.8608803008874457</v>
      </c>
      <c r="AR34" s="15" t="n">
        <v>52.24251653676053</v>
      </c>
      <c r="AS34" s="15" t="n">
        <v>0.1340164226391972</v>
      </c>
      <c r="AT34" s="15" t="n">
        <v>1.403201124345339</v>
      </c>
      <c r="AU34" s="15" t="n">
        <v>0.5591832983747141</v>
      </c>
      <c r="AV34" s="15" t="n">
        <v>0.04878589409187217</v>
      </c>
      <c r="AW34" s="19" t="n">
        <v>0.7606751395535584</v>
      </c>
      <c r="AX34" s="19" t="n">
        <v>0</v>
      </c>
      <c r="AY34" s="19" t="n">
        <v>1</v>
      </c>
      <c r="AZ34" s="19" t="n">
        <v>0</v>
      </c>
      <c r="BA34" s="19" t="n">
        <v>0</v>
      </c>
    </row>
    <row r="35">
      <c r="A35" t="inlineStr">
        <is>
          <t>G#6</t>
        </is>
      </c>
      <c r="B35" t="n">
        <v>92</v>
      </c>
      <c r="C35" s="15" t="n">
        <v>-0.4427749819633574</v>
      </c>
      <c r="D35" s="15" t="n">
        <v>9.08091648743625</v>
      </c>
      <c r="E35" s="15" t="n">
        <v>0.8721834318913175</v>
      </c>
      <c r="F35" s="15" t="n">
        <v>0.2727490240234255</v>
      </c>
      <c r="G35" s="19" t="n">
        <v>0.2363867638625098</v>
      </c>
      <c r="H35" s="15" t="n">
        <v>0.05898278416393894</v>
      </c>
      <c r="I35" s="15" t="n">
        <v>12</v>
      </c>
      <c r="J35" s="15" t="n">
        <v>12</v>
      </c>
      <c r="K35" s="15" t="n">
        <v>1</v>
      </c>
      <c r="L35" t="n">
        <v>12</v>
      </c>
      <c r="M35" t="n">
        <v>12</v>
      </c>
      <c r="N35" t="n">
        <v>1</v>
      </c>
      <c r="O35" t="n">
        <v>42</v>
      </c>
      <c r="P35" t="n">
        <v>0</v>
      </c>
      <c r="Q35" s="15" t="n">
        <v>16.73099570359355</v>
      </c>
      <c r="R35" s="15" t="n">
        <v>8.034353388351352</v>
      </c>
      <c r="S35" s="15" t="n">
        <v>0.1220177804520773</v>
      </c>
      <c r="T35" s="15" t="n">
        <v>6.093869981147498</v>
      </c>
      <c r="U35" s="15" t="n">
        <v>18.39878544997731</v>
      </c>
      <c r="V35" s="15" t="n">
        <v>0</v>
      </c>
      <c r="W35" t="n">
        <v>1</v>
      </c>
      <c r="X35" t="n">
        <v>0.5</v>
      </c>
      <c r="Y35" t="n">
        <v>0.25</v>
      </c>
      <c r="Z35" t="inlineStr">
        <is>
          <t>his_note_adaptive</t>
        </is>
      </c>
      <c r="AA35" t="n">
        <v>-90</v>
      </c>
      <c r="AB35" t="n">
        <v>20000</v>
      </c>
      <c r="AC35" s="15" t="n">
        <v>1</v>
      </c>
      <c r="AD35" s="15" t="n">
        <v>0.35</v>
      </c>
      <c r="AE35" t="n">
        <v>1.030120119479548</v>
      </c>
      <c r="AF35" s="15" t="n">
        <v>1.00610143433862</v>
      </c>
      <c r="AG35" s="15" t="n">
        <v>0.03437031358952183</v>
      </c>
      <c r="AH35" s="15" t="n">
        <v>0.03747117589624441</v>
      </c>
      <c r="AI35" s="15" t="n">
        <v>0.7002482904234795</v>
      </c>
      <c r="AJ35" s="15" t="n">
        <v>0.4707979375051486</v>
      </c>
      <c r="AK35" s="15" t="n">
        <v>0.07585495503147203</v>
      </c>
      <c r="AL35" s="15" t="n">
        <v>0.1462141666537128</v>
      </c>
      <c r="AM35" s="15" t="n">
        <v>1</v>
      </c>
      <c r="AN35" s="15" t="n">
        <v>0.5348837209302325</v>
      </c>
      <c r="AO35" s="15" t="n">
        <v>0.006366891455085983</v>
      </c>
      <c r="AP35" s="15" t="n">
        <v>2.028834755706325</v>
      </c>
      <c r="AQ35" s="15" t="n">
        <v>0.8729297730942908</v>
      </c>
      <c r="AR35" s="15" t="n">
        <v>50.25800661946755</v>
      </c>
      <c r="AS35" s="15" t="n">
        <v>0.1289239000250416</v>
      </c>
      <c r="AT35" s="15" t="n">
        <v>1.407633146161599</v>
      </c>
      <c r="AU35" s="15" t="n">
        <v>0.5515712696645536</v>
      </c>
      <c r="AV35" s="15" t="n">
        <v>0.06963033988017234</v>
      </c>
      <c r="AW35" s="19" t="n">
        <v>0.7636132361374903</v>
      </c>
      <c r="AX35" s="19" t="n">
        <v>0</v>
      </c>
      <c r="AY35" s="19" t="n">
        <v>1</v>
      </c>
      <c r="AZ35" s="19" t="n">
        <v>0</v>
      </c>
      <c r="BA35" s="19" t="n">
        <v>0</v>
      </c>
    </row>
    <row r="36">
      <c r="A36" t="inlineStr">
        <is>
          <t>A6</t>
        </is>
      </c>
      <c r="B36" t="n">
        <v>93</v>
      </c>
      <c r="C36" s="15" t="n">
        <v>-0.2691194254895329</v>
      </c>
      <c r="D36" s="15" t="n">
        <v>8.693522523956707</v>
      </c>
      <c r="E36" s="15" t="n">
        <v>0.9373743998062347</v>
      </c>
      <c r="F36" s="15" t="n">
        <v>0.2824012829744266</v>
      </c>
      <c r="G36" s="19" t="n">
        <v>0.2422293869626669</v>
      </c>
      <c r="H36" s="15" t="n">
        <v>0.02544424625328895</v>
      </c>
      <c r="I36" s="15" t="n">
        <v>6</v>
      </c>
      <c r="J36" s="15" t="n">
        <v>11</v>
      </c>
      <c r="K36" s="15" t="n">
        <v>0.5454545454545454</v>
      </c>
      <c r="L36" t="n">
        <v>6</v>
      </c>
      <c r="M36" t="n">
        <v>11</v>
      </c>
      <c r="N36" t="n">
        <v>0.5454545454545454</v>
      </c>
      <c r="O36" t="n">
        <v>35</v>
      </c>
      <c r="P36" t="n">
        <v>0</v>
      </c>
      <c r="Q36" s="15" t="n">
        <v>12.54329861770229</v>
      </c>
      <c r="R36" s="15" t="n">
        <v>6.02824545215547</v>
      </c>
      <c r="S36" s="15" t="n">
        <v>0.04551207076522777</v>
      </c>
      <c r="T36" s="15" t="n">
        <v>3.309580582858552</v>
      </c>
      <c r="U36" s="15" t="n">
        <v>15.3587450511151</v>
      </c>
      <c r="V36" s="15" t="n">
        <v>0</v>
      </c>
      <c r="W36" t="n">
        <v>1</v>
      </c>
      <c r="X36" t="n">
        <v>0.5</v>
      </c>
      <c r="Y36" t="n">
        <v>0.25</v>
      </c>
      <c r="Z36" t="inlineStr">
        <is>
          <t>his_note_adaptive</t>
        </is>
      </c>
      <c r="AA36" t="n">
        <v>-90</v>
      </c>
      <c r="AB36" t="n">
        <v>20000</v>
      </c>
      <c r="AC36" s="15" t="n">
        <v>0.5454545454545454</v>
      </c>
      <c r="AD36" s="15" t="n">
        <v>0.2916666666666667</v>
      </c>
      <c r="AE36" t="n">
        <v>1.021456452195717</v>
      </c>
      <c r="AF36" s="15" t="n">
        <v>1.001424749811279</v>
      </c>
      <c r="AG36" s="15" t="n">
        <v>0.1143848366458053</v>
      </c>
      <c r="AH36" s="15" t="n">
        <v>0.01484435146430518</v>
      </c>
      <c r="AI36" s="15" t="n">
        <v>0.8746540097375501</v>
      </c>
      <c r="AJ36" s="15" t="n">
        <v>0.4930039554387725</v>
      </c>
      <c r="AK36" s="15" t="n">
        <v>0.09634416281455779</v>
      </c>
      <c r="AL36" s="15" t="n">
        <v>0.06307449393565641</v>
      </c>
      <c r="AM36" s="15" t="n">
        <v>0.4652406417112299</v>
      </c>
      <c r="AN36" s="15" t="n">
        <v>0.3720930232558141</v>
      </c>
      <c r="AO36" s="15" t="n">
        <v>0.001486736871304065</v>
      </c>
      <c r="AP36" s="15" t="n">
        <v>1.962395126711129</v>
      </c>
      <c r="AQ36" s="15" t="n">
        <v>0.8276092017590465</v>
      </c>
      <c r="AR36" s="15" t="n">
        <v>55.11369720293987</v>
      </c>
      <c r="AS36" s="15" t="n">
        <v>0.1413842631042071</v>
      </c>
      <c r="AT36" s="15" t="n">
        <v>1.39377604433608</v>
      </c>
      <c r="AU36" s="15" t="n">
        <v>0.5036249899623181</v>
      </c>
      <c r="AV36" s="15" t="n">
        <v>0.06499409241273077</v>
      </c>
      <c r="AW36" s="19" t="n">
        <v>0.757770613037333</v>
      </c>
      <c r="AX36" s="19" t="n">
        <v>0</v>
      </c>
      <c r="AY36" s="19" t="n">
        <v>1</v>
      </c>
      <c r="AZ36" s="19" t="n">
        <v>0</v>
      </c>
      <c r="BA36" s="19" t="n">
        <v>0</v>
      </c>
    </row>
    <row r="37">
      <c r="A37" t="inlineStr">
        <is>
          <t>A#6</t>
        </is>
      </c>
      <c r="B37" t="n">
        <v>94</v>
      </c>
      <c r="C37" s="15" t="n">
        <v>-0.2532130895155892</v>
      </c>
      <c r="D37" s="15" t="n">
        <v>11.04996807676959</v>
      </c>
      <c r="E37" s="15" t="n">
        <v>0.741356838826269</v>
      </c>
      <c r="F37" s="15" t="n">
        <v>0.4377191940051115</v>
      </c>
      <c r="G37" s="19" t="n">
        <v>0.2549310632467024</v>
      </c>
      <c r="H37" s="15" t="n">
        <v>0.04708169559078002</v>
      </c>
      <c r="I37" s="15" t="n">
        <v>10</v>
      </c>
      <c r="J37" s="15" t="n">
        <v>10</v>
      </c>
      <c r="K37" s="15" t="n">
        <v>1</v>
      </c>
      <c r="L37" t="n">
        <v>10</v>
      </c>
      <c r="M37" t="n">
        <v>10</v>
      </c>
      <c r="N37" t="n">
        <v>1</v>
      </c>
      <c r="O37" t="n">
        <v>62</v>
      </c>
      <c r="P37" t="n">
        <v>0</v>
      </c>
      <c r="Q37" s="15" t="n">
        <v>22.56433822423851</v>
      </c>
      <c r="R37" s="15" t="n">
        <v>11.69531474923508</v>
      </c>
      <c r="S37" s="15" t="n">
        <v>0.2616336216523565</v>
      </c>
      <c r="T37" s="15" t="n">
        <v>5.756206440040039</v>
      </c>
      <c r="U37" s="15" t="n">
        <v>30.33638142150903</v>
      </c>
      <c r="V37" s="15" t="n">
        <v>0</v>
      </c>
      <c r="W37" t="n">
        <v>1</v>
      </c>
      <c r="X37" t="n">
        <v>0.5</v>
      </c>
      <c r="Y37" t="n">
        <v>0.25</v>
      </c>
      <c r="Z37" t="inlineStr">
        <is>
          <t>his_note_adaptive</t>
        </is>
      </c>
      <c r="AA37" t="n">
        <v>-90</v>
      </c>
      <c r="AB37" t="n">
        <v>20000</v>
      </c>
      <c r="AC37" s="15" t="n">
        <v>1</v>
      </c>
      <c r="AD37" s="15" t="n">
        <v>0.5166666666666667</v>
      </c>
      <c r="AE37" t="n">
        <v>1.090191907299088</v>
      </c>
      <c r="AF37" s="15" t="n">
        <v>1.010809640117247</v>
      </c>
      <c r="AG37" s="15" t="n">
        <v>0.1217139305853934</v>
      </c>
      <c r="AH37" s="15" t="n">
        <v>0.1524791233848974</v>
      </c>
      <c r="AI37" s="15" t="n">
        <v>0.3502472580918524</v>
      </c>
      <c r="AJ37" s="15" t="n">
        <v>0.8503288402423098</v>
      </c>
      <c r="AK37" s="15" t="n">
        <v>0.1408870470834564</v>
      </c>
      <c r="AL37" s="15" t="n">
        <v>0.1167122065027654</v>
      </c>
      <c r="AM37" s="15" t="n">
        <v>1</v>
      </c>
      <c r="AN37" s="15" t="n">
        <v>1</v>
      </c>
      <c r="AO37" s="15" t="n">
        <v>0.01127993869563139</v>
      </c>
      <c r="AP37" s="15" t="n">
        <v>2.063058900065997</v>
      </c>
      <c r="AQ37" s="15" t="n">
        <v>0.8962751439113431</v>
      </c>
      <c r="AR37" s="15" t="n">
        <v>57.61351632531486</v>
      </c>
      <c r="AS37" s="15" t="n">
        <v>0.1477991392915524</v>
      </c>
      <c r="AT37" s="15" t="n">
        <v>1.399309706015026</v>
      </c>
      <c r="AU37" s="15" t="n">
        <v>0.5756250260068624</v>
      </c>
      <c r="AV37" s="15" t="n">
        <v>0.08812416804410812</v>
      </c>
      <c r="AW37" s="19" t="n">
        <v>0.7450689367532977</v>
      </c>
      <c r="AX37" s="19" t="n">
        <v>0</v>
      </c>
      <c r="AY37" s="19" t="n">
        <v>1</v>
      </c>
      <c r="AZ37" s="19" t="n">
        <v>0</v>
      </c>
      <c r="BA37" s="19" t="n">
        <v>0</v>
      </c>
    </row>
    <row r="38">
      <c r="A38" t="inlineStr">
        <is>
          <t>B6</t>
        </is>
      </c>
      <c r="B38" t="n">
        <v>95</v>
      </c>
      <c r="C38" s="15" t="n">
        <v>0.7170454836743319</v>
      </c>
      <c r="D38" s="15" t="n">
        <v>10.6054516887273</v>
      </c>
      <c r="E38" s="15" t="n">
        <v>0.9778687830328046</v>
      </c>
      <c r="F38" s="15" t="n">
        <v>0.4425564566167894</v>
      </c>
      <c r="G38" s="19" t="n">
        <v>0.499912384022712</v>
      </c>
      <c r="H38" s="15" t="n">
        <v>0</v>
      </c>
      <c r="I38" s="15" t="n">
        <v>2</v>
      </c>
      <c r="J38" s="15" t="n">
        <v>10</v>
      </c>
      <c r="K38" s="15" t="n">
        <v>0.2</v>
      </c>
      <c r="L38" t="n">
        <v>2</v>
      </c>
      <c r="M38" t="n">
        <v>10</v>
      </c>
      <c r="N38" t="n">
        <v>0.2</v>
      </c>
      <c r="O38" t="n">
        <v>42</v>
      </c>
      <c r="P38" t="n">
        <v>0</v>
      </c>
      <c r="Q38" s="15" t="n">
        <v>41.99878749927026</v>
      </c>
      <c r="R38" s="15" t="n">
        <v>24.31475073673479</v>
      </c>
      <c r="S38" s="15" t="n">
        <v>0.7428933229135971</v>
      </c>
      <c r="T38" s="15" t="n">
        <v>1.00233136175613</v>
      </c>
      <c r="U38" s="15" t="n">
        <v>24.31545741629364</v>
      </c>
      <c r="V38" s="15" t="n">
        <v>0</v>
      </c>
      <c r="W38" t="n">
        <v>1</v>
      </c>
      <c r="X38" t="n">
        <v>0.5</v>
      </c>
      <c r="Y38" t="n">
        <v>0.25</v>
      </c>
      <c r="Z38" t="inlineStr">
        <is>
          <t>his_note_adaptive</t>
        </is>
      </c>
      <c r="AA38" t="n">
        <v>-90</v>
      </c>
      <c r="AB38" t="n">
        <v>20000</v>
      </c>
      <c r="AC38" s="15" t="n">
        <v>0.2</v>
      </c>
      <c r="AD38" s="15" t="n">
        <v>0.35</v>
      </c>
      <c r="AE38" t="n">
        <v>2.691452002077082</v>
      </c>
      <c r="AF38" s="15" t="n">
        <v>1</v>
      </c>
      <c r="AG38" s="15" t="n">
        <v>0.5687757957596512</v>
      </c>
      <c r="AH38" s="15" t="n">
        <v>0.1265159044978178</v>
      </c>
      <c r="AI38" s="15" t="n">
        <v>0.9829888337276923</v>
      </c>
      <c r="AJ38" s="15" t="n">
        <v>0.8614574621379572</v>
      </c>
      <c r="AK38" s="15" t="n">
        <v>1</v>
      </c>
      <c r="AL38" s="15" t="n">
        <v>0</v>
      </c>
      <c r="AM38" s="15" t="n">
        <v>0.05882352941176473</v>
      </c>
      <c r="AN38" s="15" t="n">
        <v>0.5348837209302325</v>
      </c>
      <c r="AO38" s="15" t="n">
        <v>0</v>
      </c>
      <c r="AP38" s="15" t="n">
        <v>0.7491260372475459</v>
      </c>
      <c r="AQ38" s="15" t="n">
        <v>0</v>
      </c>
      <c r="AR38" s="15" t="n">
        <v>0.01753101223131434</v>
      </c>
      <c r="AS38" s="15" t="n">
        <v>0</v>
      </c>
      <c r="AT38" s="15" t="n">
        <v>0.3851246512183522</v>
      </c>
      <c r="AU38" s="15" t="n">
        <v>0.2880543292183747</v>
      </c>
      <c r="AV38" s="15" t="n">
        <v>0.07594705681081888</v>
      </c>
      <c r="AW38" s="19" t="n">
        <v>0.5000876159772879</v>
      </c>
      <c r="AX38" s="19" t="n">
        <v>0</v>
      </c>
      <c r="AY38" s="19" t="n">
        <v>1</v>
      </c>
      <c r="AZ38" s="19" t="n">
        <v>0</v>
      </c>
      <c r="BA38" s="19" t="n">
        <v>0</v>
      </c>
    </row>
  </sheetData>
  <autoFilter ref="A1:BA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5" customWidth="1" min="3" max="3"/>
    <col width="26" customWidth="1" min="4" max="4"/>
  </cols>
  <sheetData>
    <row r="1">
      <c r="A1" s="11" t="inlineStr">
        <is>
          <t>Note</t>
        </is>
      </c>
      <c r="B1" s="11" t="inlineStr">
        <is>
          <t>MIDI</t>
        </is>
      </c>
      <c r="C1" s="11" t="inlineStr">
        <is>
          <t>Combined Density Metric</t>
        </is>
      </c>
      <c r="D1" s="11" t="inlineStr">
        <is>
          <t>Weighted Combined Metric</t>
        </is>
      </c>
    </row>
    <row r="2">
      <c r="A2" t="inlineStr">
        <is>
          <t>B3</t>
        </is>
      </c>
      <c r="B2" t="n">
        <v>59</v>
      </c>
      <c r="C2" s="15" t="n">
        <v>2.623815423941732</v>
      </c>
      <c r="D2" s="15" t="n">
        <v>4.274886202066259</v>
      </c>
    </row>
    <row r="3">
      <c r="A3" t="inlineStr">
        <is>
          <t>C4</t>
        </is>
      </c>
      <c r="B3" t="n">
        <v>60</v>
      </c>
      <c r="C3" s="15" t="n">
        <v>3.047527010543357</v>
      </c>
      <c r="D3" s="15" t="n">
        <v>4.063256260403942</v>
      </c>
    </row>
    <row r="4">
      <c r="A4" t="inlineStr">
        <is>
          <t>C#4</t>
        </is>
      </c>
      <c r="B4" t="n">
        <v>61</v>
      </c>
      <c r="C4" s="15" t="n">
        <v>3.521029500032292</v>
      </c>
      <c r="D4" s="15" t="n">
        <v>4.189185113681291</v>
      </c>
    </row>
    <row r="5">
      <c r="A5" t="inlineStr">
        <is>
          <t>D4</t>
        </is>
      </c>
      <c r="B5" t="n">
        <v>62</v>
      </c>
      <c r="C5" s="15" t="n">
        <v>3.897491331273849</v>
      </c>
      <c r="D5" s="15" t="n">
        <v>3.811396691189224</v>
      </c>
    </row>
    <row r="6">
      <c r="A6" t="inlineStr">
        <is>
          <t>D#4</t>
        </is>
      </c>
      <c r="B6" t="n">
        <v>63</v>
      </c>
      <c r="C6" s="15" t="n">
        <v>3.726092226506264</v>
      </c>
      <c r="D6" s="15" t="n">
        <v>3.852607169878875</v>
      </c>
    </row>
    <row r="7">
      <c r="A7" t="inlineStr">
        <is>
          <t>E4</t>
        </is>
      </c>
      <c r="B7" t="n">
        <v>64</v>
      </c>
      <c r="C7" s="15" t="n">
        <v>3.88459281845766</v>
      </c>
      <c r="D7" s="15" t="n">
        <v>3.950042151474519</v>
      </c>
    </row>
    <row r="8">
      <c r="A8" t="inlineStr">
        <is>
          <t>F4</t>
        </is>
      </c>
      <c r="B8" t="n">
        <v>65</v>
      </c>
      <c r="C8" s="15" t="n">
        <v>5.281628266674583</v>
      </c>
      <c r="D8" s="15" t="n">
        <v>4.164549740736692</v>
      </c>
    </row>
    <row r="9">
      <c r="A9" t="inlineStr">
        <is>
          <t>F#4</t>
        </is>
      </c>
      <c r="B9" t="n">
        <v>66</v>
      </c>
      <c r="C9" s="15" t="n">
        <v>3.716343291387371</v>
      </c>
      <c r="D9" s="15" t="n">
        <v>4.197018853654598</v>
      </c>
    </row>
    <row r="10">
      <c r="A10" t="inlineStr">
        <is>
          <t>G4</t>
        </is>
      </c>
      <c r="B10" t="n">
        <v>67</v>
      </c>
      <c r="C10" s="15" t="n">
        <v>5.967217263134271</v>
      </c>
      <c r="D10" s="15" t="n">
        <v>4.249639408598511</v>
      </c>
    </row>
    <row r="11">
      <c r="A11" t="inlineStr">
        <is>
          <t>G#4</t>
        </is>
      </c>
      <c r="B11" t="n">
        <v>68</v>
      </c>
      <c r="C11" s="15" t="n">
        <v>3.874794032462805</v>
      </c>
      <c r="D11" s="15" t="n">
        <v>4.152704906962818</v>
      </c>
    </row>
    <row r="12">
      <c r="A12" t="inlineStr">
        <is>
          <t>A4</t>
        </is>
      </c>
      <c r="B12" t="n">
        <v>69</v>
      </c>
      <c r="C12" s="15" t="n">
        <v>3.482059763014498</v>
      </c>
      <c r="D12" s="15" t="n">
        <v>4.014511369770673</v>
      </c>
    </row>
    <row r="13">
      <c r="A13" t="inlineStr">
        <is>
          <t>A#4</t>
        </is>
      </c>
      <c r="B13" t="n">
        <v>70</v>
      </c>
      <c r="C13" s="15" t="n">
        <v>2.71508300478632</v>
      </c>
      <c r="D13" s="15" t="n">
        <v>3.956654849670279</v>
      </c>
    </row>
    <row r="14">
      <c r="A14" t="inlineStr">
        <is>
          <t>B4</t>
        </is>
      </c>
      <c r="B14" t="n">
        <v>71</v>
      </c>
      <c r="C14" s="15" t="n">
        <v>1.817064370866448</v>
      </c>
      <c r="D14" s="15" t="n">
        <v>3.818340071668912</v>
      </c>
    </row>
    <row r="15">
      <c r="A15" t="inlineStr">
        <is>
          <t>C5</t>
        </is>
      </c>
      <c r="B15" t="n">
        <v>72</v>
      </c>
      <c r="C15" s="15" t="n">
        <v>1.956407293689568</v>
      </c>
      <c r="D15" s="15" t="n">
        <v>2.897514989794878</v>
      </c>
    </row>
    <row r="16">
      <c r="A16" t="inlineStr">
        <is>
          <t>C#5</t>
        </is>
      </c>
      <c r="B16" t="n">
        <v>73</v>
      </c>
      <c r="C16" s="15" t="n">
        <v>2.094991102865774</v>
      </c>
      <c r="D16" s="15" t="n">
        <v>2.703252641772551</v>
      </c>
    </row>
    <row r="17">
      <c r="A17" t="inlineStr">
        <is>
          <t>D5</t>
        </is>
      </c>
      <c r="B17" t="n">
        <v>74</v>
      </c>
      <c r="C17" s="15" t="n">
        <v>1.677950175609794</v>
      </c>
      <c r="D17" s="15" t="n">
        <v>2.736610369521378</v>
      </c>
    </row>
    <row r="18">
      <c r="A18" t="inlineStr">
        <is>
          <t>D#5</t>
        </is>
      </c>
      <c r="B18" t="n">
        <v>75</v>
      </c>
      <c r="C18" s="15" t="n">
        <v>1.956294068895561</v>
      </c>
      <c r="D18" s="15" t="n">
        <v>2.826633403664578</v>
      </c>
    </row>
    <row r="19">
      <c r="A19" t="inlineStr">
        <is>
          <t>E5</t>
        </is>
      </c>
      <c r="B19" t="n">
        <v>76</v>
      </c>
      <c r="C19" s="15" t="n">
        <v>1.483191300461976</v>
      </c>
      <c r="D19" s="15" t="n">
        <v>2.574535902657147</v>
      </c>
    </row>
    <row r="20">
      <c r="A20" t="inlineStr">
        <is>
          <t>F5</t>
        </is>
      </c>
      <c r="B20" t="n">
        <v>77</v>
      </c>
      <c r="C20" s="15" t="n">
        <v>1.360569415366398</v>
      </c>
      <c r="D20" s="15" t="n">
        <v>2.656110591966618</v>
      </c>
    </row>
    <row r="21">
      <c r="A21" t="inlineStr">
        <is>
          <t>F#5</t>
        </is>
      </c>
      <c r="B21" t="n">
        <v>78</v>
      </c>
      <c r="C21" s="15" t="n">
        <v>1.405952631765048</v>
      </c>
      <c r="D21" s="15" t="n">
        <v>2.791660509276401</v>
      </c>
    </row>
    <row r="22">
      <c r="A22" t="inlineStr">
        <is>
          <t>G5</t>
        </is>
      </c>
      <c r="B22" t="n">
        <v>79</v>
      </c>
      <c r="C22" s="15" t="n">
        <v>1.716111012351998</v>
      </c>
      <c r="D22" s="15" t="n">
        <v>3.048015970413874</v>
      </c>
    </row>
    <row r="23">
      <c r="A23" t="inlineStr">
        <is>
          <t>G#5</t>
        </is>
      </c>
      <c r="B23" t="n">
        <v>80</v>
      </c>
      <c r="C23" s="15" t="n">
        <v>1.431467110462233</v>
      </c>
      <c r="D23" s="15" t="n">
        <v>2.556153734399918</v>
      </c>
    </row>
    <row r="24">
      <c r="A24" t="inlineStr">
        <is>
          <t>A5</t>
        </is>
      </c>
      <c r="B24" t="n">
        <v>81</v>
      </c>
      <c r="C24" s="15" t="n">
        <v>1.094797467734546</v>
      </c>
      <c r="D24" s="15" t="n">
        <v>2.612561718531336</v>
      </c>
    </row>
    <row r="25">
      <c r="A25" t="inlineStr">
        <is>
          <t>A#5</t>
        </is>
      </c>
      <c r="B25" t="n">
        <v>82</v>
      </c>
      <c r="C25" s="15" t="n">
        <v>1.378242401888746</v>
      </c>
      <c r="D25" s="15" t="n">
        <v>2.529098043366603</v>
      </c>
    </row>
    <row r="26">
      <c r="A26" t="inlineStr">
        <is>
          <t>B5</t>
        </is>
      </c>
      <c r="B26" t="n">
        <v>83</v>
      </c>
      <c r="C26" s="15" t="n">
        <v>1.077788432071058</v>
      </c>
      <c r="D26" s="15" t="n">
        <v>3.327359597529634</v>
      </c>
    </row>
    <row r="27">
      <c r="A27" t="inlineStr">
        <is>
          <t>C6</t>
        </is>
      </c>
      <c r="B27" t="n">
        <v>84</v>
      </c>
      <c r="C27" s="15" t="n">
        <v>3.532602821641021</v>
      </c>
      <c r="D27" s="15" t="n">
        <v>3.463095302325265</v>
      </c>
    </row>
    <row r="28">
      <c r="A28" t="inlineStr">
        <is>
          <t>C#6</t>
        </is>
      </c>
      <c r="B28" t="n">
        <v>85</v>
      </c>
      <c r="C28" s="15" t="n">
        <v>1.522672309253726</v>
      </c>
      <c r="D28" s="15" t="n">
        <v>3.163498820239811</v>
      </c>
    </row>
    <row r="29">
      <c r="A29" t="inlineStr">
        <is>
          <t>D6</t>
        </is>
      </c>
      <c r="B29" t="n">
        <v>86</v>
      </c>
      <c r="C29" s="15" t="n">
        <v>1.27940960198942</v>
      </c>
      <c r="D29" s="15" t="n">
        <v>2.897200828601115</v>
      </c>
    </row>
    <row r="30">
      <c r="A30" t="inlineStr">
        <is>
          <t>D#6</t>
        </is>
      </c>
      <c r="B30" t="n">
        <v>87</v>
      </c>
      <c r="C30" s="15" t="n">
        <v>1.389849598891429</v>
      </c>
      <c r="D30" s="15" t="n">
        <v>3.20439824711016</v>
      </c>
    </row>
    <row r="31">
      <c r="A31" t="inlineStr">
        <is>
          <t>E6</t>
        </is>
      </c>
      <c r="B31" t="n">
        <v>88</v>
      </c>
      <c r="C31" s="15" t="n">
        <v>1.444894845582217</v>
      </c>
      <c r="D31" s="15" t="n">
        <v>3.169440071143645</v>
      </c>
    </row>
    <row r="32">
      <c r="A32" t="inlineStr">
        <is>
          <t>F6</t>
        </is>
      </c>
      <c r="B32" t="n">
        <v>89</v>
      </c>
      <c r="C32" s="15" t="n">
        <v>1.759787630350388</v>
      </c>
      <c r="D32" s="15" t="n">
        <v>2.424303399334296</v>
      </c>
    </row>
    <row r="33">
      <c r="A33" t="inlineStr">
        <is>
          <t>F#6</t>
        </is>
      </c>
      <c r="B33" t="n">
        <v>90</v>
      </c>
      <c r="C33" s="15" t="n">
        <v>1.264692691161956</v>
      </c>
      <c r="D33" s="15" t="n">
        <v>2.739802162751145</v>
      </c>
    </row>
    <row r="34">
      <c r="A34" t="inlineStr">
        <is>
          <t>G6</t>
        </is>
      </c>
      <c r="B34" t="n">
        <v>91</v>
      </c>
      <c r="C34" s="15" t="n">
        <v>1.36915081407439</v>
      </c>
      <c r="D34" s="15" t="n">
        <v>2.258183325735513</v>
      </c>
    </row>
    <row r="35">
      <c r="A35" t="inlineStr">
        <is>
          <t>G#6</t>
        </is>
      </c>
      <c r="B35" t="n">
        <v>92</v>
      </c>
      <c r="C35" s="15" t="n">
        <v>1.924207545824169</v>
      </c>
      <c r="D35" s="15" t="n">
        <v>2.719297109429341</v>
      </c>
    </row>
    <row r="36">
      <c r="A36" t="inlineStr">
        <is>
          <t>A6</t>
        </is>
      </c>
      <c r="B36" t="n">
        <v>93</v>
      </c>
      <c r="C36" s="15" t="n">
        <v>1.014613938012849</v>
      </c>
      <c r="D36" s="15" t="n">
        <v>2.632490387862865</v>
      </c>
    </row>
    <row r="37">
      <c r="A37" t="inlineStr">
        <is>
          <t>A#6</t>
        </is>
      </c>
      <c r="B37" t="n">
        <v>94</v>
      </c>
      <c r="C37" s="15" t="n">
        <v>1.126977482008791</v>
      </c>
      <c r="D37" s="15" t="n">
        <v>3.532454451436393</v>
      </c>
    </row>
    <row r="38">
      <c r="A38" t="inlineStr">
        <is>
          <t>B6</t>
        </is>
      </c>
      <c r="B38" t="n">
        <v>95</v>
      </c>
      <c r="C38" s="15" t="n">
        <v>0.7734106937706117</v>
      </c>
      <c r="D38" s="15" t="n">
        <v>2.45209200482297</v>
      </c>
    </row>
  </sheetData>
  <autoFilter ref="A1:D38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V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4" customWidth="1" min="3" max="3"/>
    <col width="45" customWidth="1" min="4" max="4"/>
    <col width="48" customWidth="1" min="5" max="5"/>
    <col width="11" customWidth="1" min="6" max="6"/>
    <col width="15" customWidth="1" min="7" max="7"/>
    <col width="10" customWidth="1" min="8" max="8"/>
    <col width="12" customWidth="1" min="9" max="9"/>
    <col width="14" customWidth="1" min="10" max="10"/>
    <col width="16" customWidth="1" min="11" max="11"/>
    <col width="23" customWidth="1" min="12" max="12"/>
    <col width="19" customWidth="1" min="13" max="13"/>
    <col width="18" customWidth="1" min="14" max="14"/>
    <col width="18" customWidth="1" min="15" max="15"/>
    <col width="18" customWidth="1" min="16" max="16"/>
    <col width="24" customWidth="1" min="17" max="17"/>
    <col width="25" customWidth="1" min="18" max="18"/>
    <col width="27" customWidth="1" min="19" max="19"/>
    <col width="24" customWidth="1" min="20" max="20"/>
    <col width="31" customWidth="1" min="21" max="21"/>
    <col width="30" customWidth="1" min="22" max="22"/>
  </cols>
  <sheetData>
    <row r="1">
      <c r="A1" s="11" t="inlineStr">
        <is>
          <t>Note</t>
        </is>
      </c>
      <c r="B1" s="11" t="inlineStr">
        <is>
          <t>MIDI</t>
        </is>
      </c>
      <c r="C1" s="11" t="inlineStr">
        <is>
          <t>f0_used_for_density_hz</t>
        </is>
      </c>
      <c r="D1" s="11" t="inlineStr">
        <is>
          <t>f0_used_for_density_source</t>
        </is>
      </c>
      <c r="E1" s="11" t="inlineStr">
        <is>
          <t>acoustic_f0_status</t>
        </is>
      </c>
      <c r="F1" s="11" t="inlineStr">
        <is>
          <t>tier_name</t>
        </is>
      </c>
      <c r="G1" s="11" t="inlineStr">
        <is>
          <t>fft_policy</t>
        </is>
      </c>
      <c r="H1" s="11" t="inlineStr">
        <is>
          <t>n_fft</t>
        </is>
      </c>
      <c r="I1" s="11" t="inlineStr">
        <is>
          <t>hop_length</t>
        </is>
      </c>
      <c r="J1" s="11" t="inlineStr">
        <is>
          <t>zero_padding</t>
        </is>
      </c>
      <c r="K1" s="11" t="inlineStr">
        <is>
          <t>window_type</t>
        </is>
      </c>
      <c r="L1" s="11" t="inlineStr">
        <is>
          <t>harmonic_tolerance_hz</t>
        </is>
      </c>
      <c r="M1" s="11" t="inlineStr">
        <is>
          <t>frequency_min_hz</t>
        </is>
      </c>
      <c r="N1" s="11" t="inlineStr">
        <is>
          <t>frequency_max_hz</t>
        </is>
      </c>
      <c r="O1" s="11" t="inlineStr">
        <is>
          <t>magnitude_min_db</t>
        </is>
      </c>
      <c r="P1" s="11" t="inlineStr">
        <is>
          <t>magnitude_max_db</t>
        </is>
      </c>
      <c r="Q1" s="11" t="inlineStr">
        <is>
          <t>density_summation_mode</t>
        </is>
      </c>
      <c r="R1" s="11" t="inlineStr">
        <is>
          <t>harmonic_density_weight</t>
        </is>
      </c>
      <c r="S1" s="11" t="inlineStr">
        <is>
          <t>inharmonic_density_weight</t>
        </is>
      </c>
      <c r="T1" s="11" t="inlineStr">
        <is>
          <t>subbass_density_weight</t>
        </is>
      </c>
      <c r="U1" s="11" t="inlineStr">
        <is>
          <t>density_salience_threshold_db</t>
        </is>
      </c>
      <c r="V1" s="11" t="inlineStr">
        <is>
          <t>density_frequency_ceiling_hz</t>
        </is>
      </c>
    </row>
    <row r="2">
      <c r="A2" t="inlineStr">
        <is>
          <t>B3</t>
        </is>
      </c>
      <c r="B2" t="n">
        <v>59</v>
      </c>
      <c r="C2" s="15" t="n">
        <v>246.2889292393006</v>
      </c>
      <c r="D2" s="15" t="inlineStr">
        <is>
          <t>prior_constrained_harmonic_fit</t>
        </is>
      </c>
      <c r="E2" s="15" t="inlineStr">
        <is>
          <t>fit_accepted_acoustically_verified</t>
        </is>
      </c>
      <c r="F2" t="inlineStr">
        <is>
          <t>Tier_30</t>
        </is>
      </c>
      <c r="G2" t="inlineStr">
        <is>
          <t>adaptive_tier</t>
        </is>
      </c>
      <c r="H2" t="n">
        <v>4096</v>
      </c>
      <c r="I2" t="n">
        <v>512</v>
      </c>
      <c r="J2" t="n">
        <v>2</v>
      </c>
      <c r="K2" t="inlineStr">
        <is>
          <t>blackmanharris</t>
        </is>
      </c>
      <c r="L2" s="15" t="n">
        <v>8.199999999999999</v>
      </c>
      <c r="M2" t="n">
        <v>219.6248271597629</v>
      </c>
      <c r="N2" t="n">
        <v>20000</v>
      </c>
      <c r="O2" t="n">
        <v>-90</v>
      </c>
      <c r="P2" t="n">
        <v>0</v>
      </c>
      <c r="Q2" t="inlineStr">
        <is>
          <t>his_note_adaptive</t>
        </is>
      </c>
      <c r="R2" t="n">
        <v>1</v>
      </c>
      <c r="S2" t="n">
        <v>0.5</v>
      </c>
      <c r="T2" t="n">
        <v>0.25</v>
      </c>
      <c r="U2" t="n">
        <v>-90</v>
      </c>
      <c r="V2" s="15" t="n">
        <v>20000</v>
      </c>
    </row>
    <row r="3">
      <c r="A3" t="inlineStr">
        <is>
          <t>C4</t>
        </is>
      </c>
      <c r="B3" t="n">
        <v>60</v>
      </c>
      <c r="C3" s="15" t="n">
        <v>261.5832572353145</v>
      </c>
      <c r="D3" s="15" t="inlineStr">
        <is>
          <t>prior_constrained_harmonic_fit</t>
        </is>
      </c>
      <c r="E3" s="15" t="inlineStr">
        <is>
          <t>fit_accepted_acoustically_verified</t>
        </is>
      </c>
      <c r="F3" t="inlineStr">
        <is>
          <t>Tier_31</t>
        </is>
      </c>
      <c r="G3" t="inlineStr">
        <is>
          <t>adaptive_tier</t>
        </is>
      </c>
      <c r="H3" t="n">
        <v>4096</v>
      </c>
      <c r="I3" t="n">
        <v>512</v>
      </c>
      <c r="J3" t="n">
        <v>2</v>
      </c>
      <c r="K3" t="inlineStr">
        <is>
          <t>blackmanharris</t>
        </is>
      </c>
      <c r="L3" s="15" t="n">
        <v>8.4</v>
      </c>
      <c r="M3" t="n">
        <v>233.5090327307839</v>
      </c>
      <c r="N3" t="n">
        <v>20000</v>
      </c>
      <c r="O3" t="n">
        <v>-90</v>
      </c>
      <c r="P3" t="n">
        <v>0</v>
      </c>
      <c r="Q3" t="inlineStr">
        <is>
          <t>his_note_adaptive</t>
        </is>
      </c>
      <c r="R3" t="n">
        <v>1</v>
      </c>
      <c r="S3" t="n">
        <v>0.5</v>
      </c>
      <c r="T3" t="n">
        <v>0.25</v>
      </c>
      <c r="U3" t="n">
        <v>-90</v>
      </c>
      <c r="V3" s="15" t="n">
        <v>20000</v>
      </c>
    </row>
    <row r="4">
      <c r="A4" t="inlineStr">
        <is>
          <t>C#4</t>
        </is>
      </c>
      <c r="B4" t="n">
        <v>61</v>
      </c>
      <c r="C4" s="15" t="n">
        <v>277.0547427754287</v>
      </c>
      <c r="D4" s="15" t="inlineStr">
        <is>
          <t>prior_constrained_harmonic_fit</t>
        </is>
      </c>
      <c r="E4" s="15" t="inlineStr">
        <is>
          <t>fit_accepted_acoustically_verified</t>
        </is>
      </c>
      <c r="F4" t="inlineStr">
        <is>
          <t>Tier_32</t>
        </is>
      </c>
      <c r="G4" t="inlineStr">
        <is>
          <t>adaptive_tier</t>
        </is>
      </c>
      <c r="H4" t="n">
        <v>4096</v>
      </c>
      <c r="I4" t="n">
        <v>512</v>
      </c>
      <c r="J4" t="n">
        <v>2</v>
      </c>
      <c r="K4" t="inlineStr">
        <is>
          <t>blackmanharris</t>
        </is>
      </c>
      <c r="L4" s="15" t="n">
        <v>8.6</v>
      </c>
      <c r="M4" t="n">
        <v>248.2678714022651</v>
      </c>
      <c r="N4" t="n">
        <v>20000</v>
      </c>
      <c r="O4" t="n">
        <v>-90</v>
      </c>
      <c r="P4" t="n">
        <v>0</v>
      </c>
      <c r="Q4" t="inlineStr">
        <is>
          <t>his_note_adaptive</t>
        </is>
      </c>
      <c r="R4" t="n">
        <v>1</v>
      </c>
      <c r="S4" t="n">
        <v>0.5</v>
      </c>
      <c r="T4" t="n">
        <v>0.25</v>
      </c>
      <c r="U4" t="n">
        <v>-90</v>
      </c>
      <c r="V4" s="15" t="n">
        <v>20000</v>
      </c>
    </row>
    <row r="5">
      <c r="A5" t="inlineStr">
        <is>
          <t>D4</t>
        </is>
      </c>
      <c r="B5" t="n">
        <v>62</v>
      </c>
      <c r="C5" s="15" t="n">
        <v>293.2659000702337</v>
      </c>
      <c r="D5" s="15" t="inlineStr">
        <is>
          <t>prior_constrained_harmonic_fit</t>
        </is>
      </c>
      <c r="E5" s="15" t="inlineStr">
        <is>
          <t>fit_accepted_acoustically_verified</t>
        </is>
      </c>
      <c r="F5" t="inlineStr">
        <is>
          <t>Tier_33</t>
        </is>
      </c>
      <c r="G5" t="inlineStr">
        <is>
          <t>adaptive_tier</t>
        </is>
      </c>
      <c r="H5" t="n">
        <v>4096</v>
      </c>
      <c r="I5" t="n">
        <v>512</v>
      </c>
      <c r="J5" t="n">
        <v>2</v>
      </c>
      <c r="K5" t="inlineStr">
        <is>
          <t>blackmanharris</t>
        </is>
      </c>
      <c r="L5" s="15" t="n">
        <v>8.800000000000001</v>
      </c>
      <c r="M5" t="n">
        <v>263.9562673539427</v>
      </c>
      <c r="N5" t="n">
        <v>20000</v>
      </c>
      <c r="O5" t="n">
        <v>-90</v>
      </c>
      <c r="P5" t="n">
        <v>0</v>
      </c>
      <c r="Q5" t="inlineStr">
        <is>
          <t>his_note_adaptive</t>
        </is>
      </c>
      <c r="R5" t="n">
        <v>1</v>
      </c>
      <c r="S5" t="n">
        <v>0.5</v>
      </c>
      <c r="T5" t="n">
        <v>0.25</v>
      </c>
      <c r="U5" t="n">
        <v>-90</v>
      </c>
      <c r="V5" s="15" t="n">
        <v>20000</v>
      </c>
    </row>
    <row r="6">
      <c r="A6" t="inlineStr">
        <is>
          <t>D#4</t>
        </is>
      </c>
      <c r="B6" t="n">
        <v>63</v>
      </c>
      <c r="C6" s="15" t="n">
        <v>311.1345551043926</v>
      </c>
      <c r="D6" s="15" t="inlineStr">
        <is>
          <t>prior_constrained_harmonic_fit</t>
        </is>
      </c>
      <c r="E6" s="15" t="inlineStr">
        <is>
          <t>fit_accepted_acoustically_verified</t>
        </is>
      </c>
      <c r="F6" t="inlineStr">
        <is>
          <t>Tier_34</t>
        </is>
      </c>
      <c r="G6" t="inlineStr">
        <is>
          <t>adaptive_tier</t>
        </is>
      </c>
      <c r="H6" t="n">
        <v>4096</v>
      </c>
      <c r="I6" t="n">
        <v>512</v>
      </c>
      <c r="J6" t="n">
        <v>2</v>
      </c>
      <c r="K6" t="inlineStr">
        <is>
          <t>blackmanharris</t>
        </is>
      </c>
      <c r="L6" s="15" t="n">
        <v>9</v>
      </c>
      <c r="M6" t="n">
        <v>280.0142853498729</v>
      </c>
      <c r="N6" t="n">
        <v>20000</v>
      </c>
      <c r="O6" t="n">
        <v>-90</v>
      </c>
      <c r="P6" t="n">
        <v>0</v>
      </c>
      <c r="Q6" t="inlineStr">
        <is>
          <t>his_note_adaptive</t>
        </is>
      </c>
      <c r="R6" t="n">
        <v>1</v>
      </c>
      <c r="S6" t="n">
        <v>0.5</v>
      </c>
      <c r="T6" t="n">
        <v>0.25</v>
      </c>
      <c r="U6" t="n">
        <v>-90</v>
      </c>
      <c r="V6" s="15" t="n">
        <v>20000</v>
      </c>
    </row>
    <row r="7">
      <c r="A7" t="inlineStr">
        <is>
          <t>E4</t>
        </is>
      </c>
      <c r="B7" t="n">
        <v>64</v>
      </c>
      <c r="C7" s="15" t="n">
        <v>329.5043856010349</v>
      </c>
      <c r="D7" s="15" t="inlineStr">
        <is>
          <t>prior_constrained_harmonic_fit</t>
        </is>
      </c>
      <c r="E7" s="15" t="inlineStr">
        <is>
          <t>fit_accepted_acoustically_verified</t>
        </is>
      </c>
      <c r="F7" t="inlineStr">
        <is>
          <t>Tier_35</t>
        </is>
      </c>
      <c r="G7" t="inlineStr">
        <is>
          <t>adaptive_tier</t>
        </is>
      </c>
      <c r="H7" t="n">
        <v>4096</v>
      </c>
      <c r="I7" t="n">
        <v>512</v>
      </c>
      <c r="J7" t="n">
        <v>2</v>
      </c>
      <c r="K7" t="inlineStr">
        <is>
          <t>blackmanharris</t>
        </is>
      </c>
      <c r="L7" s="15" t="n">
        <v>9.199999999999999</v>
      </c>
      <c r="M7" t="n">
        <v>296.6648012215829</v>
      </c>
      <c r="N7" t="n">
        <v>20000</v>
      </c>
      <c r="O7" t="n">
        <v>-90</v>
      </c>
      <c r="P7" t="n">
        <v>0</v>
      </c>
      <c r="Q7" t="inlineStr">
        <is>
          <t>his_note_adaptive</t>
        </is>
      </c>
      <c r="R7" t="n">
        <v>1</v>
      </c>
      <c r="S7" t="n">
        <v>0.5</v>
      </c>
      <c r="T7" t="n">
        <v>0.25</v>
      </c>
      <c r="U7" t="n">
        <v>-90</v>
      </c>
      <c r="V7" s="15" t="n">
        <v>20000</v>
      </c>
    </row>
    <row r="8">
      <c r="A8" t="inlineStr">
        <is>
          <t>F4</t>
        </is>
      </c>
      <c r="B8" t="n">
        <v>65</v>
      </c>
      <c r="C8" s="15" t="n">
        <v>348.6638106737653</v>
      </c>
      <c r="D8" s="15" t="inlineStr">
        <is>
          <t>prior_constrained_harmonic_fit</t>
        </is>
      </c>
      <c r="E8" s="15" t="inlineStr">
        <is>
          <t>fit_accepted_acoustically_verified</t>
        </is>
      </c>
      <c r="F8" t="inlineStr">
        <is>
          <t>Tier_36</t>
        </is>
      </c>
      <c r="G8" t="inlineStr">
        <is>
          <t>adaptive_tier</t>
        </is>
      </c>
      <c r="H8" t="n">
        <v>4096</v>
      </c>
      <c r="I8" t="n">
        <v>512</v>
      </c>
      <c r="J8" t="n">
        <v>2</v>
      </c>
      <c r="K8" t="inlineStr">
        <is>
          <t>blackmanharris</t>
        </is>
      </c>
      <c r="L8" s="15" t="n">
        <v>9.4</v>
      </c>
      <c r="M8" t="n">
        <v>314.3054082897035</v>
      </c>
      <c r="N8" t="n">
        <v>20000</v>
      </c>
      <c r="O8" t="n">
        <v>-90</v>
      </c>
      <c r="P8" t="n">
        <v>0</v>
      </c>
      <c r="Q8" t="inlineStr">
        <is>
          <t>his_note_adaptive</t>
        </is>
      </c>
      <c r="R8" t="n">
        <v>1</v>
      </c>
      <c r="S8" t="n">
        <v>0.5</v>
      </c>
      <c r="T8" t="n">
        <v>0.25</v>
      </c>
      <c r="U8" t="n">
        <v>-90</v>
      </c>
      <c r="V8" s="15" t="n">
        <v>20000</v>
      </c>
    </row>
    <row r="9">
      <c r="A9" t="inlineStr">
        <is>
          <t>F#4</t>
        </is>
      </c>
      <c r="B9" t="n">
        <v>66</v>
      </c>
      <c r="C9" s="15" t="n">
        <v>370.8867779187667</v>
      </c>
      <c r="D9" s="15" t="inlineStr">
        <is>
          <t>prior_constrained_harmonic_fit</t>
        </is>
      </c>
      <c r="E9" s="15" t="inlineStr">
        <is>
          <t>fit_accepted_acoustically_verified</t>
        </is>
      </c>
      <c r="F9" t="inlineStr">
        <is>
          <t>Tier_37</t>
        </is>
      </c>
      <c r="G9" t="inlineStr">
        <is>
          <t>adaptive_tier</t>
        </is>
      </c>
      <c r="H9" t="n">
        <v>4096</v>
      </c>
      <c r="I9" t="n">
        <v>512</v>
      </c>
      <c r="J9" t="n">
        <v>2</v>
      </c>
      <c r="K9" t="inlineStr">
        <is>
          <t>blackmanharris</t>
        </is>
      </c>
      <c r="L9" s="15" t="n">
        <v>9.6</v>
      </c>
      <c r="M9" t="n">
        <v>332.994980440471</v>
      </c>
      <c r="N9" t="n">
        <v>20000</v>
      </c>
      <c r="O9" t="n">
        <v>-90</v>
      </c>
      <c r="P9" t="n">
        <v>0</v>
      </c>
      <c r="Q9" t="inlineStr">
        <is>
          <t>his_note_adaptive</t>
        </is>
      </c>
      <c r="R9" t="n">
        <v>1</v>
      </c>
      <c r="S9" t="n">
        <v>0.5</v>
      </c>
      <c r="T9" t="n">
        <v>0.25</v>
      </c>
      <c r="U9" t="n">
        <v>-90</v>
      </c>
      <c r="V9" s="15" t="n">
        <v>20000</v>
      </c>
    </row>
    <row r="10">
      <c r="A10" t="inlineStr">
        <is>
          <t>G4</t>
        </is>
      </c>
      <c r="B10" t="n">
        <v>67</v>
      </c>
      <c r="C10" s="15" t="n">
        <v>392.5810305347479</v>
      </c>
      <c r="D10" s="15" t="inlineStr">
        <is>
          <t>prior_constrained_harmonic_fit</t>
        </is>
      </c>
      <c r="E10" s="15" t="inlineStr">
        <is>
          <t>fit_accepted_acoustically_verified</t>
        </is>
      </c>
      <c r="F10" t="inlineStr">
        <is>
          <t>Tier_38</t>
        </is>
      </c>
      <c r="G10" t="inlineStr">
        <is>
          <t>adaptive_tier</t>
        </is>
      </c>
      <c r="H10" t="n">
        <v>4096</v>
      </c>
      <c r="I10" t="n">
        <v>512</v>
      </c>
      <c r="J10" t="n">
        <v>2</v>
      </c>
      <c r="K10" t="inlineStr">
        <is>
          <t>blackmanharris</t>
        </is>
      </c>
      <c r="L10" s="15" t="n">
        <v>9.800000000000001</v>
      </c>
      <c r="M10" t="n">
        <v>352.7958923835744</v>
      </c>
      <c r="N10" t="n">
        <v>20000</v>
      </c>
      <c r="O10" t="n">
        <v>-90</v>
      </c>
      <c r="P10" t="n">
        <v>0</v>
      </c>
      <c r="Q10" t="inlineStr">
        <is>
          <t>his_note_adaptive</t>
        </is>
      </c>
      <c r="R10" t="n">
        <v>1</v>
      </c>
      <c r="S10" t="n">
        <v>0.5</v>
      </c>
      <c r="T10" t="n">
        <v>0.25</v>
      </c>
      <c r="U10" t="n">
        <v>-90</v>
      </c>
      <c r="V10" s="15" t="n">
        <v>20000</v>
      </c>
    </row>
    <row r="11">
      <c r="A11" t="inlineStr">
        <is>
          <t>G#4</t>
        </is>
      </c>
      <c r="B11" t="n">
        <v>68</v>
      </c>
      <c r="C11" s="15" t="n">
        <v>414.9100877794747</v>
      </c>
      <c r="D11" s="15" t="inlineStr">
        <is>
          <t>prior_constrained_harmonic_fit</t>
        </is>
      </c>
      <c r="E11" s="15" t="inlineStr">
        <is>
          <t>fit_accepted_acoustically_verified</t>
        </is>
      </c>
      <c r="F11" t="inlineStr">
        <is>
          <t>Tier_39</t>
        </is>
      </c>
      <c r="G11" t="inlineStr">
        <is>
          <t>adaptive_tier</t>
        </is>
      </c>
      <c r="H11" t="n">
        <v>4096</v>
      </c>
      <c r="I11" t="n">
        <v>512</v>
      </c>
      <c r="J11" t="n">
        <v>2</v>
      </c>
      <c r="K11" t="inlineStr">
        <is>
          <t>blackmanharris</t>
        </is>
      </c>
      <c r="L11" s="15" t="n">
        <v>10</v>
      </c>
      <c r="M11" t="n">
        <v>373.7742278219506</v>
      </c>
      <c r="N11" t="n">
        <v>20000</v>
      </c>
      <c r="O11" t="n">
        <v>-90</v>
      </c>
      <c r="P11" t="n">
        <v>0</v>
      </c>
      <c r="Q11" t="inlineStr">
        <is>
          <t>his_note_adaptive</t>
        </is>
      </c>
      <c r="R11" t="n">
        <v>1</v>
      </c>
      <c r="S11" t="n">
        <v>0.5</v>
      </c>
      <c r="T11" t="n">
        <v>0.25</v>
      </c>
      <c r="U11" t="n">
        <v>-90</v>
      </c>
      <c r="V11" s="15" t="n">
        <v>20000</v>
      </c>
    </row>
    <row r="12">
      <c r="A12" t="inlineStr">
        <is>
          <t>A4</t>
        </is>
      </c>
      <c r="B12" t="n">
        <v>69</v>
      </c>
      <c r="C12" s="15" t="n">
        <v>440.2794333742448</v>
      </c>
      <c r="D12" s="15" t="inlineStr">
        <is>
          <t>prior_constrained_harmonic_fit</t>
        </is>
      </c>
      <c r="E12" s="15" t="inlineStr">
        <is>
          <t>fit_accepted_acoustically_verified</t>
        </is>
      </c>
      <c r="F12" t="inlineStr">
        <is>
          <t>Tier_40</t>
        </is>
      </c>
      <c r="G12" t="inlineStr">
        <is>
          <t>adaptive_tier</t>
        </is>
      </c>
      <c r="H12" t="n">
        <v>4096</v>
      </c>
      <c r="I12" t="n">
        <v>512</v>
      </c>
      <c r="J12" t="n">
        <v>2</v>
      </c>
      <c r="K12" t="inlineStr">
        <is>
          <t>blackmanharris</t>
        </is>
      </c>
      <c r="L12" s="15" t="n">
        <v>10.2</v>
      </c>
      <c r="M12" t="n">
        <v>396</v>
      </c>
      <c r="N12" t="n">
        <v>20000</v>
      </c>
      <c r="O12" t="n">
        <v>-90</v>
      </c>
      <c r="P12" t="n">
        <v>0</v>
      </c>
      <c r="Q12" t="inlineStr">
        <is>
          <t>his_note_adaptive</t>
        </is>
      </c>
      <c r="R12" t="n">
        <v>1</v>
      </c>
      <c r="S12" t="n">
        <v>0.5</v>
      </c>
      <c r="T12" t="n">
        <v>0.25</v>
      </c>
      <c r="U12" t="n">
        <v>-90</v>
      </c>
      <c r="V12" s="15" t="n">
        <v>20000</v>
      </c>
    </row>
    <row r="13">
      <c r="A13" t="inlineStr">
        <is>
          <t>A#4</t>
        </is>
      </c>
      <c r="B13" t="n">
        <v>70</v>
      </c>
      <c r="C13" s="15" t="n">
        <v>466.6777408353979</v>
      </c>
      <c r="D13" s="15" t="inlineStr">
        <is>
          <t>prior_constrained_harmonic_fit</t>
        </is>
      </c>
      <c r="E13" s="15" t="inlineStr">
        <is>
          <t>fit_accepted_acoustically_verified</t>
        </is>
      </c>
      <c r="F13" t="inlineStr">
        <is>
          <t>Tier_41</t>
        </is>
      </c>
      <c r="G13" t="inlineStr">
        <is>
          <t>adaptive_tier</t>
        </is>
      </c>
      <c r="H13" t="n">
        <v>4096</v>
      </c>
      <c r="I13" t="n">
        <v>512</v>
      </c>
      <c r="J13" t="n">
        <v>2</v>
      </c>
      <c r="K13" t="inlineStr">
        <is>
          <t>blackmanharris</t>
        </is>
      </c>
      <c r="L13" s="15" t="n">
        <v>10.4</v>
      </c>
      <c r="M13" t="n">
        <v>419.5473853662809</v>
      </c>
      <c r="N13" t="n">
        <v>20000</v>
      </c>
      <c r="O13" t="n">
        <v>-90</v>
      </c>
      <c r="P13" t="n">
        <v>0</v>
      </c>
      <c r="Q13" t="inlineStr">
        <is>
          <t>his_note_adaptive</t>
        </is>
      </c>
      <c r="R13" t="n">
        <v>1</v>
      </c>
      <c r="S13" t="n">
        <v>0.5</v>
      </c>
      <c r="T13" t="n">
        <v>0.25</v>
      </c>
      <c r="U13" t="n">
        <v>-90</v>
      </c>
      <c r="V13" s="15" t="n">
        <v>20000</v>
      </c>
    </row>
    <row r="14">
      <c r="A14" t="inlineStr">
        <is>
          <t>B4</t>
        </is>
      </c>
      <c r="B14" t="n">
        <v>71</v>
      </c>
      <c r="C14" s="15" t="n">
        <v>493.6807486752511</v>
      </c>
      <c r="D14" s="15" t="inlineStr">
        <is>
          <t>prior_constrained_harmonic_fit</t>
        </is>
      </c>
      <c r="E14" s="15" t="inlineStr">
        <is>
          <t>fit_accepted_acoustically_verified</t>
        </is>
      </c>
      <c r="F14" t="inlineStr">
        <is>
          <t>Tier_42</t>
        </is>
      </c>
      <c r="G14" t="inlineStr">
        <is>
          <t>adaptive_tier</t>
        </is>
      </c>
      <c r="H14" t="n">
        <v>4096</v>
      </c>
      <c r="I14" t="n">
        <v>512</v>
      </c>
      <c r="J14" t="n">
        <v>2</v>
      </c>
      <c r="K14" t="inlineStr">
        <is>
          <t>blackmanharris</t>
        </is>
      </c>
      <c r="L14" s="15" t="n">
        <v>10.6</v>
      </c>
      <c r="M14" t="n">
        <v>444.4949711305117</v>
      </c>
      <c r="N14" t="n">
        <v>20000</v>
      </c>
      <c r="O14" t="n">
        <v>-90</v>
      </c>
      <c r="P14" t="n">
        <v>0</v>
      </c>
      <c r="Q14" t="inlineStr">
        <is>
          <t>his_note_adaptive</t>
        </is>
      </c>
      <c r="R14" t="n">
        <v>1</v>
      </c>
      <c r="S14" t="n">
        <v>0.5</v>
      </c>
      <c r="T14" t="n">
        <v>0.25</v>
      </c>
      <c r="U14" t="n">
        <v>-90</v>
      </c>
      <c r="V14" s="15" t="n">
        <v>20000</v>
      </c>
    </row>
    <row r="15">
      <c r="A15" t="inlineStr">
        <is>
          <t>C5</t>
        </is>
      </c>
      <c r="B15" t="n">
        <v>72</v>
      </c>
      <c r="C15" s="15" t="n">
        <v>523.4580744924493</v>
      </c>
      <c r="D15" s="15" t="inlineStr">
        <is>
          <t>prior_constrained_harmonic_fit</t>
        </is>
      </c>
      <c r="E15" s="15" t="inlineStr">
        <is>
          <t>fit_accepted_acoustically_verified</t>
        </is>
      </c>
      <c r="F15" t="inlineStr">
        <is>
          <t>Tier_43</t>
        </is>
      </c>
      <c r="G15" t="inlineStr">
        <is>
          <t>adaptive_tier</t>
        </is>
      </c>
      <c r="H15" t="n">
        <v>2048</v>
      </c>
      <c r="I15" t="n">
        <v>256</v>
      </c>
      <c r="J15" t="n">
        <v>2</v>
      </c>
      <c r="K15" t="inlineStr">
        <is>
          <t>blackmanharris</t>
        </is>
      </c>
      <c r="L15" s="15" t="n">
        <v>10.8</v>
      </c>
      <c r="M15" t="n">
        <v>470.9260175410776</v>
      </c>
      <c r="N15" t="n">
        <v>20000</v>
      </c>
      <c r="O15" t="n">
        <v>-90</v>
      </c>
      <c r="P15" t="n">
        <v>0</v>
      </c>
      <c r="Q15" t="inlineStr">
        <is>
          <t>his_note_adaptive</t>
        </is>
      </c>
      <c r="R15" t="n">
        <v>1</v>
      </c>
      <c r="S15" t="n">
        <v>0.5</v>
      </c>
      <c r="T15" t="n">
        <v>0.25</v>
      </c>
      <c r="U15" t="n">
        <v>-90</v>
      </c>
      <c r="V15" s="15" t="n">
        <v>20000</v>
      </c>
    </row>
    <row r="16">
      <c r="A16" t="inlineStr">
        <is>
          <t>C#5</t>
        </is>
      </c>
      <c r="B16" t="n">
        <v>73</v>
      </c>
      <c r="C16" s="15" t="n">
        <v>552.9701018631929</v>
      </c>
      <c r="D16" s="15" t="inlineStr">
        <is>
          <t>prior_constrained_harmonic_fit</t>
        </is>
      </c>
      <c r="E16" s="15" t="inlineStr">
        <is>
          <t>fit_accepted_acoustically_verified</t>
        </is>
      </c>
      <c r="F16" t="inlineStr">
        <is>
          <t>Tier_44</t>
        </is>
      </c>
      <c r="G16" t="inlineStr">
        <is>
          <t>adaptive_tier</t>
        </is>
      </c>
      <c r="H16" t="n">
        <v>2048</v>
      </c>
      <c r="I16" t="n">
        <v>256</v>
      </c>
      <c r="J16" t="n">
        <v>2</v>
      </c>
      <c r="K16" t="inlineStr">
        <is>
          <t>blackmanharris</t>
        </is>
      </c>
      <c r="L16" s="15" t="n">
        <v>11</v>
      </c>
      <c r="M16" t="n">
        <v>498.9287357583697</v>
      </c>
      <c r="N16" t="n">
        <v>20000</v>
      </c>
      <c r="O16" t="n">
        <v>-90</v>
      </c>
      <c r="P16" t="n">
        <v>0</v>
      </c>
      <c r="Q16" t="inlineStr">
        <is>
          <t>his_note_adaptive</t>
        </is>
      </c>
      <c r="R16" t="n">
        <v>1</v>
      </c>
      <c r="S16" t="n">
        <v>0.5</v>
      </c>
      <c r="T16" t="n">
        <v>0.25</v>
      </c>
      <c r="U16" t="n">
        <v>-90</v>
      </c>
      <c r="V16" s="15" t="n">
        <v>20000</v>
      </c>
    </row>
    <row r="17">
      <c r="A17" t="inlineStr">
        <is>
          <t>D5</t>
        </is>
      </c>
      <c r="B17" t="n">
        <v>74</v>
      </c>
      <c r="C17" s="15" t="n">
        <v>587.1695474110808</v>
      </c>
      <c r="D17" s="15" t="inlineStr">
        <is>
          <t>prior_constrained_harmonic_fit</t>
        </is>
      </c>
      <c r="E17" s="15" t="inlineStr">
        <is>
          <t>fit_accepted_acoustically_verified</t>
        </is>
      </c>
      <c r="F17" t="inlineStr">
        <is>
          <t>Tier_45</t>
        </is>
      </c>
      <c r="G17" t="inlineStr">
        <is>
          <t>adaptive_tier</t>
        </is>
      </c>
      <c r="H17" t="n">
        <v>2048</v>
      </c>
      <c r="I17" t="n">
        <v>256</v>
      </c>
      <c r="J17" t="n">
        <v>2</v>
      </c>
      <c r="K17" t="inlineStr">
        <is>
          <t>blackmanharris</t>
        </is>
      </c>
      <c r="L17" s="15" t="n">
        <v>11.2</v>
      </c>
      <c r="M17" t="n">
        <v>528.5965822513336</v>
      </c>
      <c r="N17" t="n">
        <v>20000</v>
      </c>
      <c r="O17" t="n">
        <v>-90</v>
      </c>
      <c r="P17" t="n">
        <v>0</v>
      </c>
      <c r="Q17" t="inlineStr">
        <is>
          <t>his_note_adaptive</t>
        </is>
      </c>
      <c r="R17" t="n">
        <v>1</v>
      </c>
      <c r="S17" t="n">
        <v>0.5</v>
      </c>
      <c r="T17" t="n">
        <v>0.25</v>
      </c>
      <c r="U17" t="n">
        <v>-90</v>
      </c>
      <c r="V17" s="15" t="n">
        <v>20000</v>
      </c>
    </row>
    <row r="18">
      <c r="A18" t="inlineStr">
        <is>
          <t>D#5</t>
        </is>
      </c>
      <c r="B18" t="n">
        <v>75</v>
      </c>
      <c r="C18" s="15" t="n">
        <v>621.6191607679255</v>
      </c>
      <c r="D18" s="15" t="inlineStr">
        <is>
          <t>prior_constrained_harmonic_fit</t>
        </is>
      </c>
      <c r="E18" s="15" t="inlineStr">
        <is>
          <t>fit_accepted_acoustically_verified</t>
        </is>
      </c>
      <c r="F18" t="inlineStr">
        <is>
          <t>Tier_47</t>
        </is>
      </c>
      <c r="G18" t="inlineStr">
        <is>
          <t>adaptive_tier</t>
        </is>
      </c>
      <c r="H18" t="n">
        <v>2048</v>
      </c>
      <c r="I18" t="n">
        <v>256</v>
      </c>
      <c r="J18" t="n">
        <v>2</v>
      </c>
      <c r="K18" t="inlineStr">
        <is>
          <t>blackmanharris</t>
        </is>
      </c>
      <c r="L18" s="15" t="n">
        <v>11.6</v>
      </c>
      <c r="M18" t="n">
        <v>560.0285706997457</v>
      </c>
      <c r="N18" t="n">
        <v>20000</v>
      </c>
      <c r="O18" t="n">
        <v>-90</v>
      </c>
      <c r="P18" t="n">
        <v>0</v>
      </c>
      <c r="Q18" t="inlineStr">
        <is>
          <t>his_note_adaptive</t>
        </is>
      </c>
      <c r="R18" t="n">
        <v>1</v>
      </c>
      <c r="S18" t="n">
        <v>0.5</v>
      </c>
      <c r="T18" t="n">
        <v>0.25</v>
      </c>
      <c r="U18" t="n">
        <v>-90</v>
      </c>
      <c r="V18" s="15" t="n">
        <v>20000</v>
      </c>
    </row>
    <row r="19">
      <c r="A19" t="inlineStr">
        <is>
          <t>E5</t>
        </is>
      </c>
      <c r="B19" t="n">
        <v>76</v>
      </c>
      <c r="C19" s="15" t="n">
        <v>660.6082828993534</v>
      </c>
      <c r="D19" s="15" t="inlineStr">
        <is>
          <t>prior_constrained_harmonic_fit</t>
        </is>
      </c>
      <c r="E19" s="15" t="inlineStr">
        <is>
          <t>fit_accepted_acoustically_verified</t>
        </is>
      </c>
      <c r="F19" t="inlineStr">
        <is>
          <t>Tier_47</t>
        </is>
      </c>
      <c r="G19" t="inlineStr">
        <is>
          <t>adaptive_tier</t>
        </is>
      </c>
      <c r="H19" t="n">
        <v>2048</v>
      </c>
      <c r="I19" t="n">
        <v>256</v>
      </c>
      <c r="J19" t="n">
        <v>2</v>
      </c>
      <c r="K19" t="inlineStr">
        <is>
          <t>blackmanharris</t>
        </is>
      </c>
      <c r="L19" s="15" t="n">
        <v>11.6</v>
      </c>
      <c r="M19" t="n">
        <v>593.3296024431659</v>
      </c>
      <c r="N19" t="n">
        <v>20000</v>
      </c>
      <c r="O19" t="n">
        <v>-90</v>
      </c>
      <c r="P19" t="n">
        <v>0</v>
      </c>
      <c r="Q19" t="inlineStr">
        <is>
          <t>his_note_adaptive</t>
        </is>
      </c>
      <c r="R19" t="n">
        <v>1</v>
      </c>
      <c r="S19" t="n">
        <v>0.5</v>
      </c>
      <c r="T19" t="n">
        <v>0.25</v>
      </c>
      <c r="U19" t="n">
        <v>-90</v>
      </c>
      <c r="V19" s="15" t="n">
        <v>20000</v>
      </c>
    </row>
    <row r="20">
      <c r="A20" t="inlineStr">
        <is>
          <t>F5</t>
        </is>
      </c>
      <c r="B20" t="n">
        <v>77</v>
      </c>
      <c r="C20" s="15" t="n">
        <v>699.2963670262352</v>
      </c>
      <c r="D20" s="15" t="inlineStr">
        <is>
          <t>prior_constrained_harmonic_fit</t>
        </is>
      </c>
      <c r="E20" s="15" t="inlineStr">
        <is>
          <t>fit_accepted_acoustically_verified</t>
        </is>
      </c>
      <c r="F20" t="inlineStr">
        <is>
          <t>Tier_48</t>
        </is>
      </c>
      <c r="G20" t="inlineStr">
        <is>
          <t>adaptive_tier</t>
        </is>
      </c>
      <c r="H20" t="n">
        <v>2048</v>
      </c>
      <c r="I20" t="n">
        <v>256</v>
      </c>
      <c r="J20" t="n">
        <v>2</v>
      </c>
      <c r="K20" t="inlineStr">
        <is>
          <t>blackmanharris</t>
        </is>
      </c>
      <c r="L20" s="15" t="n">
        <v>11.8</v>
      </c>
      <c r="M20" t="n">
        <v>628.610816579407</v>
      </c>
      <c r="N20" t="n">
        <v>20000</v>
      </c>
      <c r="O20" t="n">
        <v>-90</v>
      </c>
      <c r="P20" t="n">
        <v>0</v>
      </c>
      <c r="Q20" t="inlineStr">
        <is>
          <t>his_note_adaptive</t>
        </is>
      </c>
      <c r="R20" t="n">
        <v>1</v>
      </c>
      <c r="S20" t="n">
        <v>0.5</v>
      </c>
      <c r="T20" t="n">
        <v>0.25</v>
      </c>
      <c r="U20" t="n">
        <v>-90</v>
      </c>
      <c r="V20" s="15" t="n">
        <v>20000</v>
      </c>
    </row>
    <row r="21">
      <c r="A21" t="inlineStr">
        <is>
          <t>F#5</t>
        </is>
      </c>
      <c r="B21" t="n">
        <v>78</v>
      </c>
      <c r="C21" s="15" t="n">
        <v>740.1348320063811</v>
      </c>
      <c r="D21" s="15" t="inlineStr">
        <is>
          <t>prior_constrained_harmonic_fit</t>
        </is>
      </c>
      <c r="E21" s="15" t="inlineStr">
        <is>
          <t>fit_accepted_acoustically_verified</t>
        </is>
      </c>
      <c r="F21" t="inlineStr">
        <is>
          <t>Tier_49</t>
        </is>
      </c>
      <c r="G21" t="inlineStr">
        <is>
          <t>adaptive_tier</t>
        </is>
      </c>
      <c r="H21" t="n">
        <v>2048</v>
      </c>
      <c r="I21" t="n">
        <v>256</v>
      </c>
      <c r="J21" t="n">
        <v>2</v>
      </c>
      <c r="K21" t="inlineStr">
        <is>
          <t>blackmanharris</t>
        </is>
      </c>
      <c r="L21" s="15" t="n">
        <v>12</v>
      </c>
      <c r="M21" t="n">
        <v>665.9899608809419</v>
      </c>
      <c r="N21" t="n">
        <v>20000</v>
      </c>
      <c r="O21" t="n">
        <v>-90</v>
      </c>
      <c r="P21" t="n">
        <v>0</v>
      </c>
      <c r="Q21" t="inlineStr">
        <is>
          <t>his_note_adaptive</t>
        </is>
      </c>
      <c r="R21" t="n">
        <v>1</v>
      </c>
      <c r="S21" t="n">
        <v>0.5</v>
      </c>
      <c r="T21" t="n">
        <v>0.25</v>
      </c>
      <c r="U21" t="n">
        <v>-90</v>
      </c>
      <c r="V21" s="15" t="n">
        <v>20000</v>
      </c>
    </row>
    <row r="22">
      <c r="A22" t="inlineStr">
        <is>
          <t>G5</t>
        </is>
      </c>
      <c r="B22" t="n">
        <v>79</v>
      </c>
      <c r="C22" s="15" t="n">
        <v>784.1211132206306</v>
      </c>
      <c r="D22" s="15" t="inlineStr">
        <is>
          <t>prior_constrained_harmonic_fit</t>
        </is>
      </c>
      <c r="E22" s="15" t="inlineStr">
        <is>
          <t>fit_accepted_acoustically_verified</t>
        </is>
      </c>
      <c r="F22" t="inlineStr">
        <is>
          <t>Tier_50</t>
        </is>
      </c>
      <c r="G22" t="inlineStr">
        <is>
          <t>adaptive_tier</t>
        </is>
      </c>
      <c r="H22" t="n">
        <v>2048</v>
      </c>
      <c r="I22" t="n">
        <v>256</v>
      </c>
      <c r="J22" t="n">
        <v>2</v>
      </c>
      <c r="K22" t="inlineStr">
        <is>
          <t>blackmanharris</t>
        </is>
      </c>
      <c r="L22" s="15" t="n">
        <v>12.2</v>
      </c>
      <c r="M22" t="n">
        <v>705.5917847671487</v>
      </c>
      <c r="N22" t="n">
        <v>20000</v>
      </c>
      <c r="O22" t="n">
        <v>-90</v>
      </c>
      <c r="P22" t="n">
        <v>0</v>
      </c>
      <c r="Q22" t="inlineStr">
        <is>
          <t>his_note_adaptive</t>
        </is>
      </c>
      <c r="R22" t="n">
        <v>1</v>
      </c>
      <c r="S22" t="n">
        <v>0.5</v>
      </c>
      <c r="T22" t="n">
        <v>0.25</v>
      </c>
      <c r="U22" t="n">
        <v>-90</v>
      </c>
      <c r="V22" s="15" t="n">
        <v>20000</v>
      </c>
    </row>
    <row r="23">
      <c r="A23" t="inlineStr">
        <is>
          <t>G#5</t>
        </is>
      </c>
      <c r="B23" t="n">
        <v>80</v>
      </c>
      <c r="C23" s="15" t="n">
        <v>829.8428596536518</v>
      </c>
      <c r="D23" s="15" t="inlineStr">
        <is>
          <t>prior_constrained_harmonic_fit</t>
        </is>
      </c>
      <c r="E23" s="15" t="inlineStr">
        <is>
          <t>fit_accepted_acoustically_verified</t>
        </is>
      </c>
      <c r="F23" t="inlineStr">
        <is>
          <t>Tier_51</t>
        </is>
      </c>
      <c r="G23" t="inlineStr">
        <is>
          <t>adaptive_tier</t>
        </is>
      </c>
      <c r="H23" t="n">
        <v>2048</v>
      </c>
      <c r="I23" t="n">
        <v>256</v>
      </c>
      <c r="J23" t="n">
        <v>2</v>
      </c>
      <c r="K23" t="inlineStr">
        <is>
          <t>blackmanharris</t>
        </is>
      </c>
      <c r="L23" s="15" t="n">
        <v>12.4</v>
      </c>
      <c r="M23" t="n">
        <v>747.5484556439012</v>
      </c>
      <c r="N23" t="n">
        <v>20000</v>
      </c>
      <c r="O23" t="n">
        <v>-90</v>
      </c>
      <c r="P23" t="n">
        <v>0</v>
      </c>
      <c r="Q23" t="inlineStr">
        <is>
          <t>his_note_adaptive</t>
        </is>
      </c>
      <c r="R23" t="n">
        <v>1</v>
      </c>
      <c r="S23" t="n">
        <v>0.5</v>
      </c>
      <c r="T23" t="n">
        <v>0.25</v>
      </c>
      <c r="U23" t="n">
        <v>-90</v>
      </c>
      <c r="V23" s="15" t="n">
        <v>20000</v>
      </c>
    </row>
    <row r="24">
      <c r="A24" t="inlineStr">
        <is>
          <t>A5</t>
        </is>
      </c>
      <c r="B24" t="n">
        <v>81</v>
      </c>
      <c r="C24" s="15" t="n">
        <v>878.087950137004</v>
      </c>
      <c r="D24" s="15" t="inlineStr">
        <is>
          <t>prior_constrained_harmonic_fit</t>
        </is>
      </c>
      <c r="E24" s="15" t="inlineStr">
        <is>
          <t>fit_accepted_acoustically_verified</t>
        </is>
      </c>
      <c r="F24" t="inlineStr">
        <is>
          <t>Tier_52</t>
        </is>
      </c>
      <c r="G24" t="inlineStr">
        <is>
          <t>adaptive_tier</t>
        </is>
      </c>
      <c r="H24" t="n">
        <v>2048</v>
      </c>
      <c r="I24" t="n">
        <v>256</v>
      </c>
      <c r="J24" t="n">
        <v>2</v>
      </c>
      <c r="K24" t="inlineStr">
        <is>
          <t>blackmanharris</t>
        </is>
      </c>
      <c r="L24" s="15" t="n">
        <v>12.975</v>
      </c>
      <c r="M24" t="n">
        <v>792</v>
      </c>
      <c r="N24" t="n">
        <v>20000</v>
      </c>
      <c r="O24" t="n">
        <v>-90</v>
      </c>
      <c r="P24" t="n">
        <v>0</v>
      </c>
      <c r="Q24" t="inlineStr">
        <is>
          <t>his_note_adaptive</t>
        </is>
      </c>
      <c r="R24" t="n">
        <v>1</v>
      </c>
      <c r="S24" t="n">
        <v>0.5</v>
      </c>
      <c r="T24" t="n">
        <v>0.25</v>
      </c>
      <c r="U24" t="n">
        <v>-90</v>
      </c>
      <c r="V24" s="15" t="n">
        <v>20000</v>
      </c>
    </row>
    <row r="25">
      <c r="A25" t="inlineStr">
        <is>
          <t>A#5</t>
        </is>
      </c>
      <c r="B25" t="n">
        <v>82</v>
      </c>
      <c r="C25" s="15" t="n">
        <v>931.0979714336125</v>
      </c>
      <c r="D25" s="15" t="inlineStr">
        <is>
          <t>prior_constrained_harmonic_fit</t>
        </is>
      </c>
      <c r="E25" s="15" t="inlineStr">
        <is>
          <t>fit_accepted_acoustically_verified</t>
        </is>
      </c>
      <c r="F25" t="inlineStr">
        <is>
          <t>Tier_53</t>
        </is>
      </c>
      <c r="G25" t="inlineStr">
        <is>
          <t>adaptive_tier</t>
        </is>
      </c>
      <c r="H25" t="n">
        <v>2048</v>
      </c>
      <c r="I25" t="n">
        <v>256</v>
      </c>
      <c r="J25" t="n">
        <v>2</v>
      </c>
      <c r="K25" t="inlineStr">
        <is>
          <t>blackmanharris</t>
        </is>
      </c>
      <c r="L25" s="15" t="n">
        <v>13.8</v>
      </c>
      <c r="M25" t="n">
        <v>839.0947707325619</v>
      </c>
      <c r="N25" t="n">
        <v>20000</v>
      </c>
      <c r="O25" t="n">
        <v>-90</v>
      </c>
      <c r="P25" t="n">
        <v>0</v>
      </c>
      <c r="Q25" t="inlineStr">
        <is>
          <t>his_note_adaptive</t>
        </is>
      </c>
      <c r="R25" t="n">
        <v>1</v>
      </c>
      <c r="S25" t="n">
        <v>0.5</v>
      </c>
      <c r="T25" t="n">
        <v>0.25</v>
      </c>
      <c r="U25" t="n">
        <v>-90</v>
      </c>
      <c r="V25" s="15" t="n">
        <v>20000</v>
      </c>
    </row>
    <row r="26">
      <c r="A26" t="inlineStr">
        <is>
          <t>B5</t>
        </is>
      </c>
      <c r="B26" t="n">
        <v>83</v>
      </c>
      <c r="C26" s="15" t="n">
        <v>987.7666025122484</v>
      </c>
      <c r="D26" s="15" t="inlineStr">
        <is>
          <t>filename_note_nominal_fallback_fit_rejected</t>
        </is>
      </c>
      <c r="E26" s="15" t="inlineStr">
        <is>
          <t>nominal_fallback_used_not_acoustically_verified</t>
        </is>
      </c>
      <c r="F26" t="inlineStr">
        <is>
          <t>Tier_54</t>
        </is>
      </c>
      <c r="G26" t="inlineStr">
        <is>
          <t>adaptive_tier</t>
        </is>
      </c>
      <c r="H26" t="n">
        <v>2048</v>
      </c>
      <c r="I26" t="n">
        <v>256</v>
      </c>
      <c r="J26" t="n">
        <v>2</v>
      </c>
      <c r="K26" t="inlineStr">
        <is>
          <t>blackmanharris</t>
        </is>
      </c>
      <c r="L26" s="15" t="n">
        <v>14.625</v>
      </c>
      <c r="M26" t="n">
        <v>888.9899422610234</v>
      </c>
      <c r="N26" t="n">
        <v>20000</v>
      </c>
      <c r="O26" t="n">
        <v>-90</v>
      </c>
      <c r="P26" t="n">
        <v>0</v>
      </c>
      <c r="Q26" t="inlineStr">
        <is>
          <t>his_note_adaptive</t>
        </is>
      </c>
      <c r="R26" t="n">
        <v>1</v>
      </c>
      <c r="S26" t="n">
        <v>0.5</v>
      </c>
      <c r="T26" t="n">
        <v>0.25</v>
      </c>
      <c r="U26" t="n">
        <v>-90</v>
      </c>
      <c r="V26" s="15" t="n">
        <v>20000</v>
      </c>
    </row>
    <row r="27">
      <c r="A27" t="inlineStr">
        <is>
          <t>C6</t>
        </is>
      </c>
      <c r="B27" t="n">
        <v>84</v>
      </c>
      <c r="C27" s="15" t="n">
        <v>1046.433215590241</v>
      </c>
      <c r="D27" s="15" t="inlineStr">
        <is>
          <t>prior_constrained_harmonic_fit</t>
        </is>
      </c>
      <c r="E27" s="15" t="inlineStr">
        <is>
          <t>fit_accepted_acoustically_verified</t>
        </is>
      </c>
      <c r="F27" t="inlineStr">
        <is>
          <t>Tier_55</t>
        </is>
      </c>
      <c r="G27" t="inlineStr">
        <is>
          <t>adaptive_tier</t>
        </is>
      </c>
      <c r="H27" t="n">
        <v>2048</v>
      </c>
      <c r="I27" t="n">
        <v>256</v>
      </c>
      <c r="J27" t="n">
        <v>2</v>
      </c>
      <c r="K27" t="inlineStr">
        <is>
          <t>blackmanharris</t>
        </is>
      </c>
      <c r="L27" s="15" t="n">
        <v>15.525</v>
      </c>
      <c r="M27" t="n">
        <v>941.8520350821551</v>
      </c>
      <c r="N27" t="n">
        <v>20000</v>
      </c>
      <c r="O27" t="n">
        <v>-90</v>
      </c>
      <c r="P27" t="n">
        <v>0</v>
      </c>
      <c r="Q27" t="inlineStr">
        <is>
          <t>his_note_adaptive</t>
        </is>
      </c>
      <c r="R27" t="n">
        <v>1</v>
      </c>
      <c r="S27" t="n">
        <v>0.5</v>
      </c>
      <c r="T27" t="n">
        <v>0.25</v>
      </c>
      <c r="U27" t="n">
        <v>-90</v>
      </c>
      <c r="V27" s="15" t="n">
        <v>20000</v>
      </c>
    </row>
    <row r="28">
      <c r="A28" t="inlineStr">
        <is>
          <t>C#6</t>
        </is>
      </c>
      <c r="B28" t="n">
        <v>85</v>
      </c>
      <c r="C28" s="15" t="n">
        <v>1108.154624267364</v>
      </c>
      <c r="D28" s="15" t="inlineStr">
        <is>
          <t>prior_constrained_harmonic_fit</t>
        </is>
      </c>
      <c r="E28" s="15" t="inlineStr">
        <is>
          <t>fit_accepted_acoustically_verified</t>
        </is>
      </c>
      <c r="F28" t="inlineStr">
        <is>
          <t>Tier_56</t>
        </is>
      </c>
      <c r="G28" t="inlineStr">
        <is>
          <t>adaptive_tier</t>
        </is>
      </c>
      <c r="H28" t="n">
        <v>2048</v>
      </c>
      <c r="I28" t="n">
        <v>256</v>
      </c>
      <c r="J28" t="n">
        <v>2</v>
      </c>
      <c r="K28" t="inlineStr">
        <is>
          <t>blackmanharris</t>
        </is>
      </c>
      <c r="L28" s="15" t="n">
        <v>16.575</v>
      </c>
      <c r="M28" t="n">
        <v>997.8574715167395</v>
      </c>
      <c r="N28" t="n">
        <v>20000</v>
      </c>
      <c r="O28" t="n">
        <v>-90</v>
      </c>
      <c r="P28" t="n">
        <v>0</v>
      </c>
      <c r="Q28" t="inlineStr">
        <is>
          <t>his_note_adaptive</t>
        </is>
      </c>
      <c r="R28" t="n">
        <v>1</v>
      </c>
      <c r="S28" t="n">
        <v>0.5</v>
      </c>
      <c r="T28" t="n">
        <v>0.25</v>
      </c>
      <c r="U28" t="n">
        <v>-90</v>
      </c>
      <c r="V28" s="15" t="n">
        <v>20000</v>
      </c>
    </row>
    <row r="29">
      <c r="A29" t="inlineStr">
        <is>
          <t>D6</t>
        </is>
      </c>
      <c r="B29" t="n">
        <v>86</v>
      </c>
      <c r="C29" s="15" t="n">
        <v>1175.708268382239</v>
      </c>
      <c r="D29" s="15" t="inlineStr">
        <is>
          <t>prior_constrained_harmonic_fit</t>
        </is>
      </c>
      <c r="E29" s="15" t="inlineStr">
        <is>
          <t>fit_accepted_acoustically_verified</t>
        </is>
      </c>
      <c r="F29" t="inlineStr">
        <is>
          <t>Tier_57</t>
        </is>
      </c>
      <c r="G29" t="inlineStr">
        <is>
          <t>adaptive_tier</t>
        </is>
      </c>
      <c r="H29" t="n">
        <v>2048</v>
      </c>
      <c r="I29" t="n">
        <v>256</v>
      </c>
      <c r="J29" t="n">
        <v>2</v>
      </c>
      <c r="K29" t="inlineStr">
        <is>
          <t>blackmanharris</t>
        </is>
      </c>
      <c r="L29" s="15" t="n">
        <v>17.625</v>
      </c>
      <c r="M29" t="n">
        <v>1057.193164502667</v>
      </c>
      <c r="N29" t="n">
        <v>20000</v>
      </c>
      <c r="O29" t="n">
        <v>-90</v>
      </c>
      <c r="P29" t="n">
        <v>0</v>
      </c>
      <c r="Q29" t="inlineStr">
        <is>
          <t>his_note_adaptive</t>
        </is>
      </c>
      <c r="R29" t="n">
        <v>1</v>
      </c>
      <c r="S29" t="n">
        <v>0.5</v>
      </c>
      <c r="T29" t="n">
        <v>0.25</v>
      </c>
      <c r="U29" t="n">
        <v>-90</v>
      </c>
      <c r="V29" s="15" t="n">
        <v>20000</v>
      </c>
    </row>
    <row r="30">
      <c r="A30" t="inlineStr">
        <is>
          <t>D#6</t>
        </is>
      </c>
      <c r="B30" t="n">
        <v>87</v>
      </c>
      <c r="C30" s="15" t="n">
        <v>1242.709071164591</v>
      </c>
      <c r="D30" s="15" t="inlineStr">
        <is>
          <t>prior_constrained_harmonic_fit</t>
        </is>
      </c>
      <c r="E30" s="15" t="inlineStr">
        <is>
          <t>fit_accepted_acoustically_verified</t>
        </is>
      </c>
      <c r="F30" t="inlineStr">
        <is>
          <t>Tier_58</t>
        </is>
      </c>
      <c r="G30" t="inlineStr">
        <is>
          <t>adaptive_tier</t>
        </is>
      </c>
      <c r="H30" t="n">
        <v>2048</v>
      </c>
      <c r="I30" t="n">
        <v>256</v>
      </c>
      <c r="J30" t="n">
        <v>2</v>
      </c>
      <c r="K30" t="inlineStr">
        <is>
          <t>blackmanharris</t>
        </is>
      </c>
      <c r="L30" s="15" t="n">
        <v>18.675</v>
      </c>
      <c r="M30" t="n">
        <v>1120.057141399491</v>
      </c>
      <c r="N30" t="n">
        <v>20000</v>
      </c>
      <c r="O30" t="n">
        <v>-90</v>
      </c>
      <c r="P30" t="n">
        <v>0</v>
      </c>
      <c r="Q30" t="inlineStr">
        <is>
          <t>his_note_adaptive</t>
        </is>
      </c>
      <c r="R30" t="n">
        <v>1</v>
      </c>
      <c r="S30" t="n">
        <v>0.5</v>
      </c>
      <c r="T30" t="n">
        <v>0.25</v>
      </c>
      <c r="U30" t="n">
        <v>-90</v>
      </c>
      <c r="V30" s="15" t="n">
        <v>20000</v>
      </c>
    </row>
    <row r="31">
      <c r="A31" t="inlineStr">
        <is>
          <t>E6</t>
        </is>
      </c>
      <c r="B31" t="n">
        <v>88</v>
      </c>
      <c r="C31" s="15" t="n">
        <v>1317.336441839296</v>
      </c>
      <c r="D31" s="15" t="inlineStr">
        <is>
          <t>prior_constrained_harmonic_fit</t>
        </is>
      </c>
      <c r="E31" s="15" t="inlineStr">
        <is>
          <t>fit_accepted_acoustically_verified</t>
        </is>
      </c>
      <c r="F31" t="inlineStr">
        <is>
          <t>Tier_59</t>
        </is>
      </c>
      <c r="G31" t="inlineStr">
        <is>
          <t>adaptive_tier</t>
        </is>
      </c>
      <c r="H31" t="n">
        <v>2048</v>
      </c>
      <c r="I31" t="n">
        <v>256</v>
      </c>
      <c r="J31" t="n">
        <v>2</v>
      </c>
      <c r="K31" t="inlineStr">
        <is>
          <t>blackmanharris</t>
        </is>
      </c>
      <c r="L31" s="15" t="n">
        <v>19.8</v>
      </c>
      <c r="M31" t="n">
        <v>1186.659204886332</v>
      </c>
      <c r="N31" t="n">
        <v>20000</v>
      </c>
      <c r="O31" t="n">
        <v>-90</v>
      </c>
      <c r="P31" t="n">
        <v>0</v>
      </c>
      <c r="Q31" t="inlineStr">
        <is>
          <t>his_note_adaptive</t>
        </is>
      </c>
      <c r="R31" t="n">
        <v>1</v>
      </c>
      <c r="S31" t="n">
        <v>0.5</v>
      </c>
      <c r="T31" t="n">
        <v>0.25</v>
      </c>
      <c r="U31" t="n">
        <v>-90</v>
      </c>
      <c r="V31" s="15" t="n">
        <v>20000</v>
      </c>
    </row>
    <row r="32">
      <c r="A32" t="inlineStr">
        <is>
          <t>F6</t>
        </is>
      </c>
      <c r="B32" t="n">
        <v>89</v>
      </c>
      <c r="C32" s="15" t="n">
        <v>1394.248232533003</v>
      </c>
      <c r="D32" s="15" t="inlineStr">
        <is>
          <t>prior_constrained_harmonic_fit</t>
        </is>
      </c>
      <c r="E32" s="15" t="inlineStr">
        <is>
          <t>fit_accepted_acoustically_verified</t>
        </is>
      </c>
      <c r="F32" t="inlineStr">
        <is>
          <t>Tier_60</t>
        </is>
      </c>
      <c r="G32" t="inlineStr">
        <is>
          <t>adaptive_tier</t>
        </is>
      </c>
      <c r="H32" t="n">
        <v>1024</v>
      </c>
      <c r="I32" t="n">
        <v>128</v>
      </c>
      <c r="J32" t="n">
        <v>2</v>
      </c>
      <c r="K32" t="inlineStr">
        <is>
          <t>blackmanharris</t>
        </is>
      </c>
      <c r="L32" s="15" t="n">
        <v>21.075</v>
      </c>
      <c r="M32" t="n">
        <v>1257.221633158814</v>
      </c>
      <c r="N32" t="n">
        <v>20000</v>
      </c>
      <c r="O32" t="n">
        <v>-90</v>
      </c>
      <c r="P32" t="n">
        <v>0</v>
      </c>
      <c r="Q32" t="inlineStr">
        <is>
          <t>his_note_adaptive</t>
        </is>
      </c>
      <c r="R32" t="n">
        <v>1</v>
      </c>
      <c r="S32" t="n">
        <v>0.5</v>
      </c>
      <c r="T32" t="n">
        <v>0.25</v>
      </c>
      <c r="U32" t="n">
        <v>-90</v>
      </c>
      <c r="V32" s="15" t="n">
        <v>20000</v>
      </c>
    </row>
    <row r="33">
      <c r="A33" t="inlineStr">
        <is>
          <t>F#6</t>
        </is>
      </c>
      <c r="B33" t="n">
        <v>90</v>
      </c>
      <c r="C33" s="15" t="n">
        <v>1481.870690667774</v>
      </c>
      <c r="D33" s="15" t="inlineStr">
        <is>
          <t>prior_constrained_harmonic_fit</t>
        </is>
      </c>
      <c r="E33" s="15" t="inlineStr">
        <is>
          <t>fit_accepted_acoustically_verified</t>
        </is>
      </c>
      <c r="F33" t="inlineStr">
        <is>
          <t>Tier_61</t>
        </is>
      </c>
      <c r="G33" t="inlineStr">
        <is>
          <t>adaptive_tier</t>
        </is>
      </c>
      <c r="H33" t="n">
        <v>1024</v>
      </c>
      <c r="I33" t="n">
        <v>128</v>
      </c>
      <c r="J33" t="n">
        <v>2</v>
      </c>
      <c r="K33" t="inlineStr">
        <is>
          <t>blackmanharris</t>
        </is>
      </c>
      <c r="L33" s="15" t="n">
        <v>22.5</v>
      </c>
      <c r="M33" t="n">
        <v>1331.979921761884</v>
      </c>
      <c r="N33" t="n">
        <v>20000</v>
      </c>
      <c r="O33" t="n">
        <v>-90</v>
      </c>
      <c r="P33" t="n">
        <v>0</v>
      </c>
      <c r="Q33" t="inlineStr">
        <is>
          <t>his_note_adaptive</t>
        </is>
      </c>
      <c r="R33" t="n">
        <v>1</v>
      </c>
      <c r="S33" t="n">
        <v>0.5</v>
      </c>
      <c r="T33" t="n">
        <v>0.25</v>
      </c>
      <c r="U33" t="n">
        <v>-90</v>
      </c>
      <c r="V33" s="15" t="n">
        <v>20000</v>
      </c>
    </row>
    <row r="34">
      <c r="A34" t="inlineStr">
        <is>
          <t>G6</t>
        </is>
      </c>
      <c r="B34" t="n">
        <v>91</v>
      </c>
      <c r="C34" s="15" t="n">
        <v>1566.395326583628</v>
      </c>
      <c r="D34" s="15" t="inlineStr">
        <is>
          <t>prior_constrained_harmonic_fit</t>
        </is>
      </c>
      <c r="E34" s="15" t="inlineStr">
        <is>
          <t>fit_accepted_acoustically_verified</t>
        </is>
      </c>
      <c r="F34" t="inlineStr">
        <is>
          <t>Tier_62</t>
        </is>
      </c>
      <c r="G34" t="inlineStr">
        <is>
          <t>adaptive_tier</t>
        </is>
      </c>
      <c r="H34" t="n">
        <v>1024</v>
      </c>
      <c r="I34" t="n">
        <v>128</v>
      </c>
      <c r="J34" t="n">
        <v>2</v>
      </c>
      <c r="K34" t="inlineStr">
        <is>
          <t>blackmanharris</t>
        </is>
      </c>
      <c r="L34" s="15" t="n">
        <v>24</v>
      </c>
      <c r="M34" t="n">
        <v>1411.183569534297</v>
      </c>
      <c r="N34" t="n">
        <v>20000</v>
      </c>
      <c r="O34" t="n">
        <v>-90</v>
      </c>
      <c r="P34" t="n">
        <v>0</v>
      </c>
      <c r="Q34" t="inlineStr">
        <is>
          <t>his_note_adaptive</t>
        </is>
      </c>
      <c r="R34" t="n">
        <v>1</v>
      </c>
      <c r="S34" t="n">
        <v>0.5</v>
      </c>
      <c r="T34" t="n">
        <v>0.25</v>
      </c>
      <c r="U34" t="n">
        <v>-90</v>
      </c>
      <c r="V34" s="15" t="n">
        <v>20000</v>
      </c>
    </row>
    <row r="35">
      <c r="A35" t="inlineStr">
        <is>
          <t>G#6</t>
        </is>
      </c>
      <c r="B35" t="n">
        <v>92</v>
      </c>
      <c r="C35" s="15" t="n">
        <v>1661.890715566864</v>
      </c>
      <c r="D35" s="15" t="inlineStr">
        <is>
          <t>prior_constrained_harmonic_fit</t>
        </is>
      </c>
      <c r="E35" s="15" t="inlineStr">
        <is>
          <t>fit_accepted_acoustically_verified</t>
        </is>
      </c>
      <c r="F35" t="inlineStr">
        <is>
          <t>Tier_63</t>
        </is>
      </c>
      <c r="G35" t="inlineStr">
        <is>
          <t>adaptive_tier</t>
        </is>
      </c>
      <c r="H35" t="n">
        <v>1024</v>
      </c>
      <c r="I35" t="n">
        <v>128</v>
      </c>
      <c r="J35" t="n">
        <v>2</v>
      </c>
      <c r="K35" t="inlineStr">
        <is>
          <t>blackmanharris</t>
        </is>
      </c>
      <c r="L35" s="15" t="n">
        <v>25.575</v>
      </c>
      <c r="M35" t="n">
        <v>1495.096911287802</v>
      </c>
      <c r="N35" t="n">
        <v>20000</v>
      </c>
      <c r="O35" t="n">
        <v>-90</v>
      </c>
      <c r="P35" t="n">
        <v>0</v>
      </c>
      <c r="Q35" t="inlineStr">
        <is>
          <t>his_note_adaptive</t>
        </is>
      </c>
      <c r="R35" t="n">
        <v>1</v>
      </c>
      <c r="S35" t="n">
        <v>0.5</v>
      </c>
      <c r="T35" t="n">
        <v>0.25</v>
      </c>
      <c r="U35" t="n">
        <v>-90</v>
      </c>
      <c r="V35" s="15" t="n">
        <v>20000</v>
      </c>
    </row>
    <row r="36">
      <c r="A36" t="inlineStr">
        <is>
          <t>A6</t>
        </is>
      </c>
      <c r="B36" t="n">
        <v>93</v>
      </c>
      <c r="C36" s="15" t="n">
        <v>1759.13494492592</v>
      </c>
      <c r="D36" s="15" t="inlineStr">
        <is>
          <t>prior_constrained_harmonic_fit</t>
        </is>
      </c>
      <c r="E36" s="15" t="inlineStr">
        <is>
          <t>fit_accepted_acoustically_verified</t>
        </is>
      </c>
      <c r="F36" t="inlineStr">
        <is>
          <t>Tier_64</t>
        </is>
      </c>
      <c r="G36" t="inlineStr">
        <is>
          <t>adaptive_tier</t>
        </is>
      </c>
      <c r="H36" t="n">
        <v>1024</v>
      </c>
      <c r="I36" t="n">
        <v>128</v>
      </c>
      <c r="J36" t="n">
        <v>2</v>
      </c>
      <c r="K36" t="inlineStr">
        <is>
          <t>blackmanharris</t>
        </is>
      </c>
      <c r="L36" s="15" t="n">
        <v>27.3</v>
      </c>
      <c r="M36" t="n">
        <v>1584</v>
      </c>
      <c r="N36" t="n">
        <v>20000</v>
      </c>
      <c r="O36" t="n">
        <v>-90</v>
      </c>
      <c r="P36" t="n">
        <v>0</v>
      </c>
      <c r="Q36" t="inlineStr">
        <is>
          <t>his_note_adaptive</t>
        </is>
      </c>
      <c r="R36" t="n">
        <v>1</v>
      </c>
      <c r="S36" t="n">
        <v>0.5</v>
      </c>
      <c r="T36" t="n">
        <v>0.25</v>
      </c>
      <c r="U36" t="n">
        <v>-90</v>
      </c>
      <c r="V36" s="15" t="n">
        <v>20000</v>
      </c>
    </row>
    <row r="37">
      <c r="A37" t="inlineStr">
        <is>
          <t>A#6</t>
        </is>
      </c>
      <c r="B37" t="n">
        <v>94</v>
      </c>
      <c r="C37" s="15" t="n">
        <v>1861.140122947805</v>
      </c>
      <c r="D37" s="15" t="inlineStr">
        <is>
          <t>prior_constrained_harmonic_fit</t>
        </is>
      </c>
      <c r="E37" s="15" t="inlineStr">
        <is>
          <t>fit_accepted_acoustically_verified</t>
        </is>
      </c>
      <c r="F37" t="inlineStr">
        <is>
          <t>Tier_64</t>
        </is>
      </c>
      <c r="G37" t="inlineStr">
        <is>
          <t>adaptive_tier</t>
        </is>
      </c>
      <c r="H37" t="n">
        <v>1024</v>
      </c>
      <c r="I37" t="n">
        <v>128</v>
      </c>
      <c r="J37" t="n">
        <v>2</v>
      </c>
      <c r="K37" t="inlineStr">
        <is>
          <t>blackmanharris</t>
        </is>
      </c>
      <c r="L37" s="15" t="n">
        <v>27.3</v>
      </c>
      <c r="M37" t="n">
        <v>1678.189541465124</v>
      </c>
      <c r="N37" t="n">
        <v>20000</v>
      </c>
      <c r="O37" t="n">
        <v>-90</v>
      </c>
      <c r="P37" t="n">
        <v>0</v>
      </c>
      <c r="Q37" t="inlineStr">
        <is>
          <t>his_note_adaptive</t>
        </is>
      </c>
      <c r="R37" t="n">
        <v>1</v>
      </c>
      <c r="S37" t="n">
        <v>0.5</v>
      </c>
      <c r="T37" t="n">
        <v>0.25</v>
      </c>
      <c r="U37" t="n">
        <v>-90</v>
      </c>
      <c r="V37" s="15" t="n">
        <v>20000</v>
      </c>
    </row>
    <row r="38">
      <c r="A38" t="inlineStr">
        <is>
          <t>B6</t>
        </is>
      </c>
      <c r="B38" t="n">
        <v>95</v>
      </c>
      <c r="C38" s="15" t="n">
        <v>1975.34528355509</v>
      </c>
      <c r="D38" s="15" t="inlineStr">
        <is>
          <t>prior_constrained_harmonic_fit</t>
        </is>
      </c>
      <c r="E38" s="15" t="inlineStr">
        <is>
          <t>fit_accepted_acoustically_verified</t>
        </is>
      </c>
      <c r="F38" t="inlineStr">
        <is>
          <t>Tier_65</t>
        </is>
      </c>
      <c r="G38" t="inlineStr">
        <is>
          <t>adaptive_tier</t>
        </is>
      </c>
      <c r="H38" t="n">
        <v>1024</v>
      </c>
      <c r="I38" t="n">
        <v>128</v>
      </c>
      <c r="J38" t="n">
        <v>2</v>
      </c>
      <c r="K38" t="inlineStr">
        <is>
          <t>blackmanharris</t>
        </is>
      </c>
      <c r="L38" s="15" t="n">
        <v>29.1</v>
      </c>
      <c r="M38" t="n">
        <v>1777.979884522046</v>
      </c>
      <c r="N38" t="n">
        <v>20000</v>
      </c>
      <c r="O38" t="n">
        <v>-90</v>
      </c>
      <c r="P38" t="n">
        <v>0</v>
      </c>
      <c r="Q38" t="inlineStr">
        <is>
          <t>his_note_adaptive</t>
        </is>
      </c>
      <c r="R38" t="n">
        <v>1</v>
      </c>
      <c r="S38" t="n">
        <v>0.5</v>
      </c>
      <c r="T38" t="n">
        <v>0.25</v>
      </c>
      <c r="U38" t="n">
        <v>-90</v>
      </c>
      <c r="V38" s="15" t="n">
        <v>20000</v>
      </c>
    </row>
  </sheetData>
  <autoFilter ref="A1:V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48" customWidth="1" min="2" max="2"/>
  </cols>
  <sheetData>
    <row r="1">
      <c r="A1" s="11" t="inlineStr">
        <is>
          <t>Field</t>
        </is>
      </c>
      <c r="B1" s="11" t="inlineStr">
        <is>
          <t>Value</t>
        </is>
      </c>
    </row>
    <row r="2">
      <c r="A2" t="inlineStr">
        <is>
          <t>source_corpus_path</t>
        </is>
      </c>
      <c r="B2" t="inlineStr">
        <is>
          <t>D:\METAIS\TROMBONE\IOWA-flute - test\IOWA_Flute_pp\_Sustains_Stable</t>
        </is>
      </c>
    </row>
    <row r="3">
      <c r="A3" t="inlineStr">
        <is>
          <t>output_path</t>
        </is>
      </c>
      <c r="B3" t="inlineStr">
        <is>
          <t>analysis_results</t>
        </is>
      </c>
    </row>
    <row r="4">
      <c r="A4" t="inlineStr">
        <is>
          <t>source_workbook_sha256</t>
        </is>
      </c>
      <c r="B4" t="inlineStr">
        <is>
          <t>2c662abb49ac617a3a980cc360661916a3bbe7352f8b2769846b32e1f8220707</t>
        </is>
      </c>
    </row>
    <row r="5">
      <c r="A5" t="inlineStr">
        <is>
          <t>git_commit</t>
        </is>
      </c>
      <c r="B5" t="inlineStr">
        <is>
          <t>unavailable_not_a_git_repository</t>
        </is>
      </c>
    </row>
    <row r="6">
      <c r="A6" t="inlineStr">
        <is>
          <t>package_version</t>
        </is>
      </c>
      <c r="B6" t="inlineStr">
        <is>
          <t>4.1.0</t>
        </is>
      </c>
    </row>
    <row r="7">
      <c r="A7" t="inlineStr">
        <is>
          <t>code_commit</t>
        </is>
      </c>
      <c r="B7" t="inlineStr">
        <is>
          <t>6b0e51a</t>
        </is>
      </c>
    </row>
    <row r="8">
      <c r="A8" t="inlineStr">
        <is>
          <t>code_dirty</t>
        </is>
      </c>
      <c r="B8" t="b">
        <v>0</v>
      </c>
    </row>
    <row r="9">
      <c r="A9" t="inlineStr">
        <is>
          <t>git_status_reason</t>
        </is>
      </c>
      <c r="B9" t="inlineStr">
        <is>
          <t>not_a_git_repository</t>
        </is>
      </c>
    </row>
    <row r="10">
      <c r="A10" t="inlineStr">
        <is>
          <t>git_branch</t>
        </is>
      </c>
      <c r="B10" t="inlineStr">
        <is>
          <t>unavailable_not_recorded</t>
        </is>
      </c>
    </row>
    <row r="11">
      <c r="A11" t="inlineStr">
        <is>
          <t>research_export_created_at</t>
        </is>
      </c>
      <c r="B11" t="inlineStr">
        <is>
          <t>2026-08-19T17:24:02Z</t>
        </is>
      </c>
    </row>
    <row r="12">
      <c r="A12" t="inlineStr">
        <is>
          <t>research_export_script</t>
        </is>
      </c>
      <c r="B12" t="inlineStr">
        <is>
          <t>export_research_density_workbook.py</t>
        </is>
      </c>
    </row>
    <row r="13">
      <c r="A13" t="inlineStr">
        <is>
          <t>research_export_version</t>
        </is>
      </c>
      <c r="B13" t="inlineStr">
        <is>
          <t>1.1.3</t>
        </is>
      </c>
    </row>
    <row r="14">
      <c r="A14" t="inlineStr">
        <is>
          <t>pipeline_contract_version</t>
        </is>
      </c>
      <c r="B14" t="inlineStr">
        <is>
          <t>SSA_CANONICAL_PIPELINE_2026_06_STAGE1_STAGE2_STAGE3_EWSD_v18_1_UQ</t>
        </is>
      </c>
    </row>
    <row r="15">
      <c r="A15" t="inlineStr">
        <is>
          <t>analysis_schema_version</t>
        </is>
      </c>
      <c r="B15" t="inlineStr">
        <is>
          <t>unavailable_not_recorded</t>
        </is>
      </c>
    </row>
    <row r="16">
      <c r="A16" t="inlineStr">
        <is>
          <t>stage1_module</t>
        </is>
      </c>
      <c r="B16" t="inlineStr">
        <is>
          <t>proc_audio</t>
        </is>
      </c>
    </row>
    <row r="17">
      <c r="A17" t="inlineStr">
        <is>
          <t>stage1_class</t>
        </is>
      </c>
      <c r="B17" t="inlineStr">
        <is>
          <t>AudioProcessor</t>
        </is>
      </c>
    </row>
    <row r="18">
      <c r="A18" t="inlineStr">
        <is>
          <t>stage2_module</t>
        </is>
      </c>
      <c r="B18" t="inlineStr">
        <is>
          <t>compile_metrics</t>
        </is>
      </c>
    </row>
    <row r="19">
      <c r="A19" t="inlineStr">
        <is>
          <t>stage2_function</t>
        </is>
      </c>
      <c r="B19" t="inlineStr">
        <is>
          <t>compile_density_metrics_with_pca</t>
        </is>
      </c>
    </row>
    <row r="20">
      <c r="A20" t="inlineStr">
        <is>
          <t>compiled_from</t>
        </is>
      </c>
      <c r="B20" t="inlineStr">
        <is>
          <t>spectral_analysis.xlsx</t>
        </is>
      </c>
    </row>
    <row r="21">
      <c r="A21" t="inlineStr">
        <is>
          <t>accepted_input_engine</t>
        </is>
      </c>
      <c r="B21" t="inlineStr">
        <is>
          <t>proc_audio.AudioProcessor</t>
        </is>
      </c>
    </row>
    <row r="22">
      <c r="A22" t="inlineStr">
        <is>
          <t>legacy_pipeline_used</t>
        </is>
      </c>
      <c r="B22" t="n">
        <v>0</v>
      </c>
    </row>
    <row r="23">
      <c r="A23" t="inlineStr">
        <is>
          <t>legacy_super_json_allowed</t>
        </is>
      </c>
      <c r="B23" t="n">
        <v>0</v>
      </c>
    </row>
    <row r="24">
      <c r="A24" t="inlineStr">
        <is>
          <t>publication_output_allowed</t>
        </is>
      </c>
      <c r="B24" t="n">
        <v>1</v>
      </c>
    </row>
    <row r="25">
      <c r="A25" t="inlineStr">
        <is>
          <t>input_schema_validation_status</t>
        </is>
      </c>
      <c r="B25" t="inlineStr">
        <is>
          <t>gui_orchestrator_pipeline</t>
        </is>
      </c>
    </row>
    <row r="26">
      <c r="A26" t="inlineStr">
        <is>
          <t>weight_function</t>
        </is>
      </c>
      <c r="B26" t="inlineStr">
        <is>
          <t>log</t>
        </is>
      </c>
    </row>
    <row r="27">
      <c r="A27" t="inlineStr">
        <is>
          <t>window_type</t>
        </is>
      </c>
      <c r="B27" t="inlineStr">
        <is>
          <t>blackmanharris</t>
        </is>
      </c>
    </row>
    <row r="28">
      <c r="A28" t="inlineStr">
        <is>
          <t>n_fft_strategy_or_tier_strategy</t>
        </is>
      </c>
      <c r="B28" t="inlineStr">
        <is>
          <t>90_tier_granular</t>
        </is>
      </c>
    </row>
    <row r="29">
      <c r="A29" t="inlineStr">
        <is>
          <t>n_fft</t>
        </is>
      </c>
      <c r="B29" t="inlineStr">
        <is>
          <t>tier_dependent_see_Analysis_Settings_By_Note</t>
        </is>
      </c>
    </row>
    <row r="30">
      <c r="A30" t="inlineStr">
        <is>
          <t>hop_length_strategy_or_tier_strategy</t>
        </is>
      </c>
      <c r="B30" t="inlineStr">
        <is>
          <t>90_tier_granular</t>
        </is>
      </c>
    </row>
    <row r="31">
      <c r="A31" t="inlineStr">
        <is>
          <t>hop_length</t>
        </is>
      </c>
      <c r="B31" t="inlineStr">
        <is>
          <t>tier_dependent_see_Analysis_Settings_By_Note</t>
        </is>
      </c>
    </row>
    <row r="32">
      <c r="A32" t="inlineStr">
        <is>
          <t>zero_padding</t>
        </is>
      </c>
      <c r="B32" t="inlineStr">
        <is>
          <t>tier_dependent_see_Analysis_Settings_By_Note</t>
        </is>
      </c>
    </row>
    <row r="33">
      <c r="A33" t="inlineStr">
        <is>
          <t>harmonic_tolerance_strategy</t>
        </is>
      </c>
      <c r="B33" t="inlineStr">
        <is>
          <t>90_tier_granular</t>
        </is>
      </c>
    </row>
    <row r="34">
      <c r="A34" t="inlineStr">
        <is>
          <t>harmonic_tolerance</t>
        </is>
      </c>
      <c r="B34" t="inlineStr">
        <is>
          <t>tier_dependent_see_Analysis_Settings_By_Note</t>
        </is>
      </c>
    </row>
    <row r="35">
      <c r="A35" t="inlineStr">
        <is>
          <t>harmonic_tolerance_policy_version</t>
        </is>
      </c>
      <c r="B35" t="n">
        <v/>
      </c>
    </row>
    <row r="36">
      <c r="A36" t="inlineStr">
        <is>
          <t>harmonic_tolerance_spacing_cap_fraction</t>
        </is>
      </c>
      <c r="B36" t="n">
        <v/>
      </c>
    </row>
    <row r="37">
      <c r="A37" t="inlineStr">
        <is>
          <t>harmonic_body_stop_enabled</t>
        </is>
      </c>
      <c r="B37" t="n">
        <v/>
      </c>
    </row>
    <row r="38">
      <c r="A38" t="inlineStr">
        <is>
          <t>harmonic_body_stop_margin_db</t>
        </is>
      </c>
      <c r="B38" t="n">
        <v/>
      </c>
    </row>
    <row r="39">
      <c r="A39" t="inlineStr">
        <is>
          <t>density_ci_enabled</t>
        </is>
      </c>
      <c r="B39" t="n">
        <v/>
      </c>
    </row>
    <row r="40">
      <c r="A40" t="inlineStr">
        <is>
          <t>frequency_min_hz</t>
        </is>
      </c>
      <c r="B40" t="inlineStr">
        <is>
          <t>unknown_not_parseable</t>
        </is>
      </c>
    </row>
    <row r="41">
      <c r="A41" t="inlineStr">
        <is>
          <t>frequency_max_hz</t>
        </is>
      </c>
      <c r="B41" t="inlineStr">
        <is>
          <t>unknown_not_parseable</t>
        </is>
      </c>
    </row>
    <row r="42">
      <c r="A42" t="inlineStr">
        <is>
          <t>magnitude_min_db</t>
        </is>
      </c>
      <c r="B42" t="inlineStr">
        <is>
          <t>unknown_not_parseable</t>
        </is>
      </c>
    </row>
    <row r="43">
      <c r="A43" t="inlineStr">
        <is>
          <t>magnitude_max_db</t>
        </is>
      </c>
      <c r="B43" t="inlineStr">
        <is>
          <t>unknown_not_parseable</t>
        </is>
      </c>
    </row>
    <row r="44">
      <c r="A44" t="inlineStr">
        <is>
          <t>density_summation_mode</t>
        </is>
      </c>
      <c r="B44" t="inlineStr">
        <is>
          <t>unavailable_not_recorded</t>
        </is>
      </c>
    </row>
    <row r="45">
      <c r="A45" t="inlineStr">
        <is>
          <t>harmonic_density_weight</t>
        </is>
      </c>
      <c r="B45" t="n">
        <v>0.6032184394390413</v>
      </c>
    </row>
    <row r="46">
      <c r="A46" t="inlineStr">
        <is>
          <t>inharmonic_density_weight</t>
        </is>
      </c>
      <c r="B46" t="n">
        <v>0.3387422977526784</v>
      </c>
    </row>
    <row r="47">
      <c r="A47" t="inlineStr">
        <is>
          <t>subbass_density_weight</t>
        </is>
      </c>
      <c r="B47" t="n">
        <v>0.0580392628082803</v>
      </c>
    </row>
    <row r="48">
      <c r="A48" t="inlineStr">
        <is>
          <t>density_salience_threshold_db</t>
        </is>
      </c>
      <c r="B48" t="n">
        <v>-90</v>
      </c>
    </row>
    <row r="49">
      <c r="A49" t="inlineStr">
        <is>
          <t>density_frequency_ceiling_hz</t>
        </is>
      </c>
      <c r="B49" t="n">
        <v>20000</v>
      </c>
    </row>
    <row r="50">
      <c r="A50" t="inlineStr">
        <is>
          <t>sample_row_count</t>
        </is>
      </c>
      <c r="B50" t="n">
        <v>37</v>
      </c>
    </row>
    <row r="51">
      <c r="A51" t="inlineStr">
        <is>
          <t>unique_midi_count</t>
        </is>
      </c>
      <c r="B51" t="n">
        <v>37</v>
      </c>
    </row>
    <row r="52">
      <c r="A52" t="inlineStr">
        <is>
          <t>unique_note_label_count</t>
        </is>
      </c>
      <c r="B52" t="n">
        <v>37</v>
      </c>
    </row>
    <row r="53">
      <c r="A53" t="inlineStr">
        <is>
          <t>notes_count</t>
        </is>
      </c>
      <c r="B53" t="n">
        <v>37</v>
      </c>
    </row>
    <row r="54">
      <c r="A54" t="inlineStr">
        <is>
          <t>notes_count_semantics</t>
        </is>
      </c>
      <c r="B54" t="inlineStr">
        <is>
          <t>sample_row_count (compiled rows), not unique pitch count</t>
        </is>
      </c>
    </row>
    <row r="55">
      <c r="A55" t="inlineStr">
        <is>
          <t>pitch_range</t>
        </is>
      </c>
      <c r="B55" t="inlineStr">
        <is>
          <t>59-95</t>
        </is>
      </c>
    </row>
    <row r="56">
      <c r="A56" t="inlineStr">
        <is>
          <t>harmonic_slot_coverage_ratio_formula</t>
        </is>
      </c>
      <c r="B56" t="inlineStr">
        <is>
          <t>harmonic_slot_matched_count / harmonic_slot_expected_count</t>
        </is>
      </c>
    </row>
    <row r="57">
      <c r="A57" t="inlineStr">
        <is>
          <t>harmonic_region_occupancy_count_definition</t>
        </is>
      </c>
      <c r="B57" t="inlineStr">
        <is>
          <t>Occupancy/slot-derived descriptor; not a strict count of detected harmonic partial orders and not bounded by floor(ceiling/f0).</t>
        </is>
      </c>
    </row>
    <row r="58">
      <c r="A58" t="inlineStr">
        <is>
          <t>harmonic_occupancy_detected_order_count_definition</t>
        </is>
      </c>
      <c r="B58" t="inlineStr">
        <is>
          <t>DEPRECATED alias of harmonic_region_occupancy_count. Occupancy/slot-derived descriptor; not a strict count of detected harmonic partial orders and not bounded by floor(ceiling/f0).</t>
        </is>
      </c>
    </row>
    <row r="59">
      <c r="A59" t="inlineStr">
        <is>
          <t>theoretical_harmonic_order_count_up_to_body_ceiling_definition</t>
        </is>
      </c>
      <c r="B59" t="inlineStr">
        <is>
          <t>alias of expected_harmonic_order_count_up_to_body_ceiling (= floor(body_density_frequency_ceiling_hz/f0))</t>
        </is>
      </c>
    </row>
    <row r="60">
      <c r="A60" t="inlineStr">
        <is>
          <t>detected_salient_harmonic_order_count_up_to_body_ceiling_definition</t>
        </is>
      </c>
      <c r="B60" t="inlineStr">
        <is>
          <t>alias of salient_harmonic_order_count_up_to_body_ceiling</t>
        </is>
      </c>
    </row>
    <row r="61">
      <c r="A61" t="inlineStr">
        <is>
          <t>salient_harmonic_coverage_ratio_up_to_body_ceiling_definition</t>
        </is>
      </c>
      <c r="B61" t="inlineStr">
        <is>
          <t>alias of salient_harmonic_coverage_up_to_body_ceiling</t>
        </is>
      </c>
    </row>
    <row r="62">
      <c r="A62" t="inlineStr">
        <is>
          <t>legacy_high_ceiling_harmonic_slot_index_count_definition</t>
        </is>
      </c>
      <c r="B62" t="inlineStr">
        <is>
          <t>legacy high-ceiling harmonic-slot index count (historical Harmonic Count/Harmonic Count (N)); not a fixed-ceiling physical harmonic-order count</t>
        </is>
      </c>
    </row>
    <row r="63">
      <c r="A63" t="inlineStr">
        <is>
          <t>density_body_weighted_sum_body_ceiling_definition</t>
        </is>
      </c>
      <c r="B63" t="inlineStr">
        <is>
          <t>alias of density_component_body_weighted_sum_body_ceiling (component-based body metric)</t>
        </is>
      </c>
    </row>
    <row r="64">
      <c r="A64" t="inlineStr">
        <is>
          <t>density_component_body_weighted_sum_body_ceiling_definition</t>
        </is>
      </c>
      <c r="B64" t="inlineStr">
        <is>
          <t>legacy alias of density_component_body_weighted_sum_body_ceiling</t>
        </is>
      </c>
    </row>
    <row r="65">
      <c r="A65" t="inlineStr">
        <is>
          <t>harmonic_component_energy_sum_body_ceiling_definition</t>
        </is>
      </c>
      <c r="B65" t="inlineStr">
        <is>
          <t>legacy alias of harmonic_component_energy_sum_body_ceiling</t>
        </is>
      </c>
    </row>
    <row r="66">
      <c r="A66" t="inlineStr">
        <is>
          <t>inharmonic_component_energy_sum_body_ceiling_definition</t>
        </is>
      </c>
      <c r="B66" t="inlineStr">
        <is>
          <t>legacy alias of inharmonic_component_energy_sum_body_ceiling</t>
        </is>
      </c>
    </row>
    <row r="67">
      <c r="A67" t="inlineStr">
        <is>
          <t>subbass_component_energy_sum_body_ceiling_definition</t>
        </is>
      </c>
      <c r="B67" t="inlineStr">
        <is>
          <t>sum Power_raw of accepted subbass residual candidates under subbass policy with current body-ceiling configuration</t>
        </is>
      </c>
    </row>
    <row r="68">
      <c r="A68" t="inlineStr">
        <is>
          <t>subbass_component_energy_sum_definition</t>
        </is>
      </c>
      <c r="B68" t="inlineStr">
        <is>
          <t>legacy alias of subbass_component_energy_sum_body_ceiling</t>
        </is>
      </c>
    </row>
    <row r="69">
      <c r="A69" t="inlineStr">
        <is>
          <t>harmonic_body_energy_sum_body_ceiling_definition</t>
        </is>
      </c>
      <c r="B69" t="inlineStr">
        <is>
          <t>harmonic component energy sum with runtime body ceiling</t>
        </is>
      </c>
    </row>
    <row r="70">
      <c r="A70" t="inlineStr">
        <is>
          <t>inharmonic_body_energy_sum_body_ceiling_definition</t>
        </is>
      </c>
      <c r="B70" t="inlineStr">
        <is>
          <t>inharmonic component energy sum with runtime body ceiling</t>
        </is>
      </c>
    </row>
    <row r="71">
      <c r="A71" t="inlineStr">
        <is>
          <t>subbass_rumble_energy_sum_definition</t>
        </is>
      </c>
      <c r="B71" t="inlineStr">
        <is>
          <t>subbass/rumble component energy sum used in body-density weighting</t>
        </is>
      </c>
    </row>
    <row r="72">
      <c r="A72" t="inlineStr">
        <is>
          <t>body_band_harmonic_bin_energy_sum_body_ceiling_definition</t>
        </is>
      </c>
      <c r="B72" t="inlineStr">
        <is>
          <t>diagnostic-only bin-integrated harmonic-band energy within runtime body ceiling</t>
        </is>
      </c>
    </row>
    <row r="73">
      <c r="A73" t="inlineStr">
        <is>
          <t>body_band_residual_bin_energy_sum_body_ceiling_definition</t>
        </is>
      </c>
      <c r="B73" t="inlineStr">
        <is>
          <t>diagnostic-only bin-integrated residual-band energy within runtime body ceiling</t>
        </is>
      </c>
    </row>
    <row r="74">
      <c r="A74" t="inlineStr">
        <is>
          <t>body_band_total_bin_energy_sum_body_ceiling_definition</t>
        </is>
      </c>
      <c r="B74" t="inlineStr">
        <is>
          <t>diagnostic-only total bin-integrated body-band energy within runtime body ceiling</t>
        </is>
      </c>
    </row>
    <row r="75">
      <c r="A75" t="inlineStr">
        <is>
          <t>density_body_band_bin_integrated_index_body_ceiling_definition</t>
        </is>
      </c>
      <c r="B75" t="inlineStr">
        <is>
          <t>diagnostic-only weighted index from bin-integrated body-band energies; not the primary fatness metric</t>
        </is>
      </c>
    </row>
    <row r="76">
      <c r="A76" t="inlineStr">
        <is>
          <t>density_full_spectrum_weighted_sum_20khz_definition</t>
        </is>
      </c>
      <c r="B76" t="inlineStr">
        <is>
          <t>full-spectrum weighted diagnostic sum (&lt;=20000 Hz); not the primary body/fatness metric</t>
        </is>
      </c>
    </row>
    <row r="77">
      <c r="A77" t="inlineStr">
        <is>
          <t>harmonic_full_spectrum_energy_sum_20khz_definition</t>
        </is>
      </c>
      <c r="B77" t="inlineStr">
        <is>
          <t>harmonic full-spectrum energy sum (&lt;=20000 Hz diagnostic/extension family)</t>
        </is>
      </c>
    </row>
    <row r="78">
      <c r="A78" t="inlineStr">
        <is>
          <t>inharmonic_full_spectrum_energy_sum_20khz_definition</t>
        </is>
      </c>
      <c r="B78" t="inlineStr">
        <is>
          <t>inharmonic full-spectrum energy sum (&lt;=20000 Hz diagnostic/extension family)</t>
        </is>
      </c>
    </row>
    <row r="79">
      <c r="A79" t="inlineStr">
        <is>
          <t>high_frequency_spectral_activity_sum_definition</t>
        </is>
      </c>
      <c r="B79" t="inlineStr">
        <is>
          <t>upper-band spectral activity above body ceiling; diagnostic for brightness/extension</t>
        </is>
      </c>
    </row>
    <row r="80">
      <c r="A80" t="inlineStr">
        <is>
          <t>spectral_extension_index_20khz_definition</t>
        </is>
      </c>
      <c r="B80" t="inlineStr">
        <is>
          <t>ratio-like extension indicator comparing full-spectrum to body-limited weighted energy</t>
        </is>
      </c>
    </row>
    <row r="81">
      <c r="A81" t="inlineStr">
        <is>
          <t>brightness_or_upper_spectral_activity_index_20khz_definition</t>
        </is>
      </c>
      <c r="B81" t="inlineStr">
        <is>
          <t>upper-band activity index in the full-spectrum diagnostic family (20 kHz ceiling)</t>
        </is>
      </c>
    </row>
    <row r="82">
      <c r="A82" t="inlineStr">
        <is>
          <t>full_spectrum_harmonic_candidate_count_20khz_definition</t>
        </is>
      </c>
      <c r="B82" t="inlineStr">
        <is>
          <t>harmonic candidate count under full-spectrum ceiling (20 kHz); not a body-density harmonic-order metric</t>
        </is>
      </c>
    </row>
    <row r="83">
      <c r="A83" t="inlineStr">
        <is>
          <t>harmonic_occupancy_ratio_formula</t>
        </is>
      </c>
      <c r="B83" t="inlineStr">
        <is>
          <t>unique harmonic-order bins (nearest n*f0 within harmonic_tolerance_cents, excluding subbass) / expected_harmonic_slot_count</t>
        </is>
      </c>
    </row>
    <row r="84">
      <c r="A84" t="inlineStr">
        <is>
          <t>harmonic_occupancy_ratio_definition</t>
        </is>
      </c>
      <c r="B84" t="inlineStr">
        <is>
          <t>acoustic_density_core occupancy metric based on accepted harmonic-order bins; not identical to validation-slot coverage</t>
        </is>
      </c>
    </row>
    <row r="85">
      <c r="A85" t="inlineStr">
        <is>
          <t>body_weighted_effective_density_formula</t>
        </is>
      </c>
      <c r="B85" t="inlineStr">
        <is>
          <t>(sum(w_body_i*sqrt(P_i))^2)/sum((w_body_i*sqrt(P_i))^2), with w_body(f)=1/(1+(f/1800)^2) on salient peaks up to runtime body ceiling</t>
        </is>
      </c>
    </row>
    <row r="86">
      <c r="A86" t="inlineStr">
        <is>
          <t>spectral_body_thickness_index_formula</t>
        </is>
      </c>
      <c r="B86" t="inlineStr">
        <is>
          <t>0.45*z(body_weighted_effective_density)+0.25*z(low_mid_energy_ratio)+0.20*z(harmonic_body_density_normalized)+0.10*z(residual_body_contribution_capped)</t>
        </is>
      </c>
    </row>
    <row r="87">
      <c r="A87" t="inlineStr">
        <is>
          <t>instrument_detected</t>
        </is>
      </c>
      <c r="B87" t="inlineStr">
        <is>
          <t>Flute</t>
        </is>
      </c>
    </row>
    <row r="88">
      <c r="A88" t="inlineStr">
        <is>
          <t>dynamic_detected</t>
        </is>
      </c>
      <c r="B88" t="inlineStr">
        <is>
          <t>pp</t>
        </is>
      </c>
    </row>
    <row r="89">
      <c r="A89" t="inlineStr">
        <is>
          <t>frequency_magnitude_fields_recovery_status</t>
        </is>
      </c>
      <c r="B89" t="inlineStr">
        <is>
          <t>partially_unavailable_in_compiled_source</t>
        </is>
      </c>
    </row>
    <row r="90">
      <c r="A90" t="inlineStr">
        <is>
          <t>research_export_source_workbook</t>
        </is>
      </c>
      <c r="B90" t="inlineStr">
        <is>
          <t>compiled_density_metrics.xlsx</t>
        </is>
      </c>
    </row>
    <row r="91">
      <c r="A91" t="inlineStr">
        <is>
          <t>git_describe</t>
        </is>
      </c>
      <c r="B91" t="inlineStr">
        <is>
          <t>v0.1.0-validated-2026-05-15-242-g6b0e51a</t>
        </is>
      </c>
    </row>
    <row r="92">
      <c r="A92" t="inlineStr">
        <is>
          <t>analysis_version</t>
        </is>
      </c>
      <c r="B92" t="inlineStr">
        <is>
          <t>4.1.0+v0.1.0-validated-2026-05-15-242-g6b0e51a</t>
        </is>
      </c>
    </row>
    <row r="93">
      <c r="A93" t="inlineStr">
        <is>
          <t>export_schema_version</t>
        </is>
      </c>
      <c r="B93" t="inlineStr">
        <is>
          <t>spectral_analysis_schema_2026_08</t>
        </is>
      </c>
    </row>
  </sheetData>
  <autoFilter ref="A1:B9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2026-08-19T17:24:08Z</dcterms:created>
  <dcterms:modified xmlns:dcterms="http://purl.org/dc/terms/" xmlns:xsi="http://www.w3.org/2001/XMLSchema-instance" xsi:type="dcterms:W3CDTF">2026-08-19T17:24:08Z</dcterms:modified>
</cp:coreProperties>
</file>