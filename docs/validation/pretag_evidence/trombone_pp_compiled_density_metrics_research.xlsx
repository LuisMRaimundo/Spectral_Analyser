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pectral_Density_Metrics" sheetId="3" state="visible" r:id="rId3"/>
    <sheet xmlns:r="http://schemas.openxmlformats.org/officeDocument/2006/relationships" name="Stage3_Diagnostics" sheetId="4" state="visible" r:id="rId4"/>
    <sheet xmlns:r="http://schemas.openxmlformats.org/officeDocument/2006/relationships" name="Stage3_Summary" sheetId="5" state="visible" r:id="rId5"/>
    <sheet xmlns:r="http://schemas.openxmlformats.org/officeDocument/2006/relationships" name="Uncertainty_Summary" sheetId="6" state="visible" r:id="rId6"/>
    <sheet xmlns:r="http://schemas.openxmlformats.org/officeDocument/2006/relationships" name="Primary_Statistics_Eligible" sheetId="7" state="visible" r:id="rId7"/>
    <sheet xmlns:r="http://schemas.openxmlformats.org/officeDocument/2006/relationships" name="Component_Balance" sheetId="8" state="visible" r:id="rId8"/>
    <sheet xmlns:r="http://schemas.openxmlformats.org/officeDocument/2006/relationships" name="Validation_Summary" sheetId="9" state="visible" r:id="rId9"/>
    <sheet xmlns:r="http://schemas.openxmlformats.org/officeDocument/2006/relationships" name="Charts_Data" sheetId="10" state="visible" r:id="rId10"/>
    <sheet xmlns:r="http://schemas.openxmlformats.org/officeDocument/2006/relationships" name="Legacy_Compatibility" sheetId="11" state="visible" r:id="rId11"/>
    <sheet xmlns:r="http://schemas.openxmlformats.org/officeDocument/2006/relationships" name="Analysis_Settings_By_Note" sheetId="12" state="visible" r:id="rId12"/>
    <sheet xmlns:r="http://schemas.openxmlformats.org/officeDocument/2006/relationships" name="Metadata" sheetId="13" state="visible" r:id="rId13"/>
  </sheets>
  <definedNames>
    <definedName name="_xlnm._FilterDatabase" localSheetId="2" hidden="1">'Spectral_Density_Metrics'!$A$1:$HI$33</definedName>
    <definedName name="_xlnm._FilterDatabase" localSheetId="3" hidden="1">'Stage3_Diagnostics'!$A$1:$H$33</definedName>
    <definedName name="_xlnm._FilterDatabase" localSheetId="4" hidden="1">'Stage3_Summary'!$A$1:$J$2</definedName>
    <definedName name="_xlnm._FilterDatabase" localSheetId="5" hidden="1">'Uncertainty_Summary'!$A$1:$I$97</definedName>
    <definedName name="_xlnm._FilterDatabase" localSheetId="6" hidden="1">'Primary_Statistics_Eligible'!$A$1:$A$2</definedName>
    <definedName name="_xlnm._FilterDatabase" localSheetId="7" hidden="1">'Component_Balance'!$A$1:$AF$33</definedName>
    <definedName name="_xlnm._FilterDatabase" localSheetId="8" hidden="1">'Validation_Summary'!$A$1:$V$33</definedName>
    <definedName name="_xlnm._FilterDatabase" localSheetId="9" hidden="1">'Charts_Data'!$A$1:$BA$33</definedName>
    <definedName name="_xlnm._FilterDatabase" localSheetId="10" hidden="1">'Legacy_Compatibility'!$A$1:$D$33</definedName>
    <definedName name="_xlnm._FilterDatabase" localSheetId="11" hidden="1">'Analysis_Settings_By_Note'!$A$1:$V$33</definedName>
    <definedName name="_xlnm._FilterDatabase" localSheetId="12" hidden="1">'Metadata'!$A$1:$B$93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6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546A"/>
      </patternFill>
    </fill>
    <fill>
      <patternFill patternType="solid">
        <fgColor rgb="00E7E6E6"/>
      </patternFill>
    </fill>
    <fill>
      <patternFill patternType="solid">
        <fgColor rgb="00D6E4F0"/>
      </patternFill>
    </fill>
    <fill>
      <patternFill patternType="solid">
        <fgColor rgb="00ADD8E6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0" borderId="1" applyAlignment="1" pivotButton="0" quotePrefix="0" xfId="0">
      <alignment vertical="top" wrapText="1"/>
    </xf>
    <xf numFmtId="164" fontId="0" fillId="4" borderId="1" pivotButton="0" quotePrefix="0" xfId="0"/>
    <xf numFmtId="10" fontId="0" fillId="4" borderId="1" pivotButton="0" quotePrefix="0" xfId="0"/>
    <xf numFmtId="0" fontId="0" fillId="4" borderId="1" pivotButton="0" quotePrefix="0" xfId="0"/>
    <xf numFmtId="165" fontId="0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164" fontId="0" fillId="0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7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Harmonic occupancy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'Charts_Data'!$AC$2:$AC$33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harmonic_occupancy_ratio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Residual log-frequency occupancy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'Charts_Data'!$AD$2:$AD$33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Normalized descriptor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'Charts_Data'!AG1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'Charts_Data'!$AG$2:$AG$33</f>
            </numRef>
          </val>
        </ser>
        <ser>
          <idx val="1"/>
          <order val="1"/>
          <tx>
            <strRef>
              <f>'Charts_Data'!AH1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'Charts_Data'!$AH$2:$AH$33</f>
            </numRef>
          </val>
        </ser>
        <ser>
          <idx val="2"/>
          <order val="2"/>
          <tx>
            <strRef>
              <f>'Charts_Data'!AI1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'Charts_Data'!$AI$2:$AI$33</f>
            </numRef>
          </val>
        </ser>
        <ser>
          <idx val="3"/>
          <order val="3"/>
          <tx>
            <strRef>
              <f>'Charts_Data'!AJ1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'Charts_Data'!$AJ$2:$AJ$33</f>
            </numRef>
          </val>
        </ser>
        <ser>
          <idx val="4"/>
          <order val="4"/>
          <tx>
            <strRef>
              <f>'Charts_Data'!AM1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'Charts_Data'!$AM$2:$AM$33</f>
            </numRef>
          </val>
        </ser>
        <ser>
          <idx val="5"/>
          <order val="5"/>
          <tx>
            <strRef>
              <f>'Charts_Data'!AN1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'Charts_Data'!$AN$2:$AN$33</f>
            </numRef>
          </val>
        </ser>
        <ser>
          <idx val="6"/>
          <order val="6"/>
          <tx>
            <strRef>
              <f>'Charts_Data'!AK1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'Charts_Data'!$AK$2:$AK$33</f>
            </numRef>
          </val>
        </ser>
        <ser>
          <idx val="7"/>
          <order val="7"/>
          <tx>
            <strRef>
              <f>'Charts_Data'!AL1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'Charts_Data'!$AL$2:$AL$33</f>
            </numRef>
          </val>
        </ser>
        <ser>
          <idx val="8"/>
          <order val="8"/>
          <tx>
            <strRef>
              <f>'Charts_Data'!AO1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'Charts_Data'!$A$2:$A$33</f>
            </numRef>
          </cat>
          <val>
            <numRef>
              <f>'Charts_Data'!$AO$2:$AO$33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Weighted component contributions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'Charts_Data'!AT1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'Charts_Data'!$A$2:$A$33</f>
            </numRef>
          </cat>
          <val>
            <numRef>
              <f>'Charts_Data'!$AT$2:$AT$33</f>
            </numRef>
          </val>
        </ser>
        <ser>
          <idx val="1"/>
          <order val="1"/>
          <tx>
            <strRef>
              <f>'Charts_Data'!AU1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'Charts_Data'!$A$2:$A$33</f>
            </numRef>
          </cat>
          <val>
            <numRef>
              <f>'Charts_Data'!$AU$2:$AU$33</f>
            </numRef>
          </val>
        </ser>
        <ser>
          <idx val="2"/>
          <order val="2"/>
          <tx>
            <strRef>
              <f>'Charts_Data'!AV1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'Charts_Data'!$A$2:$A$33</f>
            </numRef>
          </cat>
          <val>
            <numRef>
              <f>'Charts_Data'!$AV$2:$AV$33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Component energy ratios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'Charts_Data'!AY1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'Charts_Data'!$A$2:$A$33</f>
            </numRef>
          </cat>
          <val>
            <numRef>
              <f>'Charts_Data'!$AY$2:$AY$33</f>
            </numRef>
          </val>
        </ser>
        <ser>
          <idx val="1"/>
          <order val="1"/>
          <tx>
            <strRef>
              <f>'Charts_Data'!AZ1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'Charts_Data'!$A$2:$A$33</f>
            </numRef>
          </cat>
          <val>
            <numRef>
              <f>'Charts_Data'!$AZ$2:$AZ$33</f>
            </numRef>
          </val>
        </ser>
        <ser>
          <idx val="2"/>
          <order val="2"/>
          <tx>
            <strRef>
              <f>'Charts_Data'!BA1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'Charts_Data'!$A$2:$A$33</f>
            </numRef>
          </cat>
          <val>
            <numRef>
              <f>'Charts_Data'!$BA$2:$BA$33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MIDI vs salient_harmonic_order_count_up_to_body_ceiling</a:t>
            </a:r>
          </a:p>
        </rich>
      </tx>
    </title>
    <plotArea>
      <lineChart>
        <grouping val="standard"/>
        <ser>
          <idx val="0"/>
          <order val="0"/>
          <tx>
            <strRef>
              <f>'Charts_Data'!I1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'Charts_Data'!$B$2:$B$33</f>
            </numRef>
          </cat>
          <val>
            <numRef>
              <f>'Charts_Data'!$I$2:$I$33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MIDI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salient_harmonic_order_count_up_to_body_ceiling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36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56</row>
      <rowOff>0</rowOff>
    </from>
    <ext cx="72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78</row>
      <rowOff>0</rowOff>
    </from>
    <ext cx="648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102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124</row>
      <rowOff>0</rowOff>
    </from>
    <ext cx="648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t="inlineStr">
        <is>
          <t>Spectral density — research export workbook</t>
        </is>
      </c>
    </row>
    <row r="2">
      <c r="A2" t="inlineStr"/>
    </row>
    <row r="3">
      <c r="A3" t="inlineStr">
        <is>
          <t>Source compiled workbook (filename only):</t>
        </is>
      </c>
    </row>
    <row r="4">
      <c r="A4" t="inlineStr">
        <is>
          <t>compiled_density_metrics.xlsx</t>
        </is>
      </c>
    </row>
    <row r="5">
      <c r="A5" t="inlineStr"/>
    </row>
    <row r="6">
      <c r="A6" t="inlineStr">
        <is>
          <t>Generated: 2026-08-19T16:59:58Z</t>
        </is>
      </c>
    </row>
    <row r="7">
      <c r="A7" t="inlineStr">
        <is>
          <t>Script: export_research_density_workbook.py  version 1.1.3</t>
        </is>
      </c>
    </row>
    <row r="8">
      <c r="A8" t="inlineStr">
        <is>
          <t>Number of notes in export: 32</t>
        </is>
      </c>
    </row>
    <row r="9">
      <c r="A9" t="inlineStr"/>
    </row>
    <row r="10">
      <c r="A10" s="1" t="inlineStr">
        <is>
          <t>Purpose</t>
        </is>
      </c>
    </row>
    <row r="11">
      <c r="A11" t="inlineStr">
        <is>
          <t>-------</t>
        </is>
      </c>
    </row>
    <row r="12">
      <c r="A12" t="inlineStr">
        <is>
          <t>This workbook is a reduced, professionally formatted export intended for secondary research,</t>
        </is>
      </c>
    </row>
    <row r="13">
      <c r="A13" t="inlineStr">
        <is>
          <t>plotting, thesis writing, and visual inspection.</t>
        </is>
      </c>
    </row>
    <row r="14">
      <c r="A14" t="inlineStr"/>
    </row>
    <row r="15">
      <c r="A15" t="inlineStr">
        <is>
          <t>The file compiled_density_metrics.xlsx remains the complete technical and audit export.</t>
        </is>
      </c>
    </row>
    <row r="16">
      <c r="A16" t="inlineStr">
        <is>
          <t>This workbook (compiled_density_metrics_research.xlsx) is the recommended research and reporting export.</t>
        </is>
      </c>
    </row>
    <row r="17">
      <c r="A17" t="inlineStr"/>
    </row>
    <row r="18">
      <c r="A18" s="1" t="inlineStr">
        <is>
          <t>Metric hierarchy (read carefully)</t>
        </is>
      </c>
    </row>
    <row r="19">
      <c r="A19" t="inlineStr">
        <is>
          <t>-----------------------------------</t>
        </is>
      </c>
    </row>
    <row r="20">
      <c r="A20" t="inlineStr">
        <is>
          <t>density_metric_raw:</t>
        </is>
      </c>
    </row>
    <row r="21">
      <c r="A21" t="inlineStr">
        <is>
          <t xml:space="preserve">    D_H·w_H + D_I·w_I + D_S·w_S where each D_* uses the compile weight_function (linear, log, sqrt,</t>
        </is>
      </c>
    </row>
    <row r="22">
      <c r="A22" t="inlineStr">
        <is>
          <t xml:space="preserve">    d3, …) and w_* are measured component_harmonic / inharmonic / subbass energy ratios.</t>
        </is>
      </c>
    </row>
    <row r="23">
      <c r="A23" t="inlineStr"/>
    </row>
    <row r="24">
      <c r="A24" t="inlineStr">
        <is>
          <t>density_weighted_sum:</t>
        </is>
      </c>
    </row>
    <row r="25">
      <c r="A25" t="inlineStr">
        <is>
          <t xml:space="preserve">    Numerically equal to density_metric_raw. Changes when you change the compile weight_function.</t>
        </is>
      </c>
    </row>
    <row r="26">
      <c r="A26" t="inlineStr">
        <is>
          <t xml:space="preserve">    harmonic_amplitude_sum (if present) is a separate linear diagnostic and does not follow that key.</t>
        </is>
      </c>
    </row>
    <row r="27">
      <c r="A27" t="inlineStr">
        <is>
          <t xml:space="preserve">    Highlighted (soft blue) on Spectral_Density_Metrics.</t>
        </is>
      </c>
    </row>
    <row r="28">
      <c r="A28" t="inlineStr"/>
    </row>
    <row r="29">
      <c r="A29" t="inlineStr">
        <is>
          <t>harmonic_slot_coverage_ratio:</t>
        </is>
      </c>
    </row>
    <row r="30">
      <c r="A30" t="inlineStr">
        <is>
          <t xml:space="preserve">    Defined as harmonic_slot_matched_count / harmonic_slot_expected_count.</t>
        </is>
      </c>
    </row>
    <row r="31">
      <c r="A31" t="inlineStr"/>
    </row>
    <row r="32">
      <c r="A32" t="inlineStr">
        <is>
          <t>harmonic_occupancy_ratio:</t>
        </is>
      </c>
    </row>
    <row r="33">
      <c r="A33" t="inlineStr">
        <is>
          <t xml:space="preserve">    Acoustic core occupancy: unique harmonic-order bins passing n·f0 proximity and subbass exclusion,</t>
        </is>
      </c>
    </row>
    <row r="34">
      <c r="A34" t="inlineStr">
        <is>
          <t xml:space="preserve">    divided by expected_harmonic_slot_count. This is intentionally separate from slot-coverage ratio.</t>
        </is>
      </c>
    </row>
    <row r="35">
      <c r="A35" t="inlineStr"/>
    </row>
    <row r="36">
      <c r="A36" t="inlineStr">
        <is>
          <t>Combined Density Metric:</t>
        </is>
      </c>
    </row>
    <row r="37">
      <c r="A37" t="inlineStr">
        <is>
          <t xml:space="preserve">    Legacy Stage-1 combined harmonic/inharmonic scalar (log/expm1 path in proc_audio).</t>
        </is>
      </c>
    </row>
    <row r="38">
      <c r="A38" t="inlineStr">
        <is>
          <t xml:space="preserve">    Legacy-only (see Legacy_Compatibility sheet), not a primary Spectral_Density_Metrics field.</t>
        </is>
      </c>
    </row>
    <row r="39">
      <c r="A39" t="inlineStr"/>
    </row>
    <row r="40">
      <c r="A40" t="inlineStr">
        <is>
          <t>density_weighted_sum_cdm_mean (legacy editorial blend):</t>
        </is>
      </c>
    </row>
    <row r="41">
      <c r="A41" t="inlineStr">
        <is>
          <t xml:space="preserve">    Deprecated and not acoustically/dimensionally valid as a final scalar.</t>
        </is>
      </c>
    </row>
    <row r="42">
      <c r="A42" t="inlineStr">
        <is>
          <t xml:space="preserve">    Exported only with --include-legacy-cdm-mean.</t>
        </is>
      </c>
    </row>
    <row r="43">
      <c r="A43" t="inlineStr"/>
    </row>
    <row r="44">
      <c r="A44" t="inlineStr">
        <is>
          <t>Total sum:</t>
        </is>
      </c>
    </row>
    <row r="45">
      <c r="A45" t="inlineStr">
        <is>
          <t xml:space="preserve">    Unweighted sum of per-band D values (D_H + D_I + D_S); diagnostic, not energy-ratio-weighted.</t>
        </is>
      </c>
    </row>
    <row r="46">
      <c r="A46" t="inlineStr"/>
    </row>
    <row r="47">
      <c r="A47" t="inlineStr">
        <is>
          <t>effective_partial_density:</t>
        </is>
      </c>
    </row>
    <row r="48">
      <c r="A48" t="inlineStr">
        <is>
          <t xml:space="preserve">    Effective spectral component participation descriptor (not the primary perceived thickness answer).</t>
        </is>
      </c>
    </row>
    <row r="49">
      <c r="A49" t="inlineStr"/>
    </row>
    <row r="50">
      <c r="A50" t="inlineStr">
        <is>
          <t>spectral_body_thickness_index:</t>
        </is>
      </c>
    </row>
    <row r="51">
      <c r="A51" t="inlineStr">
        <is>
          <t xml:space="preserve">    Recommended note-thickness index combining body-weighted effective density, low-mid ratio,</t>
        </is>
      </c>
    </row>
    <row r="52">
      <c r="A52" t="inlineStr">
        <is>
          <t xml:space="preserve">    harmonic body density, and capped residual body contribution (corpus-relative z-score blend).</t>
        </is>
      </c>
    </row>
    <row r="53">
      <c r="A53" t="inlineStr"/>
    </row>
    <row r="54">
      <c r="A54" t="inlineStr">
        <is>
          <t>note_density_final:</t>
        </is>
      </c>
    </row>
    <row r="55">
      <c r="A55" t="inlineStr">
        <is>
          <t xml:space="preserve">    Per-note principled scalar: component_*_energy_ratio × *_density_sum (GUI weight inside sums).</t>
        </is>
      </c>
    </row>
    <row r="56">
      <c r="A56" t="inlineStr">
        <is>
          <t xml:space="preserve">    Highlighted (light blue) on Spectral_Density_Metrics.</t>
        </is>
      </c>
    </row>
    <row r="57">
      <c r="A57" t="inlineStr"/>
    </row>
    <row r="58">
      <c r="A58" t="inlineStr">
        <is>
          <t>EWSD_score_total (Stage 3):</t>
        </is>
      </c>
    </row>
    <row r="59">
      <c r="A59" t="inlineStr">
        <is>
          <t xml:space="preserve">    Strict Effective Weighted Spectral Density (EWSD-R v18): anti-concentration penalty (N_eff/N)^1</t>
        </is>
      </c>
    </row>
    <row r="60">
      <c r="A60" t="inlineStr">
        <is>
          <t xml:space="preserve">    applied separately in each H/I/S compartment using per-note ratios from Metrics.</t>
        </is>
      </c>
    </row>
    <row r="61">
      <c r="A61" t="inlineStr">
        <is>
          <t xml:space="preserve">    Highlighted (pale orange). Requires per-note spectral_analysis.xlsx under the analysis folder.</t>
        </is>
      </c>
    </row>
    <row r="62">
      <c r="A62" t="inlineStr"/>
    </row>
    <row r="63">
      <c r="A63" t="inlineStr">
        <is>
          <t>EWSD_score_acoustic_balanced (Stage 3):</t>
        </is>
      </c>
    </row>
    <row r="64">
      <c r="A64" t="inlineStr">
        <is>
          <t xml:space="preserve">    Companion EWSD with moderated penalty (N_eff/N)^0.5. Preferred for cross-instrument</t>
        </is>
      </c>
    </row>
    <row r="65">
      <c r="A65" t="inlineStr">
        <is>
          <t xml:space="preserve">    bibliographic distance. Filter thesis rows with ewsd_primary_analysis_eligible == True.</t>
        </is>
      </c>
    </row>
    <row r="66">
      <c r="A66" t="inlineStr"/>
    </row>
    <row r="67">
      <c r="A67" t="inlineStr">
        <is>
          <t>EWSD_score_acoustic_balanced_ci_low / _ci_high / _rel_uncertainty:</t>
        </is>
      </c>
    </row>
    <row r="68">
      <c r="A68" t="inlineStr">
        <is>
          <t xml:space="preserve">    Bootstrap 95% uncertainty band for the balanced EWSD (partials + H/I/S ratios resampled).</t>
        </is>
      </c>
    </row>
    <row r="69">
      <c r="A69" t="inlineStr"/>
    </row>
    <row r="70">
      <c r="A70" t="inlineStr">
        <is>
          <t>ewsd_uncertainty_sources:</t>
        </is>
      </c>
    </row>
    <row r="71">
      <c r="A71" t="inlineStr">
        <is>
          <t xml:space="preserve">    UQ provenance: partials+ratios, partials, or unavailable.</t>
        </is>
      </c>
    </row>
    <row r="72">
      <c r="A72" t="inlineStr"/>
    </row>
    <row r="73">
      <c r="A73" t="inlineStr">
        <is>
          <t>ewsd_primary_analysis_eligible:</t>
        </is>
      </c>
    </row>
    <row r="74">
      <c r="A74" t="inlineStr">
        <is>
          <t xml:space="preserve">    Thesis gate: True only for individual_exact rows with valid H/I/S ratios, finite EWSD,</t>
        </is>
      </c>
    </row>
    <row r="75">
      <c r="A75" t="inlineStr">
        <is>
          <t xml:space="preserve">    no warnings, parsed note, and a thesis-safe weight function.</t>
        </is>
      </c>
    </row>
    <row r="76">
      <c r="A76" t="inlineStr"/>
    </row>
    <row r="77">
      <c r="A77" t="inlineStr">
        <is>
          <t>spectral_entropy:</t>
        </is>
      </c>
    </row>
    <row r="78">
      <c r="A78" t="inlineStr">
        <is>
          <t xml:space="preserve">    Distributional spread of spectral power.</t>
        </is>
      </c>
    </row>
    <row r="79">
      <c r="A79" t="inlineStr"/>
    </row>
    <row r="80">
      <c r="A80" t="inlineStr">
        <is>
          <t>core_harmonic_energy_ratio / core_residual_energy_ratio / core_subbass_energy_ratio:</t>
        </is>
      </c>
    </row>
    <row r="81">
      <c r="A81" t="inlineStr">
        <is>
          <t xml:space="preserve">    Acoustic-core peak-classification energy family (sums to ~1).</t>
        </is>
      </c>
    </row>
    <row r="82">
      <c r="A82" t="inlineStr"/>
    </row>
    <row r="83">
      <c r="A83" t="inlineStr">
        <is>
          <t>component_harmonic_energy_ratio / component_inharmonic_energy_ratio / component_subbass_energy_ratio:</t>
        </is>
      </c>
    </row>
    <row r="84">
      <c r="A84" t="inlineStr">
        <is>
          <t xml:space="preserve">    Component-balance energy family (sums to ~1).</t>
        </is>
      </c>
    </row>
    <row r="85">
      <c r="A85" t="inlineStr"/>
    </row>
    <row r="86">
      <c r="A86" t="inlineStr">
        <is>
          <t>nonharmonic / inharmonic fields:</t>
        </is>
      </c>
    </row>
    <row r="87">
      <c r="A87" t="inlineStr">
        <is>
          <t xml:space="preserve">    Interpret as nonharmonic candidate material unless stricter validation is explicitly present.</t>
        </is>
      </c>
    </row>
    <row r="88">
      <c r="A88" t="inlineStr"/>
    </row>
    <row r="89">
      <c r="A89" t="inlineStr">
        <is>
          <t>subbass / low-frequency fields:</t>
        </is>
      </c>
    </row>
    <row r="90">
      <c r="A90" t="inlineStr">
        <is>
          <t xml:space="preserve">    Interpret as low-frequency residual material, not automatically 'ground noise'.</t>
        </is>
      </c>
    </row>
    <row r="91">
      <c r="A91" t="inlineStr"/>
    </row>
    <row r="92">
      <c r="A92" s="1" t="inlineStr">
        <is>
          <t>Instrument and dynamic metadata</t>
        </is>
      </c>
    </row>
    <row r="93">
      <c r="A93" t="inlineStr">
        <is>
          <t>-------------------------------</t>
        </is>
      </c>
    </row>
    <row r="94">
      <c r="A94" t="inlineStr">
        <is>
          <t>Instrument and dynamic may be read from source metadata, inferred conservatively from filenames,</t>
        </is>
      </c>
    </row>
    <row r="95">
      <c r="A95" t="inlineStr">
        <is>
          <t>folder paths, and the compiled workbook location, or supplied manually with --instrument and --dynamic.</t>
        </is>
      </c>
    </row>
    <row r="96">
      <c r="A96" t="inlineStr">
        <is>
          <t>Use --force-metadata to override non-empty workbook values with the CLI arguments.</t>
        </is>
      </c>
    </row>
    <row r="97">
      <c r="A97" t="inlineStr"/>
    </row>
    <row r="98">
      <c r="A98" s="1" t="inlineStr">
        <is>
          <t>Sheets</t>
        </is>
      </c>
    </row>
    <row r="99">
      <c r="A99" t="inlineStr">
        <is>
          <t>------</t>
        </is>
      </c>
    </row>
    <row r="100">
      <c r="A100" t="inlineStr">
        <is>
          <t>README — This sheet.</t>
        </is>
      </c>
    </row>
    <row r="101">
      <c r="A101" t="inlineStr">
        <is>
          <t>Dashboard — Overview KPIs and charts (charts omitted if export was run with --no-charts).</t>
        </is>
      </c>
    </row>
    <row r="102">
      <c r="A102" t="inlineStr">
        <is>
          <t>Spectral_Density_Metrics — Main clean per-note table for analysis.</t>
        </is>
      </c>
    </row>
    <row r="103">
      <c r="A103" t="inlineStr">
        <is>
          <t>Component_Balance — How density_metric_raw and totals relate to components and energy ratios.</t>
        </is>
      </c>
    </row>
    <row r="104">
      <c r="A104" t="inlineStr">
        <is>
          <t>Validation_Summary — Compact QC fields including f0 and alignment.</t>
        </is>
      </c>
    </row>
    <row r="105">
      <c r="A105" t="inlineStr">
        <is>
          <t>Charts_Data — Chart source data (sorted by MIDI); Dashboard charts reference this sheet.</t>
        </is>
      </c>
    </row>
    <row r="106">
      <c r="A106" t="inlineStr">
        <is>
          <t>Metadata — Pipeline and export metadata extracted from Analysis_Metadata plus export audit fields.</t>
        </is>
      </c>
    </row>
    <row r="107">
      <c r="A107" t="inlineStr"/>
    </row>
    <row r="108">
      <c r="A108" s="1" t="inlineStr">
        <is>
          <t>Warnings / Missing Fields</t>
        </is>
      </c>
    </row>
    <row r="109">
      <c r="A109" t="inlineStr">
        <is>
          <t>-------------------------</t>
        </is>
      </c>
    </row>
    <row r="110">
      <c r="A110" t="inlineStr">
        <is>
          <t>- Instrument column missing and could not be inferred; left blank.</t>
        </is>
      </c>
    </row>
    <row r="111">
      <c r="A111" t="inlineStr">
        <is>
          <t>- Legacy editorial mean density_weighted_sum_cdm_mean omitted by default (use --include-legacy-cdm-mean to export it).</t>
        </is>
      </c>
    </row>
    <row r="112">
      <c r="A112" t="inlineStr">
        <is>
          <t>- Run-parameter comparability warning: 32/32 note rows are not in the primary comparable profile (wf=log, threshold/ceiling runtime-configured). Use Primary_Statistics_Eligible for thesis-grade primary statistics.</t>
        </is>
      </c>
    </row>
    <row r="113">
      <c r="A113" t="inlineStr">
        <is>
          <t>- Metadata sheet missing keys (left blank in Metadata sheet): Dynamic, Instrument, density_ci_enabled, dynamic_detected, harmonic_body_stop_enabled, harmonic_body_stop_margin_db, harmonic_tolerance_policy_version, harmonic_tolerance_spacing_cap_fraction, instrument_detected, output_path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2" customWidth="1" min="1" max="1"/>
    <col width="54" customWidth="1" min="2" max="2"/>
    <col width="3" customWidth="1" min="3" max="3"/>
    <col width="26" customWidth="1" min="4" max="4"/>
    <col width="16" customWidth="1" min="5" max="5"/>
    <col width="3" customWidth="1" min="6" max="6"/>
    <col width="26" customWidth="1" min="7" max="7"/>
    <col width="16" customWidth="1" min="8" max="8"/>
  </cols>
  <sheetData>
    <row r="1">
      <c r="A1" s="2" t="inlineStr">
        <is>
          <t>Spectral Density Research Dashboard</t>
        </is>
      </c>
      <c r="D1" s="3" t="inlineStr">
        <is>
          <t>Summary statistics</t>
        </is>
      </c>
    </row>
    <row r="2"/>
    <row r="4">
      <c r="A4" s="1" t="inlineStr">
        <is>
          <t>Run context</t>
        </is>
      </c>
      <c r="D4" s="1" t="inlineStr">
        <is>
          <t>Key performance indicators</t>
        </is>
      </c>
    </row>
    <row r="5">
      <c r="A5" s="4" t="inlineStr">
        <is>
          <t>Compiled workbook</t>
        </is>
      </c>
      <c r="B5" s="5" t="inlineStr">
        <is>
          <t>compiled_density_metrics.xlsx</t>
        </is>
      </c>
      <c r="D5" s="4" t="inlineStr">
        <is>
          <t>Mean spectral_body_thickness_index</t>
        </is>
      </c>
      <c r="E5" s="6" t="n">
        <v>-7.28583859910259e-15</v>
      </c>
      <c r="G5" s="4" t="inlineStr">
        <is>
          <t>Mean harmonic_occupancy_ratio</t>
        </is>
      </c>
      <c r="H5" s="7" t="n">
        <v>0.1308963688984853</v>
      </c>
    </row>
    <row r="6">
      <c r="A6" s="4" t="inlineStr">
        <is>
          <t>Number of notes</t>
        </is>
      </c>
      <c r="B6" s="5" t="n">
        <v>32</v>
      </c>
      <c r="D6" s="4" t="inlineStr">
        <is>
          <t>Mean body_weighted_effective_density</t>
        </is>
      </c>
      <c r="E6" s="6" t="n">
        <v>44.86778532169809</v>
      </c>
      <c r="G6" s="4" t="inlineStr">
        <is>
          <t>Mean residual_log_frequency_occupancy</t>
        </is>
      </c>
      <c r="H6" s="6" t="n">
        <v>0.33125</v>
      </c>
    </row>
    <row r="7">
      <c r="A7" s="4" t="inlineStr">
        <is>
          <t>Pitch range (MIDI)</t>
        </is>
      </c>
      <c r="B7" s="5" t="inlineStr">
        <is>
          <t>40–72</t>
        </is>
      </c>
      <c r="D7" s="4" t="inlineStr">
        <is>
          <t>Mean low_mid_energy_ratio</t>
        </is>
      </c>
      <c r="E7" s="7" t="n">
        <v>0.9965717318111684</v>
      </c>
      <c r="G7" s="4" t="inlineStr">
        <is>
          <t>Mean effective_partial_density</t>
        </is>
      </c>
      <c r="H7" s="6" t="n">
        <v>3.884471048162523</v>
      </c>
    </row>
    <row r="8">
      <c r="A8" s="4" t="inlineStr">
        <is>
          <t>Dynamic</t>
        </is>
      </c>
      <c r="B8" s="5" t="inlineStr">
        <is>
          <t>pp</t>
        </is>
      </c>
      <c r="D8" s="4" t="inlineStr">
        <is>
          <t>Mean harmonic_body_density_normalized</t>
        </is>
      </c>
      <c r="E8" s="6" t="n">
        <v>0.2297282114119412</v>
      </c>
      <c r="G8" s="4" t="inlineStr">
        <is>
          <t>Mean spectral_entropy</t>
        </is>
      </c>
      <c r="H8" s="6" t="n">
        <v>0.4873855084634887</v>
      </c>
    </row>
    <row r="9">
      <c r="A9" s="4" t="inlineStr">
        <is>
          <t>Generated</t>
        </is>
      </c>
      <c r="B9" s="5" t="inlineStr">
        <is>
          <t>2026-08-19T16:59:58Z</t>
        </is>
      </c>
      <c r="D9" s="4" t="inlineStr">
        <is>
          <t>Mean salient_harmonic_order_count_up_to_body_ceiling</t>
        </is>
      </c>
      <c r="E9" s="6" t="n">
        <v>14.28125</v>
      </c>
      <c r="G9" s="4" t="inlineStr">
        <is>
          <t>Mean core_harmonic_energy_ratio</t>
        </is>
      </c>
      <c r="H9" s="7" t="n">
        <v>0.7959616944051222</v>
      </c>
    </row>
    <row r="10">
      <c r="D10" s="4" t="inlineStr">
        <is>
          <t>Corr(MIDI, salient_harmonic_order_count_up_to_body_ceiling)</t>
        </is>
      </c>
      <c r="E10" s="8" t="n">
        <v>-0.9186169248563354</v>
      </c>
      <c r="G10" s="4" t="inlineStr">
        <is>
          <t>Arithmetic validation passed count</t>
        </is>
      </c>
      <c r="H10" s="8" t="n">
        <v>32</v>
      </c>
    </row>
    <row r="11">
      <c r="D11" s="4" t="inlineStr">
        <is>
          <t>Mean final_note_density_salience_weighted</t>
        </is>
      </c>
      <c r="E11" s="6" t="n">
        <v>16.34127548333474</v>
      </c>
      <c r="G11" s="4" t="inlineStr">
        <is>
          <t>Acoustic f0 verified count</t>
        </is>
      </c>
      <c r="H11" s="8" t="n">
        <v>32</v>
      </c>
    </row>
    <row r="12">
      <c r="D12" s="4" t="inlineStr">
        <is>
          <t>Corr(MIDI, final_note_density_salience_weighted)</t>
        </is>
      </c>
      <c r="E12" s="8" t="n">
        <v>-0.9419308754806455</v>
      </c>
      <c r="G12" s="4" t="inlineStr">
        <is>
          <t>f0 fallback / acoustically unverified count</t>
        </is>
      </c>
      <c r="H12" s="8" t="n">
        <v>0</v>
      </c>
    </row>
    <row r="13">
      <c r="D13" s="4" t="inlineStr">
        <is>
          <t>Corr(final_note_density_salience_weighted, salient_harmonic_order_count_up_to_body_ceiling)</t>
        </is>
      </c>
      <c r="E13" s="8" t="n">
        <v>0.8535799040561023</v>
      </c>
      <c r="G13" s="4" t="inlineStr">
        <is>
          <t>f0 accepted count</t>
        </is>
      </c>
      <c r="H13" s="8" t="n">
        <v>32</v>
      </c>
    </row>
    <row r="16">
      <c r="D16" s="1" t="inlineStr">
        <is>
          <t>Top 5 thickest notes by spectral_body_thickness_index</t>
        </is>
      </c>
      <c r="G16" s="1" t="inlineStr">
        <is>
          <t>Bottom 5 thinnest notes by spectral_body_thickness_index</t>
        </is>
      </c>
    </row>
    <row r="17">
      <c r="D17" t="inlineStr">
        <is>
          <t>F#2</t>
        </is>
      </c>
      <c r="E17" s="9" t="n">
        <v>1.336337807012712</v>
      </c>
      <c r="G17" t="inlineStr">
        <is>
          <t>C5</t>
        </is>
      </c>
      <c r="H17" s="9" t="n">
        <v>-1.990281122934144</v>
      </c>
    </row>
    <row r="18">
      <c r="D18" t="inlineStr">
        <is>
          <t>E2</t>
        </is>
      </c>
      <c r="E18" s="9" t="n">
        <v>1.188920688379501</v>
      </c>
      <c r="G18" t="inlineStr">
        <is>
          <t>A4</t>
        </is>
      </c>
      <c r="H18" s="9" t="n">
        <v>-1.220989981613225</v>
      </c>
    </row>
    <row r="19">
      <c r="D19" t="inlineStr">
        <is>
          <t>F2</t>
        </is>
      </c>
      <c r="E19" s="9" t="n">
        <v>1.083695010016807</v>
      </c>
      <c r="G19" t="inlineStr">
        <is>
          <t>G#4</t>
        </is>
      </c>
      <c r="H19" s="9" t="n">
        <v>-1.118751302888564</v>
      </c>
    </row>
    <row r="20">
      <c r="D20" t="inlineStr">
        <is>
          <t>A#2</t>
        </is>
      </c>
      <c r="E20" s="9" t="n">
        <v>1.080538644285438</v>
      </c>
      <c r="G20" t="inlineStr">
        <is>
          <t>A#4</t>
        </is>
      </c>
      <c r="H20" s="9" t="n">
        <v>-0.8827801987644371</v>
      </c>
    </row>
    <row r="21">
      <c r="D21" t="inlineStr">
        <is>
          <t>C3</t>
        </is>
      </c>
      <c r="E21" s="9" t="n">
        <v>0.8137092248697317</v>
      </c>
      <c r="G21" t="inlineStr">
        <is>
          <t>D4</t>
        </is>
      </c>
      <c r="H21" s="9" t="n">
        <v>-0.7915731539486188</v>
      </c>
    </row>
    <row r="24">
      <c r="D24" s="1" t="inlineStr">
        <is>
          <t>Top 5 by salient_harmonic_order_count_up_to_body_ceiling</t>
        </is>
      </c>
      <c r="G24" s="1" t="inlineStr">
        <is>
          <t>Bottom 5 by salient_harmonic_order_count_up_to_body_ceiling</t>
        </is>
      </c>
    </row>
    <row r="25">
      <c r="D25" t="inlineStr">
        <is>
          <t>F2</t>
        </is>
      </c>
      <c r="E25" t="n">
        <v>26</v>
      </c>
      <c r="G25" t="inlineStr">
        <is>
          <t>A#4</t>
        </is>
      </c>
      <c r="H25" t="n">
        <v>5</v>
      </c>
    </row>
    <row r="26">
      <c r="D26" t="inlineStr">
        <is>
          <t>F#2</t>
        </is>
      </c>
      <c r="E26" t="n">
        <v>26</v>
      </c>
      <c r="G26" t="inlineStr">
        <is>
          <t>C5</t>
        </is>
      </c>
      <c r="H26" t="n">
        <v>5</v>
      </c>
    </row>
    <row r="27">
      <c r="D27" t="inlineStr">
        <is>
          <t>B2</t>
        </is>
      </c>
      <c r="E27" t="n">
        <v>26</v>
      </c>
      <c r="G27" t="inlineStr">
        <is>
          <t>G4</t>
        </is>
      </c>
      <c r="H27" t="n">
        <v>6</v>
      </c>
    </row>
    <row r="28">
      <c r="D28" t="inlineStr">
        <is>
          <t>D3</t>
        </is>
      </c>
      <c r="E28" t="n">
        <v>23</v>
      </c>
      <c r="G28" t="inlineStr">
        <is>
          <t>G#4</t>
        </is>
      </c>
      <c r="H28" t="n">
        <v>6</v>
      </c>
    </row>
    <row r="29">
      <c r="D29" t="inlineStr">
        <is>
          <t>E2</t>
        </is>
      </c>
      <c r="E29" t="n">
        <v>22</v>
      </c>
      <c r="G29" t="inlineStr">
        <is>
          <t>A4</t>
        </is>
      </c>
      <c r="H29" t="n">
        <v>6</v>
      </c>
    </row>
    <row r="32">
      <c r="D32" s="1" t="inlineStr">
        <is>
          <t>Top 5 densest notes by final_note_density_salience_weighted</t>
        </is>
      </c>
      <c r="G32" s="1" t="inlineStr">
        <is>
          <t>Bottom 5 least dense notes by final_note_density_salience_weighted</t>
        </is>
      </c>
    </row>
    <row r="33">
      <c r="D33" t="inlineStr">
        <is>
          <t>F2</t>
        </is>
      </c>
      <c r="E33" s="9" t="n">
        <v>31.67703157719836</v>
      </c>
      <c r="G33" t="inlineStr">
        <is>
          <t>G4</t>
        </is>
      </c>
      <c r="H33" s="9" t="n">
        <v>6.610178544169324</v>
      </c>
    </row>
    <row r="34">
      <c r="D34" t="inlineStr">
        <is>
          <t>E2</t>
        </is>
      </c>
      <c r="E34" s="9" t="n">
        <v>30.29080335578444</v>
      </c>
      <c r="G34" t="inlineStr">
        <is>
          <t>A#4</t>
        </is>
      </c>
      <c r="H34" s="9" t="n">
        <v>7.275057712892714</v>
      </c>
    </row>
    <row r="35">
      <c r="D35" t="inlineStr">
        <is>
          <t>F#2</t>
        </is>
      </c>
      <c r="E35" s="9" t="n">
        <v>29.66679959267747</v>
      </c>
      <c r="G35" t="inlineStr">
        <is>
          <t>A4</t>
        </is>
      </c>
      <c r="H35" s="9" t="n">
        <v>7.657190160576958</v>
      </c>
    </row>
    <row r="36">
      <c r="D36" t="inlineStr">
        <is>
          <t>G2</t>
        </is>
      </c>
      <c r="E36" s="9" t="n">
        <v>28.29239580719225</v>
      </c>
      <c r="G36" t="inlineStr">
        <is>
          <t>F#4</t>
        </is>
      </c>
      <c r="H36" s="9" t="n">
        <v>7.800422671704419</v>
      </c>
    </row>
    <row r="37">
      <c r="D37" t="inlineStr">
        <is>
          <t>G#2</t>
        </is>
      </c>
      <c r="E37" s="9" t="n">
        <v>28.24732029040108</v>
      </c>
      <c r="G37" t="inlineStr">
        <is>
          <t>G#4</t>
        </is>
      </c>
      <c r="H37" s="9" t="n">
        <v>7.871421227983393</v>
      </c>
    </row>
    <row r="40">
      <c r="A40" s="1" t="inlineStr">
        <is>
          <t>Validation snapshot (from Spectral_Density_Metrics)</t>
        </is>
      </c>
    </row>
    <row r="41">
      <c r="A41" s="10" t="inlineStr">
        <is>
          <t>Note</t>
        </is>
      </c>
      <c r="B41" s="10" t="inlineStr">
        <is>
          <t>f0_fit_accepted</t>
        </is>
      </c>
      <c r="C41" s="10" t="inlineStr">
        <is>
          <t>acoustic_validation_status</t>
        </is>
      </c>
      <c r="D41" s="10" t="inlineStr">
        <is>
          <t>debug_counts_invariant_status</t>
        </is>
      </c>
      <c r="E41" s="10" t="inlineStr">
        <is>
          <t>harmonic_alignment_status</t>
        </is>
      </c>
    </row>
    <row r="42">
      <c r="A42" t="inlineStr">
        <is>
          <t>E2</t>
        </is>
      </c>
      <c r="B42" t="n">
        <v>1</v>
      </c>
      <c r="C42" t="inlineStr">
        <is>
          <t>passed</t>
        </is>
      </c>
      <c r="D42" t="inlineStr">
        <is>
          <t>passed</t>
        </is>
      </c>
      <c r="E42" t="inlineStr">
        <is>
          <t>excellent</t>
        </is>
      </c>
    </row>
    <row r="43">
      <c r="A43" t="inlineStr">
        <is>
          <t>F2</t>
        </is>
      </c>
      <c r="B43" t="n">
        <v>1</v>
      </c>
      <c r="C43" t="inlineStr">
        <is>
          <t>passed</t>
        </is>
      </c>
      <c r="D43" t="inlineStr">
        <is>
          <t>passed</t>
        </is>
      </c>
      <c r="E43" t="inlineStr">
        <is>
          <t>excellent</t>
        </is>
      </c>
    </row>
    <row r="44">
      <c r="A44" t="inlineStr">
        <is>
          <t>F#2</t>
        </is>
      </c>
      <c r="B44" t="n">
        <v>1</v>
      </c>
      <c r="C44" t="inlineStr">
        <is>
          <t>passed</t>
        </is>
      </c>
      <c r="D44" t="inlineStr">
        <is>
          <t>passed</t>
        </is>
      </c>
      <c r="E44" t="inlineStr">
        <is>
          <t>excellent</t>
        </is>
      </c>
    </row>
    <row r="45">
      <c r="A45" t="inlineStr">
        <is>
          <t>G2</t>
        </is>
      </c>
      <c r="B45" t="n">
        <v>1</v>
      </c>
      <c r="C45" t="inlineStr">
        <is>
          <t>passed</t>
        </is>
      </c>
      <c r="D45" t="inlineStr">
        <is>
          <t>passed</t>
        </is>
      </c>
      <c r="E45" t="inlineStr">
        <is>
          <t>excellent</t>
        </is>
      </c>
    </row>
    <row r="46">
      <c r="A46" t="inlineStr">
        <is>
          <t>G#2</t>
        </is>
      </c>
      <c r="B46" t="n">
        <v>1</v>
      </c>
      <c r="C46" t="inlineStr">
        <is>
          <t>passed</t>
        </is>
      </c>
      <c r="D46" t="inlineStr">
        <is>
          <t>passed</t>
        </is>
      </c>
      <c r="E46" t="inlineStr">
        <is>
          <t>excellent</t>
        </is>
      </c>
    </row>
    <row r="47">
      <c r="A47" t="inlineStr">
        <is>
          <t>A2</t>
        </is>
      </c>
      <c r="B47" t="n">
        <v>1</v>
      </c>
      <c r="C47" t="inlineStr">
        <is>
          <t>passed</t>
        </is>
      </c>
      <c r="D47" t="inlineStr">
        <is>
          <t>passed</t>
        </is>
      </c>
      <c r="E47" t="inlineStr">
        <is>
          <t>excellent</t>
        </is>
      </c>
    </row>
    <row r="48">
      <c r="A48" t="inlineStr">
        <is>
          <t>A#2</t>
        </is>
      </c>
      <c r="B48" t="n">
        <v>1</v>
      </c>
      <c r="C48" t="inlineStr">
        <is>
          <t>passed</t>
        </is>
      </c>
      <c r="D48" t="inlineStr">
        <is>
          <t>passed</t>
        </is>
      </c>
      <c r="E48" t="inlineStr">
        <is>
          <t>excellent</t>
        </is>
      </c>
    </row>
    <row r="49">
      <c r="A49" t="inlineStr">
        <is>
          <t>B2</t>
        </is>
      </c>
      <c r="B49" t="n">
        <v>1</v>
      </c>
      <c r="C49" t="inlineStr">
        <is>
          <t>passed</t>
        </is>
      </c>
      <c r="D49" t="inlineStr">
        <is>
          <t>passed</t>
        </is>
      </c>
      <c r="E49" t="inlineStr">
        <is>
          <t>excellent</t>
        </is>
      </c>
    </row>
    <row r="50">
      <c r="A50" t="inlineStr">
        <is>
          <t>C3</t>
        </is>
      </c>
      <c r="B50" t="n">
        <v>1</v>
      </c>
      <c r="C50" t="inlineStr">
        <is>
          <t>passed</t>
        </is>
      </c>
      <c r="D50" t="inlineStr">
        <is>
          <t>passed</t>
        </is>
      </c>
      <c r="E50" t="inlineStr">
        <is>
          <t>excellent</t>
        </is>
      </c>
    </row>
    <row r="51">
      <c r="A51" t="inlineStr">
        <is>
          <t>C#3</t>
        </is>
      </c>
      <c r="B51" t="n">
        <v>1</v>
      </c>
      <c r="C51" t="inlineStr">
        <is>
          <t>passed</t>
        </is>
      </c>
      <c r="D51" t="inlineStr">
        <is>
          <t>passed</t>
        </is>
      </c>
      <c r="E51" t="inlineStr">
        <is>
          <t>excellent</t>
        </is>
      </c>
    </row>
    <row r="52">
      <c r="A52" t="inlineStr">
        <is>
          <t>D3</t>
        </is>
      </c>
      <c r="B52" t="n">
        <v>1</v>
      </c>
      <c r="C52" t="inlineStr">
        <is>
          <t>passed</t>
        </is>
      </c>
      <c r="D52" t="inlineStr">
        <is>
          <t>passed</t>
        </is>
      </c>
      <c r="E52" t="inlineStr">
        <is>
          <t>excellent</t>
        </is>
      </c>
    </row>
    <row r="53">
      <c r="A53" t="inlineStr">
        <is>
          <t>D#3</t>
        </is>
      </c>
      <c r="B53" t="n">
        <v>1</v>
      </c>
      <c r="C53" t="inlineStr">
        <is>
          <t>passed</t>
        </is>
      </c>
      <c r="D53" t="inlineStr">
        <is>
          <t>passed</t>
        </is>
      </c>
      <c r="E53" t="inlineStr">
        <is>
          <t>excellent</t>
        </is>
      </c>
    </row>
    <row r="54">
      <c r="A54" t="inlineStr">
        <is>
          <t>E3</t>
        </is>
      </c>
      <c r="B54" t="n">
        <v>1</v>
      </c>
      <c r="C54" t="inlineStr">
        <is>
          <t>passed</t>
        </is>
      </c>
      <c r="D54" t="inlineStr">
        <is>
          <t>passed</t>
        </is>
      </c>
      <c r="E54" t="inlineStr">
        <is>
          <t>excellent</t>
        </is>
      </c>
    </row>
    <row r="55">
      <c r="A55" t="inlineStr">
        <is>
          <t>F3</t>
        </is>
      </c>
      <c r="B55" t="n">
        <v>1</v>
      </c>
      <c r="C55" t="inlineStr">
        <is>
          <t>passed</t>
        </is>
      </c>
      <c r="D55" t="inlineStr">
        <is>
          <t>passed</t>
        </is>
      </c>
      <c r="E55" t="inlineStr">
        <is>
          <t>excellent</t>
        </is>
      </c>
    </row>
    <row r="56">
      <c r="A56" t="inlineStr">
        <is>
          <t>F#3</t>
        </is>
      </c>
      <c r="B56" t="n">
        <v>1</v>
      </c>
      <c r="C56" t="inlineStr">
        <is>
          <t>passed</t>
        </is>
      </c>
      <c r="D56" t="inlineStr">
        <is>
          <t>passed</t>
        </is>
      </c>
      <c r="E56" t="inlineStr">
        <is>
          <t>excellent</t>
        </is>
      </c>
    </row>
    <row r="57">
      <c r="A57" t="inlineStr">
        <is>
          <t>G3</t>
        </is>
      </c>
      <c r="B57" t="n">
        <v>1</v>
      </c>
      <c r="C57" t="inlineStr">
        <is>
          <t>passed</t>
        </is>
      </c>
      <c r="D57" t="inlineStr">
        <is>
          <t>passed</t>
        </is>
      </c>
      <c r="E57" t="inlineStr">
        <is>
          <t>excellent</t>
        </is>
      </c>
    </row>
    <row r="58">
      <c r="A58" t="inlineStr">
        <is>
          <t>G#3</t>
        </is>
      </c>
      <c r="B58" t="n">
        <v>1</v>
      </c>
      <c r="C58" t="inlineStr">
        <is>
          <t>passed</t>
        </is>
      </c>
      <c r="D58" t="inlineStr">
        <is>
          <t>passed</t>
        </is>
      </c>
      <c r="E58" t="inlineStr">
        <is>
          <t>excellent</t>
        </is>
      </c>
    </row>
    <row r="59">
      <c r="A59" t="inlineStr">
        <is>
          <t>A3</t>
        </is>
      </c>
      <c r="B59" t="n">
        <v>1</v>
      </c>
      <c r="C59" t="inlineStr">
        <is>
          <t>passed</t>
        </is>
      </c>
      <c r="D59" t="inlineStr">
        <is>
          <t>passed</t>
        </is>
      </c>
      <c r="E59" t="inlineStr">
        <is>
          <t>excellent</t>
        </is>
      </c>
    </row>
    <row r="60">
      <c r="A60" t="inlineStr">
        <is>
          <t>A#3</t>
        </is>
      </c>
      <c r="B60" t="n">
        <v>1</v>
      </c>
      <c r="C60" t="inlineStr">
        <is>
          <t>passed</t>
        </is>
      </c>
      <c r="D60" t="inlineStr">
        <is>
          <t>passed</t>
        </is>
      </c>
      <c r="E60" t="inlineStr">
        <is>
          <t>excellent</t>
        </is>
      </c>
    </row>
    <row r="61">
      <c r="A61" t="inlineStr">
        <is>
          <t>B3</t>
        </is>
      </c>
      <c r="B61" t="n">
        <v>1</v>
      </c>
      <c r="C61" t="inlineStr">
        <is>
          <t>passed</t>
        </is>
      </c>
      <c r="D61" t="inlineStr">
        <is>
          <t>passed</t>
        </is>
      </c>
      <c r="E61" t="inlineStr">
        <is>
          <t>excellent</t>
        </is>
      </c>
    </row>
    <row r="62">
      <c r="A62" t="inlineStr">
        <is>
          <t>C4</t>
        </is>
      </c>
      <c r="B62" t="n">
        <v>1</v>
      </c>
      <c r="C62" t="inlineStr">
        <is>
          <t>passed</t>
        </is>
      </c>
      <c r="D62" t="inlineStr">
        <is>
          <t>passed</t>
        </is>
      </c>
      <c r="E62" t="inlineStr">
        <is>
          <t>excellent</t>
        </is>
      </c>
    </row>
    <row r="63">
      <c r="A63" t="inlineStr">
        <is>
          <t>C#4</t>
        </is>
      </c>
      <c r="B63" t="n">
        <v>1</v>
      </c>
      <c r="C63" t="inlineStr">
        <is>
          <t>passed</t>
        </is>
      </c>
      <c r="D63" t="inlineStr">
        <is>
          <t>passed</t>
        </is>
      </c>
      <c r="E63" t="inlineStr">
        <is>
          <t>excellent</t>
        </is>
      </c>
    </row>
    <row r="64">
      <c r="A64" t="inlineStr">
        <is>
          <t>D4</t>
        </is>
      </c>
      <c r="B64" t="n">
        <v>1</v>
      </c>
      <c r="C64" t="inlineStr">
        <is>
          <t>passed</t>
        </is>
      </c>
      <c r="D64" t="inlineStr">
        <is>
          <t>passed</t>
        </is>
      </c>
      <c r="E64" t="inlineStr">
        <is>
          <t>excellent</t>
        </is>
      </c>
    </row>
    <row r="65">
      <c r="A65" t="inlineStr">
        <is>
          <t>D#4</t>
        </is>
      </c>
      <c r="B65" t="n">
        <v>1</v>
      </c>
      <c r="C65" t="inlineStr">
        <is>
          <t>passed</t>
        </is>
      </c>
      <c r="D65" t="inlineStr">
        <is>
          <t>passed</t>
        </is>
      </c>
      <c r="E65" t="inlineStr">
        <is>
          <t>excellent</t>
        </is>
      </c>
    </row>
    <row r="66">
      <c r="A66" t="inlineStr">
        <is>
          <t>E4</t>
        </is>
      </c>
      <c r="B66" t="n">
        <v>1</v>
      </c>
      <c r="C66" t="inlineStr">
        <is>
          <t>passed</t>
        </is>
      </c>
      <c r="D66" t="inlineStr">
        <is>
          <t>passed</t>
        </is>
      </c>
      <c r="E66" t="inlineStr">
        <is>
          <t>excellent</t>
        </is>
      </c>
    </row>
    <row r="67">
      <c r="A67" t="inlineStr">
        <is>
          <t>F4</t>
        </is>
      </c>
      <c r="B67" t="n">
        <v>1</v>
      </c>
      <c r="C67" t="inlineStr">
        <is>
          <t>passed</t>
        </is>
      </c>
      <c r="D67" t="inlineStr">
        <is>
          <t>passed</t>
        </is>
      </c>
      <c r="E67" t="inlineStr">
        <is>
          <t>excellent</t>
        </is>
      </c>
    </row>
    <row r="68">
      <c r="A68" t="inlineStr">
        <is>
          <t>F#4</t>
        </is>
      </c>
      <c r="B68" t="n">
        <v>1</v>
      </c>
      <c r="C68" t="inlineStr">
        <is>
          <t>passed</t>
        </is>
      </c>
      <c r="D68" t="inlineStr">
        <is>
          <t>passed</t>
        </is>
      </c>
      <c r="E68" t="inlineStr">
        <is>
          <t>excellent</t>
        </is>
      </c>
    </row>
    <row r="69">
      <c r="A69" t="inlineStr">
        <is>
          <t>G4</t>
        </is>
      </c>
      <c r="B69" t="n">
        <v>1</v>
      </c>
      <c r="C69" t="inlineStr">
        <is>
          <t>passed</t>
        </is>
      </c>
      <c r="D69" t="inlineStr">
        <is>
          <t>passed</t>
        </is>
      </c>
      <c r="E69" t="inlineStr">
        <is>
          <t>excellent</t>
        </is>
      </c>
    </row>
    <row r="70">
      <c r="A70" t="inlineStr">
        <is>
          <t>G#4</t>
        </is>
      </c>
      <c r="B70" t="n">
        <v>1</v>
      </c>
      <c r="C70" t="inlineStr">
        <is>
          <t>passed</t>
        </is>
      </c>
      <c r="D70" t="inlineStr">
        <is>
          <t>passed</t>
        </is>
      </c>
      <c r="E70" t="inlineStr">
        <is>
          <t>excellent</t>
        </is>
      </c>
    </row>
    <row r="71">
      <c r="A71" t="inlineStr">
        <is>
          <t>A4</t>
        </is>
      </c>
      <c r="B71" t="n">
        <v>1</v>
      </c>
      <c r="C71" t="inlineStr">
        <is>
          <t>passed</t>
        </is>
      </c>
      <c r="D71" t="inlineStr">
        <is>
          <t>passed</t>
        </is>
      </c>
      <c r="E71" t="inlineStr">
        <is>
          <t>excellent</t>
        </is>
      </c>
    </row>
    <row r="72">
      <c r="A72" t="inlineStr">
        <is>
          <t>A#4</t>
        </is>
      </c>
      <c r="B72" t="n">
        <v>1</v>
      </c>
      <c r="C72" t="inlineStr">
        <is>
          <t>passed</t>
        </is>
      </c>
      <c r="D72" t="inlineStr">
        <is>
          <t>passed</t>
        </is>
      </c>
      <c r="E72" t="inlineStr">
        <is>
          <t>excellent</t>
        </is>
      </c>
    </row>
    <row r="73">
      <c r="A73" t="inlineStr">
        <is>
          <t>C5</t>
        </is>
      </c>
      <c r="B73" t="n">
        <v>1</v>
      </c>
      <c r="C73" t="inlineStr">
        <is>
          <t>passed</t>
        </is>
      </c>
      <c r="D73" t="inlineStr">
        <is>
          <t>passed</t>
        </is>
      </c>
      <c r="E73" t="inlineStr">
        <is>
          <t>excellent</t>
        </is>
      </c>
    </row>
  </sheetData>
  <mergeCells count="3">
    <mergeCell ref="A1:B2"/>
    <mergeCell ref="D4:H4"/>
    <mergeCell ref="D1:H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2" customWidth="1" min="3" max="3"/>
    <col width="48" customWidth="1" min="4" max="4"/>
    <col width="48" customWidth="1" min="5" max="5"/>
    <col width="24" customWidth="1" min="6" max="6"/>
    <col width="32" customWidth="1" min="7" max="7"/>
    <col width="36" customWidth="1" min="8" max="8"/>
    <col width="22" customWidth="1" min="9" max="9"/>
    <col width="45" customWidth="1" min="10" max="10"/>
    <col width="39" customWidth="1" min="11" max="11"/>
    <col width="48" customWidth="1" min="12" max="12"/>
    <col width="44" customWidth="1" min="13" max="13"/>
    <col width="46" customWidth="1" min="14" max="14"/>
    <col width="30" customWidth="1" min="15" max="15"/>
    <col width="32" customWidth="1" min="16" max="16"/>
    <col width="48" customWidth="1" min="17" max="17"/>
    <col width="48" customWidth="1" min="18" max="18"/>
    <col width="48" customWidth="1" min="19" max="19"/>
    <col width="32" customWidth="1" min="20" max="20"/>
    <col width="31" customWidth="1" min="21" max="21"/>
    <col width="33" customWidth="1" min="22" max="22"/>
    <col width="22" customWidth="1" min="23" max="23"/>
    <col width="34" customWidth="1" min="24" max="24"/>
    <col width="48" customWidth="1" min="25" max="25"/>
    <col width="48" customWidth="1" min="26" max="26"/>
    <col width="46" customWidth="1" min="27" max="27"/>
    <col width="48" customWidth="1" min="28" max="28"/>
    <col width="48" customWidth="1" min="29" max="29"/>
    <col width="48" customWidth="1" min="30" max="30"/>
    <col width="42" customWidth="1" min="31" max="31"/>
    <col width="48" customWidth="1" min="32" max="32"/>
    <col width="48" customWidth="1" min="33" max="33"/>
    <col width="48" customWidth="1" min="34" max="34"/>
    <col width="48" customWidth="1" min="35" max="35"/>
    <col width="47" customWidth="1" min="36" max="36"/>
    <col width="48" customWidth="1" min="37" max="37"/>
    <col width="32" customWidth="1" min="38" max="38"/>
    <col width="48" customWidth="1" min="39" max="39"/>
    <col width="32" customWidth="1" min="40" max="40"/>
    <col width="48" customWidth="1" min="41" max="41"/>
    <col width="48" customWidth="1" min="42" max="42"/>
    <col width="32" customWidth="1" min="43" max="43"/>
    <col width="38" customWidth="1" min="44" max="44"/>
    <col width="48" customWidth="1" min="45" max="45"/>
    <col width="20" customWidth="1" min="46" max="46"/>
    <col width="20" customWidth="1" min="47" max="47"/>
    <col width="30" customWidth="1" min="48" max="48"/>
    <col width="32" customWidth="1" min="49" max="49"/>
    <col width="28" customWidth="1" min="50" max="50"/>
    <col width="30" customWidth="1" min="51" max="51"/>
    <col width="27" customWidth="1" min="52" max="52"/>
    <col width="25" customWidth="1" min="53" max="53"/>
    <col width="27" customWidth="1" min="54" max="54"/>
    <col width="24" customWidth="1" min="55" max="55"/>
    <col width="24" customWidth="1" min="56" max="56"/>
    <col width="31" customWidth="1" min="57" max="57"/>
    <col width="30" customWidth="1" min="58" max="58"/>
    <col width="33" customWidth="1" min="59" max="59"/>
    <col width="26" customWidth="1" min="60" max="60"/>
    <col width="30" customWidth="1" min="61" max="61"/>
    <col width="30" customWidth="1" min="62" max="62"/>
    <col width="30" customWidth="1" min="63" max="63"/>
    <col width="29" customWidth="1" min="64" max="64"/>
    <col width="30" customWidth="1" min="65" max="65"/>
    <col width="45" customWidth="1" min="66" max="66"/>
    <col width="34" customWidth="1" min="67" max="67"/>
    <col width="28" customWidth="1" min="68" max="68"/>
    <col width="28" customWidth="1" min="69" max="69"/>
    <col width="27" customWidth="1" min="70" max="70"/>
    <col width="35" customWidth="1" min="71" max="71"/>
    <col width="33" customWidth="1" min="72" max="72"/>
    <col width="35" customWidth="1" min="73" max="73"/>
    <col width="32" customWidth="1" min="74" max="74"/>
    <col width="10" customWidth="1" min="75" max="75"/>
    <col width="10" customWidth="1" min="76" max="76"/>
    <col width="13" customWidth="1" min="77" max="77"/>
    <col width="10" customWidth="1" min="78" max="78"/>
    <col width="11" customWidth="1" min="79" max="79"/>
    <col width="10" customWidth="1" min="80" max="80"/>
    <col width="19" customWidth="1" min="81" max="81"/>
    <col width="19" customWidth="1" min="82" max="82"/>
    <col width="32" customWidth="1" min="83" max="83"/>
    <col width="36" customWidth="1" min="84" max="84"/>
    <col width="17" customWidth="1" min="85" max="85"/>
    <col width="32" customWidth="1" min="86" max="86"/>
    <col width="20" customWidth="1" min="87" max="87"/>
    <col width="19" customWidth="1" min="88" max="88"/>
    <col width="19" customWidth="1" min="89" max="89"/>
    <col width="22" customWidth="1" min="90" max="90"/>
    <col width="22" customWidth="1" min="91" max="91"/>
    <col width="32" customWidth="1" min="92" max="92"/>
    <col width="20" customWidth="1" min="93" max="93"/>
    <col width="40" customWidth="1" min="94" max="94"/>
    <col width="48" customWidth="1" min="95" max="95"/>
    <col width="43" customWidth="1" min="96" max="96"/>
    <col width="48" customWidth="1" min="97" max="97"/>
    <col width="48" customWidth="1" min="98" max="98"/>
    <col width="45" customWidth="1" min="99" max="99"/>
    <col width="43" customWidth="1" min="100" max="100"/>
    <col width="39" customWidth="1" min="101" max="101"/>
    <col width="41" customWidth="1" min="102" max="102"/>
    <col width="27" customWidth="1" min="103" max="103"/>
    <col width="42" customWidth="1" min="104" max="104"/>
    <col width="41" customWidth="1" min="105" max="105"/>
    <col width="43" customWidth="1" min="106" max="106"/>
    <col width="38" customWidth="1" min="107" max="107"/>
    <col width="32" customWidth="1" min="108" max="108"/>
    <col width="48" customWidth="1" min="109" max="109"/>
    <col width="46" customWidth="1" min="110" max="110"/>
    <col width="33" customWidth="1" min="111" max="111"/>
    <col width="46" customWidth="1" min="112" max="112"/>
    <col width="27" customWidth="1" min="113" max="113"/>
    <col width="22" customWidth="1" min="114" max="114"/>
    <col width="19" customWidth="1" min="115" max="115"/>
    <col width="34" customWidth="1" min="116" max="116"/>
    <col width="41" customWidth="1" min="117" max="117"/>
    <col width="42" customWidth="1" min="118" max="118"/>
    <col width="48" customWidth="1" min="119" max="119"/>
    <col width="22" customWidth="1" min="120" max="120"/>
    <col width="24" customWidth="1" min="121" max="121"/>
    <col width="30" customWidth="1" min="122" max="122"/>
    <col width="27" customWidth="1" min="123" max="123"/>
    <col width="23" customWidth="1" min="124" max="124"/>
    <col width="44" customWidth="1" min="125" max="125"/>
    <col width="28" customWidth="1" min="126" max="126"/>
    <col width="27" customWidth="1" min="127" max="127"/>
    <col width="28" customWidth="1" min="128" max="128"/>
    <col width="36" customWidth="1" min="129" max="129"/>
    <col width="17" customWidth="1" min="130" max="130"/>
    <col width="33" customWidth="1" min="131" max="131"/>
    <col width="30" customWidth="1" min="132" max="132"/>
    <col width="23" customWidth="1" min="133" max="133"/>
    <col width="26" customWidth="1" min="134" max="134"/>
    <col width="43" customWidth="1" min="135" max="135"/>
    <col width="21" customWidth="1" min="136" max="136"/>
    <col width="27" customWidth="1" min="137" max="137"/>
    <col width="30" customWidth="1" min="138" max="138"/>
    <col width="31" customWidth="1" min="139" max="139"/>
    <col width="48" customWidth="1" min="140" max="140"/>
    <col width="48" customWidth="1" min="141" max="141"/>
    <col width="20" customWidth="1" min="142" max="142"/>
    <col width="20" customWidth="1" min="143" max="143"/>
    <col width="32" customWidth="1" min="144" max="144"/>
    <col width="31" customWidth="1" min="145" max="145"/>
    <col width="29" customWidth="1" min="146" max="146"/>
    <col width="27" customWidth="1" min="147" max="147"/>
    <col width="38" customWidth="1" min="148" max="148"/>
    <col width="21" customWidth="1" min="149" max="149"/>
    <col width="22" customWidth="1" min="150" max="150"/>
    <col width="22" customWidth="1" min="151" max="151"/>
    <col width="17" customWidth="1" min="152" max="152"/>
    <col width="23" customWidth="1" min="153" max="153"/>
    <col width="23" customWidth="1" min="154" max="154"/>
    <col width="22" customWidth="1" min="155" max="155"/>
    <col width="35" customWidth="1" min="156" max="156"/>
    <col width="36" customWidth="1" min="157" max="157"/>
    <col width="23" customWidth="1" min="158" max="158"/>
    <col width="20" customWidth="1" min="159" max="159"/>
    <col width="22" customWidth="1" min="160" max="160"/>
    <col width="24" customWidth="1" min="161" max="161"/>
    <col width="21" customWidth="1" min="162" max="162"/>
    <col width="40" customWidth="1" min="163" max="163"/>
    <col width="42" customWidth="1" min="164" max="164"/>
    <col width="39" customWidth="1" min="165" max="165"/>
    <col width="21" customWidth="1" min="166" max="166"/>
    <col width="23" customWidth="1" min="167" max="167"/>
    <col width="20" customWidth="1" min="168" max="168"/>
    <col width="24" customWidth="1" min="169" max="169"/>
    <col width="23" customWidth="1" min="170" max="170"/>
    <col width="25" customWidth="1" min="171" max="171"/>
    <col width="24" customWidth="1" min="172" max="172"/>
    <col width="27" customWidth="1" min="173" max="173"/>
    <col width="35" customWidth="1" min="174" max="174"/>
    <col width="35" customWidth="1" min="175" max="175"/>
    <col width="34" customWidth="1" min="176" max="176"/>
    <col width="31" customWidth="1" min="177" max="177"/>
    <col width="24" customWidth="1" min="178" max="178"/>
    <col width="26" customWidth="1" min="179" max="179"/>
    <col width="23" customWidth="1" min="180" max="180"/>
    <col width="35" customWidth="1" min="181" max="181"/>
    <col width="37" customWidth="1" min="182" max="182"/>
    <col width="26" customWidth="1" min="183" max="183"/>
    <col width="48" customWidth="1" min="184" max="184"/>
    <col width="42" customWidth="1" min="185" max="185"/>
    <col width="48" customWidth="1" min="186" max="186"/>
    <col width="37" customWidth="1" min="187" max="187"/>
    <col width="48" customWidth="1" min="188" max="188"/>
    <col width="48" customWidth="1" min="189" max="189"/>
    <col width="46" customWidth="1" min="190" max="190"/>
    <col width="41" customWidth="1" min="191" max="191"/>
    <col width="45" customWidth="1" min="192" max="192"/>
    <col width="48" customWidth="1" min="193" max="193"/>
    <col width="43" customWidth="1" min="194" max="194"/>
    <col width="38" customWidth="1" min="195" max="195"/>
    <col width="33" customWidth="1" min="196" max="196"/>
    <col width="47" customWidth="1" min="197" max="197"/>
    <col width="32" customWidth="1" min="198" max="198"/>
    <col width="48" customWidth="1" min="199" max="199"/>
    <col width="18" customWidth="1" min="200" max="200"/>
    <col width="23" customWidth="1" min="201" max="201"/>
    <col width="20" customWidth="1" min="202" max="202"/>
    <col width="20" customWidth="1" min="203" max="203"/>
    <col width="23" customWidth="1" min="204" max="204"/>
    <col width="32" customWidth="1" min="205" max="205"/>
    <col width="29" customWidth="1" min="206" max="206"/>
    <col width="21" customWidth="1" min="207" max="207"/>
    <col width="25" customWidth="1" min="208" max="208"/>
    <col width="26" customWidth="1" min="209" max="209"/>
    <col width="34" customWidth="1" min="210" max="210"/>
    <col width="37" customWidth="1" min="211" max="211"/>
    <col width="38" customWidth="1" min="212" max="212"/>
    <col width="46" customWidth="1" min="213" max="213"/>
    <col width="26" customWidth="1" min="214" max="214"/>
    <col width="25" customWidth="1" min="215" max="215"/>
    <col width="30" customWidth="1" min="216" max="216"/>
    <col width="28" customWidth="1" min="217" max="217"/>
  </cols>
  <sheetData>
    <row r="1">
      <c r="A1" s="11" t="inlineStr">
        <is>
          <t>metadata_inference_status</t>
        </is>
      </c>
      <c r="B1" s="11" t="inlineStr">
        <is>
          <t>metadata_missing_reason</t>
        </is>
      </c>
      <c r="C1" s="11" t="inlineStr">
        <is>
          <t>f0_final_source</t>
        </is>
      </c>
      <c r="D1" s="11" t="inlineStr">
        <is>
          <t>amplitude_mass_chart_file</t>
        </is>
      </c>
      <c r="E1" s="11" t="inlineStr">
        <is>
          <t>energy_ratio_chart_file</t>
        </is>
      </c>
      <c r="F1" s="11" t="inlineStr">
        <is>
          <t>f0_used_for_density_hz</t>
        </is>
      </c>
      <c r="G1" s="11" t="inlineStr">
        <is>
          <t>f0_used_for_density_source</t>
        </is>
      </c>
      <c r="H1" s="11" t="inlineStr">
        <is>
          <t>acoustic_f0_status</t>
        </is>
      </c>
      <c r="I1" s="12" t="inlineStr">
        <is>
          <t>density_weighted_sum</t>
        </is>
      </c>
      <c r="J1" s="11" t="inlineStr">
        <is>
          <t>density_weighted_sum_alias_of</t>
        </is>
      </c>
      <c r="K1" s="11" t="inlineStr">
        <is>
          <t>density_weighted_sum_semantic_status</t>
        </is>
      </c>
      <c r="L1" s="11" t="inlineStr">
        <is>
          <t>density_component_body_weighted_sum_body_ceiling</t>
        </is>
      </c>
      <c r="M1" s="11" t="inlineStr">
        <is>
          <t>harmonic_component_energy_sum_body_ceiling</t>
        </is>
      </c>
      <c r="N1" s="11" t="inlineStr">
        <is>
          <t>inharmonic_component_energy_sum_body_ceiling</t>
        </is>
      </c>
      <c r="O1" s="11" t="inlineStr">
        <is>
          <t>subbass_component_energy_sum</t>
        </is>
      </c>
      <c r="P1" s="11" t="inlineStr">
        <is>
          <t>spectral_slope_db_per_harmonic</t>
        </is>
      </c>
      <c r="Q1" s="11" t="inlineStr">
        <is>
          <t>validated_harmonic_component_count_body_ceiling</t>
        </is>
      </c>
      <c r="R1" s="11" t="inlineStr">
        <is>
          <t>probable_harmonic_component_count_body_ceiling</t>
        </is>
      </c>
      <c r="S1" s="11" t="inlineStr">
        <is>
          <t>probable_harmonic_component_energy_sum_body_ceiling</t>
        </is>
      </c>
      <c r="T1" s="11" t="inlineStr">
        <is>
          <t>harmonic_candidate_count_20khz</t>
        </is>
      </c>
      <c r="U1" s="11" t="inlineStr">
        <is>
          <t>spectral_body_thickness_index</t>
        </is>
      </c>
      <c r="V1" s="11" t="inlineStr">
        <is>
          <t>body_weighted_effective_density</t>
        </is>
      </c>
      <c r="W1" s="11" t="inlineStr">
        <is>
          <t>low_mid_energy_ratio</t>
        </is>
      </c>
      <c r="X1" s="11" t="inlineStr">
        <is>
          <t>harmonic_body_density_normalized</t>
        </is>
      </c>
      <c r="Y1" s="11" t="inlineStr">
        <is>
          <t>salient_harmonic_order_count_up_to_body_ceiling</t>
        </is>
      </c>
      <c r="Z1" s="11" t="inlineStr">
        <is>
          <t>expected_harmonic_order_count_up_to_body_ceiling</t>
        </is>
      </c>
      <c r="AA1" s="11" t="inlineStr">
        <is>
          <t>salient_harmonic_coverage_up_to_body_ceiling</t>
        </is>
      </c>
      <c r="AB1" s="11" t="inlineStr">
        <is>
          <t>theoretical_harmonic_order_count_up_to_body_ceiling</t>
        </is>
      </c>
      <c r="AC1" s="11" t="inlineStr">
        <is>
          <t>detected_salient_harmonic_order_count_up_to_body_ceiling</t>
        </is>
      </c>
      <c r="AD1" s="11" t="inlineStr">
        <is>
          <t>salient_harmonic_coverage_ratio_up_to_body_ceiling</t>
        </is>
      </c>
      <c r="AE1" s="11" t="inlineStr">
        <is>
          <t>salient_harmonic_mass_up_to_body_ceiling</t>
        </is>
      </c>
      <c r="AF1" s="11" t="inlineStr">
        <is>
          <t>salient_harmonic_order_count_up_to_density_ceiling_hz</t>
        </is>
      </c>
      <c r="AG1" s="11" t="inlineStr">
        <is>
          <t>expected_harmonic_order_count_up_to_density_ceiling_hz</t>
        </is>
      </c>
      <c r="AH1" s="11" t="inlineStr">
        <is>
          <t>salient_harmonic_coverage_up_to_density_ceiling_hz</t>
        </is>
      </c>
      <c r="AI1" s="11" t="inlineStr">
        <is>
          <t>salient_harmonic_mass_up_to_density_ceiling_hz</t>
        </is>
      </c>
      <c r="AJ1" s="11" t="inlineStr">
        <is>
          <t>salient_odd_harmonic_count_up_to_body_ceiling</t>
        </is>
      </c>
      <c r="AK1" s="11" t="inlineStr">
        <is>
          <t>salient_even_harmonic_count_up_to_body_ceiling</t>
        </is>
      </c>
      <c r="AL1" s="11" t="inlineStr">
        <is>
          <t>odd_even_harmonic_energy_ratio</t>
        </is>
      </c>
      <c r="AM1" s="11" t="inlineStr">
        <is>
          <t>salient_inharmonic_log_bin_count_up_to_body_ceiling</t>
        </is>
      </c>
      <c r="AN1" s="11" t="inlineStr">
        <is>
          <t>salient_subbass_particle_count</t>
        </is>
      </c>
      <c r="AO1" s="11" t="inlineStr">
        <is>
          <t>salient_inharmonic_log_bin_count_up_to_density_ceiling_hz</t>
        </is>
      </c>
      <c r="AP1" s="11" t="inlineStr">
        <is>
          <t>salient_subbass_particle_count_up_to_density_ceiling_hz</t>
        </is>
      </c>
      <c r="AQ1" s="11" t="inlineStr">
        <is>
          <t>final_note_density_count_based</t>
        </is>
      </c>
      <c r="AR1" s="11" t="inlineStr">
        <is>
          <t>final_note_density_salience_weighted</t>
        </is>
      </c>
      <c r="AS1" s="11" t="inlineStr">
        <is>
          <t>final_note_density_salience_weighted_norm_for_chart</t>
        </is>
      </c>
      <c r="AT1" s="13" t="inlineStr">
        <is>
          <t>note_density_final</t>
        </is>
      </c>
      <c r="AU1" s="14" t="inlineStr">
        <is>
          <t>EWSD_score_total</t>
        </is>
      </c>
      <c r="AV1" s="11" t="inlineStr">
        <is>
          <t>EWSD_score_acoustic_balanced</t>
        </is>
      </c>
      <c r="AW1" s="11" t="inlineStr">
        <is>
          <t>ewsd_primary_analysis_eligible</t>
        </is>
      </c>
      <c r="AX1" s="11" t="inlineStr">
        <is>
          <t>harmonic_density_component</t>
        </is>
      </c>
      <c r="AY1" s="11" t="inlineStr">
        <is>
          <t>inharmonic_density_component</t>
        </is>
      </c>
      <c r="AZ1" s="11" t="inlineStr">
        <is>
          <t>subbass_density_component</t>
        </is>
      </c>
      <c r="BA1" s="11" t="inlineStr">
        <is>
          <t>harmonic_density_weight</t>
        </is>
      </c>
      <c r="BB1" s="11" t="inlineStr">
        <is>
          <t>inharmonic_density_weight</t>
        </is>
      </c>
      <c r="BC1" s="11" t="inlineStr">
        <is>
          <t>subbass_density_weight</t>
        </is>
      </c>
      <c r="BD1" s="11" t="inlineStr">
        <is>
          <t>density_summation_mode</t>
        </is>
      </c>
      <c r="BE1" s="11" t="inlineStr">
        <is>
          <t>density_salience_threshold_db</t>
        </is>
      </c>
      <c r="BF1" s="11" t="inlineStr">
        <is>
          <t>density_frequency_ceiling_hz</t>
        </is>
      </c>
      <c r="BG1" s="11" t="inlineStr">
        <is>
          <t>harmonic_region_occupancy_count</t>
        </is>
      </c>
      <c r="BH1" s="11" t="inlineStr">
        <is>
          <t>harmonic_occupancy_ratio</t>
        </is>
      </c>
      <c r="BI1" s="11" t="inlineStr">
        <is>
          <t>expected_harmonic_slot_count</t>
        </is>
      </c>
      <c r="BJ1" s="11" t="inlineStr">
        <is>
          <t>detected_harmonic_slot_count</t>
        </is>
      </c>
      <c r="BK1" s="11" t="inlineStr">
        <is>
          <t>harmonic_slot_expected_count</t>
        </is>
      </c>
      <c r="BL1" s="11" t="inlineStr">
        <is>
          <t>harmonic_slot_matched_count</t>
        </is>
      </c>
      <c r="BM1" s="11" t="inlineStr">
        <is>
          <t>harmonic_slot_coverage_ratio</t>
        </is>
      </c>
      <c r="BN1" s="11" t="inlineStr">
        <is>
          <t>harmonic_effective_power_density_normalized</t>
        </is>
      </c>
      <c r="BO1" s="11" t="inlineStr">
        <is>
          <t>residual_log_frequency_occupancy</t>
        </is>
      </c>
      <c r="BP1" s="11" t="inlineStr">
        <is>
          <t>core_harmonic_energy_ratio</t>
        </is>
      </c>
      <c r="BQ1" s="11" t="inlineStr">
        <is>
          <t>core_residual_energy_ratio</t>
        </is>
      </c>
      <c r="BR1" s="11" t="inlineStr">
        <is>
          <t>core_subbass_energy_ratio</t>
        </is>
      </c>
      <c r="BS1" s="11" t="inlineStr">
        <is>
          <t>residual_body_contribution_capped</t>
        </is>
      </c>
      <c r="BT1" s="11" t="inlineStr">
        <is>
          <t>component_harmonic_energy_ratio</t>
        </is>
      </c>
      <c r="BU1" s="11" t="inlineStr">
        <is>
          <t>component_inharmonic_energy_ratio</t>
        </is>
      </c>
      <c r="BV1" s="11" t="inlineStr">
        <is>
          <t>component_subbass_energy_ratio</t>
        </is>
      </c>
      <c r="BW1" s="11" t="inlineStr">
        <is>
          <t>Note</t>
        </is>
      </c>
      <c r="BX1" s="11" t="inlineStr">
        <is>
          <t>MIDI</t>
        </is>
      </c>
      <c r="BY1" s="11" t="inlineStr">
        <is>
          <t>Pitch_Class</t>
        </is>
      </c>
      <c r="BZ1" s="11" t="inlineStr">
        <is>
          <t>Octave</t>
        </is>
      </c>
      <c r="CA1" s="11" t="inlineStr">
        <is>
          <t>Register</t>
        </is>
      </c>
      <c r="CB1" s="11" t="inlineStr">
        <is>
          <t>Dynamic</t>
        </is>
      </c>
      <c r="CC1" s="11" t="inlineStr">
        <is>
          <t>f0_nominal_hz</t>
        </is>
      </c>
      <c r="CD1" s="11" t="inlineStr">
        <is>
          <t>f0_final_hz</t>
        </is>
      </c>
      <c r="CE1" s="11" t="inlineStr">
        <is>
          <t>f0_source</t>
        </is>
      </c>
      <c r="CF1" s="11" t="inlineStr">
        <is>
          <t>f0_used_for_harmonic_validation_hz</t>
        </is>
      </c>
      <c r="CG1" s="11" t="inlineStr">
        <is>
          <t>f0_fit_accepted</t>
        </is>
      </c>
      <c r="CH1" s="11" t="inlineStr">
        <is>
          <t>f0_epistemic_status</t>
        </is>
      </c>
      <c r="CI1" s="11" t="inlineStr">
        <is>
          <t>f0_validation_mode</t>
        </is>
      </c>
      <c r="CJ1" s="11" t="inlineStr">
        <is>
          <t>nominal_prior_hz</t>
        </is>
      </c>
      <c r="CK1" s="11" t="inlineStr">
        <is>
          <t>f0_candidate_hz</t>
        </is>
      </c>
      <c r="CL1" s="11" t="inlineStr">
        <is>
          <t>f0_deviation_cents</t>
        </is>
      </c>
      <c r="CM1" s="11" t="inlineStr">
        <is>
          <t>f0_validation_max_hz</t>
        </is>
      </c>
      <c r="CN1" s="11" t="inlineStr">
        <is>
          <t>f0_detuning_cents_from_nominal</t>
        </is>
      </c>
      <c r="CO1" s="11" t="inlineStr">
        <is>
          <t>density_metric_raw</t>
        </is>
      </c>
      <c r="CP1" s="11" t="inlineStr">
        <is>
          <t>density_body_weighted_sum_body_ceiling</t>
        </is>
      </c>
      <c r="CQ1" s="11" t="inlineStr">
        <is>
          <t>harmonic_effective_component_count_body_ceiling</t>
        </is>
      </c>
      <c r="CR1" s="11" t="inlineStr">
        <is>
          <t>normalized_harmonic_richness_body_ceiling</t>
        </is>
      </c>
      <c r="CS1" s="11" t="inlineStr">
        <is>
          <t>body_density_per_expected_harmonic_slot_body_ceiling</t>
        </is>
      </c>
      <c r="CT1" s="11" t="inlineStr">
        <is>
          <t>pitch_normalized_harmonic_component_energy_body_ceiling</t>
        </is>
      </c>
      <c r="CU1" s="11" t="inlineStr">
        <is>
          <t>richness_weighted_body_density_body_ceiling</t>
        </is>
      </c>
      <c r="CV1" s="11" t="inlineStr">
        <is>
          <t>subbass_component_energy_sum_body_ceiling</t>
        </is>
      </c>
      <c r="CW1" s="11" t="inlineStr">
        <is>
          <t>harmonic_body_energy_sum_body_ceiling</t>
        </is>
      </c>
      <c r="CX1" s="11" t="inlineStr">
        <is>
          <t>inharmonic_body_energy_sum_body_ceiling</t>
        </is>
      </c>
      <c r="CY1" s="11" t="inlineStr">
        <is>
          <t>subbass_rumble_energy_sum</t>
        </is>
      </c>
      <c r="CZ1" s="11" t="inlineStr">
        <is>
          <t>density_full_spectrum_weighted_sum_20khz</t>
        </is>
      </c>
      <c r="DA1" s="11" t="inlineStr">
        <is>
          <t>harmonic_full_spectrum_energy_sum_20khz</t>
        </is>
      </c>
      <c r="DB1" s="11" t="inlineStr">
        <is>
          <t>inharmonic_full_spectrum_energy_sum_20khz</t>
        </is>
      </c>
      <c r="DC1" s="11" t="inlineStr">
        <is>
          <t>high_frequency_spectral_activity_sum</t>
        </is>
      </c>
      <c r="DD1" s="11" t="inlineStr">
        <is>
          <t>spectral_extension_index_20khz</t>
        </is>
      </c>
      <c r="DE1" s="11" t="inlineStr">
        <is>
          <t>brightness_or_upper_spectral_activity_index_20khz</t>
        </is>
      </c>
      <c r="DF1" s="11" t="inlineStr">
        <is>
          <t>full_spectrum_harmonic_candidate_count_20khz</t>
        </is>
      </c>
      <c r="DG1" s="11" t="inlineStr">
        <is>
          <t>density_metric_raw_source_sheet</t>
        </is>
      </c>
      <c r="DH1" s="11" t="inlineStr">
        <is>
          <t>energy_weighted_component_density_diagnostic</t>
        </is>
      </c>
      <c r="DI1" s="11" t="inlineStr">
        <is>
          <t>density_metric_normalized</t>
        </is>
      </c>
      <c r="DJ1" s="11" t="inlineStr">
        <is>
          <t>density_log_weighted</t>
        </is>
      </c>
      <c r="DK1" s="11" t="inlineStr">
        <is>
          <t>Total sum</t>
        </is>
      </c>
      <c r="DL1" s="11" t="inlineStr">
        <is>
          <t>note_effective_component_density</t>
        </is>
      </c>
      <c r="DM1" s="11" t="inlineStr">
        <is>
          <t>note_effective_component_density_ci_low</t>
        </is>
      </c>
      <c r="DN1" s="11" t="inlineStr">
        <is>
          <t>note_effective_component_density_ci_high</t>
        </is>
      </c>
      <c r="DO1" s="11" t="inlineStr">
        <is>
          <t>note_effective_component_density_rel_uncertainty</t>
        </is>
      </c>
      <c r="DP1" s="11" t="inlineStr">
        <is>
          <t>ci_basis_frame_count</t>
        </is>
      </c>
      <c r="DQ1" s="11" t="inlineStr">
        <is>
          <t>ci_basis_partial_count</t>
        </is>
      </c>
      <c r="DR1" s="11" t="inlineStr">
        <is>
          <t>ci_basis_frames_insufficient</t>
        </is>
      </c>
      <c r="DS1" s="11" t="inlineStr">
        <is>
          <t>effective_partial_density</t>
        </is>
      </c>
      <c r="DT1" s="11" t="inlineStr">
        <is>
          <t>harmonic_body_density</t>
        </is>
      </c>
      <c r="DU1" s="11" t="inlineStr">
        <is>
          <t>expected_harmonic_slots_up_to_body_ceiling</t>
        </is>
      </c>
      <c r="DV1" s="11" t="inlineStr">
        <is>
          <t>residual_body_contribution</t>
        </is>
      </c>
      <c r="DW1" s="11" t="inlineStr">
        <is>
          <t>note_density_final_ci_low</t>
        </is>
      </c>
      <c r="DX1" s="11" t="inlineStr">
        <is>
          <t>note_density_final_ci_high</t>
        </is>
      </c>
      <c r="DY1" s="11" t="inlineStr">
        <is>
          <t>note_density_final_rel_uncertainty</t>
        </is>
      </c>
      <c r="DZ1" s="11" t="inlineStr">
        <is>
          <t>density_fragile</t>
        </is>
      </c>
      <c r="EA1" s="11" t="inlineStr">
        <is>
          <t>density_perturbation_spread_pct</t>
        </is>
      </c>
      <c r="EB1" s="11" t="inlineStr">
        <is>
          <t>density_effective_ceiling_hz</t>
        </is>
      </c>
      <c r="EC1" s="11" t="inlineStr">
        <is>
          <t>harmonic_body_stop_hz</t>
        </is>
      </c>
      <c r="ED1" s="11" t="inlineStr">
        <is>
          <t>harmonic_body_stop_order</t>
        </is>
      </c>
      <c r="EE1" s="11" t="inlineStr">
        <is>
          <t>validated_harmonics_above_body_stop_count</t>
        </is>
      </c>
      <c r="EF1" s="11" t="inlineStr">
        <is>
          <t>bin_to_f0_ratio</t>
        </is>
      </c>
      <c r="EG1" s="11" t="inlineStr">
        <is>
          <t>low_f0_resolution_warning</t>
        </is>
      </c>
      <c r="EH1" s="11" t="inlineStr">
        <is>
          <t>valid_for_primary_statistics</t>
        </is>
      </c>
      <c r="EI1" s="11" t="inlineStr">
        <is>
          <t>is_primary_comparable_profile</t>
        </is>
      </c>
      <c r="EJ1" s="11" t="inlineStr">
        <is>
          <t>analysis_parameter_profile_id</t>
        </is>
      </c>
      <c r="EK1" s="11" t="inlineStr">
        <is>
          <t>primary_comparable_profile_definition</t>
        </is>
      </c>
      <c r="EL1" s="11" t="inlineStr">
        <is>
          <t>density_confidence</t>
        </is>
      </c>
      <c r="EM1" s="11" t="inlineStr">
        <is>
          <t>f0_confidence</t>
        </is>
      </c>
      <c r="EN1" s="11" t="inlineStr">
        <is>
          <t>harmonic_assignment_confidence</t>
        </is>
      </c>
      <c r="EO1" s="11" t="inlineStr">
        <is>
          <t>spectral_stability_confidence</t>
        </is>
      </c>
      <c r="EP1" s="11" t="inlineStr">
        <is>
          <t>qc_status</t>
        </is>
      </c>
      <c r="EQ1" s="11" t="inlineStr">
        <is>
          <t>outlier_ratio_max_to_mean</t>
        </is>
      </c>
      <c r="ER1" s="11" t="inlineStr">
        <is>
          <t>outlier_policy_applied</t>
        </is>
      </c>
      <c r="ES1" s="11" t="inlineStr">
        <is>
          <t>density_winsorized</t>
        </is>
      </c>
      <c r="ET1" s="11" t="inlineStr">
        <is>
          <t>density_median_based</t>
        </is>
      </c>
      <c r="EU1" s="11" t="inlineStr">
        <is>
          <t>density_trimmed_mean</t>
        </is>
      </c>
      <c r="EV1" s="11" t="inlineStr">
        <is>
          <t>sethares_status</t>
        </is>
      </c>
      <c r="EW1" s="11" t="inlineStr">
        <is>
          <t>sethares_value_status</t>
        </is>
      </c>
      <c r="EX1" s="11" t="inlineStr">
        <is>
          <t>sethares_curve_status</t>
        </is>
      </c>
      <c r="EY1" s="11" t="inlineStr">
        <is>
          <t>sethares_plot_status</t>
        </is>
      </c>
      <c r="EZ1" s="11" t="inlineStr">
        <is>
          <t>body_density_frequency_ceiling_hz</t>
        </is>
      </c>
      <c r="FA1" s="11" t="inlineStr">
        <is>
          <t>full_spectrum_frequency_ceiling_hz</t>
        </is>
      </c>
      <c r="FB1" s="11" t="inlineStr">
        <is>
          <t>residual_energy_ratio</t>
        </is>
      </c>
      <c r="FC1" s="11" t="inlineStr">
        <is>
          <t>spectral_entropy</t>
        </is>
      </c>
      <c r="FD1" s="11" t="inlineStr">
        <is>
          <t>harmonic_density_sum</t>
        </is>
      </c>
      <c r="FE1" s="11" t="inlineStr">
        <is>
          <t>inharmonic_density_sum</t>
        </is>
      </c>
      <c r="FF1" s="11" t="inlineStr">
        <is>
          <t>subbass_density_sum</t>
        </is>
      </c>
      <c r="FG1" s="11" t="inlineStr">
        <is>
          <t>weighted_harmonic_density_contribution</t>
        </is>
      </c>
      <c r="FH1" s="11" t="inlineStr">
        <is>
          <t>weighted_inharmonic_density_contribution</t>
        </is>
      </c>
      <c r="FI1" s="11" t="inlineStr">
        <is>
          <t>weighted_subbass_density_contribution</t>
        </is>
      </c>
      <c r="FJ1" s="11" t="inlineStr">
        <is>
          <t>harmonic_energy_sum</t>
        </is>
      </c>
      <c r="FK1" s="11" t="inlineStr">
        <is>
          <t>inharmonic_energy_sum</t>
        </is>
      </c>
      <c r="FL1" s="11" t="inlineStr">
        <is>
          <t>subbass_energy_sum</t>
        </is>
      </c>
      <c r="FM1" s="11" t="inlineStr">
        <is>
          <t>total_component_energy</t>
        </is>
      </c>
      <c r="FN1" s="11" t="inlineStr">
        <is>
          <t>harmonic_energy_ratio</t>
        </is>
      </c>
      <c r="FO1" s="11" t="inlineStr">
        <is>
          <t>inharmonic_energy_ratio</t>
        </is>
      </c>
      <c r="FP1" s="11" t="inlineStr">
        <is>
          <t>subbass_energy_ratio</t>
        </is>
      </c>
      <c r="FQ1" s="11" t="inlineStr">
        <is>
          <t>harmonic_alignment_status</t>
        </is>
      </c>
      <c r="FR1" s="11" t="inlineStr">
        <is>
          <t>harmonic_alignment_coverage_ratio</t>
        </is>
      </c>
      <c r="FS1" s="11" t="inlineStr">
        <is>
          <t>mean_abs_harmonic_deviation_cents</t>
        </is>
      </c>
      <c r="FT1" s="11" t="inlineStr">
        <is>
          <t>max_abs_harmonic_deviation_cents</t>
        </is>
      </c>
      <c r="FU1" s="11" t="inlineStr">
        <is>
          <t>debug_counts_invariant_status</t>
        </is>
      </c>
      <c r="FV1" s="11" t="inlineStr">
        <is>
          <t>harmonic_amplitude_sum</t>
        </is>
      </c>
      <c r="FW1" s="11" t="inlineStr">
        <is>
          <t>inharmonic_amplitude_sum</t>
        </is>
      </c>
      <c r="FX1" s="11" t="inlineStr">
        <is>
          <t>subbass_amplitude_sum</t>
        </is>
      </c>
      <c r="FY1" s="11" t="inlineStr">
        <is>
          <t>density_metric_raw_norm_for_chart</t>
        </is>
      </c>
      <c r="FZ1" s="11" t="inlineStr">
        <is>
          <t>density_weighted_sum_norm_for_chart</t>
        </is>
      </c>
      <c r="GA1" s="11" t="inlineStr">
        <is>
          <t>Total sum_norm_for_chart</t>
        </is>
      </c>
      <c r="GB1" s="11" t="inlineStr">
        <is>
          <t>note_effective_component_density_norm_for_chart</t>
        </is>
      </c>
      <c r="GC1" s="11" t="inlineStr">
        <is>
          <t>effective_partial_density_norm_for_chart</t>
        </is>
      </c>
      <c r="GD1" s="11" t="inlineStr">
        <is>
          <t>body_weighted_effective_density_norm_for_chart</t>
        </is>
      </c>
      <c r="GE1" s="11" t="inlineStr">
        <is>
          <t>low_mid_energy_ratio_norm_for_chart</t>
        </is>
      </c>
      <c r="GF1" s="11" t="inlineStr">
        <is>
          <t>harmonic_body_density_normalized_norm_for_chart</t>
        </is>
      </c>
      <c r="GG1" s="11" t="inlineStr">
        <is>
          <t>residual_body_contribution_capped_norm_for_chart</t>
        </is>
      </c>
      <c r="GH1" s="11" t="inlineStr">
        <is>
          <t>spectral_body_thickness_index_norm_for_chart</t>
        </is>
      </c>
      <c r="GI1" s="11" t="inlineStr">
        <is>
          <t>harmonic_occupancy_ratio_norm_for_chart</t>
        </is>
      </c>
      <c r="GJ1" s="11" t="inlineStr">
        <is>
          <t>harmonic_slot_coverage_ratio_norm_for_chart</t>
        </is>
      </c>
      <c r="GK1" s="11" t="inlineStr">
        <is>
          <t>residual_log_frequency_occupancy_norm_for_chart</t>
        </is>
      </c>
      <c r="GL1" s="11" t="inlineStr">
        <is>
          <t>core_residual_energy_ratio_norm_for_chart</t>
        </is>
      </c>
      <c r="GM1" s="11" t="inlineStr">
        <is>
          <t>residual_energy_ratio_norm_for_chart</t>
        </is>
      </c>
      <c r="GN1" s="11" t="inlineStr">
        <is>
          <t>spectral_entropy_norm_for_chart</t>
        </is>
      </c>
      <c r="GO1" s="11" t="inlineStr">
        <is>
          <t>final_note_density_count_based_norm_for_chart</t>
        </is>
      </c>
      <c r="GP1" s="11" t="inlineStr">
        <is>
          <t>richness_weighted_body_density</t>
        </is>
      </c>
      <c r="GQ1" s="11" t="inlineStr">
        <is>
          <t>density_weighted_sum_legacy_compiled_semantics</t>
        </is>
      </c>
      <c r="GR1" s="11" t="inlineStr">
        <is>
          <t>ewsd_mode</t>
        </is>
      </c>
      <c r="GS1" s="11" t="inlineStr">
        <is>
          <t>ewsd_his_ratio_source</t>
        </is>
      </c>
      <c r="GT1" s="11" t="inlineStr">
        <is>
          <t>ewsd_H_ratio</t>
        </is>
      </c>
      <c r="GU1" s="11" t="inlineStr">
        <is>
          <t>ewsd_I_ratio</t>
        </is>
      </c>
      <c r="GV1" s="11" t="inlineStr">
        <is>
          <t>ewsd_S_noise_ratio</t>
        </is>
      </c>
      <c r="GW1" s="11" t="inlineStr">
        <is>
          <t>ewsd_weight_function_canonical</t>
        </is>
      </c>
      <c r="GX1" s="11" t="inlineStr">
        <is>
          <t>ewsd_acoustic_balance_alpha</t>
        </is>
      </c>
      <c r="GY1" s="11" t="inlineStr">
        <is>
          <t>ewsd_stage3_version</t>
        </is>
      </c>
      <c r="GZ1" s="11" t="inlineStr">
        <is>
          <t>EWSD_score_total_ci_low</t>
        </is>
      </c>
      <c r="HA1" s="11" t="inlineStr">
        <is>
          <t>EWSD_score_total_ci_high</t>
        </is>
      </c>
      <c r="HB1" s="11" t="inlineStr">
        <is>
          <t>EWSD_score_total_rel_uncertainty</t>
        </is>
      </c>
      <c r="HC1" s="11" t="inlineStr">
        <is>
          <t>EWSD_score_acoustic_balanced_ci_low</t>
        </is>
      </c>
      <c r="HD1" s="11" t="inlineStr">
        <is>
          <t>EWSD_score_acoustic_balanced_ci_high</t>
        </is>
      </c>
      <c r="HE1" s="11" t="inlineStr">
        <is>
          <t>EWSD_score_acoustic_balanced_rel_uncertainty</t>
        </is>
      </c>
      <c r="HF1" s="11" t="inlineStr">
        <is>
          <t>ewsd_uncertainty_sources</t>
        </is>
      </c>
      <c r="HG1" s="11" t="inlineStr">
        <is>
          <t>ewsd_merge_status</t>
        </is>
      </c>
      <c r="HH1" s="11" t="inlineStr">
        <is>
          <t>arithmetic_validation_status</t>
        </is>
      </c>
      <c r="HI1" s="11" t="inlineStr">
        <is>
          <t>acoustic_validation_status</t>
        </is>
      </c>
    </row>
    <row r="2">
      <c r="A2" t="inlineStr">
        <is>
          <t>incomplete_inference</t>
        </is>
      </c>
      <c r="B2" t="inlineStr">
        <is>
          <t>missing_instrument_technique</t>
        </is>
      </c>
      <c r="C2" t="inlineStr">
        <is>
          <t>prior_constrained_harmonic_fit</t>
        </is>
      </c>
      <c r="D2" t="inlineStr">
        <is>
          <t>IOWA_Trb.T_pp.E2_SustainStable/E2/component_amplitude_mass_pie.png</t>
        </is>
      </c>
      <c r="E2" t="inlineStr">
        <is>
          <t>IOWA_Trb.T_pp.E2_SustainStable/E2/component_energy_ratio_pie.png</t>
        </is>
      </c>
      <c r="F2" s="15" t="n">
        <v>82.54233153503833</v>
      </c>
      <c r="G2" s="15" t="inlineStr">
        <is>
          <t>prior_constrained_harmonic_fit</t>
        </is>
      </c>
      <c r="H2" s="15" t="inlineStr">
        <is>
          <t>fit_accepted_acoustically_verified</t>
        </is>
      </c>
      <c r="I2" s="16" t="n">
        <v>1234.016797346328</v>
      </c>
      <c r="J2" t="inlineStr">
        <is>
          <t>richness_weighted_body_density_body_ceiling</t>
        </is>
      </c>
      <c r="K2" t="inlineStr">
        <is>
          <t>research_body_ceiling_richness_metric</t>
        </is>
      </c>
      <c r="L2" s="15" t="n">
        <v>44692.90143670869</v>
      </c>
      <c r="M2" s="15" t="n">
        <v>44694.43409833207</v>
      </c>
      <c r="N2" s="15" t="n">
        <v>174.2751619812598</v>
      </c>
      <c r="O2" s="15" t="n">
        <v>11.5084865663838</v>
      </c>
      <c r="P2" s="15" t="n">
        <v>-2.24275141852846</v>
      </c>
      <c r="Q2" s="15" t="n">
        <v>27</v>
      </c>
      <c r="R2" s="15" t="n">
        <v>126</v>
      </c>
      <c r="S2" s="15" t="n">
        <v>44694.60725561466</v>
      </c>
      <c r="T2" s="15" t="n">
        <v>243</v>
      </c>
      <c r="U2" s="15" t="n">
        <v>1.188920688379501</v>
      </c>
      <c r="V2" s="15" t="n">
        <v>90.15721279801554</v>
      </c>
      <c r="W2" s="15" t="n">
        <v>0.9985676489322277</v>
      </c>
      <c r="X2" s="15" t="n">
        <v>0.1832095787083635</v>
      </c>
      <c r="Y2" s="15" t="n">
        <v>22</v>
      </c>
      <c r="Z2" s="15" t="n">
        <v>242</v>
      </c>
      <c r="AA2" s="15" t="n">
        <v>0.09090909090909091</v>
      </c>
      <c r="AB2" s="15" t="n">
        <v>242</v>
      </c>
      <c r="AC2" s="15" t="n">
        <v>22</v>
      </c>
      <c r="AD2" s="15" t="n">
        <v>0.09090909090909091</v>
      </c>
      <c r="AE2" s="15" t="n">
        <v>1812.889519359189</v>
      </c>
      <c r="AF2" s="15" t="n">
        <v>22</v>
      </c>
      <c r="AG2" s="15" t="n">
        <v>242</v>
      </c>
      <c r="AH2" s="15" t="n">
        <v>0.09090909090909091</v>
      </c>
      <c r="AI2" s="15" t="n">
        <v>1812.889519359189</v>
      </c>
      <c r="AJ2" s="15" t="n">
        <v>12</v>
      </c>
      <c r="AK2" s="15" t="n">
        <v>10</v>
      </c>
      <c r="AL2" s="15" t="n">
        <v>1.23459634435759</v>
      </c>
      <c r="AM2" s="15" t="n">
        <v>59</v>
      </c>
      <c r="AN2" s="15" t="n">
        <v>0</v>
      </c>
      <c r="AO2" s="15" t="n">
        <v>59</v>
      </c>
      <c r="AP2" s="15" t="n">
        <v>0</v>
      </c>
      <c r="AQ2" s="15" t="n">
        <v>47.92276494615492</v>
      </c>
      <c r="AR2" s="15" t="n">
        <v>30.29080335578444</v>
      </c>
      <c r="AS2" s="15" t="n">
        <v>0.9446987533861004</v>
      </c>
      <c r="AT2" s="17" t="n">
        <v>2.85191468864754</v>
      </c>
      <c r="AU2" s="18" t="n">
        <v>36.03821896679737</v>
      </c>
      <c r="AV2" s="15" t="n">
        <v>38.75622388667201</v>
      </c>
      <c r="AW2" s="15" t="b">
        <v>1</v>
      </c>
      <c r="AX2" s="15" t="n">
        <v>15.72687432672971</v>
      </c>
      <c r="AY2" s="15" t="n">
        <v>36.51421607805605</v>
      </c>
      <c r="AZ2" s="15" t="n">
        <v>0</v>
      </c>
      <c r="BA2" s="15" t="n">
        <v>1</v>
      </c>
      <c r="BB2" s="15" t="n">
        <v>0.5</v>
      </c>
      <c r="BC2" s="15" t="n">
        <v>0.25</v>
      </c>
      <c r="BD2" s="15" t="inlineStr">
        <is>
          <t>his_note_adaptive</t>
        </is>
      </c>
      <c r="BE2" s="15" t="n">
        <v>-90</v>
      </c>
      <c r="BF2" s="15" t="n">
        <v>20000</v>
      </c>
      <c r="BG2" s="15" t="n">
        <v>22</v>
      </c>
      <c r="BH2" s="15" t="n">
        <v>0.09090909090909091</v>
      </c>
      <c r="BI2" s="15" t="n">
        <v>242</v>
      </c>
      <c r="BJ2" s="15" t="n">
        <v>22</v>
      </c>
      <c r="BK2" s="15" t="n">
        <v>242</v>
      </c>
      <c r="BL2" s="15" t="n">
        <v>227</v>
      </c>
      <c r="BM2" s="15" t="n">
        <v>0.9380165289256198</v>
      </c>
      <c r="BN2" s="15" t="n">
        <v>0.111967951008445</v>
      </c>
      <c r="BO2" s="15" t="n">
        <v>0.4916666666666666</v>
      </c>
      <c r="BP2" s="19" t="n">
        <v>0.7739585713115726</v>
      </c>
      <c r="BQ2" s="19" t="n">
        <v>0.2260148803531581</v>
      </c>
      <c r="BR2" s="19" t="n">
        <v>2.654833526929422e-05</v>
      </c>
      <c r="BS2" s="15" t="n">
        <v>0.143573797505315</v>
      </c>
      <c r="BT2" s="19" t="n">
        <v>0.9999656991657909</v>
      </c>
      <c r="BU2" s="19" t="n">
        <v>0</v>
      </c>
      <c r="BV2" s="19" t="n">
        <v>3.430083420907089e-05</v>
      </c>
      <c r="BW2" t="inlineStr">
        <is>
          <t>E2</t>
        </is>
      </c>
      <c r="BX2" t="n">
        <v>40</v>
      </c>
      <c r="BY2" t="inlineStr">
        <is>
          <t>E</t>
        </is>
      </c>
      <c r="BZ2" t="n">
        <v>2</v>
      </c>
      <c r="CA2" t="inlineStr">
        <is>
          <t>Low</t>
        </is>
      </c>
      <c r="CB2" t="inlineStr">
        <is>
          <t>pp</t>
        </is>
      </c>
      <c r="CC2" s="15" t="n">
        <v>82.40688922821748</v>
      </c>
      <c r="CD2" s="15" t="n">
        <v>82.54233153503833</v>
      </c>
      <c r="CE2" t="inlineStr">
        <is>
          <t>prior_constrained_harmonic_fit</t>
        </is>
      </c>
      <c r="CF2" t="n">
        <v>82.54233153503833</v>
      </c>
      <c r="CG2" s="15" t="n">
        <v>1</v>
      </c>
      <c r="CH2" t="inlineStr">
        <is>
          <t>free_fit_acoustically_verified</t>
        </is>
      </c>
      <c r="CI2" s="15" t="inlineStr">
        <is>
          <t>free_f0_fit</t>
        </is>
      </c>
      <c r="CJ2" s="15" t="n">
        <v>82.40688922821748</v>
      </c>
      <c r="CK2" s="15" t="n">
        <v>82.54233153503833</v>
      </c>
      <c r="CL2" s="15" t="n">
        <v>2.843085706810632</v>
      </c>
      <c r="CM2" s="15" t="n">
        <v>20000</v>
      </c>
      <c r="CN2" s="15" t="n">
        <v>2.843085706810632</v>
      </c>
      <c r="CO2" s="15" t="n">
        <v>2.276428400495808</v>
      </c>
      <c r="CP2" s="15" t="n">
        <v>44692.90143670869</v>
      </c>
      <c r="CQ2" t="n">
        <v>6.681867992356405</v>
      </c>
      <c r="CR2" t="n">
        <v>0.02761102476180333</v>
      </c>
      <c r="CS2" t="n">
        <v>184.6814092642893</v>
      </c>
      <c r="CT2" t="n">
        <v>184.6877442079838</v>
      </c>
      <c r="CU2" t="n">
        <v>1234.016797346328</v>
      </c>
      <c r="CV2" t="n">
        <v>11.5084865663838</v>
      </c>
      <c r="CW2" s="15" t="n">
        <v>44694.43409833207</v>
      </c>
      <c r="CX2" s="15" t="n">
        <v>174.2751619812598</v>
      </c>
      <c r="CY2" s="15" t="n">
        <v>11.5084865663838</v>
      </c>
      <c r="CZ2" s="15" t="n">
        <v>2.852278898362117</v>
      </c>
      <c r="DA2" s="15" t="n">
        <v>2.851981973033231</v>
      </c>
      <c r="DB2" s="15" t="n">
        <v>1.834059864309312</v>
      </c>
      <c r="DC2" s="15" t="n">
        <v>0</v>
      </c>
      <c r="DD2" s="15" t="n">
        <v>6.381950615583412e-05</v>
      </c>
      <c r="DE2" s="15" t="n">
        <v>0</v>
      </c>
      <c r="DF2" s="15" t="n">
        <v>27</v>
      </c>
      <c r="DG2" s="15" t="inlineStr">
        <is>
          <t>Density_Metrics</t>
        </is>
      </c>
      <c r="DH2" s="15" t="n">
        <v>2.276428400495808</v>
      </c>
      <c r="DI2" t="n">
        <v>0.9878953039417034</v>
      </c>
      <c r="DJ2" s="15" t="n">
        <v>0.5856766599011197</v>
      </c>
      <c r="DK2" s="15" t="n">
        <v>5.576427620580009</v>
      </c>
      <c r="DL2" s="15" t="n">
        <v>6.737505867395866</v>
      </c>
      <c r="DM2" s="15" t="n">
        <v>3.67507732722253</v>
      </c>
      <c r="DN2" s="15" t="n">
        <v>12.4823499964365</v>
      </c>
      <c r="DO2" s="15" t="n">
        <v>0.3335595807181952</v>
      </c>
      <c r="DP2" s="15" t="n">
        <v>3.625</v>
      </c>
      <c r="DQ2" s="15" t="n">
        <v>57</v>
      </c>
      <c r="DR2" s="15" t="b">
        <v>1</v>
      </c>
      <c r="DS2" s="15" t="n">
        <v>6.681867992356405</v>
      </c>
      <c r="DT2" s="15" t="n">
        <v>44.33671804742398</v>
      </c>
      <c r="DU2" t="n">
        <v>242</v>
      </c>
      <c r="DV2" s="15" t="n">
        <v>0.143573797505315</v>
      </c>
      <c r="DW2" s="15" t="n">
        <v>2.618439850410492</v>
      </c>
      <c r="DX2" s="15" t="n">
        <v>3.015348635608298</v>
      </c>
      <c r="DY2" s="15" t="n">
        <v>0.03578362851924707</v>
      </c>
      <c r="DZ2" s="15" t="b">
        <v>1</v>
      </c>
      <c r="EA2" s="15" t="n">
        <v>0.4193421534963046</v>
      </c>
      <c r="EB2" s="15" t="n">
        <v>20000</v>
      </c>
      <c r="EC2" s="15" t="n">
        <v>2311.185282981073</v>
      </c>
      <c r="ED2" s="15" t="n">
        <v>28</v>
      </c>
      <c r="EE2" s="15" t="n">
        <v>2</v>
      </c>
      <c r="EF2" s="15" t="n">
        <v>0.06532585845270165</v>
      </c>
      <c r="EG2" s="15" t="b">
        <v>0</v>
      </c>
      <c r="EH2" s="15" t="b">
        <v>1</v>
      </c>
      <c r="EI2" s="15" t="b">
        <v>0</v>
      </c>
      <c r="EJ2" s="15" t="inlineStr">
        <is>
          <t>wf=log|dst=-90.0|ceil=20000.0|fft=adaptive_tier</t>
        </is>
      </c>
      <c r="EK2" s="15" t="inlineStr">
        <is>
          <t>wf=log|dst=runtime_configured|ceil=runtime_configured|fft=fixed</t>
        </is>
      </c>
      <c r="EL2" s="15" t="n">
        <v>0.5555253789469934</v>
      </c>
      <c r="EM2" s="15" t="n">
        <v>0.9868219234717284</v>
      </c>
      <c r="EN2" s="15" t="n">
        <v>0.1111111111111111</v>
      </c>
      <c r="EO2" s="15" t="n">
        <v>0.3628331224791338</v>
      </c>
      <c r="EP2" s="15" t="inlineStr">
        <is>
          <t>warn:power_outlier_detected</t>
        </is>
      </c>
      <c r="EQ2" s="15" t="n">
        <v>560.2797611350917</v>
      </c>
      <c r="ER2" s="15" t="inlineStr">
        <is>
          <t>winsorize_p95_for_robust_diagnostics</t>
        </is>
      </c>
      <c r="ES2" s="15" t="n">
        <v>0.09049715008556196</v>
      </c>
      <c r="ET2" s="15" t="n">
        <v>0.03869288666819318</v>
      </c>
      <c r="EU2" s="15" t="n">
        <v>0.03974495038834357</v>
      </c>
      <c r="EV2" t="inlineStr">
        <is>
          <t>computed</t>
        </is>
      </c>
      <c r="EW2" s="15" t="inlineStr">
        <is>
          <t>computed</t>
        </is>
      </c>
      <c r="EX2" s="15" t="inlineStr">
        <is>
          <t>computed</t>
        </is>
      </c>
      <c r="EY2" s="15" t="inlineStr">
        <is>
          <t>available_from_curve</t>
        </is>
      </c>
      <c r="EZ2" s="15" t="n">
        <v>20000</v>
      </c>
      <c r="FA2" s="15" t="n">
        <v>20000</v>
      </c>
      <c r="FB2" s="15" t="n">
        <v>0.2260148803531581</v>
      </c>
      <c r="FC2" s="15" t="n">
        <v>0.6677924212803314</v>
      </c>
      <c r="FD2" s="15" t="n">
        <v>2.851981973033231</v>
      </c>
      <c r="FE2" s="15" t="n">
        <v>1.834059864309312</v>
      </c>
      <c r="FF2" s="15" t="n">
        <v>0.8903857832374671</v>
      </c>
      <c r="FG2" s="15" t="n">
        <v>1.409693181013609</v>
      </c>
      <c r="FH2" s="15" t="n">
        <v>0.8093916045383868</v>
      </c>
      <c r="FI2" s="15" t="n">
        <v>0.05734361494381267</v>
      </c>
      <c r="FJ2" s="15" t="n">
        <v>44694.43409833207</v>
      </c>
      <c r="FK2" s="15" t="n">
        <v>174.2751619812598</v>
      </c>
      <c r="FL2" s="15" t="n">
        <v>11.5084865663838</v>
      </c>
      <c r="FM2" s="15" t="n">
        <v>0.005104906458054873</v>
      </c>
      <c r="FN2" t="n">
        <v>0.9999656991657909</v>
      </c>
      <c r="FO2" t="n">
        <v>0</v>
      </c>
      <c r="FP2" t="n">
        <v>3.430083420907089e-05</v>
      </c>
      <c r="FQ2" t="inlineStr">
        <is>
          <t>excellent</t>
        </is>
      </c>
      <c r="FR2" s="19" t="n">
        <v>0.9380165289256198</v>
      </c>
      <c r="FS2" s="15" t="n">
        <v>1.945386915740601</v>
      </c>
      <c r="FT2" s="15" t="n">
        <v>16.51049521077061</v>
      </c>
      <c r="FU2" t="inlineStr">
        <is>
          <t>passed</t>
        </is>
      </c>
      <c r="FV2" t="n">
        <v>710.1839927710176</v>
      </c>
      <c r="FW2" t="n">
        <v>67.24327560092576</v>
      </c>
      <c r="FX2" t="n">
        <v>6.769369623070523</v>
      </c>
      <c r="FY2" t="n">
        <v>0.9329230014451546</v>
      </c>
      <c r="FZ2" t="n">
        <v>0.6558603739508275</v>
      </c>
      <c r="GA2" t="n">
        <v>0.6568125292358677</v>
      </c>
      <c r="GB2" t="n">
        <v>0.821098479839653</v>
      </c>
      <c r="GC2" t="n">
        <v>0.8219637293022124</v>
      </c>
      <c r="GD2" t="n">
        <v>0.9128383771604969</v>
      </c>
      <c r="GE2" t="n">
        <v>0.952800927398247</v>
      </c>
      <c r="GF2" t="n">
        <v>0.3520096120474381</v>
      </c>
      <c r="GG2" t="n">
        <v>0.9938064739230883</v>
      </c>
      <c r="GH2" t="n">
        <v>0.9556856009847915</v>
      </c>
      <c r="GI2" t="n">
        <v>0</v>
      </c>
      <c r="GJ2" t="n">
        <v>0.8198347107438001</v>
      </c>
      <c r="GK2" t="n">
        <v>0.9302325581395345</v>
      </c>
      <c r="GL2" t="n">
        <v>0.7408827507487888</v>
      </c>
      <c r="GM2" t="n">
        <v>0.7408827507487888</v>
      </c>
      <c r="GN2" t="n">
        <v>0.9005928407667589</v>
      </c>
      <c r="GO2" t="n">
        <v>0.97171473415647</v>
      </c>
      <c r="GP2" t="n">
        <v>1234.016797346328</v>
      </c>
      <c r="GQ2" t="inlineStr">
        <is>
          <t>compiled workbook density_weighted_sum = density_component_ratio_weighted_sum (per-note component ratios); research density_weighted_sum maps body-ceiling richness</t>
        </is>
      </c>
      <c r="GR2" s="15" t="inlineStr">
        <is>
          <t>individual_exact</t>
        </is>
      </c>
      <c r="GS2" s="15" t="inlineStr">
        <is>
          <t>density_weight</t>
        </is>
      </c>
      <c r="GT2" s="15" t="n">
        <v>0.299384731185002</v>
      </c>
      <c r="GU2" s="15" t="n">
        <v>0.7006152688149979</v>
      </c>
      <c r="GV2" s="15" t="n">
        <v>0</v>
      </c>
      <c r="GW2" s="15" t="inlineStr">
        <is>
          <t>log</t>
        </is>
      </c>
      <c r="GX2" s="15" t="n">
        <v>0.5</v>
      </c>
      <c r="GY2" s="15" t="inlineStr">
        <is>
          <t>EWSD-R v18.1</t>
        </is>
      </c>
      <c r="GZ2" s="15" t="n">
        <v>26.45105821605556</v>
      </c>
      <c r="HA2" s="15" t="n">
        <v>62.3340769732707</v>
      </c>
      <c r="HB2" s="15" t="n">
        <v>0.2574526962290136</v>
      </c>
      <c r="HC2" s="15" t="n">
        <v>35.10257927560453</v>
      </c>
      <c r="HD2" s="15" t="n">
        <v>69.96082693873794</v>
      </c>
      <c r="HE2" s="15" t="n">
        <v>0.229147488460466</v>
      </c>
      <c r="HF2" s="15" t="inlineStr">
        <is>
          <t>partials+ratios</t>
        </is>
      </c>
      <c r="HG2" s="15" t="inlineStr">
        <is>
          <t>merged_individual_exact</t>
        </is>
      </c>
      <c r="HH2" s="15" t="inlineStr">
        <is>
          <t>passed</t>
        </is>
      </c>
      <c r="HI2" s="15" t="inlineStr">
        <is>
          <t>passed</t>
        </is>
      </c>
    </row>
    <row r="3">
      <c r="A3" t="inlineStr">
        <is>
          <t>incomplete_inference</t>
        </is>
      </c>
      <c r="B3" t="inlineStr">
        <is>
          <t>missing_instrument_technique</t>
        </is>
      </c>
      <c r="C3" t="inlineStr">
        <is>
          <t>prior_constrained_harmonic_fit</t>
        </is>
      </c>
      <c r="D3" t="inlineStr">
        <is>
          <t>IOWA_Trb.T_pp.F2_SustainStable/F2/component_amplitude_mass_pie.png</t>
        </is>
      </c>
      <c r="E3" t="inlineStr">
        <is>
          <t>IOWA_Trb.T_pp.F2_SustainStable/F2/component_energy_ratio_pie.png</t>
        </is>
      </c>
      <c r="F3" s="15" t="n">
        <v>87.31945401308352</v>
      </c>
      <c r="G3" s="15" t="inlineStr">
        <is>
          <t>prior_constrained_harmonic_fit</t>
        </is>
      </c>
      <c r="H3" s="15" t="inlineStr">
        <is>
          <t>fit_accepted_acoustically_verified</t>
        </is>
      </c>
      <c r="I3" s="16" t="n">
        <v>1537.55310110516</v>
      </c>
      <c r="J3" t="inlineStr">
        <is>
          <t>richness_weighted_body_density_body_ceiling</t>
        </is>
      </c>
      <c r="K3" t="inlineStr">
        <is>
          <t>research_body_ceiling_richness_metric</t>
        </is>
      </c>
      <c r="L3" s="15" t="n">
        <v>44783.75773037275</v>
      </c>
      <c r="M3" s="15" t="n">
        <v>44786.52100877115</v>
      </c>
      <c r="N3" s="15" t="n">
        <v>183.699082127577</v>
      </c>
      <c r="O3" s="15" t="n">
        <v>23.94848507673182</v>
      </c>
      <c r="P3" s="15" t="n">
        <v>-2.051102741553108</v>
      </c>
      <c r="Q3" s="15" t="n">
        <v>27</v>
      </c>
      <c r="R3" s="15" t="n">
        <v>170</v>
      </c>
      <c r="S3" s="15" t="n">
        <v>44786.7388324934</v>
      </c>
      <c r="T3" s="15" t="n">
        <v>230</v>
      </c>
      <c r="U3" s="15" t="n">
        <v>1.083695010016807</v>
      </c>
      <c r="V3" s="15" t="n">
        <v>96.49403637034067</v>
      </c>
      <c r="W3" s="15" t="n">
        <v>0.9960158595680458</v>
      </c>
      <c r="X3" s="15" t="n">
        <v>0.2255506593429849</v>
      </c>
      <c r="Y3" s="15" t="n">
        <v>26</v>
      </c>
      <c r="Z3" s="15" t="n">
        <v>229</v>
      </c>
      <c r="AA3" s="15" t="n">
        <v>0.1135371179039301</v>
      </c>
      <c r="AB3" s="15" t="n">
        <v>229</v>
      </c>
      <c r="AC3" s="15" t="n">
        <v>26</v>
      </c>
      <c r="AD3" s="15" t="n">
        <v>0.1135371179039301</v>
      </c>
      <c r="AE3" s="15" t="n">
        <v>1886.755740734009</v>
      </c>
      <c r="AF3" s="15" t="n">
        <v>26</v>
      </c>
      <c r="AG3" s="15" t="n">
        <v>229</v>
      </c>
      <c r="AH3" s="15" t="n">
        <v>0.1135371179039301</v>
      </c>
      <c r="AI3" s="15" t="n">
        <v>1886.755740734009</v>
      </c>
      <c r="AJ3" s="15" t="n">
        <v>14</v>
      </c>
      <c r="AK3" s="15" t="n">
        <v>12</v>
      </c>
      <c r="AL3" s="15" t="n">
        <v>0.7236008278518211</v>
      </c>
      <c r="AM3" s="15" t="n">
        <v>61</v>
      </c>
      <c r="AN3" s="15" t="n">
        <v>0</v>
      </c>
      <c r="AO3" s="15" t="n">
        <v>61</v>
      </c>
      <c r="AP3" s="15" t="n">
        <v>0</v>
      </c>
      <c r="AQ3" s="15" t="n">
        <v>49.00078965251787</v>
      </c>
      <c r="AR3" s="15" t="n">
        <v>31.67703157719836</v>
      </c>
      <c r="AS3" s="15" t="n">
        <v>1</v>
      </c>
      <c r="AT3" s="17" t="n">
        <v>2.866718914672716</v>
      </c>
      <c r="AU3" s="18" t="n">
        <v>39.07880270376075</v>
      </c>
      <c r="AV3" s="15" t="n">
        <v>41.97887203416389</v>
      </c>
      <c r="AW3" s="15" t="b">
        <v>1</v>
      </c>
      <c r="AX3" s="15" t="n">
        <v>18.10929897638514</v>
      </c>
      <c r="AY3" s="15" t="n">
        <v>38.75513975848538</v>
      </c>
      <c r="AZ3" s="15" t="n">
        <v>0</v>
      </c>
      <c r="BA3" s="15" t="n">
        <v>1</v>
      </c>
      <c r="BB3" s="15" t="n">
        <v>0.5</v>
      </c>
      <c r="BC3" s="15" t="n">
        <v>0.25</v>
      </c>
      <c r="BD3" s="15" t="inlineStr">
        <is>
          <t>his_note_adaptive</t>
        </is>
      </c>
      <c r="BE3" s="15" t="n">
        <v>-90</v>
      </c>
      <c r="BF3" s="15" t="n">
        <v>20000</v>
      </c>
      <c r="BG3" s="15" t="n">
        <v>26</v>
      </c>
      <c r="BH3" s="15" t="n">
        <v>0.1135371179039301</v>
      </c>
      <c r="BI3" s="15" t="n">
        <v>229</v>
      </c>
      <c r="BJ3" s="15" t="n">
        <v>26</v>
      </c>
      <c r="BK3" s="15" t="n">
        <v>229</v>
      </c>
      <c r="BL3" s="15" t="n">
        <v>213</v>
      </c>
      <c r="BM3" s="15" t="n">
        <v>0.9301310043668122</v>
      </c>
      <c r="BN3" s="15" t="n">
        <v>0.1510874859521522</v>
      </c>
      <c r="BO3" s="15" t="n">
        <v>0.5083333333333333</v>
      </c>
      <c r="BP3" s="19" t="n">
        <v>0.7789912688826267</v>
      </c>
      <c r="BQ3" s="19" t="n">
        <v>0.22096063954187</v>
      </c>
      <c r="BR3" s="19" t="n">
        <v>4.809157550337529e-05</v>
      </c>
      <c r="BS3" s="15" t="n">
        <v>0.1441796963477312</v>
      </c>
      <c r="BT3" s="19" t="n">
        <v>0.9999382681056384</v>
      </c>
      <c r="BU3" s="19" t="n">
        <v>0</v>
      </c>
      <c r="BV3" s="19" t="n">
        <v>6.173189436165851e-05</v>
      </c>
      <c r="BW3" t="inlineStr">
        <is>
          <t>F2</t>
        </is>
      </c>
      <c r="BX3" t="n">
        <v>41</v>
      </c>
      <c r="BY3" t="inlineStr">
        <is>
          <t>F</t>
        </is>
      </c>
      <c r="BZ3" t="n">
        <v>2</v>
      </c>
      <c r="CA3" t="inlineStr">
        <is>
          <t>Low</t>
        </is>
      </c>
      <c r="CB3" t="inlineStr">
        <is>
          <t>pp</t>
        </is>
      </c>
      <c r="CC3" s="15" t="n">
        <v>87.30705785825096</v>
      </c>
      <c r="CD3" s="15" t="n">
        <v>87.31945401308352</v>
      </c>
      <c r="CE3" t="inlineStr">
        <is>
          <t>prior_constrained_harmonic_fit</t>
        </is>
      </c>
      <c r="CF3" t="n">
        <v>87.31945401308352</v>
      </c>
      <c r="CG3" s="15" t="n">
        <v>1</v>
      </c>
      <c r="CH3" t="inlineStr">
        <is>
          <t>free_fit_acoustically_verified</t>
        </is>
      </c>
      <c r="CI3" s="15" t="inlineStr">
        <is>
          <t>free_f0_fit</t>
        </is>
      </c>
      <c r="CJ3" s="15" t="n">
        <v>87.30705785825096</v>
      </c>
      <c r="CK3" s="15" t="n">
        <v>87.31945401308352</v>
      </c>
      <c r="CL3" s="15" t="n">
        <v>0.2457890858577096</v>
      </c>
      <c r="CM3" s="15" t="n">
        <v>20000</v>
      </c>
      <c r="CN3" s="15" t="n">
        <v>0.2457890858577096</v>
      </c>
      <c r="CO3" s="15" t="n">
        <v>2.304321512019397</v>
      </c>
      <c r="CP3" s="15" t="n">
        <v>44783.75773037275</v>
      </c>
      <c r="CQ3" t="n">
        <v>7.862218125962939</v>
      </c>
      <c r="CR3" t="n">
        <v>0.03433283024437965</v>
      </c>
      <c r="CS3" t="n">
        <v>195.5622543754909</v>
      </c>
      <c r="CT3" t="n">
        <v>195.574327549219</v>
      </c>
      <c r="CU3" t="n">
        <v>1537.55310110516</v>
      </c>
      <c r="CV3" t="n">
        <v>23.94848507673182</v>
      </c>
      <c r="CW3" s="15" t="n">
        <v>44786.52100877115</v>
      </c>
      <c r="CX3" s="15" t="n">
        <v>183.699082127577</v>
      </c>
      <c r="CY3" s="15" t="n">
        <v>23.94848507673182</v>
      </c>
      <c r="CZ3" s="15" t="n">
        <v>2.868130852718153</v>
      </c>
      <c r="DA3" s="15" t="n">
        <v>2.866829442179552</v>
      </c>
      <c r="DB3" s="15" t="n">
        <v>1.853491207508416</v>
      </c>
      <c r="DC3" s="15" t="n">
        <v>0</v>
      </c>
      <c r="DD3" s="15" t="n">
        <v>6.40439971559814e-05</v>
      </c>
      <c r="DE3" s="15" t="n">
        <v>0</v>
      </c>
      <c r="DF3" s="15" t="n">
        <v>27</v>
      </c>
      <c r="DG3" s="15" t="inlineStr">
        <is>
          <t>Density_Metrics</t>
        </is>
      </c>
      <c r="DH3" s="15" t="n">
        <v>2.304321512019397</v>
      </c>
      <c r="DI3" t="n">
        <v>1</v>
      </c>
      <c r="DJ3" s="15" t="n">
        <v>0.5873426028350354</v>
      </c>
      <c r="DK3" s="15" t="n">
        <v>5.796705978990619</v>
      </c>
      <c r="DL3" s="15" t="n">
        <v>7.935248914148957</v>
      </c>
      <c r="DM3" s="15" t="n">
        <v>4.389677949659099</v>
      </c>
      <c r="DN3" s="15" t="n">
        <v>12.9823507351785</v>
      </c>
      <c r="DO3" s="15" t="n">
        <v>0.2776313879656502</v>
      </c>
      <c r="DP3" s="15" t="n">
        <v>2.3125</v>
      </c>
      <c r="DQ3" s="15" t="n">
        <v>59</v>
      </c>
      <c r="DR3" s="15" t="b">
        <v>1</v>
      </c>
      <c r="DS3" s="15" t="n">
        <v>7.862218125962939</v>
      </c>
      <c r="DT3" s="15" t="n">
        <v>51.65110098954354</v>
      </c>
      <c r="DU3" t="n">
        <v>229</v>
      </c>
      <c r="DV3" s="15" t="n">
        <v>0.1441796963477312</v>
      </c>
      <c r="DW3" s="15" t="n">
        <v>2.628935615842066</v>
      </c>
      <c r="DX3" s="15" t="n">
        <v>3.02074489577859</v>
      </c>
      <c r="DY3" s="15" t="n">
        <v>0.03504361837696729</v>
      </c>
      <c r="DZ3" s="15" t="b">
        <v>1</v>
      </c>
      <c r="EA3" s="15" t="n">
        <v>0.4658099896443425</v>
      </c>
      <c r="EB3" s="15" t="n">
        <v>20000</v>
      </c>
      <c r="EC3" s="15" t="n">
        <v>2357.625258353255</v>
      </c>
      <c r="ED3" s="15" t="n">
        <v>27</v>
      </c>
      <c r="EE3" s="15" t="n">
        <v>3</v>
      </c>
      <c r="EF3" s="15" t="n">
        <v>0.06165939974738538</v>
      </c>
      <c r="EG3" s="15" t="b">
        <v>0</v>
      </c>
      <c r="EH3" s="15" t="b">
        <v>1</v>
      </c>
      <c r="EI3" s="15" t="b">
        <v>0</v>
      </c>
      <c r="EJ3" s="15" t="inlineStr">
        <is>
          <t>wf=log|dst=-90.0|ceil=20000.0|fft=adaptive_tier</t>
        </is>
      </c>
      <c r="EK3" s="15" t="inlineStr">
        <is>
          <t>wf=log|dst=runtime_configured|ceil=runtime_configured|fft=fixed</t>
        </is>
      </c>
      <c r="EL3" s="15" t="n">
        <v>0.5626710623474727</v>
      </c>
      <c r="EM3" s="15" t="n">
        <v>0.9905184266620233</v>
      </c>
      <c r="EN3" s="15" t="n">
        <v>0.1173913043478261</v>
      </c>
      <c r="EO3" s="15" t="n">
        <v>0.3792540691391152</v>
      </c>
      <c r="EP3" s="15" t="inlineStr">
        <is>
          <t>warn:power_outlier_detected</t>
        </is>
      </c>
      <c r="EQ3" s="15" t="n">
        <v>423.266223499012</v>
      </c>
      <c r="ER3" s="15" t="inlineStr">
        <is>
          <t>winsorize_p95_for_robust_diagnostics</t>
        </is>
      </c>
      <c r="ES3" s="15" t="n">
        <v>0.07276225622200669</v>
      </c>
      <c r="ET3" s="15" t="n">
        <v>0.03623032160224081</v>
      </c>
      <c r="EU3" s="15" t="n">
        <v>0.03773344503188451</v>
      </c>
      <c r="EV3" t="inlineStr">
        <is>
          <t>computed</t>
        </is>
      </c>
      <c r="EW3" s="15" t="inlineStr">
        <is>
          <t>computed</t>
        </is>
      </c>
      <c r="EX3" s="15" t="inlineStr">
        <is>
          <t>computed</t>
        </is>
      </c>
      <c r="EY3" s="15" t="inlineStr">
        <is>
          <t>available_from_curve</t>
        </is>
      </c>
      <c r="EZ3" s="15" t="n">
        <v>20000</v>
      </c>
      <c r="FA3" s="15" t="n">
        <v>20000</v>
      </c>
      <c r="FB3" s="15" t="n">
        <v>0.22096063954187</v>
      </c>
      <c r="FC3" s="15" t="n">
        <v>0.6884033943964001</v>
      </c>
      <c r="FD3" s="15" t="n">
        <v>2.866829442179552</v>
      </c>
      <c r="FE3" s="15" t="n">
        <v>1.853491207508416</v>
      </c>
      <c r="FF3" s="15" t="n">
        <v>1.076385329302652</v>
      </c>
      <c r="FG3" s="15" t="n">
        <v>1.417032068919909</v>
      </c>
      <c r="FH3" s="15" t="n">
        <v>0.8179668786372951</v>
      </c>
      <c r="FI3" s="15" t="n">
        <v>0.06932256446219384</v>
      </c>
      <c r="FJ3" s="15" t="n">
        <v>44786.52100877115</v>
      </c>
      <c r="FK3" s="15" t="n">
        <v>183.699082127577</v>
      </c>
      <c r="FL3" s="15" t="n">
        <v>23.94848507673182</v>
      </c>
      <c r="FM3" s="15" t="n">
        <v>0.005185153815814411</v>
      </c>
      <c r="FN3" t="n">
        <v>0.9999382681056384</v>
      </c>
      <c r="FO3" t="n">
        <v>0</v>
      </c>
      <c r="FP3" t="n">
        <v>6.173189436165851e-05</v>
      </c>
      <c r="FQ3" t="inlineStr">
        <is>
          <t>excellent</t>
        </is>
      </c>
      <c r="FR3" s="19" t="n">
        <v>0.9301310043668122</v>
      </c>
      <c r="FS3" s="15" t="n">
        <v>1.997372257522838</v>
      </c>
      <c r="FT3" s="15" t="n">
        <v>14.16718506609393</v>
      </c>
      <c r="FU3" t="inlineStr">
        <is>
          <t>passed</t>
        </is>
      </c>
      <c r="FV3" t="n">
        <v>734.9180281419227</v>
      </c>
      <c r="FW3" t="n">
        <v>70.36597566061228</v>
      </c>
      <c r="FX3" t="n">
        <v>10.92299410700836</v>
      </c>
      <c r="FY3" t="n">
        <v>1</v>
      </c>
      <c r="FZ3" t="n">
        <v>0.8287574858496083</v>
      </c>
      <c r="GA3" t="n">
        <v>0.8333380461222157</v>
      </c>
      <c r="GB3" t="n">
        <v>1</v>
      </c>
      <c r="GC3" t="n">
        <v>1</v>
      </c>
      <c r="GD3" t="n">
        <v>0.9882689424404809</v>
      </c>
      <c r="GE3" t="n">
        <v>0.6338814803041691</v>
      </c>
      <c r="GF3" t="n">
        <v>0.5862055917689359</v>
      </c>
      <c r="GG3" t="n">
        <v>1</v>
      </c>
      <c r="GH3" t="n">
        <v>0.9240541816432397</v>
      </c>
      <c r="GI3" t="n">
        <v>0.2425260329190457</v>
      </c>
      <c r="GJ3" t="n">
        <v>0.5170305676855875</v>
      </c>
      <c r="GK3" t="n">
        <v>0.9767441860465114</v>
      </c>
      <c r="GL3" t="n">
        <v>0.6939093347493062</v>
      </c>
      <c r="GM3" t="n">
        <v>0.6939093347493062</v>
      </c>
      <c r="GN3" t="n">
        <v>0.9374277713445724</v>
      </c>
      <c r="GO3" t="n">
        <v>1</v>
      </c>
      <c r="GP3" t="n">
        <v>1537.55310110516</v>
      </c>
      <c r="GQ3" t="inlineStr">
        <is>
          <t>compiled workbook density_weighted_sum = density_component_ratio_weighted_sum (per-note component ratios); research density_weighted_sum maps body-ceiling richness</t>
        </is>
      </c>
      <c r="GR3" s="15" t="inlineStr">
        <is>
          <t>individual_exact</t>
        </is>
      </c>
      <c r="GS3" s="15" t="inlineStr">
        <is>
          <t>density_weight</t>
        </is>
      </c>
      <c r="GT3" s="15" t="n">
        <v>0.3428345813566321</v>
      </c>
      <c r="GU3" s="15" t="n">
        <v>0.6571654186433679</v>
      </c>
      <c r="GV3" s="15" t="n">
        <v>0</v>
      </c>
      <c r="GW3" s="15" t="inlineStr">
        <is>
          <t>log</t>
        </is>
      </c>
      <c r="GX3" s="15" t="n">
        <v>0.5</v>
      </c>
      <c r="GY3" s="15" t="inlineStr">
        <is>
          <t>EWSD-R v18.1</t>
        </is>
      </c>
      <c r="GZ3" s="15" t="n">
        <v>30.99276107585031</v>
      </c>
      <c r="HA3" s="15" t="n">
        <v>67.78804767855355</v>
      </c>
      <c r="HB3" s="15" t="n">
        <v>0.2408996579838276</v>
      </c>
      <c r="HC3" s="15" t="n">
        <v>39.05360251898711</v>
      </c>
      <c r="HD3" s="15" t="n">
        <v>74.13926944535868</v>
      </c>
      <c r="HE3" s="15" t="n">
        <v>0.2113680247753595</v>
      </c>
      <c r="HF3" s="15" t="inlineStr">
        <is>
          <t>partials+ratios</t>
        </is>
      </c>
      <c r="HG3" s="15" t="inlineStr">
        <is>
          <t>merged_individual_exact</t>
        </is>
      </c>
      <c r="HH3" s="15" t="inlineStr">
        <is>
          <t>passed</t>
        </is>
      </c>
      <c r="HI3" s="15" t="inlineStr">
        <is>
          <t>passed</t>
        </is>
      </c>
    </row>
    <row r="4">
      <c r="A4" t="inlineStr">
        <is>
          <t>incomplete_inference</t>
        </is>
      </c>
      <c r="B4" t="inlineStr">
        <is>
          <t>missing_instrument_technique</t>
        </is>
      </c>
      <c r="C4" t="inlineStr">
        <is>
          <t>prior_constrained_harmonic_fit</t>
        </is>
      </c>
      <c r="D4" t="inlineStr">
        <is>
          <t>IOWA_Trb.T_pp.F#2_SustainStable/F#2/component_amplitude_mass_pie.png</t>
        </is>
      </c>
      <c r="E4" t="inlineStr">
        <is>
          <t>IOWA_Trb.T_pp.F#2_SustainStable/F#2/component_energy_ratio_pie.png</t>
        </is>
      </c>
      <c r="F4" s="15" t="n">
        <v>92.35360484377048</v>
      </c>
      <c r="G4" s="15" t="inlineStr">
        <is>
          <t>prior_constrained_harmonic_fit</t>
        </is>
      </c>
      <c r="H4" s="15" t="inlineStr">
        <is>
          <t>fit_accepted_acoustically_verified</t>
        </is>
      </c>
      <c r="I4" s="16" t="n">
        <v>1539.23356554472</v>
      </c>
      <c r="J4" t="inlineStr">
        <is>
          <t>richness_weighted_body_density_body_ceiling</t>
        </is>
      </c>
      <c r="K4" t="inlineStr">
        <is>
          <t>research_body_ceiling_richness_metric</t>
        </is>
      </c>
      <c r="L4" s="15" t="n">
        <v>42844.02476374656</v>
      </c>
      <c r="M4" s="15" t="n">
        <v>42848.56607785301</v>
      </c>
      <c r="N4" s="15" t="n">
        <v>148.5567734785733</v>
      </c>
      <c r="O4" s="15" t="n">
        <v>29.45763317559383</v>
      </c>
      <c r="P4" s="15" t="n">
        <v>-2.325290103534667</v>
      </c>
      <c r="Q4" s="15" t="n">
        <v>25</v>
      </c>
      <c r="R4" s="15" t="n">
        <v>165</v>
      </c>
      <c r="S4" s="15" t="n">
        <v>42848.79609091285</v>
      </c>
      <c r="T4" s="15" t="n">
        <v>217</v>
      </c>
      <c r="U4" s="15" t="n">
        <v>1.336337807012712</v>
      </c>
      <c r="V4" s="15" t="n">
        <v>97.47954724110686</v>
      </c>
      <c r="W4" s="15" t="n">
        <v>0.9966109685602527</v>
      </c>
      <c r="X4" s="15" t="n">
        <v>0.2912816581454443</v>
      </c>
      <c r="Y4" s="15" t="n">
        <v>26</v>
      </c>
      <c r="Z4" s="15" t="n">
        <v>216</v>
      </c>
      <c r="AA4" s="15" t="n">
        <v>0.1203703703703704</v>
      </c>
      <c r="AB4" s="15" t="n">
        <v>216</v>
      </c>
      <c r="AC4" s="15" t="n">
        <v>26</v>
      </c>
      <c r="AD4" s="15" t="n">
        <v>0.1203703703703704</v>
      </c>
      <c r="AE4" s="15" t="n">
        <v>1887.61483367863</v>
      </c>
      <c r="AF4" s="15" t="n">
        <v>26</v>
      </c>
      <c r="AG4" s="15" t="n">
        <v>216</v>
      </c>
      <c r="AH4" s="15" t="n">
        <v>0.1203703703703704</v>
      </c>
      <c r="AI4" s="15" t="n">
        <v>1887.61483367863</v>
      </c>
      <c r="AJ4" s="15" t="n">
        <v>13</v>
      </c>
      <c r="AK4" s="15" t="n">
        <v>13</v>
      </c>
      <c r="AL4" s="15" t="n">
        <v>0.6603478655825094</v>
      </c>
      <c r="AM4" s="15" t="n">
        <v>62</v>
      </c>
      <c r="AN4" s="15" t="n">
        <v>1</v>
      </c>
      <c r="AO4" s="15" t="n">
        <v>62</v>
      </c>
      <c r="AP4" s="15" t="n">
        <v>1</v>
      </c>
      <c r="AQ4" s="15" t="n">
        <v>45.90454669917062</v>
      </c>
      <c r="AR4" s="15" t="n">
        <v>29.66679959267747</v>
      </c>
      <c r="AS4" s="15" t="n">
        <v>0.9198051713203836</v>
      </c>
      <c r="AT4" s="17" t="n">
        <v>2.837719802574965</v>
      </c>
      <c r="AU4" s="18" t="n">
        <v>33.30105667195632</v>
      </c>
      <c r="AV4" s="15" t="n">
        <v>37.05906305051678</v>
      </c>
      <c r="AW4" s="15" t="b">
        <v>1</v>
      </c>
      <c r="AX4" s="15" t="n">
        <v>18.00294483474229</v>
      </c>
      <c r="AY4" s="15" t="n">
        <v>39.09898576467728</v>
      </c>
      <c r="AZ4" s="15" t="n">
        <v>0.5189999859918526</v>
      </c>
      <c r="BA4" s="15" t="n">
        <v>1</v>
      </c>
      <c r="BB4" s="15" t="n">
        <v>0.5</v>
      </c>
      <c r="BC4" s="15" t="n">
        <v>0.25</v>
      </c>
      <c r="BD4" s="15" t="inlineStr">
        <is>
          <t>his_note_adaptive</t>
        </is>
      </c>
      <c r="BE4" s="15" t="n">
        <v>-90</v>
      </c>
      <c r="BF4" s="15" t="n">
        <v>20000</v>
      </c>
      <c r="BG4" s="15" t="n">
        <v>26</v>
      </c>
      <c r="BH4" s="15" t="n">
        <v>0.1203703703703704</v>
      </c>
      <c r="BI4" s="15" t="n">
        <v>216</v>
      </c>
      <c r="BJ4" s="15" t="n">
        <v>26</v>
      </c>
      <c r="BK4" s="15" t="n">
        <v>216</v>
      </c>
      <c r="BL4" s="15" t="n">
        <v>200</v>
      </c>
      <c r="BM4" s="15" t="n">
        <v>0.9259259259259259</v>
      </c>
      <c r="BN4" s="15" t="n">
        <v>0.1872683943725022</v>
      </c>
      <c r="BO4" s="15" t="n">
        <v>0.5166666666666667</v>
      </c>
      <c r="BP4" s="19" t="n">
        <v>0.8270579782195383</v>
      </c>
      <c r="BQ4" s="19" t="n">
        <v>0.1728542962628387</v>
      </c>
      <c r="BR4" s="19" t="n">
        <v>8.772551762309897e-05</v>
      </c>
      <c r="BS4" s="15" t="n">
        <v>0.1079713678806852</v>
      </c>
      <c r="BT4" s="19" t="n">
        <v>0.9998939418808237</v>
      </c>
      <c r="BU4" s="19" t="n">
        <v>0</v>
      </c>
      <c r="BV4" s="19" t="n">
        <v>0.0001060581191762741</v>
      </c>
      <c r="BW4" t="inlineStr">
        <is>
          <t>F#2</t>
        </is>
      </c>
      <c r="BX4" t="n">
        <v>42</v>
      </c>
      <c r="BY4" t="inlineStr">
        <is>
          <t>F#</t>
        </is>
      </c>
      <c r="BZ4" t="n">
        <v>2</v>
      </c>
      <c r="CA4" t="inlineStr">
        <is>
          <t>Low</t>
        </is>
      </c>
      <c r="CB4" t="inlineStr">
        <is>
          <t>pp</t>
        </is>
      </c>
      <c r="CC4" s="15" t="n">
        <v>92.4986056779086</v>
      </c>
      <c r="CD4" s="15" t="n">
        <v>92.35360484377048</v>
      </c>
      <c r="CE4" t="inlineStr">
        <is>
          <t>prior_constrained_harmonic_fit</t>
        </is>
      </c>
      <c r="CF4" t="n">
        <v>92.35360484377048</v>
      </c>
      <c r="CG4" s="15" t="n">
        <v>1</v>
      </c>
      <c r="CH4" t="inlineStr">
        <is>
          <t>free_fit_acoustically_verified</t>
        </is>
      </c>
      <c r="CI4" s="15" t="inlineStr">
        <is>
          <t>free_f0_fit</t>
        </is>
      </c>
      <c r="CJ4" s="15" t="n">
        <v>92.4986056779086</v>
      </c>
      <c r="CK4" s="15" t="n">
        <v>92.35360484377048</v>
      </c>
      <c r="CL4" s="15" t="n">
        <v>-2.716012234654493</v>
      </c>
      <c r="CM4" s="15" t="n">
        <v>20000</v>
      </c>
      <c r="CN4" s="15" t="n">
        <v>-2.716012234654493</v>
      </c>
      <c r="CO4" s="15" t="n">
        <v>2.251387516542855</v>
      </c>
      <c r="CP4" s="15" t="n">
        <v>42844.02476374656</v>
      </c>
      <c r="CQ4" t="n">
        <v>7.760113020084405</v>
      </c>
      <c r="CR4" t="n">
        <v>0.03592644916705743</v>
      </c>
      <c r="CS4" t="n">
        <v>198.35195203484</v>
      </c>
      <c r="CT4" t="n">
        <v>198.3729911011713</v>
      </c>
      <c r="CU4" t="n">
        <v>1539.23356554472</v>
      </c>
      <c r="CV4" t="n">
        <v>29.45763317559383</v>
      </c>
      <c r="CW4" s="15" t="n">
        <v>42848.56607785301</v>
      </c>
      <c r="CX4" s="15" t="n">
        <v>148.5567734785733</v>
      </c>
      <c r="CY4" s="15" t="n">
        <v>29.45763317559383</v>
      </c>
      <c r="CZ4" s="15" t="n">
        <v>2.840721627314154</v>
      </c>
      <c r="DA4" s="15" t="n">
        <v>2.837898388309643</v>
      </c>
      <c r="DB4" s="15" t="n">
        <v>1.754613919730159</v>
      </c>
      <c r="DC4" s="15" t="n">
        <v>0</v>
      </c>
      <c r="DD4" s="15" t="n">
        <v>6.630379949079608e-05</v>
      </c>
      <c r="DE4" s="15" t="n">
        <v>0</v>
      </c>
      <c r="DF4" s="15" t="n">
        <v>25</v>
      </c>
      <c r="DG4" s="15" t="inlineStr">
        <is>
          <t>Density_Metrics</t>
        </is>
      </c>
      <c r="DH4" s="15" t="n">
        <v>2.251387516542855</v>
      </c>
      <c r="DI4" t="n">
        <v>0.9770283811523531</v>
      </c>
      <c r="DJ4" s="15" t="n">
        <v>0.5840732630941523</v>
      </c>
      <c r="DK4" s="15" t="n">
        <v>5.746562858342923</v>
      </c>
      <c r="DL4" s="15" t="n">
        <v>7.824686002268549</v>
      </c>
      <c r="DM4" s="15" t="n">
        <v>3.973864254973276</v>
      </c>
      <c r="DN4" s="15" t="n">
        <v>12.93012853709445</v>
      </c>
      <c r="DO4" s="15" t="n">
        <v>0.2836859650067177</v>
      </c>
      <c r="DP4" s="15" t="n">
        <v>2.875</v>
      </c>
      <c r="DQ4" s="15" t="n">
        <v>52</v>
      </c>
      <c r="DR4" s="15" t="b">
        <v>1</v>
      </c>
      <c r="DS4" s="15" t="n">
        <v>7.760113020084405</v>
      </c>
      <c r="DT4" s="15" t="n">
        <v>62.91683815941596</v>
      </c>
      <c r="DU4" t="n">
        <v>216</v>
      </c>
      <c r="DV4" s="15" t="n">
        <v>0.1079713678806852</v>
      </c>
      <c r="DW4" s="15" t="n">
        <v>2.583106568913097</v>
      </c>
      <c r="DX4" s="15" t="n">
        <v>2.996241931513871</v>
      </c>
      <c r="DY4" s="15" t="n">
        <v>0.03722442203115957</v>
      </c>
      <c r="DZ4" s="15" t="b">
        <v>1</v>
      </c>
      <c r="EA4" s="15" t="n">
        <v>1.104382345774357</v>
      </c>
      <c r="EB4" s="15" t="n">
        <v>20000</v>
      </c>
      <c r="EC4" s="15" t="n">
        <v>2493.547330781803</v>
      </c>
      <c r="ED4" s="15" t="n">
        <v>27</v>
      </c>
      <c r="EE4" s="15" t="n">
        <v>2</v>
      </c>
      <c r="EF4" s="15" t="n">
        <v>0.05819872355692916</v>
      </c>
      <c r="EG4" s="15" t="b">
        <v>0</v>
      </c>
      <c r="EH4" s="15" t="b">
        <v>1</v>
      </c>
      <c r="EI4" s="15" t="b">
        <v>0</v>
      </c>
      <c r="EJ4" s="15" t="inlineStr">
        <is>
          <t>wf=log|dst=-90.0|ceil=20000.0|fft=adaptive_tier</t>
        </is>
      </c>
      <c r="EK4" s="15" t="inlineStr">
        <is>
          <t>wf=log|dst=runtime_configured|ceil=runtime_configured|fft=fixed</t>
        </is>
      </c>
      <c r="EL4" s="15" t="n">
        <v>0.5585998095537095</v>
      </c>
      <c r="EM4" s="15" t="n">
        <v>0.9802876820313297</v>
      </c>
      <c r="EN4" s="15" t="n">
        <v>0.1152073732718894</v>
      </c>
      <c r="EO4" s="15" t="n">
        <v>0.3857388599722492</v>
      </c>
      <c r="EP4" s="15" t="inlineStr">
        <is>
          <t>warn:power_outlier_detected</t>
        </is>
      </c>
      <c r="EQ4" s="15" t="n">
        <v>381.2257450992769</v>
      </c>
      <c r="ER4" s="15" t="inlineStr">
        <is>
          <t>winsorize_p95_for_robust_diagnostics</t>
        </is>
      </c>
      <c r="ES4" s="15" t="n">
        <v>0.07570100159809197</v>
      </c>
      <c r="ET4" s="15" t="n">
        <v>0.03482981515066327</v>
      </c>
      <c r="EU4" s="15" t="n">
        <v>0.03694045118023846</v>
      </c>
      <c r="EV4" t="inlineStr">
        <is>
          <t>computed</t>
        </is>
      </c>
      <c r="EW4" s="15" t="inlineStr">
        <is>
          <t>computed</t>
        </is>
      </c>
      <c r="EX4" s="15" t="inlineStr">
        <is>
          <t>computed</t>
        </is>
      </c>
      <c r="EY4" s="15" t="inlineStr">
        <is>
          <t>available_from_curve</t>
        </is>
      </c>
      <c r="EZ4" s="15" t="n">
        <v>20000</v>
      </c>
      <c r="FA4" s="15" t="n">
        <v>20000</v>
      </c>
      <c r="FB4" s="15" t="n">
        <v>0.1728542962628387</v>
      </c>
      <c r="FC4" s="15" t="n">
        <v>0.723415664065406</v>
      </c>
      <c r="FD4" s="15" t="n">
        <v>2.837898388309643</v>
      </c>
      <c r="FE4" s="15" t="n">
        <v>1.754613919730159</v>
      </c>
      <c r="FF4" s="15" t="n">
        <v>1.154050550303121</v>
      </c>
      <c r="FG4" s="15" t="n">
        <v>1.402731870059755</v>
      </c>
      <c r="FH4" s="15" t="n">
        <v>0.7743312001272123</v>
      </c>
      <c r="FI4" s="15" t="n">
        <v>0.07432444635588668</v>
      </c>
      <c r="FJ4" s="15" t="n">
        <v>42848.56607785301</v>
      </c>
      <c r="FK4" s="15" t="n">
        <v>148.5567734785733</v>
      </c>
      <c r="FL4" s="15" t="n">
        <v>29.45763317559383</v>
      </c>
      <c r="FM4" s="15" t="n">
        <v>0.004885169474352156</v>
      </c>
      <c r="FN4" t="n">
        <v>0.9998939418808237</v>
      </c>
      <c r="FO4" t="n">
        <v>0</v>
      </c>
      <c r="FP4" t="n">
        <v>0.0001060581191762741</v>
      </c>
      <c r="FQ4" t="inlineStr">
        <is>
          <t>excellent</t>
        </is>
      </c>
      <c r="FR4" s="19" t="n">
        <v>0.9259259259259259</v>
      </c>
      <c r="FS4" s="15" t="n">
        <v>2.415660267416244</v>
      </c>
      <c r="FT4" s="15" t="n">
        <v>15.77099209583528</v>
      </c>
      <c r="FU4" t="inlineStr">
        <is>
          <t>passed</t>
        </is>
      </c>
      <c r="FV4" t="n">
        <v>687.4911915146529</v>
      </c>
      <c r="FW4" t="n">
        <v>55.83474551571</v>
      </c>
      <c r="FX4" t="n">
        <v>13.25773538814941</v>
      </c>
      <c r="FY4" t="n">
        <v>0.8727050033453791</v>
      </c>
      <c r="FZ4" t="n">
        <v>0.8297146940802237</v>
      </c>
      <c r="GA4" t="n">
        <v>0.7931546147833581</v>
      </c>
      <c r="GB4" t="n">
        <v>0.9834857125137316</v>
      </c>
      <c r="GC4" t="n">
        <v>0.9845991356697921</v>
      </c>
      <c r="GD4" t="n">
        <v>1</v>
      </c>
      <c r="GE4" t="n">
        <v>0.7082574587525956</v>
      </c>
      <c r="GF4" t="n">
        <v>0.9497753314138729</v>
      </c>
      <c r="GG4" t="n">
        <v>0.6298767865808456</v>
      </c>
      <c r="GH4" t="n">
        <v>1</v>
      </c>
      <c r="GI4" t="n">
        <v>0.3157644824311494</v>
      </c>
      <c r="GJ4" t="n">
        <v>0.3555555555555561</v>
      </c>
      <c r="GK4" t="n">
        <v>1</v>
      </c>
      <c r="GL4" t="n">
        <v>0.2468156248467174</v>
      </c>
      <c r="GM4" t="n">
        <v>0.2468156248467174</v>
      </c>
      <c r="GN4" t="n">
        <v>1</v>
      </c>
      <c r="GO4" t="n">
        <v>0.918760623448924</v>
      </c>
      <c r="GP4" t="n">
        <v>1539.23356554472</v>
      </c>
      <c r="GQ4" t="inlineStr">
        <is>
          <t>compiled workbook density_weighted_sum = density_component_ratio_weighted_sum (per-note component ratios); research density_weighted_sum maps body-ceiling richness</t>
        </is>
      </c>
      <c r="GR4" s="15" t="inlineStr">
        <is>
          <t>individual_exact</t>
        </is>
      </c>
      <c r="GS4" s="15" t="inlineStr">
        <is>
          <t>density_weight</t>
        </is>
      </c>
      <c r="GT4" s="15" t="n">
        <v>0.4469570661046518</v>
      </c>
      <c r="GU4" s="15" t="n">
        <v>0.5529609843697431</v>
      </c>
      <c r="GV4" s="15" t="n">
        <v>8.194952560521395e-05</v>
      </c>
      <c r="GW4" s="15" t="inlineStr">
        <is>
          <t>log</t>
        </is>
      </c>
      <c r="GX4" s="15" t="n">
        <v>0.5</v>
      </c>
      <c r="GY4" s="15" t="inlineStr">
        <is>
          <t>EWSD-R v18.1</t>
        </is>
      </c>
      <c r="GZ4" s="15" t="n">
        <v>24.39723885898114</v>
      </c>
      <c r="HA4" s="15" t="n">
        <v>60.19541160948177</v>
      </c>
      <c r="HB4" s="15" t="n">
        <v>0.2723987336501603</v>
      </c>
      <c r="HC4" s="15" t="n">
        <v>32.87114667118392</v>
      </c>
      <c r="HD4" s="15" t="n">
        <v>66.13487173182857</v>
      </c>
      <c r="HE4" s="15" t="n">
        <v>0.2333704977965077</v>
      </c>
      <c r="HF4" s="15" t="inlineStr">
        <is>
          <t>partials+ratios</t>
        </is>
      </c>
      <c r="HG4" s="15" t="inlineStr">
        <is>
          <t>merged_individual_exact</t>
        </is>
      </c>
      <c r="HH4" s="15" t="inlineStr">
        <is>
          <t>passed</t>
        </is>
      </c>
      <c r="HI4" s="15" t="inlineStr">
        <is>
          <t>passed</t>
        </is>
      </c>
    </row>
    <row r="5">
      <c r="A5" t="inlineStr">
        <is>
          <t>incomplete_inference</t>
        </is>
      </c>
      <c r="B5" t="inlineStr">
        <is>
          <t>missing_instrument_technique</t>
        </is>
      </c>
      <c r="C5" t="inlineStr">
        <is>
          <t>prior_constrained_harmonic_fit</t>
        </is>
      </c>
      <c r="D5" t="inlineStr">
        <is>
          <t>IOWA_Trb.T_pp.G2_SustainStable/G2/component_amplitude_mass_pie.png</t>
        </is>
      </c>
      <c r="E5" t="inlineStr">
        <is>
          <t>IOWA_Trb.T_pp.G2_SustainStable/G2/component_energy_ratio_pie.png</t>
        </is>
      </c>
      <c r="F5" s="15" t="n">
        <v>98.0605589907512</v>
      </c>
      <c r="G5" s="15" t="inlineStr">
        <is>
          <t>prior_constrained_harmonic_fit</t>
        </is>
      </c>
      <c r="H5" s="15" t="inlineStr">
        <is>
          <t>fit_accepted_acoustically_verified</t>
        </is>
      </c>
      <c r="I5" s="16" t="n">
        <v>1382.730226878318</v>
      </c>
      <c r="J5" t="inlineStr">
        <is>
          <t>richness_weighted_body_density_body_ceiling</t>
        </is>
      </c>
      <c r="K5" t="inlineStr">
        <is>
          <t>research_body_ceiling_richness_metric</t>
        </is>
      </c>
      <c r="L5" s="15" t="n">
        <v>46013.81551798801</v>
      </c>
      <c r="M5" s="15" t="n">
        <v>46017.78847965475</v>
      </c>
      <c r="N5" s="15" t="n">
        <v>163.1434909372337</v>
      </c>
      <c r="O5" s="15" t="n">
        <v>19.05244518921678</v>
      </c>
      <c r="P5" s="15" t="n">
        <v>-2.401078203715779</v>
      </c>
      <c r="Q5" s="15" t="n">
        <v>28</v>
      </c>
      <c r="R5" s="15" t="n">
        <v>172</v>
      </c>
      <c r="S5" s="15" t="n">
        <v>46017.99531137553</v>
      </c>
      <c r="T5" s="15" t="n">
        <v>204</v>
      </c>
      <c r="U5" s="15" t="n">
        <v>0.7793136924863745</v>
      </c>
      <c r="V5" s="15" t="n">
        <v>76.61041363217225</v>
      </c>
      <c r="W5" s="15" t="n">
        <v>0.9963406345586415</v>
      </c>
      <c r="X5" s="15" t="n">
        <v>0.2417260208043143</v>
      </c>
      <c r="Y5" s="15" t="n">
        <v>21</v>
      </c>
      <c r="Z5" s="15" t="n">
        <v>203</v>
      </c>
      <c r="AA5" s="15" t="n">
        <v>0.103448275862069</v>
      </c>
      <c r="AB5" s="15" t="n">
        <v>203</v>
      </c>
      <c r="AC5" s="15" t="n">
        <v>21</v>
      </c>
      <c r="AD5" s="15" t="n">
        <v>0.103448275862069</v>
      </c>
      <c r="AE5" s="15" t="n">
        <v>1817.530774768562</v>
      </c>
      <c r="AF5" s="15" t="n">
        <v>21</v>
      </c>
      <c r="AG5" s="15" t="n">
        <v>203</v>
      </c>
      <c r="AH5" s="15" t="n">
        <v>0.103448275862069</v>
      </c>
      <c r="AI5" s="15" t="n">
        <v>1817.530774768562</v>
      </c>
      <c r="AJ5" s="15" t="n">
        <v>10</v>
      </c>
      <c r="AK5" s="15" t="n">
        <v>11</v>
      </c>
      <c r="AL5" s="15" t="n">
        <v>0.5508476341946064</v>
      </c>
      <c r="AM5" s="15" t="n">
        <v>62</v>
      </c>
      <c r="AN5" s="15" t="n">
        <v>1</v>
      </c>
      <c r="AO5" s="15" t="n">
        <v>62</v>
      </c>
      <c r="AP5" s="15" t="n">
        <v>1</v>
      </c>
      <c r="AQ5" s="15" t="n">
        <v>47.04319821957836</v>
      </c>
      <c r="AR5" s="15" t="n">
        <v>28.29239580719225</v>
      </c>
      <c r="AS5" s="15" t="n">
        <v>0.8649756407177884</v>
      </c>
      <c r="AT5" s="17" t="n">
        <v>2.818655193009891</v>
      </c>
      <c r="AU5" s="18" t="n">
        <v>32.42162067429884</v>
      </c>
      <c r="AV5" s="15" t="n">
        <v>36.17162927316254</v>
      </c>
      <c r="AW5" s="15" t="b">
        <v>1</v>
      </c>
      <c r="AX5" s="15" t="n">
        <v>14.98761563901126</v>
      </c>
      <c r="AY5" s="15" t="n">
        <v>35.93369871461964</v>
      </c>
      <c r="AZ5" s="15" t="n">
        <v>0.4777697417641203</v>
      </c>
      <c r="BA5" s="15" t="n">
        <v>1</v>
      </c>
      <c r="BB5" s="15" t="n">
        <v>0.5</v>
      </c>
      <c r="BC5" s="15" t="n">
        <v>0.25</v>
      </c>
      <c r="BD5" s="15" t="inlineStr">
        <is>
          <t>his_note_adaptive</t>
        </is>
      </c>
      <c r="BE5" s="15" t="n">
        <v>-90</v>
      </c>
      <c r="BF5" s="15" t="n">
        <v>20000</v>
      </c>
      <c r="BG5" s="15" t="n">
        <v>21</v>
      </c>
      <c r="BH5" s="15" t="n">
        <v>0.103448275862069</v>
      </c>
      <c r="BI5" s="15" t="n">
        <v>203</v>
      </c>
      <c r="BJ5" s="15" t="n">
        <v>21</v>
      </c>
      <c r="BK5" s="15" t="n">
        <v>203</v>
      </c>
      <c r="BL5" s="15" t="n">
        <v>191</v>
      </c>
      <c r="BM5" s="15" t="n">
        <v>0.9408866995073891</v>
      </c>
      <c r="BN5" s="15" t="n">
        <v>0.137770748178843</v>
      </c>
      <c r="BO5" s="15" t="n">
        <v>0.5166666666666667</v>
      </c>
      <c r="BP5" s="19" t="n">
        <v>0.8007833933219033</v>
      </c>
      <c r="BQ5" s="19" t="n">
        <v>0.1991474361570963</v>
      </c>
      <c r="BR5" s="19" t="n">
        <v>6.917052100037082e-05</v>
      </c>
      <c r="BS5" s="15" t="n">
        <v>0.1284791316903162</v>
      </c>
      <c r="BT5" s="19" t="n">
        <v>0.9999136288948512</v>
      </c>
      <c r="BU5" s="19" t="n">
        <v>0</v>
      </c>
      <c r="BV5" s="19" t="n">
        <v>8.637110514881164e-05</v>
      </c>
      <c r="BW5" t="inlineStr">
        <is>
          <t>G2</t>
        </is>
      </c>
      <c r="BX5" t="n">
        <v>43</v>
      </c>
      <c r="BY5" t="inlineStr">
        <is>
          <t>G</t>
        </is>
      </c>
      <c r="BZ5" t="n">
        <v>2</v>
      </c>
      <c r="CA5" t="inlineStr">
        <is>
          <t>Low</t>
        </is>
      </c>
      <c r="CB5" t="inlineStr">
        <is>
          <t>pp</t>
        </is>
      </c>
      <c r="CC5" s="15" t="n">
        <v>97.99885899543733</v>
      </c>
      <c r="CD5" s="15" t="n">
        <v>98.0605589907512</v>
      </c>
      <c r="CE5" t="inlineStr">
        <is>
          <t>prior_constrained_harmonic_fit</t>
        </is>
      </c>
      <c r="CF5" t="n">
        <v>98.0605589907512</v>
      </c>
      <c r="CG5" s="15" t="n">
        <v>1</v>
      </c>
      <c r="CH5" t="inlineStr">
        <is>
          <t>free_fit_acoustically_verified</t>
        </is>
      </c>
      <c r="CI5" s="15" t="inlineStr">
        <is>
          <t>free_f0_fit</t>
        </is>
      </c>
      <c r="CJ5" s="15" t="n">
        <v>97.99885899543733</v>
      </c>
      <c r="CK5" s="15" t="n">
        <v>98.0605589907512</v>
      </c>
      <c r="CL5" s="15" t="n">
        <v>1.089640450207153</v>
      </c>
      <c r="CM5" s="15" t="n">
        <v>20000</v>
      </c>
      <c r="CN5" s="15" t="n">
        <v>1.089640450207153</v>
      </c>
      <c r="CO5" s="15" t="n">
        <v>2.274032396456779</v>
      </c>
      <c r="CP5" s="15" t="n">
        <v>46013.81551798801</v>
      </c>
      <c r="CQ5" t="n">
        <v>6.100216705240773</v>
      </c>
      <c r="CR5" t="n">
        <v>0.03005032859724519</v>
      </c>
      <c r="CS5" t="n">
        <v>226.6690338542232</v>
      </c>
      <c r="CT5" t="n">
        <v>226.6886132002697</v>
      </c>
      <c r="CU5" t="n">
        <v>1382.730226878318</v>
      </c>
      <c r="CV5" t="n">
        <v>19.05244518921678</v>
      </c>
      <c r="CW5" s="15" t="n">
        <v>46017.78847965475</v>
      </c>
      <c r="CX5" s="15" t="n">
        <v>163.1434909372337</v>
      </c>
      <c r="CY5" s="15" t="n">
        <v>19.05244518921678</v>
      </c>
      <c r="CZ5" s="15" t="n">
        <v>2.820205897934456</v>
      </c>
      <c r="DA5" s="15" t="n">
        <v>2.818803780385386</v>
      </c>
      <c r="DB5" s="15" t="n">
        <v>1.835424899961098</v>
      </c>
      <c r="DC5" s="15" t="n">
        <v>0</v>
      </c>
      <c r="DD5" s="15" t="n">
        <v>6.129041606714756e-05</v>
      </c>
      <c r="DE5" s="15" t="n">
        <v>0</v>
      </c>
      <c r="DF5" s="15" t="n">
        <v>28</v>
      </c>
      <c r="DG5" s="15" t="inlineStr">
        <is>
          <t>Density_Metrics</t>
        </is>
      </c>
      <c r="DH5" s="15" t="n">
        <v>2.274032396456779</v>
      </c>
      <c r="DI5" t="n">
        <v>0.9868555167303568</v>
      </c>
      <c r="DJ5" s="15" t="n">
        <v>0.5819104453506181</v>
      </c>
      <c r="DK5" s="15" t="n">
        <v>5.752695836125472</v>
      </c>
      <c r="DL5" s="15" t="n">
        <v>6.148598881689512</v>
      </c>
      <c r="DM5" s="15" t="n">
        <v>3.183764148253606</v>
      </c>
      <c r="DN5" s="15" t="n">
        <v>10.74029429809969</v>
      </c>
      <c r="DO5" s="15" t="n">
        <v>0.3194371849988409</v>
      </c>
      <c r="DP5" s="15" t="n">
        <v>3.625</v>
      </c>
      <c r="DQ5" s="15" t="n">
        <v>63</v>
      </c>
      <c r="DR5" s="15" t="b">
        <v>1</v>
      </c>
      <c r="DS5" s="15" t="n">
        <v>6.100216705240773</v>
      </c>
      <c r="DT5" s="15" t="n">
        <v>49.0703822232758</v>
      </c>
      <c r="DU5" t="n">
        <v>203</v>
      </c>
      <c r="DV5" s="15" t="n">
        <v>0.1284791316903162</v>
      </c>
      <c r="DW5" s="15" t="n">
        <v>2.525177598675</v>
      </c>
      <c r="DX5" s="15" t="n">
        <v>3.005346290099419</v>
      </c>
      <c r="DY5" s="15" t="n">
        <v>0.04414202476293033</v>
      </c>
      <c r="DZ5" s="15" t="b">
        <v>1</v>
      </c>
      <c r="EA5" s="15" t="n">
        <v>0.4885141851614961</v>
      </c>
      <c r="EB5" s="15" t="n">
        <v>20000</v>
      </c>
      <c r="EC5" s="15" t="n">
        <v>2941.816769722536</v>
      </c>
      <c r="ED5" s="15" t="n">
        <v>30</v>
      </c>
      <c r="EE5" s="15" t="n">
        <v>2</v>
      </c>
      <c r="EF5" s="15" t="n">
        <v>0.05493228019624839</v>
      </c>
      <c r="EG5" s="15" t="b">
        <v>0</v>
      </c>
      <c r="EH5" s="15" t="b">
        <v>1</v>
      </c>
      <c r="EI5" s="15" t="b">
        <v>0</v>
      </c>
      <c r="EJ5" s="15" t="inlineStr">
        <is>
          <t>wf=log|dst=-90.0|ceil=20000.0|fft=adaptive_tier</t>
        </is>
      </c>
      <c r="EK5" s="15" t="inlineStr">
        <is>
          <t>wf=log|dst=runtime_configured|ceil=runtime_configured|fft=fixed</t>
        </is>
      </c>
      <c r="EL5" s="15" t="n">
        <v>0.566406296698922</v>
      </c>
      <c r="EM5" s="15" t="n">
        <v>0.9904698034299526</v>
      </c>
      <c r="EN5" s="15" t="n">
        <v>0.1365853658536585</v>
      </c>
      <c r="EO5" s="15" t="n">
        <v>0.3644500355333137</v>
      </c>
      <c r="EP5" s="15" t="inlineStr">
        <is>
          <t>warn:power_outlier_detected</t>
        </is>
      </c>
      <c r="EQ5" s="15" t="n">
        <v>544.4473911962224</v>
      </c>
      <c r="ER5" s="15" t="inlineStr">
        <is>
          <t>winsorize_p95_for_robust_diagnostics</t>
        </is>
      </c>
      <c r="ES5" s="15" t="n">
        <v>0.09558540090503514</v>
      </c>
      <c r="ET5" s="15" t="n">
        <v>0.03508640366827885</v>
      </c>
      <c r="EU5" s="15" t="n">
        <v>0.03665562903336739</v>
      </c>
      <c r="EV5" t="inlineStr">
        <is>
          <t>computed</t>
        </is>
      </c>
      <c r="EW5" s="15" t="inlineStr">
        <is>
          <t>computed</t>
        </is>
      </c>
      <c r="EX5" s="15" t="inlineStr">
        <is>
          <t>computed</t>
        </is>
      </c>
      <c r="EY5" s="15" t="inlineStr">
        <is>
          <t>available_from_curve</t>
        </is>
      </c>
      <c r="EZ5" s="15" t="n">
        <v>20000</v>
      </c>
      <c r="FA5" s="15" t="n">
        <v>20000</v>
      </c>
      <c r="FB5" s="15" t="n">
        <v>0.1991474361570963</v>
      </c>
      <c r="FC5" s="15" t="n">
        <v>0.6100643363063559</v>
      </c>
      <c r="FD5" s="15" t="n">
        <v>2.818803780385386</v>
      </c>
      <c r="FE5" s="15" t="n">
        <v>1.835424899961098</v>
      </c>
      <c r="FF5" s="15" t="n">
        <v>1.098467155778989</v>
      </c>
      <c r="FG5" s="15" t="n">
        <v>1.39329368326914</v>
      </c>
      <c r="FH5" s="15" t="n">
        <v>0.809994010391081</v>
      </c>
      <c r="FI5" s="15" t="n">
        <v>0.07074470279655834</v>
      </c>
      <c r="FJ5" s="15" t="n">
        <v>46017.78847965475</v>
      </c>
      <c r="FK5" s="15" t="n">
        <v>163.1434909372337</v>
      </c>
      <c r="FL5" s="15" t="n">
        <v>19.05244518921678</v>
      </c>
      <c r="FM5" s="15" t="n">
        <v>0.005313719157475908</v>
      </c>
      <c r="FN5" t="n">
        <v>0.9999136288948512</v>
      </c>
      <c r="FO5" t="n">
        <v>0</v>
      </c>
      <c r="FP5" t="n">
        <v>8.637110514881164e-05</v>
      </c>
      <c r="FQ5" t="inlineStr">
        <is>
          <t>excellent</t>
        </is>
      </c>
      <c r="FR5" s="19" t="n">
        <v>0.9408866995073891</v>
      </c>
      <c r="FS5" s="15" t="n">
        <v>2.033685936857568</v>
      </c>
      <c r="FT5" s="15" t="n">
        <v>16.9267810319631</v>
      </c>
      <c r="FU5" t="inlineStr">
        <is>
          <t>passed</t>
        </is>
      </c>
      <c r="FV5" t="n">
        <v>657.8761396012532</v>
      </c>
      <c r="FW5" t="n">
        <v>67.45810921968197</v>
      </c>
      <c r="FX5" t="n">
        <v>11.5448986145032</v>
      </c>
      <c r="FY5" t="n">
        <v>0.9271611215155008</v>
      </c>
      <c r="FZ5" t="n">
        <v>0.7405689315376422</v>
      </c>
      <c r="GA5" t="n">
        <v>0.7980694283897811</v>
      </c>
      <c r="GB5" t="n">
        <v>0.7331360781696785</v>
      </c>
      <c r="GC5" t="n">
        <v>0.7342312649628177</v>
      </c>
      <c r="GD5" t="n">
        <v>0.7515836559028815</v>
      </c>
      <c r="GE5" t="n">
        <v>0.6744714529267601</v>
      </c>
      <c r="GF5" t="n">
        <v>0.6756743669633003</v>
      </c>
      <c r="GG5" t="n">
        <v>0.8395080996686577</v>
      </c>
      <c r="GH5" t="n">
        <v>0.832555478623686</v>
      </c>
      <c r="GI5" t="n">
        <v>0.1343943412908934</v>
      </c>
      <c r="GJ5" t="n">
        <v>0.9300492610837411</v>
      </c>
      <c r="GK5" t="n">
        <v>1</v>
      </c>
      <c r="GL5" t="n">
        <v>0.4911804353692298</v>
      </c>
      <c r="GM5" t="n">
        <v>0.4911804353692298</v>
      </c>
      <c r="GN5" t="n">
        <v>0.7974240097546647</v>
      </c>
      <c r="GO5" t="n">
        <v>0.9486366186536468</v>
      </c>
      <c r="GP5" t="n">
        <v>1382.730226878318</v>
      </c>
      <c r="GQ5" t="inlineStr">
        <is>
          <t>compiled workbook density_weighted_sum = density_component_ratio_weighted_sum (per-note component ratios); research density_weighted_sum maps body-ceiling richness</t>
        </is>
      </c>
      <c r="GR5" s="15" t="inlineStr">
        <is>
          <t>individual_exact</t>
        </is>
      </c>
      <c r="GS5" s="15" t="inlineStr">
        <is>
          <t>density_weight</t>
        </is>
      </c>
      <c r="GT5" s="15" t="n">
        <v>0.3647408078072251</v>
      </c>
      <c r="GU5" s="15" t="n">
        <v>0.6352193780890796</v>
      </c>
      <c r="GV5" s="15" t="n">
        <v>3.98141036953009e-05</v>
      </c>
      <c r="GW5" s="15" t="inlineStr">
        <is>
          <t>log</t>
        </is>
      </c>
      <c r="GX5" s="15" t="n">
        <v>0.5</v>
      </c>
      <c r="GY5" s="15" t="inlineStr">
        <is>
          <t>EWSD-R v18.1</t>
        </is>
      </c>
      <c r="GZ5" s="15" t="n">
        <v>14.77088245461618</v>
      </c>
      <c r="HA5" s="15" t="n">
        <v>47.55323185837408</v>
      </c>
      <c r="HB5" s="15" t="n">
        <v>0.2608199222116753</v>
      </c>
      <c r="HC5" s="15" t="n">
        <v>22.90667457193572</v>
      </c>
      <c r="HD5" s="15" t="n">
        <v>57.6055779921102</v>
      </c>
      <c r="HE5" s="15" t="n">
        <v>0.2486337829444062</v>
      </c>
      <c r="HF5" s="15" t="inlineStr">
        <is>
          <t>partials+ratios</t>
        </is>
      </c>
      <c r="HG5" s="15" t="inlineStr">
        <is>
          <t>merged_individual_exact</t>
        </is>
      </c>
      <c r="HH5" s="15" t="inlineStr">
        <is>
          <t>passed</t>
        </is>
      </c>
      <c r="HI5" s="15" t="inlineStr">
        <is>
          <t>passed</t>
        </is>
      </c>
    </row>
    <row r="6">
      <c r="A6" t="inlineStr">
        <is>
          <t>incomplete_inference</t>
        </is>
      </c>
      <c r="B6" t="inlineStr">
        <is>
          <t>missing_instrument_technique</t>
        </is>
      </c>
      <c r="C6" t="inlineStr">
        <is>
          <t>prior_constrained_harmonic_fit</t>
        </is>
      </c>
      <c r="D6" t="inlineStr">
        <is>
          <t>IOWA_Trb.T_pp.G#2_SustainStable/G#2/component_amplitude_mass_pie.png</t>
        </is>
      </c>
      <c r="E6" t="inlineStr">
        <is>
          <t>IOWA_Trb.T_pp.G#2_SustainStable/G#2/component_energy_ratio_pie.png</t>
        </is>
      </c>
      <c r="F6" s="15" t="n">
        <v>103.9748222794643</v>
      </c>
      <c r="G6" s="15" t="inlineStr">
        <is>
          <t>prior_constrained_harmonic_fit</t>
        </is>
      </c>
      <c r="H6" s="15" t="inlineStr">
        <is>
          <t>fit_accepted_acoustically_verified</t>
        </is>
      </c>
      <c r="I6" s="16" t="n">
        <v>1394.050308285091</v>
      </c>
      <c r="J6" t="inlineStr">
        <is>
          <t>richness_weighted_body_density_body_ceiling</t>
        </is>
      </c>
      <c r="K6" t="inlineStr">
        <is>
          <t>research_body_ceiling_richness_metric</t>
        </is>
      </c>
      <c r="L6" s="15" t="n">
        <v>44208.04241535444</v>
      </c>
      <c r="M6" s="15" t="n">
        <v>44209.77605664886</v>
      </c>
      <c r="N6" s="15" t="n">
        <v>165.4217326948374</v>
      </c>
      <c r="O6" s="15" t="n">
        <v>31.19007544381365</v>
      </c>
      <c r="P6" s="15" t="n">
        <v>-2.646205531429255</v>
      </c>
      <c r="Q6" s="15" t="n">
        <v>24</v>
      </c>
      <c r="R6" s="15" t="n">
        <v>144</v>
      </c>
      <c r="S6" s="15" t="n">
        <v>44209.92984979195</v>
      </c>
      <c r="T6" s="15" t="n">
        <v>193</v>
      </c>
      <c r="U6" s="15" t="n">
        <v>0.7390876834975193</v>
      </c>
      <c r="V6" s="15" t="n">
        <v>72.6658381987436</v>
      </c>
      <c r="W6" s="15" t="n">
        <v>0.9972193062908189</v>
      </c>
      <c r="X6" s="15" t="n">
        <v>0.2231810196549871</v>
      </c>
      <c r="Y6" s="15" t="n">
        <v>20</v>
      </c>
      <c r="Z6" s="15" t="n">
        <v>192</v>
      </c>
      <c r="AA6" s="15" t="n">
        <v>0.1041666666666667</v>
      </c>
      <c r="AB6" s="15" t="n">
        <v>192</v>
      </c>
      <c r="AC6" s="15" t="n">
        <v>20</v>
      </c>
      <c r="AD6" s="15" t="n">
        <v>0.1041666666666667</v>
      </c>
      <c r="AE6" s="15" t="n">
        <v>1711.976959903274</v>
      </c>
      <c r="AF6" s="15" t="n">
        <v>20</v>
      </c>
      <c r="AG6" s="15" t="n">
        <v>192</v>
      </c>
      <c r="AH6" s="15" t="n">
        <v>0.1041666666666667</v>
      </c>
      <c r="AI6" s="15" t="n">
        <v>1711.976959903274</v>
      </c>
      <c r="AJ6" s="15" t="n">
        <v>11</v>
      </c>
      <c r="AK6" s="15" t="n">
        <v>9</v>
      </c>
      <c r="AL6" s="15" t="n">
        <v>0.6372449651483615</v>
      </c>
      <c r="AM6" s="15" t="n">
        <v>60</v>
      </c>
      <c r="AN6" s="15" t="n">
        <v>0</v>
      </c>
      <c r="AO6" s="15" t="n">
        <v>60</v>
      </c>
      <c r="AP6" s="15" t="n">
        <v>0</v>
      </c>
      <c r="AQ6" s="15" t="n">
        <v>45.12585276414823</v>
      </c>
      <c r="AR6" s="15" t="n">
        <v>28.24732029040108</v>
      </c>
      <c r="AS6" s="15" t="n">
        <v>0.8631774286832831</v>
      </c>
      <c r="AT6" s="17" t="n">
        <v>2.799494490625366</v>
      </c>
      <c r="AU6" s="18" t="n">
        <v>30.8627533314439</v>
      </c>
      <c r="AV6" s="15" t="n">
        <v>34.1126455370494</v>
      </c>
      <c r="AW6" s="15" t="b">
        <v>1</v>
      </c>
      <c r="AX6" s="15" t="n">
        <v>13.96471945975892</v>
      </c>
      <c r="AY6" s="15" t="n">
        <v>36.70241670683</v>
      </c>
      <c r="AZ6" s="15" t="n">
        <v>0</v>
      </c>
      <c r="BA6" s="15" t="n">
        <v>1</v>
      </c>
      <c r="BB6" s="15" t="n">
        <v>0.5</v>
      </c>
      <c r="BC6" s="15" t="n">
        <v>0.25</v>
      </c>
      <c r="BD6" s="15" t="inlineStr">
        <is>
          <t>his_note_adaptive</t>
        </is>
      </c>
      <c r="BE6" s="15" t="n">
        <v>-90</v>
      </c>
      <c r="BF6" s="15" t="n">
        <v>20000</v>
      </c>
      <c r="BG6" s="15" t="n">
        <v>20</v>
      </c>
      <c r="BH6" s="15" t="n">
        <v>0.1041666666666667</v>
      </c>
      <c r="BI6" s="15" t="n">
        <v>192</v>
      </c>
      <c r="BJ6" s="15" t="n">
        <v>20</v>
      </c>
      <c r="BK6" s="15" t="n">
        <v>192</v>
      </c>
      <c r="BL6" s="15" t="n">
        <v>181</v>
      </c>
      <c r="BM6" s="15" t="n">
        <v>0.9427083333333334</v>
      </c>
      <c r="BN6" s="15" t="n">
        <v>0.1424050014870271</v>
      </c>
      <c r="BO6" s="15" t="n">
        <v>0.5</v>
      </c>
      <c r="BP6" s="19" t="n">
        <v>0.8043603931993758</v>
      </c>
      <c r="BQ6" s="19" t="n">
        <v>0.1956080411204232</v>
      </c>
      <c r="BR6" s="19" t="n">
        <v>3.156568020098351e-05</v>
      </c>
      <c r="BS6" s="15" t="n">
        <v>0.1215875164844277</v>
      </c>
      <c r="BT6" s="19" t="n">
        <v>0.9999607583344755</v>
      </c>
      <c r="BU6" s="19" t="n">
        <v>0</v>
      </c>
      <c r="BV6" s="19" t="n">
        <v>3.924166552454202e-05</v>
      </c>
      <c r="BW6" t="inlineStr">
        <is>
          <t>G#2</t>
        </is>
      </c>
      <c r="BX6" t="n">
        <v>44</v>
      </c>
      <c r="BY6" t="inlineStr">
        <is>
          <t>G#</t>
        </is>
      </c>
      <c r="BZ6" t="n">
        <v>2</v>
      </c>
      <c r="CA6" t="inlineStr">
        <is>
          <t>Low</t>
        </is>
      </c>
      <c r="CB6" t="inlineStr">
        <is>
          <t>pp</t>
        </is>
      </c>
      <c r="CC6" s="15" t="n">
        <v>103.8261743949863</v>
      </c>
      <c r="CD6" s="15" t="n">
        <v>103.9748222794643</v>
      </c>
      <c r="CE6" t="inlineStr">
        <is>
          <t>prior_constrained_harmonic_fit</t>
        </is>
      </c>
      <c r="CF6" t="n">
        <v>103.9748222794643</v>
      </c>
      <c r="CG6" s="15" t="n">
        <v>1</v>
      </c>
      <c r="CH6" t="inlineStr">
        <is>
          <t>free_fit_acoustically_verified</t>
        </is>
      </c>
      <c r="CI6" s="15" t="inlineStr">
        <is>
          <t>free_f0_fit</t>
        </is>
      </c>
      <c r="CJ6" s="15" t="n">
        <v>103.8261743949863</v>
      </c>
      <c r="CK6" s="15" t="n">
        <v>103.9748222794643</v>
      </c>
      <c r="CL6" s="15" t="n">
        <v>2.476834345778276</v>
      </c>
      <c r="CM6" s="15" t="n">
        <v>20000</v>
      </c>
      <c r="CN6" s="15" t="n">
        <v>2.476834345778276</v>
      </c>
      <c r="CO6" s="15" t="n">
        <v>2.259352526699291</v>
      </c>
      <c r="CP6" s="15" t="n">
        <v>44208.04241535444</v>
      </c>
      <c r="CQ6" t="n">
        <v>6.054501669320342</v>
      </c>
      <c r="CR6" t="n">
        <v>0.03153386286104345</v>
      </c>
      <c r="CS6" t="n">
        <v>230.2502145385622</v>
      </c>
      <c r="CT6" t="n">
        <v>230.2592502950461</v>
      </c>
      <c r="CU6" t="n">
        <v>1394.050308285091</v>
      </c>
      <c r="CV6" t="n">
        <v>31.19007544381365</v>
      </c>
      <c r="CW6" s="15" t="n">
        <v>44209.77605664886</v>
      </c>
      <c r="CX6" s="15" t="n">
        <v>165.4217326948374</v>
      </c>
      <c r="CY6" s="15" t="n">
        <v>31.19007544381365</v>
      </c>
      <c r="CZ6" s="15" t="n">
        <v>2.800670526844428</v>
      </c>
      <c r="DA6" s="15" t="n">
        <v>2.799556435593439</v>
      </c>
      <c r="DB6" s="15" t="n">
        <v>1.805835733789834</v>
      </c>
      <c r="DC6" s="15" t="n">
        <v>0</v>
      </c>
      <c r="DD6" s="15" t="n">
        <v>6.335205934999042e-05</v>
      </c>
      <c r="DE6" s="15" t="n">
        <v>0</v>
      </c>
      <c r="DF6" s="15" t="n">
        <v>24</v>
      </c>
      <c r="DG6" s="15" t="inlineStr">
        <is>
          <t>Density_Metrics</t>
        </is>
      </c>
      <c r="DH6" s="15" t="n">
        <v>2.259352526699291</v>
      </c>
      <c r="DI6" t="n">
        <v>0.9804849344652875</v>
      </c>
      <c r="DJ6" s="15" t="n">
        <v>0.5797258191073854</v>
      </c>
      <c r="DK6" s="15" t="n">
        <v>5.826397663127034</v>
      </c>
      <c r="DL6" s="15" t="n">
        <v>6.108448920555806</v>
      </c>
      <c r="DM6" s="15" t="n">
        <v>3.161545393656451</v>
      </c>
      <c r="DN6" s="15" t="n">
        <v>10.64027345856256</v>
      </c>
      <c r="DO6" s="15" t="n">
        <v>0.3099656950882012</v>
      </c>
      <c r="DP6" s="15" t="n">
        <v>3.9375</v>
      </c>
      <c r="DQ6" s="15" t="n">
        <v>56</v>
      </c>
      <c r="DR6" s="15" t="b">
        <v>1</v>
      </c>
      <c r="DS6" s="15" t="n">
        <v>6.054501669320342</v>
      </c>
      <c r="DT6" s="15" t="n">
        <v>42.85075577375752</v>
      </c>
      <c r="DU6" t="n">
        <v>192</v>
      </c>
      <c r="DV6" s="15" t="n">
        <v>0.1215875164844277</v>
      </c>
      <c r="DW6" s="15" t="n">
        <v>2.508909729920653</v>
      </c>
      <c r="DX6" s="15" t="n">
        <v>2.98478869599308</v>
      </c>
      <c r="DY6" s="15" t="n">
        <v>0.04374892773339518</v>
      </c>
      <c r="DZ6" s="15" t="b">
        <v>1</v>
      </c>
      <c r="EA6" s="15" t="n">
        <v>0.452783466353157</v>
      </c>
      <c r="EB6" s="15" t="n">
        <v>20000</v>
      </c>
      <c r="EC6" s="15" t="n">
        <v>2599.370556986607</v>
      </c>
      <c r="ED6" s="15" t="n">
        <v>25</v>
      </c>
      <c r="EE6" s="15" t="n">
        <v>3</v>
      </c>
      <c r="EF6" s="15" t="n">
        <v>0.05184916821427216</v>
      </c>
      <c r="EG6" s="15" t="b">
        <v>0</v>
      </c>
      <c r="EH6" s="15" t="b">
        <v>1</v>
      </c>
      <c r="EI6" s="15" t="b">
        <v>0</v>
      </c>
      <c r="EJ6" s="15" t="inlineStr">
        <is>
          <t>wf=log|dst=-90.0|ceil=20000.0|fft=adaptive_tier</t>
        </is>
      </c>
      <c r="EK6" s="15" t="inlineStr">
        <is>
          <t>wf=log|dst=runtime_configured|ceil=runtime_configured|fft=fixed</t>
        </is>
      </c>
      <c r="EL6" s="15" t="n">
        <v>0.5637200111090563</v>
      </c>
      <c r="EM6" s="15" t="n">
        <v>0.991337573600488</v>
      </c>
      <c r="EN6" s="15" t="n">
        <v>0.1243523316062176</v>
      </c>
      <c r="EO6" s="15" t="n">
        <v>0.370473934633303</v>
      </c>
      <c r="EP6" s="15" t="inlineStr">
        <is>
          <t>warn:power_outlier_detected</t>
        </is>
      </c>
      <c r="EQ6" s="15" t="n">
        <v>490.3169628870814</v>
      </c>
      <c r="ER6" s="15" t="inlineStr">
        <is>
          <t>winsorize_p95_for_robust_diagnostics</t>
        </is>
      </c>
      <c r="ES6" s="15" t="n">
        <v>0.105968012123705</v>
      </c>
      <c r="ET6" s="15" t="n">
        <v>0.03216681918995057</v>
      </c>
      <c r="EU6" s="15" t="n">
        <v>0.03372603383466288</v>
      </c>
      <c r="EV6" t="inlineStr">
        <is>
          <t>computed</t>
        </is>
      </c>
      <c r="EW6" s="15" t="inlineStr">
        <is>
          <t>computed</t>
        </is>
      </c>
      <c r="EX6" s="15" t="inlineStr">
        <is>
          <t>computed</t>
        </is>
      </c>
      <c r="EY6" s="15" t="inlineStr">
        <is>
          <t>available_from_curve</t>
        </is>
      </c>
      <c r="EZ6" s="15" t="n">
        <v>20000</v>
      </c>
      <c r="FA6" s="15" t="n">
        <v>20000</v>
      </c>
      <c r="FB6" s="15" t="n">
        <v>0.1956080411204232</v>
      </c>
      <c r="FC6" s="15" t="n">
        <v>0.6257703136265347</v>
      </c>
      <c r="FD6" s="15" t="n">
        <v>2.799556435593439</v>
      </c>
      <c r="FE6" s="15" t="n">
        <v>1.805835733789834</v>
      </c>
      <c r="FF6" s="15" t="n">
        <v>1.221005493743761</v>
      </c>
      <c r="FG6" s="15" t="n">
        <v>1.383780000867787</v>
      </c>
      <c r="FH6" s="15" t="n">
        <v>0.7969359727826241</v>
      </c>
      <c r="FI6" s="15" t="n">
        <v>0.07863655304888051</v>
      </c>
      <c r="FJ6" s="15" t="n">
        <v>44209.77605664886</v>
      </c>
      <c r="FK6" s="15" t="n">
        <v>165.4217326948374</v>
      </c>
      <c r="FL6" s="15" t="n">
        <v>31.19007544381365</v>
      </c>
      <c r="FM6" s="15" t="n">
        <v>0.005074009133177263</v>
      </c>
      <c r="FN6" t="n">
        <v>0.9999607583344755</v>
      </c>
      <c r="FO6" t="n">
        <v>0</v>
      </c>
      <c r="FP6" t="n">
        <v>3.924166552454202e-05</v>
      </c>
      <c r="FQ6" t="inlineStr">
        <is>
          <t>excellent</t>
        </is>
      </c>
      <c r="FR6" s="19" t="n">
        <v>0.9427083333333334</v>
      </c>
      <c r="FS6" s="15" t="n">
        <v>2.133371331726625</v>
      </c>
      <c r="FT6" s="15" t="n">
        <v>16.56341445802287</v>
      </c>
      <c r="FU6" t="inlineStr">
        <is>
          <t>passed</t>
        </is>
      </c>
      <c r="FV6" t="n">
        <v>629.3132484615353</v>
      </c>
      <c r="FW6" t="n">
        <v>62.94929098999798</v>
      </c>
      <c r="FX6" t="n">
        <v>15.63433692361376</v>
      </c>
      <c r="FY6" t="n">
        <v>0.8918591581015014</v>
      </c>
      <c r="FZ6" t="n">
        <v>0.7470169555711865</v>
      </c>
      <c r="GA6" t="n">
        <v>0.8571322124090229</v>
      </c>
      <c r="GB6" t="n">
        <v>0.7271390581070944</v>
      </c>
      <c r="GC6" t="n">
        <v>0.7273359088491019</v>
      </c>
      <c r="GD6" t="n">
        <v>0.7046292865193756</v>
      </c>
      <c r="GE6" t="n">
        <v>0.78428674839612</v>
      </c>
      <c r="GF6" t="n">
        <v>0.5730986969991362</v>
      </c>
      <c r="GG6" t="n">
        <v>0.7690616893083106</v>
      </c>
      <c r="GH6" t="n">
        <v>0.8204633184346324</v>
      </c>
      <c r="GI6" t="n">
        <v>0.1420940170940174</v>
      </c>
      <c r="GJ6" t="n">
        <v>1</v>
      </c>
      <c r="GK6" t="n">
        <v>0.9534883720930232</v>
      </c>
      <c r="GL6" t="n">
        <v>0.4582857867658559</v>
      </c>
      <c r="GM6" t="n">
        <v>0.4582857867658559</v>
      </c>
      <c r="GN6" t="n">
        <v>0.8254929699627815</v>
      </c>
      <c r="GO6" t="n">
        <v>0.8983292132661619</v>
      </c>
      <c r="GP6" t="n">
        <v>1394.050308285091</v>
      </c>
      <c r="GQ6" t="inlineStr">
        <is>
          <t>compiled workbook density_weighted_sum = density_component_ratio_weighted_sum (per-note component ratios); research density_weighted_sum maps body-ceiling richness</t>
        </is>
      </c>
      <c r="GR6" s="15" t="inlineStr">
        <is>
          <t>individual_exact</t>
        </is>
      </c>
      <c r="GS6" s="15" t="inlineStr">
        <is>
          <t>density_weight</t>
        </is>
      </c>
      <c r="GT6" s="15" t="n">
        <v>0.371853680896294</v>
      </c>
      <c r="GU6" s="15" t="n">
        <v>0.6281463191037059</v>
      </c>
      <c r="GV6" s="15" t="n">
        <v>0</v>
      </c>
      <c r="GW6" s="15" t="inlineStr">
        <is>
          <t>log</t>
        </is>
      </c>
      <c r="GX6" s="15" t="n">
        <v>0.5</v>
      </c>
      <c r="GY6" s="15" t="inlineStr">
        <is>
          <t>EWSD-R v18.1</t>
        </is>
      </c>
      <c r="GZ6" s="15" t="n">
        <v>16.98902466143756</v>
      </c>
      <c r="HA6" s="15" t="n">
        <v>48.2143969073508</v>
      </c>
      <c r="HB6" s="15" t="n">
        <v>0.2654322781754156</v>
      </c>
      <c r="HC6" s="15" t="n">
        <v>24.27339233350755</v>
      </c>
      <c r="HD6" s="15" t="n">
        <v>56.10055034354928</v>
      </c>
      <c r="HE6" s="15" t="n">
        <v>0.2438462968827028</v>
      </c>
      <c r="HF6" s="15" t="inlineStr">
        <is>
          <t>partials+ratios</t>
        </is>
      </c>
      <c r="HG6" s="15" t="inlineStr">
        <is>
          <t>merged_individual_exact</t>
        </is>
      </c>
      <c r="HH6" s="15" t="inlineStr">
        <is>
          <t>passed</t>
        </is>
      </c>
      <c r="HI6" s="15" t="inlineStr">
        <is>
          <t>passed</t>
        </is>
      </c>
    </row>
    <row r="7">
      <c r="A7" t="inlineStr">
        <is>
          <t>incomplete_inference</t>
        </is>
      </c>
      <c r="B7" t="inlineStr">
        <is>
          <t>missing_instrument_technique</t>
        </is>
      </c>
      <c r="C7" t="inlineStr">
        <is>
          <t>prior_constrained_harmonic_fit</t>
        </is>
      </c>
      <c r="D7" t="inlineStr">
        <is>
          <t>IOWA_Trb.T_pp.A2_SustainStable/A2/component_amplitude_mass_pie.png</t>
        </is>
      </c>
      <c r="E7" t="inlineStr">
        <is>
          <t>IOWA_Trb.T_pp.A2_SustainStable/A2/component_energy_ratio_pie.png</t>
        </is>
      </c>
      <c r="F7" s="15" t="n">
        <v>110.1096751087339</v>
      </c>
      <c r="G7" s="15" t="inlineStr">
        <is>
          <t>prior_constrained_harmonic_fit</t>
        </is>
      </c>
      <c r="H7" s="15" t="inlineStr">
        <is>
          <t>fit_accepted_acoustically_verified</t>
        </is>
      </c>
      <c r="I7" s="16" t="n">
        <v>1403.397823703187</v>
      </c>
      <c r="J7" t="inlineStr">
        <is>
          <t>richness_weighted_body_density_body_ceiling</t>
        </is>
      </c>
      <c r="K7" t="inlineStr">
        <is>
          <t>research_body_ceiling_richness_metric</t>
        </is>
      </c>
      <c r="L7" s="15" t="n">
        <v>44873.09422966546</v>
      </c>
      <c r="M7" s="15" t="n">
        <v>44877.14614933463</v>
      </c>
      <c r="N7" s="15" t="n">
        <v>137.0163333547644</v>
      </c>
      <c r="O7" s="15" t="n">
        <v>26.13111046467223</v>
      </c>
      <c r="P7" s="15" t="n">
        <v>-2.97206607079098</v>
      </c>
      <c r="Q7" s="15" t="n">
        <v>22</v>
      </c>
      <c r="R7" s="15" t="n">
        <v>143</v>
      </c>
      <c r="S7" s="15" t="n">
        <v>44877.28613429635</v>
      </c>
      <c r="T7" s="15" t="n">
        <v>182</v>
      </c>
      <c r="U7" s="15" t="n">
        <v>0.6445560822318352</v>
      </c>
      <c r="V7" s="15" t="n">
        <v>67.92957092539413</v>
      </c>
      <c r="W7" s="15" t="n">
        <v>0.9972001436658572</v>
      </c>
      <c r="X7" s="15" t="n">
        <v>0.2347607679897167</v>
      </c>
      <c r="Y7" s="15" t="n">
        <v>19</v>
      </c>
      <c r="Z7" s="15" t="n">
        <v>181</v>
      </c>
      <c r="AA7" s="15" t="n">
        <v>0.1049723756906077</v>
      </c>
      <c r="AB7" s="15" t="n">
        <v>181</v>
      </c>
      <c r="AC7" s="15" t="n">
        <v>19</v>
      </c>
      <c r="AD7" s="15" t="n">
        <v>0.1049723756906077</v>
      </c>
      <c r="AE7" s="15" t="n">
        <v>1679.474299181443</v>
      </c>
      <c r="AF7" s="15" t="n">
        <v>19</v>
      </c>
      <c r="AG7" s="15" t="n">
        <v>181</v>
      </c>
      <c r="AH7" s="15" t="n">
        <v>0.1049723756906077</v>
      </c>
      <c r="AI7" s="15" t="n">
        <v>1679.474299181443</v>
      </c>
      <c r="AJ7" s="15" t="n">
        <v>10</v>
      </c>
      <c r="AK7" s="15" t="n">
        <v>9</v>
      </c>
      <c r="AL7" s="15" t="n">
        <v>0.7609318407413027</v>
      </c>
      <c r="AM7" s="15" t="n">
        <v>55</v>
      </c>
      <c r="AN7" s="15" t="n">
        <v>1</v>
      </c>
      <c r="AO7" s="15" t="n">
        <v>55</v>
      </c>
      <c r="AP7" s="15" t="n">
        <v>1</v>
      </c>
      <c r="AQ7" s="15" t="n">
        <v>40.39467600223885</v>
      </c>
      <c r="AR7" s="15" t="n">
        <v>25.42086736636113</v>
      </c>
      <c r="AS7" s="15" t="n">
        <v>0.7504208365288667</v>
      </c>
      <c r="AT7" s="17" t="n">
        <v>2.783759943802336</v>
      </c>
      <c r="AU7" s="18" t="n">
        <v>28.23655390560006</v>
      </c>
      <c r="AV7" s="15" t="n">
        <v>31.50154905606473</v>
      </c>
      <c r="AW7" s="15" t="b">
        <v>1</v>
      </c>
      <c r="AX7" s="15" t="n">
        <v>13.66728612357182</v>
      </c>
      <c r="AY7" s="15" t="n">
        <v>33.4448373865147</v>
      </c>
      <c r="AZ7" s="15" t="n">
        <v>0.4971705690967985</v>
      </c>
      <c r="BA7" s="15" t="n">
        <v>1</v>
      </c>
      <c r="BB7" s="15" t="n">
        <v>0.5</v>
      </c>
      <c r="BC7" s="15" t="n">
        <v>0.25</v>
      </c>
      <c r="BD7" s="15" t="inlineStr">
        <is>
          <t>his_note_adaptive</t>
        </is>
      </c>
      <c r="BE7" s="15" t="n">
        <v>-90</v>
      </c>
      <c r="BF7" s="15" t="n">
        <v>20000</v>
      </c>
      <c r="BG7" s="15" t="n">
        <v>19</v>
      </c>
      <c r="BH7" s="15" t="n">
        <v>0.1049723756906077</v>
      </c>
      <c r="BI7" s="15" t="n">
        <v>181</v>
      </c>
      <c r="BJ7" s="15" t="n">
        <v>19</v>
      </c>
      <c r="BK7" s="15" t="n">
        <v>181</v>
      </c>
      <c r="BL7" s="15" t="n">
        <v>170</v>
      </c>
      <c r="BM7" s="15" t="n">
        <v>0.9392265193370166</v>
      </c>
      <c r="BN7" s="15" t="n">
        <v>0.1424666019134375</v>
      </c>
      <c r="BO7" s="15" t="n">
        <v>0.4583333333333333</v>
      </c>
      <c r="BP7" s="19" t="n">
        <v>0.8093734103124157</v>
      </c>
      <c r="BQ7" s="19" t="n">
        <v>0.190553462862202</v>
      </c>
      <c r="BR7" s="19" t="n">
        <v>7.312682538225146e-05</v>
      </c>
      <c r="BS7" s="15" t="n">
        <v>0.1078971862930764</v>
      </c>
      <c r="BT7" s="19" t="n">
        <v>0.9999096582392695</v>
      </c>
      <c r="BU7" s="19" t="n">
        <v>0</v>
      </c>
      <c r="BV7" s="19" t="n">
        <v>9.034176073052066e-05</v>
      </c>
      <c r="BW7" t="inlineStr">
        <is>
          <t>A2</t>
        </is>
      </c>
      <c r="BX7" t="n">
        <v>45</v>
      </c>
      <c r="BY7" t="inlineStr">
        <is>
          <t>A</t>
        </is>
      </c>
      <c r="BZ7" t="n">
        <v>2</v>
      </c>
      <c r="CA7" t="inlineStr">
        <is>
          <t>Low</t>
        </is>
      </c>
      <c r="CB7" t="inlineStr">
        <is>
          <t>pp</t>
        </is>
      </c>
      <c r="CC7" s="15" t="n">
        <v>110</v>
      </c>
      <c r="CD7" s="15" t="n">
        <v>110.1096751087339</v>
      </c>
      <c r="CE7" t="inlineStr">
        <is>
          <t>prior_constrained_harmonic_fit</t>
        </is>
      </c>
      <c r="CF7" t="n">
        <v>110.1096751087339</v>
      </c>
      <c r="CG7" s="15" t="n">
        <v>1</v>
      </c>
      <c r="CH7" t="inlineStr">
        <is>
          <t>free_fit_acoustically_verified</t>
        </is>
      </c>
      <c r="CI7" s="15" t="inlineStr">
        <is>
          <t>free_f0_fit</t>
        </is>
      </c>
      <c r="CJ7" s="15" t="n">
        <v>110</v>
      </c>
      <c r="CK7" s="15" t="n">
        <v>110.1096751087339</v>
      </c>
      <c r="CL7" s="15" t="n">
        <v>1.725260810959502</v>
      </c>
      <c r="CM7" s="15" t="n">
        <v>20000</v>
      </c>
      <c r="CN7" s="15" t="n">
        <v>1.725260810959502</v>
      </c>
      <c r="CO7" s="15" t="n">
        <v>2.225094778623755</v>
      </c>
      <c r="CP7" s="15" t="n">
        <v>44873.09422966546</v>
      </c>
      <c r="CQ7" t="n">
        <v>5.660742229044571</v>
      </c>
      <c r="CR7" t="n">
        <v>0.03127481894499763</v>
      </c>
      <c r="CS7" t="n">
        <v>247.9176346349999</v>
      </c>
      <c r="CT7" t="n">
        <v>247.9400339742245</v>
      </c>
      <c r="CU7" t="n">
        <v>1403.397823703187</v>
      </c>
      <c r="CV7" t="n">
        <v>26.13111046467223</v>
      </c>
      <c r="CW7" s="15" t="n">
        <v>44877.14614933463</v>
      </c>
      <c r="CX7" s="15" t="n">
        <v>137.0163333547644</v>
      </c>
      <c r="CY7" s="15" t="n">
        <v>26.13111046467223</v>
      </c>
      <c r="CZ7" s="15" t="n">
        <v>2.786011136163167</v>
      </c>
      <c r="DA7" s="15" t="n">
        <v>2.783901908234036</v>
      </c>
      <c r="DB7" s="15" t="n">
        <v>1.746985468304231</v>
      </c>
      <c r="DC7" s="15" t="n">
        <v>0</v>
      </c>
      <c r="DD7" s="15" t="n">
        <v>6.208645033266603e-05</v>
      </c>
      <c r="DE7" s="15" t="n">
        <v>0</v>
      </c>
      <c r="DF7" s="15" t="n">
        <v>22</v>
      </c>
      <c r="DG7" s="15" t="inlineStr">
        <is>
          <t>Density_Metrics</t>
        </is>
      </c>
      <c r="DH7" s="15" t="n">
        <v>2.225094778623755</v>
      </c>
      <c r="DI7" t="n">
        <v>0.9656181947777712</v>
      </c>
      <c r="DJ7" s="15" t="n">
        <v>0.5779235753013479</v>
      </c>
      <c r="DK7" s="15" t="n">
        <v>5.743373911055727</v>
      </c>
      <c r="DL7" s="15" t="n">
        <v>5.701960409199163</v>
      </c>
      <c r="DM7" s="15" t="n">
        <v>2.578164274508699</v>
      </c>
      <c r="DN7" s="15" t="n">
        <v>9.869053804231472</v>
      </c>
      <c r="DO7" s="15" t="n">
        <v>0.3317177435735765</v>
      </c>
      <c r="DP7" s="15" t="n">
        <v>4</v>
      </c>
      <c r="DQ7" s="15" t="n">
        <v>53</v>
      </c>
      <c r="DR7" s="15" t="b">
        <v>1</v>
      </c>
      <c r="DS7" s="15" t="n">
        <v>5.660742229044571</v>
      </c>
      <c r="DT7" s="15" t="n">
        <v>42.49169900613872</v>
      </c>
      <c r="DU7" t="n">
        <v>181</v>
      </c>
      <c r="DV7" s="15" t="n">
        <v>0.1078971862930764</v>
      </c>
      <c r="DW7" s="15" t="n">
        <v>2.47438957817696</v>
      </c>
      <c r="DX7" s="15" t="n">
        <v>2.978773156804885</v>
      </c>
      <c r="DY7" s="15" t="n">
        <v>0.04704936064861557</v>
      </c>
      <c r="DZ7" s="15" t="b">
        <v>1</v>
      </c>
      <c r="EA7" s="15" t="n">
        <v>0.6635422469377098</v>
      </c>
      <c r="EB7" s="15" t="n">
        <v>20000</v>
      </c>
      <c r="EC7" s="15" t="n">
        <v>2422.412852392146</v>
      </c>
      <c r="ED7" s="15" t="n">
        <v>22</v>
      </c>
      <c r="EE7" s="15" t="n">
        <v>1</v>
      </c>
      <c r="EF7" s="15" t="n">
        <v>0.04893909801136364</v>
      </c>
      <c r="EG7" s="15" t="b">
        <v>0</v>
      </c>
      <c r="EH7" s="15" t="b">
        <v>1</v>
      </c>
      <c r="EI7" s="15" t="b">
        <v>0</v>
      </c>
      <c r="EJ7" s="15" t="inlineStr">
        <is>
          <t>wf=log|dst=-90.0|ceil=20000.0|fft=adaptive_tier</t>
        </is>
      </c>
      <c r="EK7" s="15" t="inlineStr">
        <is>
          <t>wf=log|dst=runtime_configured|ceil=runtime_configured|fft=fixed</t>
        </is>
      </c>
      <c r="EL7" s="15" t="n">
        <v>0.5645278146831223</v>
      </c>
      <c r="EM7" s="15" t="n">
        <v>0.9924472908923959</v>
      </c>
      <c r="EN7" s="15" t="n">
        <v>0.1208791208791209</v>
      </c>
      <c r="EO7" s="15" t="n">
        <v>0.3780942073692589</v>
      </c>
      <c r="EP7" s="15" t="inlineStr">
        <is>
          <t>warn:power_outlier_detected</t>
        </is>
      </c>
      <c r="EQ7" s="15" t="n">
        <v>431.4113359521383</v>
      </c>
      <c r="ER7" s="15" t="inlineStr">
        <is>
          <t>winsorize_p95_for_robust_diagnostics</t>
        </is>
      </c>
      <c r="ES7" s="15" t="n">
        <v>0.09631036999864274</v>
      </c>
      <c r="ET7" s="15" t="n">
        <v>0.02995472812725223</v>
      </c>
      <c r="EU7" s="15" t="n">
        <v>0.03188729090275837</v>
      </c>
      <c r="EV7" t="inlineStr">
        <is>
          <t>computed</t>
        </is>
      </c>
      <c r="EW7" s="15" t="inlineStr">
        <is>
          <t>computed</t>
        </is>
      </c>
      <c r="EX7" s="15" t="inlineStr">
        <is>
          <t>computed</t>
        </is>
      </c>
      <c r="EY7" s="15" t="inlineStr">
        <is>
          <t>available_from_curve</t>
        </is>
      </c>
      <c r="EZ7" s="15" t="n">
        <v>20000</v>
      </c>
      <c r="FA7" s="15" t="n">
        <v>20000</v>
      </c>
      <c r="FB7" s="15" t="n">
        <v>0.190553462862202</v>
      </c>
      <c r="FC7" s="15" t="n">
        <v>0.6176425919584847</v>
      </c>
      <c r="FD7" s="15" t="n">
        <v>2.783901908234036</v>
      </c>
      <c r="FE7" s="15" t="n">
        <v>1.746985468304231</v>
      </c>
      <c r="FF7" s="15" t="n">
        <v>1.212486534517459</v>
      </c>
      <c r="FG7" s="15" t="n">
        <v>1.37604219583283</v>
      </c>
      <c r="FH7" s="15" t="n">
        <v>0.7709646772236103</v>
      </c>
      <c r="FI7" s="15" t="n">
        <v>0.07808790556731487</v>
      </c>
      <c r="FJ7" s="15" t="n">
        <v>44877.14614933463</v>
      </c>
      <c r="FK7" s="15" t="n">
        <v>137.0163333547644</v>
      </c>
      <c r="FL7" s="15" t="n">
        <v>26.13111046467223</v>
      </c>
      <c r="FM7" s="15" t="n">
        <v>0.005138522242560783</v>
      </c>
      <c r="FN7" t="n">
        <v>0.9999096582392695</v>
      </c>
      <c r="FO7" t="n">
        <v>0</v>
      </c>
      <c r="FP7" t="n">
        <v>9.034176073052066e-05</v>
      </c>
      <c r="FQ7" t="inlineStr">
        <is>
          <t>excellent</t>
        </is>
      </c>
      <c r="FR7" s="19" t="n">
        <v>0.9392265193370166</v>
      </c>
      <c r="FS7" s="15" t="n">
        <v>2.03942300576909</v>
      </c>
      <c r="FT7" s="15" t="n">
        <v>17.34767118030683</v>
      </c>
      <c r="FU7" t="inlineStr">
        <is>
          <t>passed</t>
        </is>
      </c>
      <c r="FV7" t="n">
        <v>606.9976605975511</v>
      </c>
      <c r="FW7" t="n">
        <v>54.84515083764673</v>
      </c>
      <c r="FX7" t="n">
        <v>15.31122334811771</v>
      </c>
      <c r="FY7" t="n">
        <v>0.8094765628069005</v>
      </c>
      <c r="FZ7" t="n">
        <v>0.7523413876051952</v>
      </c>
      <c r="GA7" t="n">
        <v>0.7905990729123484</v>
      </c>
      <c r="GB7" t="n">
        <v>0.6664236878057955</v>
      </c>
      <c r="GC7" t="n">
        <v>0.6679438180594421</v>
      </c>
      <c r="GD7" t="n">
        <v>0.6482509900955803</v>
      </c>
      <c r="GE7" t="n">
        <v>0.7818918274659518</v>
      </c>
      <c r="GF7" t="n">
        <v>0.6371483260008791</v>
      </c>
      <c r="GG7" t="n">
        <v>0.6291184989507691</v>
      </c>
      <c r="GH7" t="n">
        <v>0.7920465976570608</v>
      </c>
      <c r="GI7" t="n">
        <v>0.1507295650942056</v>
      </c>
      <c r="GJ7" t="n">
        <v>0.8662983425414371</v>
      </c>
      <c r="GK7" t="n">
        <v>0.8372093023255813</v>
      </c>
      <c r="GL7" t="n">
        <v>0.4113092345811856</v>
      </c>
      <c r="GM7" t="n">
        <v>0.4113092345811856</v>
      </c>
      <c r="GN7" t="n">
        <v>0.8109675003640169</v>
      </c>
      <c r="GO7" t="n">
        <v>0.7741923621592617</v>
      </c>
      <c r="GP7" t="n">
        <v>1403.397823703187</v>
      </c>
      <c r="GQ7" t="inlineStr">
        <is>
          <t>compiled workbook density_weighted_sum = density_component_ratio_weighted_sum (per-note component ratios); research density_weighted_sum maps body-ceiling richness</t>
        </is>
      </c>
      <c r="GR7" s="15" t="inlineStr">
        <is>
          <t>individual_exact</t>
        </is>
      </c>
      <c r="GS7" s="15" t="inlineStr">
        <is>
          <t>density_weight</t>
        </is>
      </c>
      <c r="GT7" s="15" t="n">
        <v>0.4056351713590913</v>
      </c>
      <c r="GU7" s="15" t="n">
        <v>0.5943193132921335</v>
      </c>
      <c r="GV7" s="15" t="n">
        <v>4.55153487751957e-05</v>
      </c>
      <c r="GW7" s="15" t="inlineStr">
        <is>
          <t>log</t>
        </is>
      </c>
      <c r="GX7" s="15" t="n">
        <v>0.5</v>
      </c>
      <c r="GY7" s="15" t="inlineStr">
        <is>
          <t>EWSD-R v18.1</t>
        </is>
      </c>
      <c r="GZ7" s="15" t="n">
        <v>15.63908802733866</v>
      </c>
      <c r="HA7" s="15" t="n">
        <v>49.4623702414868</v>
      </c>
      <c r="HB7" s="15" t="n">
        <v>0.303349868592049</v>
      </c>
      <c r="HC7" s="15" t="n">
        <v>22.40561230105719</v>
      </c>
      <c r="HD7" s="15" t="n">
        <v>56.36677893827058</v>
      </c>
      <c r="HE7" s="15" t="n">
        <v>0.2723821119436649</v>
      </c>
      <c r="HF7" s="15" t="inlineStr">
        <is>
          <t>partials+ratios</t>
        </is>
      </c>
      <c r="HG7" s="15" t="inlineStr">
        <is>
          <t>merged_individual_exact</t>
        </is>
      </c>
      <c r="HH7" s="15" t="inlineStr">
        <is>
          <t>passed</t>
        </is>
      </c>
      <c r="HI7" s="15" t="inlineStr">
        <is>
          <t>passed</t>
        </is>
      </c>
    </row>
    <row r="8">
      <c r="A8" t="inlineStr">
        <is>
          <t>incomplete_inference</t>
        </is>
      </c>
      <c r="B8" t="inlineStr">
        <is>
          <t>missing_instrument_technique</t>
        </is>
      </c>
      <c r="C8" t="inlineStr">
        <is>
          <t>prior_constrained_harmonic_fit</t>
        </is>
      </c>
      <c r="D8" t="inlineStr">
        <is>
          <t>IOWA_Trb.T_pp.A#2_SustainStable/A#2/component_amplitude_mass_pie.png</t>
        </is>
      </c>
      <c r="E8" t="inlineStr">
        <is>
          <t>IOWA_Trb.T_pp.A#2_SustainStable/A#2/component_energy_ratio_pie.png</t>
        </is>
      </c>
      <c r="F8" s="15" t="n">
        <v>116.3377034265882</v>
      </c>
      <c r="G8" s="15" t="inlineStr">
        <is>
          <t>prior_constrained_harmonic_fit</t>
        </is>
      </c>
      <c r="H8" s="15" t="inlineStr">
        <is>
          <t>fit_accepted_acoustically_verified</t>
        </is>
      </c>
      <c r="I8" s="16" t="n">
        <v>1724.204961278645</v>
      </c>
      <c r="J8" t="inlineStr">
        <is>
          <t>richness_weighted_body_density_body_ceiling</t>
        </is>
      </c>
      <c r="K8" t="inlineStr">
        <is>
          <t>research_body_ceiling_richness_metric</t>
        </is>
      </c>
      <c r="L8" s="15" t="n">
        <v>43882.67258033498</v>
      </c>
      <c r="M8" s="15" t="n">
        <v>43883.5251554097</v>
      </c>
      <c r="N8" s="15" t="n">
        <v>145.4545682469949</v>
      </c>
      <c r="O8" s="15" t="n">
        <v>15.25416060605339</v>
      </c>
      <c r="P8" s="15" t="n">
        <v>-2.877816991792544</v>
      </c>
      <c r="Q8" s="15" t="n">
        <v>25</v>
      </c>
      <c r="R8" s="15" t="n">
        <v>138</v>
      </c>
      <c r="S8" s="15" t="n">
        <v>43883.61297103531</v>
      </c>
      <c r="T8" s="15" t="n">
        <v>172</v>
      </c>
      <c r="U8" s="15" t="n">
        <v>1.080538644285438</v>
      </c>
      <c r="V8" s="15" t="n">
        <v>72.73760930008193</v>
      </c>
      <c r="W8" s="15" t="n">
        <v>0.9979373991459404</v>
      </c>
      <c r="X8" s="15" t="n">
        <v>0.2997382001581758</v>
      </c>
      <c r="Y8" s="15" t="n">
        <v>18</v>
      </c>
      <c r="Z8" s="15" t="n">
        <v>171</v>
      </c>
      <c r="AA8" s="15" t="n">
        <v>0.1052631578947368</v>
      </c>
      <c r="AB8" s="15" t="n">
        <v>171</v>
      </c>
      <c r="AC8" s="15" t="n">
        <v>18</v>
      </c>
      <c r="AD8" s="15" t="n">
        <v>0.1052631578947368</v>
      </c>
      <c r="AE8" s="15" t="n">
        <v>1740.812048548798</v>
      </c>
      <c r="AF8" s="15" t="n">
        <v>18</v>
      </c>
      <c r="AG8" s="15" t="n">
        <v>171</v>
      </c>
      <c r="AH8" s="15" t="n">
        <v>0.1052631578947368</v>
      </c>
      <c r="AI8" s="15" t="n">
        <v>1740.812048548798</v>
      </c>
      <c r="AJ8" s="15" t="n">
        <v>10</v>
      </c>
      <c r="AK8" s="15" t="n">
        <v>8</v>
      </c>
      <c r="AL8" s="15" t="n">
        <v>0.9640427213681022</v>
      </c>
      <c r="AM8" s="15" t="n">
        <v>58</v>
      </c>
      <c r="AN8" s="15" t="n">
        <v>0</v>
      </c>
      <c r="AO8" s="15" t="n">
        <v>58</v>
      </c>
      <c r="AP8" s="15" t="n">
        <v>0</v>
      </c>
      <c r="AQ8" s="15" t="n">
        <v>39.65052058845156</v>
      </c>
      <c r="AR8" s="15" t="n">
        <v>24.34266029330881</v>
      </c>
      <c r="AS8" s="15" t="n">
        <v>0.7074075762830898</v>
      </c>
      <c r="AT8" s="17" t="n">
        <v>2.797746589713086</v>
      </c>
      <c r="AU8" s="18" t="n">
        <v>28.44941941512366</v>
      </c>
      <c r="AV8" s="15" t="n">
        <v>32.79581168906282</v>
      </c>
      <c r="AW8" s="15" t="b">
        <v>1</v>
      </c>
      <c r="AX8" s="15" t="n">
        <v>13.73589614929181</v>
      </c>
      <c r="AY8" s="15" t="n">
        <v>33.33221781866483</v>
      </c>
      <c r="AZ8" s="15" t="n">
        <v>0</v>
      </c>
      <c r="BA8" s="15" t="n">
        <v>1</v>
      </c>
      <c r="BB8" s="15" t="n">
        <v>0.5</v>
      </c>
      <c r="BC8" s="15" t="n">
        <v>0.25</v>
      </c>
      <c r="BD8" s="15" t="inlineStr">
        <is>
          <t>his_note_adaptive</t>
        </is>
      </c>
      <c r="BE8" s="15" t="n">
        <v>-90</v>
      </c>
      <c r="BF8" s="15" t="n">
        <v>20000</v>
      </c>
      <c r="BG8" s="15" t="n">
        <v>18</v>
      </c>
      <c r="BH8" s="15" t="n">
        <v>0.1052631578947368</v>
      </c>
      <c r="BI8" s="15" t="n">
        <v>171</v>
      </c>
      <c r="BJ8" s="15" t="n">
        <v>18</v>
      </c>
      <c r="BK8" s="15" t="n">
        <v>171</v>
      </c>
      <c r="BL8" s="15" t="n">
        <v>160</v>
      </c>
      <c r="BM8" s="15" t="n">
        <v>0.935672514619883</v>
      </c>
      <c r="BN8" s="15" t="n">
        <v>0.1965847673663719</v>
      </c>
      <c r="BO8" s="15" t="n">
        <v>0.4833333333333333</v>
      </c>
      <c r="BP8" s="19" t="n">
        <v>0.8357676817056439</v>
      </c>
      <c r="BQ8" s="19" t="n">
        <v>0.1642160749246901</v>
      </c>
      <c r="BR8" s="19" t="n">
        <v>1.624336966586492e-05</v>
      </c>
      <c r="BS8" s="15" t="n">
        <v>0.09496605581773428</v>
      </c>
      <c r="BT8" s="19" t="n">
        <v>0.9999805651087816</v>
      </c>
      <c r="BU8" s="19" t="n">
        <v>0</v>
      </c>
      <c r="BV8" s="19" t="n">
        <v>1.943489121832689e-05</v>
      </c>
      <c r="BW8" t="inlineStr">
        <is>
          <t>A#2</t>
        </is>
      </c>
      <c r="BX8" t="n">
        <v>46</v>
      </c>
      <c r="BY8" t="inlineStr">
        <is>
          <t>A#</t>
        </is>
      </c>
      <c r="BZ8" t="n">
        <v>2</v>
      </c>
      <c r="CA8" t="inlineStr">
        <is>
          <t>Low</t>
        </is>
      </c>
      <c r="CB8" t="inlineStr">
        <is>
          <t>pp</t>
        </is>
      </c>
      <c r="CC8" s="15" t="n">
        <v>116.5409403795225</v>
      </c>
      <c r="CD8" s="15" t="n">
        <v>116.3377034265882</v>
      </c>
      <c r="CE8" t="inlineStr">
        <is>
          <t>prior_constrained_harmonic_fit</t>
        </is>
      </c>
      <c r="CF8" t="n">
        <v>116.3377034265882</v>
      </c>
      <c r="CG8" s="15" t="n">
        <v>1</v>
      </c>
      <c r="CH8" t="inlineStr">
        <is>
          <t>free_fit_acoustically_verified</t>
        </is>
      </c>
      <c r="CI8" s="15" t="inlineStr">
        <is>
          <t>free_f0_fit</t>
        </is>
      </c>
      <c r="CJ8" s="15" t="n">
        <v>116.5409403795225</v>
      </c>
      <c r="CK8" s="15" t="n">
        <v>116.3377034265882</v>
      </c>
      <c r="CL8" s="15" t="n">
        <v>-3.021752587742081</v>
      </c>
      <c r="CM8" s="15" t="n">
        <v>20000</v>
      </c>
      <c r="CN8" s="15" t="n">
        <v>-3.021752587742081</v>
      </c>
      <c r="CO8" s="15" t="n">
        <v>2.243271670395307</v>
      </c>
      <c r="CP8" s="15" t="n">
        <v>43882.67258033498</v>
      </c>
      <c r="CQ8" t="n">
        <v>6.718803414508761</v>
      </c>
      <c r="CR8" t="n">
        <v>0.03929124803806293</v>
      </c>
      <c r="CS8" t="n">
        <v>256.6238145255674</v>
      </c>
      <c r="CT8" t="n">
        <v>256.6288020784193</v>
      </c>
      <c r="CU8" t="n">
        <v>1724.204961278645</v>
      </c>
      <c r="CV8" t="n">
        <v>15.25416060605339</v>
      </c>
      <c r="CW8" s="15" t="n">
        <v>43883.5251554097</v>
      </c>
      <c r="CX8" s="15" t="n">
        <v>145.4545682469949</v>
      </c>
      <c r="CY8" s="15" t="n">
        <v>15.25416060605339</v>
      </c>
      <c r="CZ8" s="15" t="n">
        <v>2.798021299183027</v>
      </c>
      <c r="DA8" s="15" t="n">
        <v>2.797779210765635</v>
      </c>
      <c r="DB8" s="15" t="n">
        <v>1.786229903467358</v>
      </c>
      <c r="DC8" s="15" t="n">
        <v>0</v>
      </c>
      <c r="DD8" s="15" t="n">
        <v>6.376141503370733e-05</v>
      </c>
      <c r="DE8" s="15" t="n">
        <v>0</v>
      </c>
      <c r="DF8" s="15" t="n">
        <v>25</v>
      </c>
      <c r="DG8" s="15" t="inlineStr">
        <is>
          <t>Density_Metrics</t>
        </is>
      </c>
      <c r="DH8" s="15" t="n">
        <v>2.243271670395307</v>
      </c>
      <c r="DI8" t="n">
        <v>0.9735063699637169</v>
      </c>
      <c r="DJ8" s="15" t="n">
        <v>0.5795259824228619</v>
      </c>
      <c r="DK8" s="15" t="n">
        <v>5.703309542580218</v>
      </c>
      <c r="DL8" s="15" t="n">
        <v>6.768083172560247</v>
      </c>
      <c r="DM8" s="15" t="n">
        <v>3.200486759298979</v>
      </c>
      <c r="DN8" s="15" t="n">
        <v>11.41191435721736</v>
      </c>
      <c r="DO8" s="15" t="n">
        <v>0.3130613706277881</v>
      </c>
      <c r="DP8" s="15" t="n">
        <v>2.375</v>
      </c>
      <c r="DQ8" s="15" t="n">
        <v>60</v>
      </c>
      <c r="DR8" s="15" t="b">
        <v>1</v>
      </c>
      <c r="DS8" s="15" t="n">
        <v>6.718803414508761</v>
      </c>
      <c r="DT8" s="15" t="n">
        <v>51.25523222704807</v>
      </c>
      <c r="DU8" t="n">
        <v>171</v>
      </c>
      <c r="DV8" s="15" t="n">
        <v>0.09496605581773428</v>
      </c>
      <c r="DW8" s="15" t="n">
        <v>2.527773109868755</v>
      </c>
      <c r="DX8" s="15" t="n">
        <v>2.984523027710303</v>
      </c>
      <c r="DY8" s="15" t="n">
        <v>0.04358569775776434</v>
      </c>
      <c r="DZ8" s="15" t="b">
        <v>1</v>
      </c>
      <c r="EA8" s="15" t="n">
        <v>0.4313135778250926</v>
      </c>
      <c r="EB8" s="15" t="n">
        <v>20000</v>
      </c>
      <c r="EC8" s="15" t="n">
        <v>3141.117992517882</v>
      </c>
      <c r="ED8" s="15" t="n">
        <v>27</v>
      </c>
      <c r="EE8" s="15" t="n">
        <v>2</v>
      </c>
      <c r="EF8" s="15" t="n">
        <v>0.04619235749873789</v>
      </c>
      <c r="EG8" s="15" t="b">
        <v>0</v>
      </c>
      <c r="EH8" s="15" t="b">
        <v>1</v>
      </c>
      <c r="EI8" s="15" t="b">
        <v>0</v>
      </c>
      <c r="EJ8" s="15" t="inlineStr">
        <is>
          <t>wf=log|dst=-90.0|ceil=20000.0|fft=adaptive_tier</t>
        </is>
      </c>
      <c r="EK8" s="15" t="inlineStr">
        <is>
          <t>wf=log|dst=runtime_configured|ceil=runtime_configured|fft=fixed</t>
        </is>
      </c>
      <c r="EL8" s="15" t="n">
        <v>0.5727684345379921</v>
      </c>
      <c r="EM8" s="15" t="n">
        <v>0.990459901123948</v>
      </c>
      <c r="EN8" s="15" t="n">
        <v>0.1453488372093023</v>
      </c>
      <c r="EO8" s="15" t="n">
        <v>0.3809469300447985</v>
      </c>
      <c r="EP8" s="15" t="inlineStr">
        <is>
          <t>warn:power_outlier_detected</t>
        </is>
      </c>
      <c r="EQ8" s="15" t="n">
        <v>411.7329761456526</v>
      </c>
      <c r="ER8" s="15" t="inlineStr">
        <is>
          <t>winsorize_p95_for_robust_diagnostics</t>
        </is>
      </c>
      <c r="ES8" s="15" t="n">
        <v>0.09025777601312215</v>
      </c>
      <c r="ET8" s="15" t="n">
        <v>0.02431615803882756</v>
      </c>
      <c r="EU8" s="15" t="n">
        <v>0.02567570414757397</v>
      </c>
      <c r="EV8" t="inlineStr">
        <is>
          <t>computed</t>
        </is>
      </c>
      <c r="EW8" s="15" t="inlineStr">
        <is>
          <t>computed</t>
        </is>
      </c>
      <c r="EX8" s="15" t="inlineStr">
        <is>
          <t>computed</t>
        </is>
      </c>
      <c r="EY8" s="15" t="inlineStr">
        <is>
          <t>available_from_curve</t>
        </is>
      </c>
      <c r="EZ8" s="15" t="n">
        <v>20000</v>
      </c>
      <c r="FA8" s="15" t="n">
        <v>20000</v>
      </c>
      <c r="FB8" s="15" t="n">
        <v>0.1642160749246901</v>
      </c>
      <c r="FC8" s="15" t="n">
        <v>0.6314335731144382</v>
      </c>
      <c r="FD8" s="15" t="n">
        <v>2.797779210765635</v>
      </c>
      <c r="FE8" s="15" t="n">
        <v>1.786229903467358</v>
      </c>
      <c r="FF8" s="15" t="n">
        <v>1.119300428347224</v>
      </c>
      <c r="FG8" s="15" t="n">
        <v>1.382901544501452</v>
      </c>
      <c r="FH8" s="15" t="n">
        <v>0.7882836955195851</v>
      </c>
      <c r="FI8" s="15" t="n">
        <v>0.0720864303742703</v>
      </c>
      <c r="FJ8" s="15" t="n">
        <v>43883.5251554097</v>
      </c>
      <c r="FK8" s="15" t="n">
        <v>145.4545682469949</v>
      </c>
      <c r="FL8" s="15" t="n">
        <v>15.25416060605339</v>
      </c>
      <c r="FM8" s="15" t="n">
        <v>0.00499491503329403</v>
      </c>
      <c r="FN8" t="n">
        <v>0.9999805651087816</v>
      </c>
      <c r="FO8" t="n">
        <v>0</v>
      </c>
      <c r="FP8" t="n">
        <v>1.943489121832689e-05</v>
      </c>
      <c r="FQ8" t="inlineStr">
        <is>
          <t>excellent</t>
        </is>
      </c>
      <c r="FR8" s="19" t="n">
        <v>0.935672514619883</v>
      </c>
      <c r="FS8" s="15" t="n">
        <v>1.67393624279925</v>
      </c>
      <c r="FT8" s="15" t="n">
        <v>17.73193973639781</v>
      </c>
      <c r="FU8" t="inlineStr">
        <is>
          <t>passed</t>
        </is>
      </c>
      <c r="FV8" t="n">
        <v>626.7391438857517</v>
      </c>
      <c r="FW8" t="n">
        <v>60.1265526307273</v>
      </c>
      <c r="FX8" t="n">
        <v>12.16134969296817</v>
      </c>
      <c r="FY8" t="n">
        <v>0.8531881201231523</v>
      </c>
      <c r="FZ8" t="n">
        <v>0.9350761276558657</v>
      </c>
      <c r="GA8" t="n">
        <v>0.7584924991894725</v>
      </c>
      <c r="GB8" t="n">
        <v>0.8256656751084077</v>
      </c>
      <c r="GC8" t="n">
        <v>0.8275348260720851</v>
      </c>
      <c r="GD8" t="n">
        <v>0.7054836159295174</v>
      </c>
      <c r="GE8" t="n">
        <v>0.8740330964027756</v>
      </c>
      <c r="GF8" t="n">
        <v>0.9965499557749776</v>
      </c>
      <c r="GG8" t="n">
        <v>0.4969358833121618</v>
      </c>
      <c r="GH8" t="n">
        <v>0.9231053606938501</v>
      </c>
      <c r="GI8" t="n">
        <v>0.1538461538461533</v>
      </c>
      <c r="GJ8" t="n">
        <v>0.7298245614035062</v>
      </c>
      <c r="GK8" t="n">
        <v>0.9069767441860462</v>
      </c>
      <c r="GL8" t="n">
        <v>0.1665331888562866</v>
      </c>
      <c r="GM8" t="n">
        <v>0.1665331888562866</v>
      </c>
      <c r="GN8" t="n">
        <v>0.8356140723923624</v>
      </c>
      <c r="GO8" t="n">
        <v>0.7546671754138766</v>
      </c>
      <c r="GP8" t="n">
        <v>1724.204961278645</v>
      </c>
      <c r="GQ8" t="inlineStr">
        <is>
          <t>compiled workbook density_weighted_sum = density_component_ratio_weighted_sum (per-note component ratios); research density_weighted_sum maps body-ceiling richness</t>
        </is>
      </c>
      <c r="GR8" s="15" t="inlineStr">
        <is>
          <t>individual_exact</t>
        </is>
      </c>
      <c r="GS8" s="15" t="inlineStr">
        <is>
          <t>density_weight</t>
        </is>
      </c>
      <c r="GT8" s="15" t="n">
        <v>0.4587369852887112</v>
      </c>
      <c r="GU8" s="15" t="n">
        <v>0.5412630147112889</v>
      </c>
      <c r="GV8" s="15" t="n">
        <v>0</v>
      </c>
      <c r="GW8" s="15" t="inlineStr">
        <is>
          <t>log</t>
        </is>
      </c>
      <c r="GX8" s="15" t="n">
        <v>0.5</v>
      </c>
      <c r="GY8" s="15" t="inlineStr">
        <is>
          <t>EWSD-R v18.1</t>
        </is>
      </c>
      <c r="GZ8" s="15" t="n">
        <v>12.91879113760248</v>
      </c>
      <c r="HA8" s="15" t="n">
        <v>46.38818780923621</v>
      </c>
      <c r="HB8" s="15" t="n">
        <v>0.3096984128563835</v>
      </c>
      <c r="HC8" s="15" t="n">
        <v>20.45486713048025</v>
      </c>
      <c r="HD8" s="15" t="n">
        <v>55.48456818720208</v>
      </c>
      <c r="HE8" s="15" t="n">
        <v>0.2815271476176104</v>
      </c>
      <c r="HF8" s="15" t="inlineStr">
        <is>
          <t>partials+ratios</t>
        </is>
      </c>
      <c r="HG8" s="15" t="inlineStr">
        <is>
          <t>merged_individual_exact</t>
        </is>
      </c>
      <c r="HH8" s="15" t="inlineStr">
        <is>
          <t>passed</t>
        </is>
      </c>
      <c r="HI8" s="15" t="inlineStr">
        <is>
          <t>passed</t>
        </is>
      </c>
    </row>
    <row r="9">
      <c r="A9" t="inlineStr">
        <is>
          <t>incomplete_inference</t>
        </is>
      </c>
      <c r="B9" t="inlineStr">
        <is>
          <t>missing_instrument_technique</t>
        </is>
      </c>
      <c r="C9" t="inlineStr">
        <is>
          <t>prior_constrained_harmonic_fit</t>
        </is>
      </c>
      <c r="D9" t="inlineStr">
        <is>
          <t>IOWA_Trb.T_pp.B2_SustainStable/B2/component_amplitude_mass_pie.png</t>
        </is>
      </c>
      <c r="E9" t="inlineStr">
        <is>
          <t>IOWA_Trb.T_pp.B2_SustainStable/B2/component_energy_ratio_pie.png</t>
        </is>
      </c>
      <c r="F9" s="15" t="n">
        <v>123.419330122081</v>
      </c>
      <c r="G9" s="15" t="inlineStr">
        <is>
          <t>prior_constrained_harmonic_fit</t>
        </is>
      </c>
      <c r="H9" s="15" t="inlineStr">
        <is>
          <t>fit_accepted_acoustically_verified</t>
        </is>
      </c>
      <c r="I9" s="16" t="n">
        <v>1169.565244480729</v>
      </c>
      <c r="J9" t="inlineStr">
        <is>
          <t>richness_weighted_body_density_body_ceiling</t>
        </is>
      </c>
      <c r="K9" t="inlineStr">
        <is>
          <t>research_body_ceiling_richness_metric</t>
        </is>
      </c>
      <c r="L9" s="15" t="n">
        <v>43673.79175233847</v>
      </c>
      <c r="M9" s="15" t="n">
        <v>43674.81376806702</v>
      </c>
      <c r="N9" s="15" t="n">
        <v>180.2970954093795</v>
      </c>
      <c r="O9" s="15" t="n">
        <v>22.51893419750782</v>
      </c>
      <c r="P9" s="15" t="n">
        <v>-2.563451416607069</v>
      </c>
      <c r="Q9" s="15" t="n">
        <v>28</v>
      </c>
      <c r="R9" s="15" t="n">
        <v>143</v>
      </c>
      <c r="S9" s="15" t="n">
        <v>43674.95792153056</v>
      </c>
      <c r="T9" s="15" t="n">
        <v>163</v>
      </c>
      <c r="U9" s="15" t="n">
        <v>0.4441175576592644</v>
      </c>
      <c r="V9" s="15" t="n">
        <v>63.86538560645677</v>
      </c>
      <c r="W9" s="15" t="n">
        <v>0.996279729333978</v>
      </c>
      <c r="X9" s="15" t="n">
        <v>0.272907240460761</v>
      </c>
      <c r="Y9" s="15" t="n">
        <v>26</v>
      </c>
      <c r="Z9" s="15" t="n">
        <v>162</v>
      </c>
      <c r="AA9" s="15" t="n">
        <v>0.1604938271604938</v>
      </c>
      <c r="AB9" s="15" t="n">
        <v>162</v>
      </c>
      <c r="AC9" s="15" t="n">
        <v>26</v>
      </c>
      <c r="AD9" s="15" t="n">
        <v>0.1604938271604938</v>
      </c>
      <c r="AE9" s="15" t="n">
        <v>1624.204983971872</v>
      </c>
      <c r="AF9" s="15" t="n">
        <v>26</v>
      </c>
      <c r="AG9" s="15" t="n">
        <v>162</v>
      </c>
      <c r="AH9" s="15" t="n">
        <v>0.1604938271604938</v>
      </c>
      <c r="AI9" s="15" t="n">
        <v>1624.204983971872</v>
      </c>
      <c r="AJ9" s="15" t="n">
        <v>13</v>
      </c>
      <c r="AK9" s="15" t="n">
        <v>13</v>
      </c>
      <c r="AL9" s="15" t="n">
        <v>1.462268653145993</v>
      </c>
      <c r="AM9" s="15" t="n">
        <v>48</v>
      </c>
      <c r="AN9" s="15" t="n">
        <v>1</v>
      </c>
      <c r="AO9" s="15" t="n">
        <v>48</v>
      </c>
      <c r="AP9" s="15" t="n">
        <v>1</v>
      </c>
      <c r="AQ9" s="15" t="n">
        <v>34.43055050279921</v>
      </c>
      <c r="AR9" s="15" t="n">
        <v>20.25459087742519</v>
      </c>
      <c r="AS9" s="15" t="n">
        <v>0.5443209131707707</v>
      </c>
      <c r="AT9" s="17" t="n">
        <v>2.766407821512742</v>
      </c>
      <c r="AU9" s="18" t="n">
        <v>27.67415589034363</v>
      </c>
      <c r="AV9" s="15" t="n">
        <v>33.80172114551365</v>
      </c>
      <c r="AW9" s="15" t="b">
        <v>1</v>
      </c>
      <c r="AX9" s="15" t="n">
        <v>16.2898997345132</v>
      </c>
      <c r="AY9" s="15" t="n">
        <v>26.63636033745546</v>
      </c>
      <c r="AZ9" s="15" t="n">
        <v>0.4498717096323312</v>
      </c>
      <c r="BA9" s="15" t="n">
        <v>1</v>
      </c>
      <c r="BB9" s="15" t="n">
        <v>0.5</v>
      </c>
      <c r="BC9" s="15" t="n">
        <v>0.25</v>
      </c>
      <c r="BD9" s="15" t="inlineStr">
        <is>
          <t>his_note_adaptive</t>
        </is>
      </c>
      <c r="BE9" s="15" t="n">
        <v>-90</v>
      </c>
      <c r="BF9" s="15" t="n">
        <v>20000</v>
      </c>
      <c r="BG9" s="15" t="n">
        <v>26</v>
      </c>
      <c r="BH9" s="15" t="n">
        <v>0.1604938271604938</v>
      </c>
      <c r="BI9" s="15" t="n">
        <v>162</v>
      </c>
      <c r="BJ9" s="15" t="n">
        <v>26</v>
      </c>
      <c r="BK9" s="15" t="n">
        <v>162</v>
      </c>
      <c r="BL9" s="15" t="n">
        <v>151</v>
      </c>
      <c r="BM9" s="15" t="n">
        <v>0.9320987654320988</v>
      </c>
      <c r="BN9" s="15" t="n">
        <v>0.1282689993518456</v>
      </c>
      <c r="BO9" s="15" t="n">
        <v>0.4</v>
      </c>
      <c r="BP9" s="19" t="n">
        <v>0.8474489093907634</v>
      </c>
      <c r="BQ9" s="19" t="n">
        <v>0.1525312491233274</v>
      </c>
      <c r="BR9" s="19" t="n">
        <v>1.984148590917411e-05</v>
      </c>
      <c r="BS9" s="15" t="n">
        <v>0.07199380459304958</v>
      </c>
      <c r="BT9" s="19" t="n">
        <v>0.9999765873539425</v>
      </c>
      <c r="BU9" s="19" t="n">
        <v>0</v>
      </c>
      <c r="BV9" s="19" t="n">
        <v>2.341264605762617e-05</v>
      </c>
      <c r="BW9" t="inlineStr">
        <is>
          <t>B2</t>
        </is>
      </c>
      <c r="BX9" t="n">
        <v>47</v>
      </c>
      <c r="BY9" t="inlineStr">
        <is>
          <t>B</t>
        </is>
      </c>
      <c r="BZ9" t="n">
        <v>2</v>
      </c>
      <c r="CA9" t="inlineStr">
        <is>
          <t>Low</t>
        </is>
      </c>
      <c r="CB9" t="inlineStr">
        <is>
          <t>pp</t>
        </is>
      </c>
      <c r="CC9" s="15" t="n">
        <v>123.470825314031</v>
      </c>
      <c r="CD9" s="15" t="n">
        <v>123.419330122081</v>
      </c>
      <c r="CE9" t="inlineStr">
        <is>
          <t>prior_constrained_harmonic_fit</t>
        </is>
      </c>
      <c r="CF9" t="n">
        <v>123.419330122081</v>
      </c>
      <c r="CG9" s="15" t="n">
        <v>1</v>
      </c>
      <c r="CH9" t="inlineStr">
        <is>
          <t>free_fit_acoustically_verified</t>
        </is>
      </c>
      <c r="CI9" s="15" t="inlineStr">
        <is>
          <t>free_f0_fit</t>
        </is>
      </c>
      <c r="CJ9" s="15" t="n">
        <v>123.470825314031</v>
      </c>
      <c r="CK9" s="15" t="n">
        <v>123.419330122081</v>
      </c>
      <c r="CL9" s="15" t="n">
        <v>-0.7221853848525996</v>
      </c>
      <c r="CM9" s="15" t="n">
        <v>20000</v>
      </c>
      <c r="CN9" s="15" t="n">
        <v>-0.7221853848525996</v>
      </c>
      <c r="CO9" s="15" t="n">
        <v>2.26204786936453</v>
      </c>
      <c r="CP9" s="15" t="n">
        <v>43673.79175233847</v>
      </c>
      <c r="CQ9" t="n">
        <v>4.338289951272674</v>
      </c>
      <c r="CR9" t="n">
        <v>0.0267795676004486</v>
      </c>
      <c r="CS9" t="n">
        <v>269.5913038587076</v>
      </c>
      <c r="CT9" t="n">
        <v>269.5976158522656</v>
      </c>
      <c r="CU9" t="n">
        <v>1169.565244480729</v>
      </c>
      <c r="CV9" t="n">
        <v>22.51893419750782</v>
      </c>
      <c r="CW9" s="15" t="n">
        <v>43674.81376806702</v>
      </c>
      <c r="CX9" s="15" t="n">
        <v>180.2970954093795</v>
      </c>
      <c r="CY9" s="15" t="n">
        <v>22.51893419750782</v>
      </c>
      <c r="CZ9" s="15" t="n">
        <v>2.766906462530754</v>
      </c>
      <c r="DA9" s="15" t="n">
        <v>2.766444004469108</v>
      </c>
      <c r="DB9" s="15" t="n">
        <v>1.849031423681455</v>
      </c>
      <c r="DC9" s="15" t="n">
        <v>0</v>
      </c>
      <c r="DD9" s="15" t="n">
        <v>6.335393267937636e-05</v>
      </c>
      <c r="DE9" s="15" t="n">
        <v>0</v>
      </c>
      <c r="DF9" s="15" t="n">
        <v>28</v>
      </c>
      <c r="DG9" s="15" t="inlineStr">
        <is>
          <t>Density_Metrics</t>
        </is>
      </c>
      <c r="DH9" s="15" t="n">
        <v>2.26204786936453</v>
      </c>
      <c r="DI9" t="n">
        <v>0.9816546248280168</v>
      </c>
      <c r="DJ9" s="15" t="n">
        <v>0.5759273430421366</v>
      </c>
      <c r="DK9" s="15" t="n">
        <v>5.836474450552363</v>
      </c>
      <c r="DL9" s="15" t="n">
        <v>4.378662936891548</v>
      </c>
      <c r="DM9" s="15" t="n">
        <v>2.266542121047266</v>
      </c>
      <c r="DN9" s="15" t="n">
        <v>8.725364618483743</v>
      </c>
      <c r="DO9" s="15" t="n">
        <v>0.3911017190715476</v>
      </c>
      <c r="DP9" s="15" t="n">
        <v>2.6875</v>
      </c>
      <c r="DQ9" s="15" t="n">
        <v>66</v>
      </c>
      <c r="DR9" s="15" t="b">
        <v>1</v>
      </c>
      <c r="DS9" s="15" t="n">
        <v>4.338289951272674</v>
      </c>
      <c r="DT9" s="15" t="n">
        <v>44.21097295464327</v>
      </c>
      <c r="DU9" t="n">
        <v>162</v>
      </c>
      <c r="DV9" s="15" t="n">
        <v>0.07199380459304958</v>
      </c>
      <c r="DW9" s="15" t="n">
        <v>2.419680009387508</v>
      </c>
      <c r="DX9" s="15" t="n">
        <v>2.979522686857033</v>
      </c>
      <c r="DY9" s="15" t="n">
        <v>0.05276564195102544</v>
      </c>
      <c r="DZ9" s="15" t="b">
        <v>1</v>
      </c>
      <c r="EA9" s="15" t="n">
        <v>0.3883100972488655</v>
      </c>
      <c r="EB9" s="15" t="n">
        <v>20000</v>
      </c>
      <c r="EC9" s="15" t="n">
        <v>3455.741243418267</v>
      </c>
      <c r="ED9" s="15" t="n">
        <v>28</v>
      </c>
      <c r="EE9" s="15" t="n">
        <v>3</v>
      </c>
      <c r="EF9" s="15" t="n">
        <v>0.0435997796852683</v>
      </c>
      <c r="EG9" s="15" t="b">
        <v>0</v>
      </c>
      <c r="EH9" s="15" t="b">
        <v>1</v>
      </c>
      <c r="EI9" s="15" t="b">
        <v>0</v>
      </c>
      <c r="EJ9" s="15" t="inlineStr">
        <is>
          <t>wf=log|dst=-90.0|ceil=20000.0|fft=adaptive_tier</t>
        </is>
      </c>
      <c r="EK9" s="15" t="inlineStr">
        <is>
          <t>wf=log|dst=runtime_configured|ceil=runtime_configured|fft=fixed</t>
        </is>
      </c>
      <c r="EL9" s="15" t="n">
        <v>0.5758764127359256</v>
      </c>
      <c r="EM9" s="15" t="n">
        <v>0.9914349886951264</v>
      </c>
      <c r="EN9" s="15" t="n">
        <v>0.1728395061728395</v>
      </c>
      <c r="EO9" s="15" t="n">
        <v>0.3461842033131247</v>
      </c>
      <c r="EP9" s="15" t="inlineStr">
        <is>
          <t>warn:power_outlier_detected</t>
        </is>
      </c>
      <c r="EQ9" s="15" t="n">
        <v>763.8121776018136</v>
      </c>
      <c r="ER9" s="15" t="inlineStr">
        <is>
          <t>winsorize_p95_for_robust_diagnostics</t>
        </is>
      </c>
      <c r="ES9" s="15" t="n">
        <v>0.08527947438922075</v>
      </c>
      <c r="ET9" s="15" t="n">
        <v>0.03248058110531282</v>
      </c>
      <c r="EU9" s="15" t="n">
        <v>0.03435494366360023</v>
      </c>
      <c r="EV9" t="inlineStr">
        <is>
          <t>computed</t>
        </is>
      </c>
      <c r="EW9" s="15" t="inlineStr">
        <is>
          <t>computed</t>
        </is>
      </c>
      <c r="EX9" s="15" t="inlineStr">
        <is>
          <t>computed</t>
        </is>
      </c>
      <c r="EY9" s="15" t="inlineStr">
        <is>
          <t>available_from_curve</t>
        </is>
      </c>
      <c r="EZ9" s="15" t="n">
        <v>20000</v>
      </c>
      <c r="FA9" s="15" t="n">
        <v>20000</v>
      </c>
      <c r="FB9" s="15" t="n">
        <v>0.1525312491233274</v>
      </c>
      <c r="FC9" s="15" t="n">
        <v>0.5379048351930975</v>
      </c>
      <c r="FD9" s="15" t="n">
        <v>2.766444004469108</v>
      </c>
      <c r="FE9" s="15" t="n">
        <v>1.849031423681455</v>
      </c>
      <c r="FF9" s="15" t="n">
        <v>1.2209990224018</v>
      </c>
      <c r="FG9" s="15" t="n">
        <v>1.367413008087286</v>
      </c>
      <c r="FH9" s="15" t="n">
        <v>0.8159987250029223</v>
      </c>
      <c r="FI9" s="15" t="n">
        <v>0.07863613627432217</v>
      </c>
      <c r="FJ9" s="15" t="n">
        <v>43674.81376806702</v>
      </c>
      <c r="FK9" s="15" t="n">
        <v>180.2970954093795</v>
      </c>
      <c r="FL9" s="15" t="n">
        <v>22.51893419750782</v>
      </c>
      <c r="FM9" s="15" t="n">
        <v>0.00505805027660603</v>
      </c>
      <c r="FN9" t="n">
        <v>0.9999765873539425</v>
      </c>
      <c r="FO9" t="n">
        <v>0</v>
      </c>
      <c r="FP9" t="n">
        <v>2.341264605762617e-05</v>
      </c>
      <c r="FQ9" t="inlineStr">
        <is>
          <t>excellent</t>
        </is>
      </c>
      <c r="FR9" s="19" t="n">
        <v>0.9320987654320988</v>
      </c>
      <c r="FS9" s="15" t="n">
        <v>2.172671640504352</v>
      </c>
      <c r="FT9" s="15" t="n">
        <v>16.54032571428528</v>
      </c>
      <c r="FU9" t="inlineStr">
        <is>
          <t>passed</t>
        </is>
      </c>
      <c r="FV9" t="n">
        <v>583.0418991025691</v>
      </c>
      <c r="FW9" t="n">
        <v>69.63686622133196</v>
      </c>
      <c r="FX9" t="n">
        <v>15.63408906027449</v>
      </c>
      <c r="FY9" t="n">
        <v>0.8983408837386054</v>
      </c>
      <c r="FZ9" t="n">
        <v>0.6191481678329476</v>
      </c>
      <c r="GA9" t="n">
        <v>0.8652074955264606</v>
      </c>
      <c r="GB9" t="n">
        <v>0.4687686648340948</v>
      </c>
      <c r="GC9" t="n">
        <v>0.4684737921689821</v>
      </c>
      <c r="GD9" t="n">
        <v>0.5998728409312393</v>
      </c>
      <c r="GE9" t="n">
        <v>0.6668595940298349</v>
      </c>
      <c r="GF9" t="n">
        <v>0.8481431886584567</v>
      </c>
      <c r="GG9" t="n">
        <v>0.2621124655316149</v>
      </c>
      <c r="GH9" t="n">
        <v>0.7317936715499599</v>
      </c>
      <c r="GI9" t="n">
        <v>0.745805634694523</v>
      </c>
      <c r="GJ9" t="n">
        <v>0.5925925925925936</v>
      </c>
      <c r="GK9" t="n">
        <v>0.6744186046511629</v>
      </c>
      <c r="GL9" t="n">
        <v>0.05793603178710872</v>
      </c>
      <c r="GM9" t="n">
        <v>0.05793603178710872</v>
      </c>
      <c r="GN9" t="n">
        <v>0.6684640524024175</v>
      </c>
      <c r="GO9" t="n">
        <v>0.617705340776443</v>
      </c>
      <c r="GP9" t="n">
        <v>1169.565244480729</v>
      </c>
      <c r="GQ9" t="inlineStr">
        <is>
          <t>compiled workbook density_weighted_sum = density_component_ratio_weighted_sum (per-note component ratios); research density_weighted_sum maps body-ceiling richness</t>
        </is>
      </c>
      <c r="GR9" s="15" t="inlineStr">
        <is>
          <t>individual_exact</t>
        </is>
      </c>
      <c r="GS9" s="15" t="inlineStr">
        <is>
          <t>density_weight</t>
        </is>
      </c>
      <c r="GT9" s="15" t="n">
        <v>0.6167181525300626</v>
      </c>
      <c r="GU9" s="15" t="n">
        <v>0.3832467380754819</v>
      </c>
      <c r="GV9" s="15" t="n">
        <v>3.510939445557125e-05</v>
      </c>
      <c r="GW9" s="15" t="inlineStr">
        <is>
          <t>log</t>
        </is>
      </c>
      <c r="GX9" s="15" t="n">
        <v>0.5</v>
      </c>
      <c r="GY9" s="15" t="inlineStr">
        <is>
          <t>EWSD-R v18.1</t>
        </is>
      </c>
      <c r="GZ9" s="15" t="n">
        <v>10.94377227892837</v>
      </c>
      <c r="HA9" s="15" t="n">
        <v>40.85903255898047</v>
      </c>
      <c r="HB9" s="15" t="n">
        <v>0.2948450896087659</v>
      </c>
      <c r="HC9" s="15" t="n">
        <v>17.97223104932608</v>
      </c>
      <c r="HD9" s="15" t="n">
        <v>51.56255925560354</v>
      </c>
      <c r="HE9" s="15" t="n">
        <v>0.26584113162643</v>
      </c>
      <c r="HF9" s="15" t="inlineStr">
        <is>
          <t>partials+ratios</t>
        </is>
      </c>
      <c r="HG9" s="15" t="inlineStr">
        <is>
          <t>merged_individual_exact</t>
        </is>
      </c>
      <c r="HH9" s="15" t="inlineStr">
        <is>
          <t>passed</t>
        </is>
      </c>
      <c r="HI9" s="15" t="inlineStr">
        <is>
          <t>passed</t>
        </is>
      </c>
    </row>
    <row r="10">
      <c r="A10" t="inlineStr">
        <is>
          <t>incomplete_inference</t>
        </is>
      </c>
      <c r="B10" t="inlineStr">
        <is>
          <t>missing_instrument_technique</t>
        </is>
      </c>
      <c r="C10" t="inlineStr">
        <is>
          <t>prior_constrained_harmonic_fit</t>
        </is>
      </c>
      <c r="D10" t="inlineStr">
        <is>
          <t>IOWA_Trb.T_pp.C3_SustainStable/C3/component_amplitude_mass_pie.png</t>
        </is>
      </c>
      <c r="E10" t="inlineStr">
        <is>
          <t>IOWA_Trb.T_pp.C3_SustainStable/C3/component_energy_ratio_pie.png</t>
        </is>
      </c>
      <c r="F10" s="15" t="n">
        <v>130.6777076146884</v>
      </c>
      <c r="G10" s="15" t="inlineStr">
        <is>
          <t>prior_constrained_harmonic_fit</t>
        </is>
      </c>
      <c r="H10" s="15" t="inlineStr">
        <is>
          <t>fit_accepted_acoustically_verified</t>
        </is>
      </c>
      <c r="I10" s="16" t="n">
        <v>1118.5485335353</v>
      </c>
      <c r="J10" t="inlineStr">
        <is>
          <t>richness_weighted_body_density_body_ceiling</t>
        </is>
      </c>
      <c r="K10" t="inlineStr">
        <is>
          <t>research_body_ceiling_richness_metric</t>
        </is>
      </c>
      <c r="L10" s="15" t="n">
        <v>42104.75858732023</v>
      </c>
      <c r="M10" s="15" t="n">
        <v>42122.49811481845</v>
      </c>
      <c r="N10" s="15" t="n">
        <v>108.2693641819288</v>
      </c>
      <c r="O10" s="15" t="n">
        <v>35.01982864726632</v>
      </c>
      <c r="P10" s="15" t="n">
        <v>-3.531147733641253</v>
      </c>
      <c r="Q10" s="15" t="n">
        <v>18</v>
      </c>
      <c r="R10" s="15" t="n">
        <v>109</v>
      </c>
      <c r="S10" s="15" t="n">
        <v>42122.61297682956</v>
      </c>
      <c r="T10" s="15" t="n">
        <v>154</v>
      </c>
      <c r="U10" s="15" t="n">
        <v>0.8137092248697317</v>
      </c>
      <c r="V10" s="15" t="n">
        <v>64.12144228799113</v>
      </c>
      <c r="W10" s="15" t="n">
        <v>0.9981055429542416</v>
      </c>
      <c r="X10" s="15" t="n">
        <v>0.2822755144023721</v>
      </c>
      <c r="Y10" s="15" t="n">
        <v>15</v>
      </c>
      <c r="Z10" s="15" t="n">
        <v>153</v>
      </c>
      <c r="AA10" s="15" t="n">
        <v>0.09803921568627451</v>
      </c>
      <c r="AB10" s="15" t="n">
        <v>153</v>
      </c>
      <c r="AC10" s="15" t="n">
        <v>15</v>
      </c>
      <c r="AD10" s="15" t="n">
        <v>0.09803921568627451</v>
      </c>
      <c r="AE10" s="15" t="n">
        <v>1569.354650689806</v>
      </c>
      <c r="AF10" s="15" t="n">
        <v>15</v>
      </c>
      <c r="AG10" s="15" t="n">
        <v>153</v>
      </c>
      <c r="AH10" s="15" t="n">
        <v>0.09803921568627451</v>
      </c>
      <c r="AI10" s="15" t="n">
        <v>1569.354650689806</v>
      </c>
      <c r="AJ10" s="15" t="n">
        <v>8</v>
      </c>
      <c r="AK10" s="15" t="n">
        <v>7</v>
      </c>
      <c r="AL10" s="15" t="n">
        <v>2.161768220177247</v>
      </c>
      <c r="AM10" s="15" t="n">
        <v>51</v>
      </c>
      <c r="AN10" s="15" t="n">
        <v>2</v>
      </c>
      <c r="AO10" s="15" t="n">
        <v>51</v>
      </c>
      <c r="AP10" s="15" t="n">
        <v>2</v>
      </c>
      <c r="AQ10" s="15" t="n">
        <v>33.54299068543824</v>
      </c>
      <c r="AR10" s="15" t="n">
        <v>20.25058969767785</v>
      </c>
      <c r="AS10" s="15" t="n">
        <v>0.5441612928250469</v>
      </c>
      <c r="AT10" s="17" t="n">
        <v>2.752090799656069</v>
      </c>
      <c r="AU10" s="18" t="n">
        <v>24.95568731024118</v>
      </c>
      <c r="AV10" s="15" t="n">
        <v>28.04344943279142</v>
      </c>
      <c r="AW10" s="15" t="b">
        <v>1</v>
      </c>
      <c r="AX10" s="15" t="n">
        <v>11.54672461686902</v>
      </c>
      <c r="AY10" s="15" t="n">
        <v>28.44548553520614</v>
      </c>
      <c r="AZ10" s="15" t="n">
        <v>0.9410268740072363</v>
      </c>
      <c r="BA10" s="15" t="n">
        <v>1</v>
      </c>
      <c r="BB10" s="15" t="n">
        <v>0.5</v>
      </c>
      <c r="BC10" s="15" t="n">
        <v>0.25</v>
      </c>
      <c r="BD10" s="15" t="inlineStr">
        <is>
          <t>his_note_adaptive</t>
        </is>
      </c>
      <c r="BE10" s="15" t="n">
        <v>-90</v>
      </c>
      <c r="BF10" s="15" t="n">
        <v>20000</v>
      </c>
      <c r="BG10" s="15" t="n">
        <v>15</v>
      </c>
      <c r="BH10" s="15" t="n">
        <v>0.09803921568627451</v>
      </c>
      <c r="BI10" s="15" t="n">
        <v>153</v>
      </c>
      <c r="BJ10" s="15" t="n">
        <v>15</v>
      </c>
      <c r="BK10" s="15" t="n">
        <v>153</v>
      </c>
      <c r="BL10" s="15" t="n">
        <v>143</v>
      </c>
      <c r="BM10" s="15" t="n">
        <v>0.934640522875817</v>
      </c>
      <c r="BN10" s="15" t="n">
        <v>0.1299082319458573</v>
      </c>
      <c r="BO10" s="15" t="n">
        <v>0.425</v>
      </c>
      <c r="BP10" s="19" t="n">
        <v>0.8414122407825461</v>
      </c>
      <c r="BQ10" s="19" t="n">
        <v>0.158522924321119</v>
      </c>
      <c r="BR10" s="19" t="n">
        <v>6.483489633485979e-05</v>
      </c>
      <c r="BS10" s="15" t="n">
        <v>0.08003663633865495</v>
      </c>
      <c r="BT10" s="19" t="n">
        <v>0.9995779076237792</v>
      </c>
      <c r="BU10" s="19" t="n">
        <v>0.000345070047713698</v>
      </c>
      <c r="BV10" s="19" t="n">
        <v>7.702232850704699e-05</v>
      </c>
      <c r="BW10" t="inlineStr">
        <is>
          <t>C3</t>
        </is>
      </c>
      <c r="BX10" t="n">
        <v>48</v>
      </c>
      <c r="BY10" t="inlineStr">
        <is>
          <t>C</t>
        </is>
      </c>
      <c r="BZ10" t="n">
        <v>3</v>
      </c>
      <c r="CA10" t="inlineStr">
        <is>
          <t>Middle</t>
        </is>
      </c>
      <c r="CB10" t="inlineStr">
        <is>
          <t>pp</t>
        </is>
      </c>
      <c r="CC10" s="15" t="n">
        <v>130.8127826502993</v>
      </c>
      <c r="CD10" s="15" t="n">
        <v>130.6777076146884</v>
      </c>
      <c r="CE10" t="inlineStr">
        <is>
          <t>prior_constrained_harmonic_fit</t>
        </is>
      </c>
      <c r="CF10" t="n">
        <v>130.6777076146884</v>
      </c>
      <c r="CG10" s="15" t="n">
        <v>1</v>
      </c>
      <c r="CH10" t="inlineStr">
        <is>
          <t>free_fit_acoustically_verified</t>
        </is>
      </c>
      <c r="CI10" s="15" t="inlineStr">
        <is>
          <t>free_f0_fit</t>
        </is>
      </c>
      <c r="CJ10" s="15" t="n">
        <v>130.8127826502993</v>
      </c>
      <c r="CK10" s="15" t="n">
        <v>130.6777076146884</v>
      </c>
      <c r="CL10" s="15" t="n">
        <v>-1.788566164611887</v>
      </c>
      <c r="CM10" s="15" t="n">
        <v>20000</v>
      </c>
      <c r="CN10" s="15" t="n">
        <v>-1.788566164611887</v>
      </c>
      <c r="CO10" s="15" t="n">
        <v>2.166326320703827</v>
      </c>
      <c r="CP10" s="15" t="n">
        <v>42104.75858732023</v>
      </c>
      <c r="CQ10" t="n">
        <v>4.064577827402366</v>
      </c>
      <c r="CR10" t="n">
        <v>0.02656586815295664</v>
      </c>
      <c r="CS10" t="n">
        <v>275.1942713445727</v>
      </c>
      <c r="CT10" t="n">
        <v>275.3104451948918</v>
      </c>
      <c r="CU10" t="n">
        <v>1118.5485335353</v>
      </c>
      <c r="CV10" t="n">
        <v>35.01982864726632</v>
      </c>
      <c r="CW10" s="15" t="n">
        <v>42122.49811481845</v>
      </c>
      <c r="CX10" s="15" t="n">
        <v>108.2693641819288</v>
      </c>
      <c r="CY10" s="15" t="n">
        <v>35.01982864726632</v>
      </c>
      <c r="CZ10" s="15" t="n">
        <v>2.754684380079568</v>
      </c>
      <c r="DA10" s="15" t="n">
        <v>2.752586694243945</v>
      </c>
      <c r="DB10" s="15" t="n">
        <v>1.629300924679987</v>
      </c>
      <c r="DC10" s="15" t="n">
        <v>0</v>
      </c>
      <c r="DD10" s="15" t="n">
        <v>6.542453804518749e-05</v>
      </c>
      <c r="DE10" s="15" t="n">
        <v>0</v>
      </c>
      <c r="DF10" s="15" t="n">
        <v>18</v>
      </c>
      <c r="DG10" s="15" t="inlineStr">
        <is>
          <t>Density_Metrics</t>
        </is>
      </c>
      <c r="DH10" s="15" t="n">
        <v>2.166326320703827</v>
      </c>
      <c r="DI10" t="n">
        <v>0.9401146104847853</v>
      </c>
      <c r="DJ10" s="15" t="n">
        <v>0.5742733396517075</v>
      </c>
      <c r="DK10" s="15" t="n">
        <v>5.72861816891523</v>
      </c>
      <c r="DL10" s="15" t="n">
        <v>4.092270186006913</v>
      </c>
      <c r="DM10" s="15" t="n">
        <v>2.239886877193213</v>
      </c>
      <c r="DN10" s="15" t="n">
        <v>9.619711864485216</v>
      </c>
      <c r="DO10" s="15" t="n">
        <v>0.4461948859191169</v>
      </c>
      <c r="DP10" s="15" t="n">
        <v>3</v>
      </c>
      <c r="DQ10" s="15" t="n">
        <v>47</v>
      </c>
      <c r="DR10" s="15" t="b">
        <v>1</v>
      </c>
      <c r="DS10" s="15" t="n">
        <v>4.064577827402366</v>
      </c>
      <c r="DT10" s="15" t="n">
        <v>43.18815370356293</v>
      </c>
      <c r="DU10" t="n">
        <v>153</v>
      </c>
      <c r="DV10" s="15" t="n">
        <v>0.08003663633865495</v>
      </c>
      <c r="DW10" s="15" t="n">
        <v>2.47123072670448</v>
      </c>
      <c r="DX10" s="15" t="n">
        <v>2.954864340141742</v>
      </c>
      <c r="DY10" s="15" t="n">
        <v>0.04467692931562009</v>
      </c>
      <c r="DZ10" s="15" t="b">
        <v>1</v>
      </c>
      <c r="EA10" s="15" t="n">
        <v>0.3898753921423204</v>
      </c>
      <c r="EB10" s="15" t="n">
        <v>20000</v>
      </c>
      <c r="EC10" s="15" t="n">
        <v>2352.198737064391</v>
      </c>
      <c r="ED10" s="15" t="n">
        <v>18</v>
      </c>
      <c r="EE10" s="15" t="n">
        <v>0</v>
      </c>
      <c r="EF10" s="15" t="n">
        <v>0.04115271208350588</v>
      </c>
      <c r="EG10" s="15" t="b">
        <v>0</v>
      </c>
      <c r="EH10" s="15" t="b">
        <v>1</v>
      </c>
      <c r="EI10" s="15" t="b">
        <v>0</v>
      </c>
      <c r="EJ10" s="15" t="inlineStr">
        <is>
          <t>wf=log|dst=-90.0|ceil=20000.0|fft=adaptive_tier</t>
        </is>
      </c>
      <c r="EK10" s="15" t="inlineStr">
        <is>
          <t>wf=log|dst=runtime_configured|ceil=runtime_configured|fft=fixed</t>
        </is>
      </c>
      <c r="EL10" s="15" t="n">
        <v>0.5543111296499056</v>
      </c>
      <c r="EM10" s="15" t="n">
        <v>0.9883559771825897</v>
      </c>
      <c r="EN10" s="15" t="n">
        <v>0.1176470588235294</v>
      </c>
      <c r="EO10" s="15" t="n">
        <v>0.3418723466475244</v>
      </c>
      <c r="EP10" s="15" t="inlineStr">
        <is>
          <t>warn:power_outlier_detected</t>
        </is>
      </c>
      <c r="EQ10" s="15" t="n">
        <v>831.5276804055142</v>
      </c>
      <c r="ER10" s="15" t="inlineStr">
        <is>
          <t>winsorize_p95_for_robust_diagnostics</t>
        </is>
      </c>
      <c r="ES10" s="15" t="n">
        <v>0.07623379034789013</v>
      </c>
      <c r="ET10" s="15" t="n">
        <v>0.03160965326125358</v>
      </c>
      <c r="EU10" s="15" t="n">
        <v>0.03297688374259549</v>
      </c>
      <c r="EV10" t="inlineStr">
        <is>
          <t>computed</t>
        </is>
      </c>
      <c r="EW10" s="15" t="inlineStr">
        <is>
          <t>computed</t>
        </is>
      </c>
      <c r="EX10" s="15" t="inlineStr">
        <is>
          <t>computed</t>
        </is>
      </c>
      <c r="EY10" s="15" t="inlineStr">
        <is>
          <t>available_from_curve</t>
        </is>
      </c>
      <c r="EZ10" s="15" t="n">
        <v>20000</v>
      </c>
      <c r="FA10" s="15" t="n">
        <v>20000</v>
      </c>
      <c r="FB10" s="15" t="n">
        <v>0.158522924321119</v>
      </c>
      <c r="FC10" s="15" t="n">
        <v>0.6296295348894356</v>
      </c>
      <c r="FD10" s="15" t="n">
        <v>2.752586694243945</v>
      </c>
      <c r="FE10" s="15" t="n">
        <v>1.629300924679987</v>
      </c>
      <c r="FF10" s="15" t="n">
        <v>1.346730549991299</v>
      </c>
      <c r="FG10" s="15" t="n">
        <v>1.360563541324764</v>
      </c>
      <c r="FH10" s="15" t="n">
        <v>0.7190291415047334</v>
      </c>
      <c r="FI10" s="15" t="n">
        <v>0.08673363787432994</v>
      </c>
      <c r="FJ10" s="15" t="n">
        <v>42122.49811481845</v>
      </c>
      <c r="FK10" s="15" t="n">
        <v>108.2693641819288</v>
      </c>
      <c r="FL10" s="15" t="n">
        <v>35.01982864726632</v>
      </c>
      <c r="FM10" s="15" t="n">
        <v>0.004848344189593682</v>
      </c>
      <c r="FN10" t="n">
        <v>0.9995779076237792</v>
      </c>
      <c r="FO10" t="n">
        <v>0.000345070047713698</v>
      </c>
      <c r="FP10" t="n">
        <v>7.702232850704699e-05</v>
      </c>
      <c r="FQ10" t="inlineStr">
        <is>
          <t>excellent</t>
        </is>
      </c>
      <c r="FR10" s="19" t="n">
        <v>0.934640522875817</v>
      </c>
      <c r="FS10" s="15" t="n">
        <v>2.623314386977621</v>
      </c>
      <c r="FT10" s="15" t="n">
        <v>15.99796527196468</v>
      </c>
      <c r="FU10" t="inlineStr">
        <is>
          <t>passed</t>
        </is>
      </c>
      <c r="FV10" t="n">
        <v>564.700671481069</v>
      </c>
      <c r="FW10" t="n">
        <v>41.58934144590595</v>
      </c>
      <c r="FX10" t="n">
        <v>21.21930906824706</v>
      </c>
      <c r="FY10" t="n">
        <v>0.66815092534147</v>
      </c>
      <c r="FZ10" t="n">
        <v>0.5900885730767044</v>
      </c>
      <c r="GA10" t="n">
        <v>0.7787741935770056</v>
      </c>
      <c r="GB10" t="n">
        <v>0.4259914609629821</v>
      </c>
      <c r="GC10" t="n">
        <v>0.4271888510390608</v>
      </c>
      <c r="GD10" t="n">
        <v>0.6029208191511484</v>
      </c>
      <c r="GE10" t="n">
        <v>0.8950474995225676</v>
      </c>
      <c r="GF10" t="n">
        <v>0.8999607630134436</v>
      </c>
      <c r="GG10" t="n">
        <v>0.3443266647698464</v>
      </c>
      <c r="GH10" t="n">
        <v>0.8428949653841687</v>
      </c>
      <c r="GI10" t="n">
        <v>0.07642031171442931</v>
      </c>
      <c r="GJ10" t="n">
        <v>0.6901960784313724</v>
      </c>
      <c r="GK10" t="n">
        <v>0.7441860465116279</v>
      </c>
      <c r="GL10" t="n">
        <v>0.1136218334946689</v>
      </c>
      <c r="GM10" t="n">
        <v>0.1136218334946689</v>
      </c>
      <c r="GN10" t="n">
        <v>0.8323899828550332</v>
      </c>
      <c r="GO10" t="n">
        <v>0.5944175021602124</v>
      </c>
      <c r="GP10" t="n">
        <v>1118.5485335353</v>
      </c>
      <c r="GQ10" t="inlineStr">
        <is>
          <t>compiled workbook density_weighted_sum = density_component_ratio_weighted_sum (per-note component ratios); research density_weighted_sum maps body-ceiling richness</t>
        </is>
      </c>
      <c r="GR10" s="15" t="inlineStr">
        <is>
          <t>individual_exact</t>
        </is>
      </c>
      <c r="GS10" s="15" t="inlineStr">
        <is>
          <t>density_weight</t>
        </is>
      </c>
      <c r="GT10" s="15" t="n">
        <v>0.484795831802773</v>
      </c>
      <c r="GU10" s="15" t="n">
        <v>0.5151152014694325</v>
      </c>
      <c r="GV10" s="15" t="n">
        <v>8.896672779445472e-05</v>
      </c>
      <c r="GW10" s="15" t="inlineStr">
        <is>
          <t>log</t>
        </is>
      </c>
      <c r="GX10" s="15" t="n">
        <v>0.5</v>
      </c>
      <c r="GY10" s="15" t="inlineStr">
        <is>
          <t>EWSD-R v18.1</t>
        </is>
      </c>
      <c r="GZ10" s="15" t="n">
        <v>16.23579692299082</v>
      </c>
      <c r="HA10" s="15" t="n">
        <v>46.68935440396171</v>
      </c>
      <c r="HB10" s="15" t="n">
        <v>0.3248606906325013</v>
      </c>
      <c r="HC10" s="15" t="n">
        <v>22.50128295036445</v>
      </c>
      <c r="HD10" s="15" t="n">
        <v>51.41741606265678</v>
      </c>
      <c r="HE10" s="15" t="n">
        <v>0.2763567265187245</v>
      </c>
      <c r="HF10" s="15" t="inlineStr">
        <is>
          <t>partials+ratios</t>
        </is>
      </c>
      <c r="HG10" s="15" t="inlineStr">
        <is>
          <t>merged_individual_exact</t>
        </is>
      </c>
      <c r="HH10" s="15" t="inlineStr">
        <is>
          <t>passed</t>
        </is>
      </c>
      <c r="HI10" s="15" t="inlineStr">
        <is>
          <t>passed</t>
        </is>
      </c>
    </row>
    <row r="11">
      <c r="A11" t="inlineStr">
        <is>
          <t>incomplete_inference</t>
        </is>
      </c>
      <c r="B11" t="inlineStr">
        <is>
          <t>missing_instrument_technique</t>
        </is>
      </c>
      <c r="C11" t="inlineStr">
        <is>
          <t>prior_constrained_harmonic_fit</t>
        </is>
      </c>
      <c r="D11" t="inlineStr">
        <is>
          <t>IOWA_Trb.T_pp.C#3_SustainStable/C#3/component_amplitude_mass_pie.png</t>
        </is>
      </c>
      <c r="E11" t="inlineStr">
        <is>
          <t>IOWA_Trb.T_pp.C#3_SustainStable/C#3/component_energy_ratio_pie.png</t>
        </is>
      </c>
      <c r="F11" s="15" t="n">
        <v>138.5789745280078</v>
      </c>
      <c r="G11" s="15" t="inlineStr">
        <is>
          <t>prior_constrained_harmonic_fit</t>
        </is>
      </c>
      <c r="H11" s="15" t="inlineStr">
        <is>
          <t>fit_accepted_acoustically_verified</t>
        </is>
      </c>
      <c r="I11" s="16" t="n">
        <v>1403.896563774699</v>
      </c>
      <c r="J11" t="inlineStr">
        <is>
          <t>richness_weighted_body_density_body_ceiling</t>
        </is>
      </c>
      <c r="K11" t="inlineStr">
        <is>
          <t>research_body_ceiling_richness_metric</t>
        </is>
      </c>
      <c r="L11" s="15" t="n">
        <v>43256.51088379401</v>
      </c>
      <c r="M11" s="15" t="n">
        <v>43257.32997562111</v>
      </c>
      <c r="N11" s="15" t="n">
        <v>134.392378833968</v>
      </c>
      <c r="O11" s="15" t="n">
        <v>17.3706171636562</v>
      </c>
      <c r="P11" s="15" t="n">
        <v>-3.28261242637092</v>
      </c>
      <c r="Q11" s="15" t="n">
        <v>21</v>
      </c>
      <c r="R11" s="15" t="n">
        <v>96</v>
      </c>
      <c r="S11" s="15" t="n">
        <v>43257.39648932391</v>
      </c>
      <c r="T11" s="15" t="n">
        <v>145</v>
      </c>
      <c r="U11" s="15" t="n">
        <v>0.7825595668642553</v>
      </c>
      <c r="V11" s="15" t="n">
        <v>61.51469961450357</v>
      </c>
      <c r="W11" s="15" t="n">
        <v>0.9979555358596834</v>
      </c>
      <c r="X11" s="15" t="n">
        <v>0.3003619452835123</v>
      </c>
      <c r="Y11" s="15" t="n">
        <v>16</v>
      </c>
      <c r="Z11" s="15" t="n">
        <v>144</v>
      </c>
      <c r="AA11" s="15" t="n">
        <v>0.1111111111111111</v>
      </c>
      <c r="AB11" s="15" t="n">
        <v>144</v>
      </c>
      <c r="AC11" s="15" t="n">
        <v>16</v>
      </c>
      <c r="AD11" s="15" t="n">
        <v>0.1111111111111111</v>
      </c>
      <c r="AE11" s="15" t="n">
        <v>1566.543303946895</v>
      </c>
      <c r="AF11" s="15" t="n">
        <v>16</v>
      </c>
      <c r="AG11" s="15" t="n">
        <v>144</v>
      </c>
      <c r="AH11" s="15" t="n">
        <v>0.1111111111111111</v>
      </c>
      <c r="AI11" s="15" t="n">
        <v>1566.543303946895</v>
      </c>
      <c r="AJ11" s="15" t="n">
        <v>8</v>
      </c>
      <c r="AK11" s="15" t="n">
        <v>8</v>
      </c>
      <c r="AL11" s="15" t="n">
        <v>1.725458863708046</v>
      </c>
      <c r="AM11" s="15" t="n">
        <v>48</v>
      </c>
      <c r="AN11" s="15" t="n">
        <v>1</v>
      </c>
      <c r="AO11" s="15" t="n">
        <v>48</v>
      </c>
      <c r="AP11" s="15" t="n">
        <v>1</v>
      </c>
      <c r="AQ11" s="15" t="n">
        <v>30.49661598866805</v>
      </c>
      <c r="AR11" s="15" t="n">
        <v>18.46401913698605</v>
      </c>
      <c r="AS11" s="15" t="n">
        <v>0.472889060992126</v>
      </c>
      <c r="AT11" s="17" t="n">
        <v>2.751159262031467</v>
      </c>
      <c r="AU11" s="18" t="n">
        <v>24.89423548397355</v>
      </c>
      <c r="AV11" s="15" t="n">
        <v>29.24340694738468</v>
      </c>
      <c r="AW11" s="15" t="b">
        <v>1</v>
      </c>
      <c r="AX11" s="15" t="n">
        <v>11.96068905815718</v>
      </c>
      <c r="AY11" s="15" t="n">
        <v>26.31643855928474</v>
      </c>
      <c r="AZ11" s="15" t="n">
        <v>0.4410528287993578</v>
      </c>
      <c r="BA11" s="15" t="n">
        <v>1</v>
      </c>
      <c r="BB11" s="15" t="n">
        <v>0.5</v>
      </c>
      <c r="BC11" s="15" t="n">
        <v>0.25</v>
      </c>
      <c r="BD11" s="15" t="inlineStr">
        <is>
          <t>his_note_adaptive</t>
        </is>
      </c>
      <c r="BE11" s="15" t="n">
        <v>-90</v>
      </c>
      <c r="BF11" s="15" t="n">
        <v>20000</v>
      </c>
      <c r="BG11" s="15" t="n">
        <v>16</v>
      </c>
      <c r="BH11" s="15" t="n">
        <v>0.1111111111111111</v>
      </c>
      <c r="BI11" s="15" t="n">
        <v>144</v>
      </c>
      <c r="BJ11" s="15" t="n">
        <v>16</v>
      </c>
      <c r="BK11" s="15" t="n">
        <v>144</v>
      </c>
      <c r="BL11" s="15" t="n">
        <v>135</v>
      </c>
      <c r="BM11" s="15" t="n">
        <v>0.9375</v>
      </c>
      <c r="BN11" s="15" t="n">
        <v>0.1616130812641982</v>
      </c>
      <c r="BO11" s="15" t="n">
        <v>0.4</v>
      </c>
      <c r="BP11" s="19" t="n">
        <v>0.8500133194765093</v>
      </c>
      <c r="BQ11" s="19" t="n">
        <v>0.1499705784696892</v>
      </c>
      <c r="BR11" s="19" t="n">
        <v>1.610205380149644e-05</v>
      </c>
      <c r="BS11" s="15" t="n">
        <v>0.07057194712140513</v>
      </c>
      <c r="BT11" s="19" t="n">
        <v>0.9999810570629749</v>
      </c>
      <c r="BU11" s="19" t="n">
        <v>0</v>
      </c>
      <c r="BV11" s="19" t="n">
        <v>1.894293702505951e-05</v>
      </c>
      <c r="BW11" t="inlineStr">
        <is>
          <t>C#3</t>
        </is>
      </c>
      <c r="BX11" t="n">
        <v>49</v>
      </c>
      <c r="BY11" t="inlineStr">
        <is>
          <t>C#</t>
        </is>
      </c>
      <c r="BZ11" t="n">
        <v>3</v>
      </c>
      <c r="CA11" t="inlineStr">
        <is>
          <t>Middle</t>
        </is>
      </c>
      <c r="CB11" t="inlineStr">
        <is>
          <t>pp</t>
        </is>
      </c>
      <c r="CC11" s="15" t="n">
        <v>138.591315488436</v>
      </c>
      <c r="CD11" s="15" t="n">
        <v>138.5789745280078</v>
      </c>
      <c r="CE11" t="inlineStr">
        <is>
          <t>prior_constrained_harmonic_fit</t>
        </is>
      </c>
      <c r="CF11" t="n">
        <v>138.5789745280078</v>
      </c>
      <c r="CG11" s="15" t="n">
        <v>1</v>
      </c>
      <c r="CH11" t="inlineStr">
        <is>
          <t>free_fit_acoustically_verified</t>
        </is>
      </c>
      <c r="CI11" s="15" t="inlineStr">
        <is>
          <t>free_f0_fit</t>
        </is>
      </c>
      <c r="CJ11" s="15" t="n">
        <v>138.591315488436</v>
      </c>
      <c r="CK11" s="15" t="n">
        <v>138.5789745280078</v>
      </c>
      <c r="CL11" s="15" t="n">
        <v>-0.1541658083517366</v>
      </c>
      <c r="CM11" s="15" t="n">
        <v>20000</v>
      </c>
      <c r="CN11" s="15" t="n">
        <v>-0.1541658083517366</v>
      </c>
      <c r="CO11" s="15" t="n">
        <v>2.202690525463241</v>
      </c>
      <c r="CP11" s="15" t="n">
        <v>43256.51088379401</v>
      </c>
      <c r="CQ11" t="n">
        <v>4.673541684036456</v>
      </c>
      <c r="CR11" t="n">
        <v>0.0324551505835865</v>
      </c>
      <c r="CS11" t="n">
        <v>300.392434407941</v>
      </c>
      <c r="CT11" t="n">
        <v>300.3981248307021</v>
      </c>
      <c r="CU11" t="n">
        <v>1403.896563774699</v>
      </c>
      <c r="CV11" t="n">
        <v>17.3706171636562</v>
      </c>
      <c r="CW11" s="15" t="n">
        <v>43257.32997562111</v>
      </c>
      <c r="CX11" s="15" t="n">
        <v>134.392378833968</v>
      </c>
      <c r="CY11" s="15" t="n">
        <v>17.3706171636562</v>
      </c>
      <c r="CZ11" s="15" t="n">
        <v>2.751465297848171</v>
      </c>
      <c r="DA11" s="15" t="n">
        <v>2.751188362929057</v>
      </c>
      <c r="DB11" s="15" t="n">
        <v>1.732499160952997</v>
      </c>
      <c r="DC11" s="15" t="n">
        <v>0</v>
      </c>
      <c r="DD11" s="15" t="n">
        <v>6.360811913933177e-05</v>
      </c>
      <c r="DE11" s="15" t="n">
        <v>0</v>
      </c>
      <c r="DF11" s="15" t="n">
        <v>21</v>
      </c>
      <c r="DG11" s="15" t="inlineStr">
        <is>
          <t>Density_Metrics</t>
        </is>
      </c>
      <c r="DH11" s="15" t="n">
        <v>2.202690525463241</v>
      </c>
      <c r="DI11" t="n">
        <v>0.9558954833229448</v>
      </c>
      <c r="DJ11" s="15" t="n">
        <v>0.5741655032744569</v>
      </c>
      <c r="DK11" s="15" t="n">
        <v>5.698635886038238</v>
      </c>
      <c r="DL11" s="15" t="n">
        <v>4.706381737501154</v>
      </c>
      <c r="DM11" s="15" t="n">
        <v>2.117617210898473</v>
      </c>
      <c r="DN11" s="15" t="n">
        <v>9.319164401554552</v>
      </c>
      <c r="DO11" s="15" t="n">
        <v>0.3929739959184409</v>
      </c>
      <c r="DP11" s="15" t="n">
        <v>4.6875</v>
      </c>
      <c r="DQ11" s="15" t="n">
        <v>56</v>
      </c>
      <c r="DR11" s="15" t="b">
        <v>1</v>
      </c>
      <c r="DS11" s="15" t="n">
        <v>4.673541684036456</v>
      </c>
      <c r="DT11" s="15" t="n">
        <v>43.25212012082578</v>
      </c>
      <c r="DU11" t="n">
        <v>144</v>
      </c>
      <c r="DV11" s="15" t="n">
        <v>0.07057194712140513</v>
      </c>
      <c r="DW11" s="15" t="n">
        <v>2.406416949982451</v>
      </c>
      <c r="DX11" s="15" t="n">
        <v>2.962050152213233</v>
      </c>
      <c r="DY11" s="15" t="n">
        <v>0.05188700583508103</v>
      </c>
      <c r="DZ11" s="15" t="b">
        <v>1</v>
      </c>
      <c r="EA11" s="15" t="n">
        <v>0.4469627831044359</v>
      </c>
      <c r="EB11" s="15" t="n">
        <v>20000</v>
      </c>
      <c r="EC11" s="15" t="n">
        <v>3187.316414144178</v>
      </c>
      <c r="ED11" s="15" t="n">
        <v>23</v>
      </c>
      <c r="EE11" s="15" t="n">
        <v>2</v>
      </c>
      <c r="EF11" s="15" t="n">
        <v>0.03884298783280673</v>
      </c>
      <c r="EG11" s="15" t="b">
        <v>0</v>
      </c>
      <c r="EH11" s="15" t="b">
        <v>1</v>
      </c>
      <c r="EI11" s="15" t="b">
        <v>0</v>
      </c>
      <c r="EJ11" s="15" t="inlineStr">
        <is>
          <t>wf=log|dst=-90.0|ceil=20000.0|fft=adaptive_tier</t>
        </is>
      </c>
      <c r="EK11" s="15" t="inlineStr">
        <is>
          <t>wf=log|dst=runtime_configured|ceil=runtime_configured|fft=fixed</t>
        </is>
      </c>
      <c r="EL11" s="15" t="n">
        <v>0.5668505124397565</v>
      </c>
      <c r="EM11" s="15" t="n">
        <v>0.9916678698000726</v>
      </c>
      <c r="EN11" s="15" t="n">
        <v>0.1448275862068966</v>
      </c>
      <c r="EO11" s="15" t="n">
        <v>0.34955157928655</v>
      </c>
      <c r="EP11" s="15" t="inlineStr">
        <is>
          <t>warn:power_outlier_detected</t>
        </is>
      </c>
      <c r="EQ11" s="15" t="n">
        <v>715.7852374386997</v>
      </c>
      <c r="ER11" s="15" t="inlineStr">
        <is>
          <t>winsorize_p95_for_robust_diagnostics</t>
        </is>
      </c>
      <c r="ES11" s="15" t="n">
        <v>0.07786572560096881</v>
      </c>
      <c r="ET11" s="15" t="n">
        <v>0.02598403353886953</v>
      </c>
      <c r="EU11" s="15" t="n">
        <v>0.02757073602171709</v>
      </c>
      <c r="EV11" t="inlineStr">
        <is>
          <t>computed</t>
        </is>
      </c>
      <c r="EW11" s="15" t="inlineStr">
        <is>
          <t>computed</t>
        </is>
      </c>
      <c r="EX11" s="15" t="inlineStr">
        <is>
          <t>computed</t>
        </is>
      </c>
      <c r="EY11" s="15" t="inlineStr">
        <is>
          <t>available_from_curve</t>
        </is>
      </c>
      <c r="EZ11" s="15" t="n">
        <v>20000</v>
      </c>
      <c r="FA11" s="15" t="n">
        <v>20000</v>
      </c>
      <c r="FB11" s="15" t="n">
        <v>0.1499705784696892</v>
      </c>
      <c r="FC11" s="15" t="n">
        <v>0.5871837974940896</v>
      </c>
      <c r="FD11" s="15" t="n">
        <v>2.751188362929057</v>
      </c>
      <c r="FE11" s="15" t="n">
        <v>1.732499160952997</v>
      </c>
      <c r="FF11" s="15" t="n">
        <v>1.214948362156185</v>
      </c>
      <c r="FG11" s="15" t="n">
        <v>1.359872366507379</v>
      </c>
      <c r="FH11" s="15" t="n">
        <v>0.7645717040284482</v>
      </c>
      <c r="FI11" s="15" t="n">
        <v>0.07824645492741336</v>
      </c>
      <c r="FJ11" s="15" t="n">
        <v>43257.32997562111</v>
      </c>
      <c r="FK11" s="15" t="n">
        <v>134.392378833968</v>
      </c>
      <c r="FL11" s="15" t="n">
        <v>17.3706171636562</v>
      </c>
      <c r="FM11" s="15" t="n">
        <v>0.00500912147219047</v>
      </c>
      <c r="FN11" t="n">
        <v>0.9999810570629749</v>
      </c>
      <c r="FO11" t="n">
        <v>0</v>
      </c>
      <c r="FP11" t="n">
        <v>1.894293702505951e-05</v>
      </c>
      <c r="FQ11" t="inlineStr">
        <is>
          <t>excellent</t>
        </is>
      </c>
      <c r="FR11" s="19" t="n">
        <v>0.9375</v>
      </c>
      <c r="FS11" s="15" t="n">
        <v>2.458358477759076</v>
      </c>
      <c r="FT11" s="15" t="n">
        <v>17.23941374676516</v>
      </c>
      <c r="FU11" t="inlineStr">
        <is>
          <t>passed</t>
        </is>
      </c>
      <c r="FV11" t="n">
        <v>562.8821707146037</v>
      </c>
      <c r="FW11" t="n">
        <v>53.01310712427542</v>
      </c>
      <c r="FX11" t="n">
        <v>15.40394717803296</v>
      </c>
      <c r="FY11" t="n">
        <v>0.7555991007819378</v>
      </c>
      <c r="FZ11" t="n">
        <v>0.7526254746052831</v>
      </c>
      <c r="GA11" t="n">
        <v>0.7547471487938405</v>
      </c>
      <c r="GB11" t="n">
        <v>0.5177185558588183</v>
      </c>
      <c r="GC11" t="n">
        <v>0.5190409641858673</v>
      </c>
      <c r="GD11" t="n">
        <v>0.5718913812701004</v>
      </c>
      <c r="GE11" t="n">
        <v>0.8762998002303843</v>
      </c>
      <c r="GF11" t="n">
        <v>1</v>
      </c>
      <c r="GG11" t="n">
        <v>0.2475781724916023</v>
      </c>
      <c r="GH11" t="n">
        <v>0.8335312063659474</v>
      </c>
      <c r="GI11" t="n">
        <v>0.2165242165242164</v>
      </c>
      <c r="GJ11" t="n">
        <v>0.7999999999999992</v>
      </c>
      <c r="GK11" t="n">
        <v>0.6744186046511629</v>
      </c>
      <c r="GL11" t="n">
        <v>0.03413751241652876</v>
      </c>
      <c r="GM11" t="n">
        <v>0.03413751241652876</v>
      </c>
      <c r="GN11" t="n">
        <v>0.7565330215423839</v>
      </c>
      <c r="GO11" t="n">
        <v>0.5144865714045895</v>
      </c>
      <c r="GP11" t="n">
        <v>1403.896563774699</v>
      </c>
      <c r="GQ11" t="inlineStr">
        <is>
          <t>compiled workbook density_weighted_sum = density_component_ratio_weighted_sum (per-note component ratios); research density_weighted_sum maps body-ceiling richness</t>
        </is>
      </c>
      <c r="GR11" s="15" t="inlineStr">
        <is>
          <t>individual_exact</t>
        </is>
      </c>
      <c r="GS11" s="15" t="inlineStr">
        <is>
          <t>density_weight</t>
        </is>
      </c>
      <c r="GT11" s="15" t="n">
        <v>0.5469498482498593</v>
      </c>
      <c r="GU11" s="15" t="n">
        <v>0.4530291120195779</v>
      </c>
      <c r="GV11" s="15" t="n">
        <v>2.103973056264741e-05</v>
      </c>
      <c r="GW11" s="15" t="inlineStr">
        <is>
          <t>log</t>
        </is>
      </c>
      <c r="GX11" s="15" t="n">
        <v>0.5</v>
      </c>
      <c r="GY11" s="15" t="inlineStr">
        <is>
          <t>EWSD-R v18.1</t>
        </is>
      </c>
      <c r="GZ11" s="15" t="n">
        <v>10.61939689939635</v>
      </c>
      <c r="HA11" s="15" t="n">
        <v>40.94308925057918</v>
      </c>
      <c r="HB11" s="15" t="n">
        <v>0.3192514379091606</v>
      </c>
      <c r="HC11" s="15" t="n">
        <v>16.31838629735391</v>
      </c>
      <c r="HD11" s="15" t="n">
        <v>48.39888757264004</v>
      </c>
      <c r="HE11" s="15" t="n">
        <v>0.2834706366677869</v>
      </c>
      <c r="HF11" s="15" t="inlineStr">
        <is>
          <t>partials+ratios</t>
        </is>
      </c>
      <c r="HG11" s="15" t="inlineStr">
        <is>
          <t>merged_individual_exact</t>
        </is>
      </c>
      <c r="HH11" s="15" t="inlineStr">
        <is>
          <t>passed</t>
        </is>
      </c>
      <c r="HI11" s="15" t="inlineStr">
        <is>
          <t>passed</t>
        </is>
      </c>
    </row>
    <row r="12">
      <c r="A12" t="inlineStr">
        <is>
          <t>incomplete_inference</t>
        </is>
      </c>
      <c r="B12" t="inlineStr">
        <is>
          <t>missing_instrument_technique</t>
        </is>
      </c>
      <c r="C12" t="inlineStr">
        <is>
          <t>prior_constrained_harmonic_fit</t>
        </is>
      </c>
      <c r="D12" t="inlineStr">
        <is>
          <t>IOWA_Trb.T_pp.D3_SustainStable/D3/component_amplitude_mass_pie.png</t>
        </is>
      </c>
      <c r="E12" t="inlineStr">
        <is>
          <t>IOWA_Trb.T_pp.D3_SustainStable/D3/component_energy_ratio_pie.png</t>
        </is>
      </c>
      <c r="F12" s="15" t="n">
        <v>146.6000044613016</v>
      </c>
      <c r="G12" s="15" t="inlineStr">
        <is>
          <t>prior_constrained_harmonic_fit</t>
        </is>
      </c>
      <c r="H12" s="15" t="inlineStr">
        <is>
          <t>fit_accepted_acoustically_verified</t>
        </is>
      </c>
      <c r="I12" s="16" t="n">
        <v>1762.12356141741</v>
      </c>
      <c r="J12" t="inlineStr">
        <is>
          <t>richness_weighted_body_density_body_ceiling</t>
        </is>
      </c>
      <c r="K12" t="inlineStr">
        <is>
          <t>research_body_ceiling_richness_metric</t>
        </is>
      </c>
      <c r="L12" s="15" t="n">
        <v>44488.35633974233</v>
      </c>
      <c r="M12" s="15" t="n">
        <v>44494.66768669131</v>
      </c>
      <c r="N12" s="15" t="n">
        <v>134.7709629990391</v>
      </c>
      <c r="O12" s="15" t="n">
        <v>68.25615532516144</v>
      </c>
      <c r="P12" s="15" t="n">
        <v>-3.101827874230465</v>
      </c>
      <c r="Q12" s="15" t="n">
        <v>24</v>
      </c>
      <c r="R12" s="15" t="n">
        <v>124</v>
      </c>
      <c r="S12" s="15" t="n">
        <v>44494.79598516937</v>
      </c>
      <c r="T12" s="15" t="n">
        <v>137</v>
      </c>
      <c r="U12" s="15" t="n">
        <v>0.4653328892217012</v>
      </c>
      <c r="V12" s="15" t="n">
        <v>54.86630599456202</v>
      </c>
      <c r="W12" s="15" t="n">
        <v>0.9975052268661563</v>
      </c>
      <c r="X12" s="15" t="n">
        <v>0.2766987376677066</v>
      </c>
      <c r="Y12" s="15" t="n">
        <v>23</v>
      </c>
      <c r="Z12" s="15" t="n">
        <v>136</v>
      </c>
      <c r="AA12" s="15" t="n">
        <v>0.1691176470588235</v>
      </c>
      <c r="AB12" s="15" t="n">
        <v>136</v>
      </c>
      <c r="AC12" s="15" t="n">
        <v>23</v>
      </c>
      <c r="AD12" s="15" t="n">
        <v>0.1691176470588235</v>
      </c>
      <c r="AE12" s="15" t="n">
        <v>1511.662711275296</v>
      </c>
      <c r="AF12" s="15" t="n">
        <v>23</v>
      </c>
      <c r="AG12" s="15" t="n">
        <v>136</v>
      </c>
      <c r="AH12" s="15" t="n">
        <v>0.1691176470588235</v>
      </c>
      <c r="AI12" s="15" t="n">
        <v>1511.662711275296</v>
      </c>
      <c r="AJ12" s="15" t="n">
        <v>12</v>
      </c>
      <c r="AK12" s="15" t="n">
        <v>11</v>
      </c>
      <c r="AL12" s="15" t="n">
        <v>1.577267859569324</v>
      </c>
      <c r="AM12" s="15" t="n">
        <v>40</v>
      </c>
      <c r="AN12" s="15" t="n">
        <v>2</v>
      </c>
      <c r="AO12" s="15" t="n">
        <v>40</v>
      </c>
      <c r="AP12" s="15" t="n">
        <v>2</v>
      </c>
      <c r="AQ12" s="15" t="n">
        <v>29.21247538641845</v>
      </c>
      <c r="AR12" s="15" t="n">
        <v>17.05316431874557</v>
      </c>
      <c r="AS12" s="15" t="n">
        <v>0.4166053776601383</v>
      </c>
      <c r="AT12" s="17" t="n">
        <v>2.735019677388984</v>
      </c>
      <c r="AU12" s="18" t="n">
        <v>20.29504484819976</v>
      </c>
      <c r="AV12" s="15" t="n">
        <v>25.67707338482418</v>
      </c>
      <c r="AW12" s="15" t="b">
        <v>1</v>
      </c>
      <c r="AX12" s="15" t="n">
        <v>13.82952265273711</v>
      </c>
      <c r="AY12" s="15" t="n">
        <v>22.65142143800965</v>
      </c>
      <c r="AZ12" s="15" t="n">
        <v>1.055009824353693</v>
      </c>
      <c r="BA12" s="15" t="n">
        <v>1</v>
      </c>
      <c r="BB12" s="15" t="n">
        <v>0.5</v>
      </c>
      <c r="BC12" s="15" t="n">
        <v>0.25</v>
      </c>
      <c r="BD12" s="15" t="inlineStr">
        <is>
          <t>his_note_adaptive</t>
        </is>
      </c>
      <c r="BE12" s="15" t="n">
        <v>-90</v>
      </c>
      <c r="BF12" s="15" t="n">
        <v>20000</v>
      </c>
      <c r="BG12" s="15" t="n">
        <v>23</v>
      </c>
      <c r="BH12" s="15" t="n">
        <v>0.1691176470588235</v>
      </c>
      <c r="BI12" s="15" t="n">
        <v>136</v>
      </c>
      <c r="BJ12" s="15" t="n">
        <v>23</v>
      </c>
      <c r="BK12" s="15" t="n">
        <v>136</v>
      </c>
      <c r="BL12" s="15" t="n">
        <v>128</v>
      </c>
      <c r="BM12" s="15" t="n">
        <v>0.9411764705882353</v>
      </c>
      <c r="BN12" s="15" t="n">
        <v>0.1868828073954767</v>
      </c>
      <c r="BO12" s="15" t="n">
        <v>0.3333333333333333</v>
      </c>
      <c r="BP12" s="19" t="n">
        <v>0.8358711154184798</v>
      </c>
      <c r="BQ12" s="19" t="n">
        <v>0.164010121395662</v>
      </c>
      <c r="BR12" s="19" t="n">
        <v>0.0001187631858581358</v>
      </c>
      <c r="BS12" s="15" t="n">
        <v>0.06539557698532283</v>
      </c>
      <c r="BT12" s="19" t="n">
        <v>0.9998579370529505</v>
      </c>
      <c r="BU12" s="19" t="n">
        <v>0</v>
      </c>
      <c r="BV12" s="19" t="n">
        <v>0.0001420629470495596</v>
      </c>
      <c r="BW12" t="inlineStr">
        <is>
          <t>D3</t>
        </is>
      </c>
      <c r="BX12" t="n">
        <v>50</v>
      </c>
      <c r="BY12" t="inlineStr">
        <is>
          <t>D</t>
        </is>
      </c>
      <c r="BZ12" t="n">
        <v>3</v>
      </c>
      <c r="CA12" t="inlineStr">
        <is>
          <t>Middle</t>
        </is>
      </c>
      <c r="CB12" t="inlineStr">
        <is>
          <t>pp</t>
        </is>
      </c>
      <c r="CC12" s="15" t="n">
        <v>146.8323839587038</v>
      </c>
      <c r="CD12" s="15" t="n">
        <v>146.6000044613016</v>
      </c>
      <c r="CE12" t="inlineStr">
        <is>
          <t>prior_constrained_harmonic_fit</t>
        </is>
      </c>
      <c r="CF12" t="n">
        <v>146.6000044613016</v>
      </c>
      <c r="CG12" s="15" t="n">
        <v>1</v>
      </c>
      <c r="CH12" t="inlineStr">
        <is>
          <t>free_fit_acoustically_verified</t>
        </is>
      </c>
      <c r="CI12" s="15" t="inlineStr">
        <is>
          <t>free_f0_fit</t>
        </is>
      </c>
      <c r="CJ12" s="15" t="n">
        <v>146.8323839587038</v>
      </c>
      <c r="CK12" s="15" t="n">
        <v>146.6000044613016</v>
      </c>
      <c r="CL12" s="15" t="n">
        <v>-2.742051649287836</v>
      </c>
      <c r="CM12" s="15" t="n">
        <v>20000</v>
      </c>
      <c r="CN12" s="15" t="n">
        <v>-2.742051649287836</v>
      </c>
      <c r="CO12" s="15" t="n">
        <v>2.222981004751682</v>
      </c>
      <c r="CP12" s="15" t="n">
        <v>44488.35633974233</v>
      </c>
      <c r="CQ12" t="n">
        <v>5.386777042434508</v>
      </c>
      <c r="CR12" t="n">
        <v>0.03960865472378314</v>
      </c>
      <c r="CS12" t="n">
        <v>327.1201959049401</v>
      </c>
      <c r="CT12" t="n">
        <v>327.1666741668479</v>
      </c>
      <c r="CU12" t="n">
        <v>1762.12356141741</v>
      </c>
      <c r="CV12" t="n">
        <v>68.25615532516144</v>
      </c>
      <c r="CW12" s="15" t="n">
        <v>44494.66768669131</v>
      </c>
      <c r="CX12" s="15" t="n">
        <v>134.7709629990391</v>
      </c>
      <c r="CY12" s="15" t="n">
        <v>68.25615532516144</v>
      </c>
      <c r="CZ12" s="15" t="n">
        <v>2.744500810055651</v>
      </c>
      <c r="DA12" s="15" t="n">
        <v>2.735192709012877</v>
      </c>
      <c r="DB12" s="15" t="n">
        <v>1.752283256623711</v>
      </c>
      <c r="DC12" s="15" t="n">
        <v>0</v>
      </c>
      <c r="DD12" s="15" t="n">
        <v>6.169031710447648e-05</v>
      </c>
      <c r="DE12" s="15" t="n">
        <v>0</v>
      </c>
      <c r="DF12" s="15" t="n">
        <v>24</v>
      </c>
      <c r="DG12" s="15" t="inlineStr">
        <is>
          <t>Density_Metrics</t>
        </is>
      </c>
      <c r="DH12" s="15" t="n">
        <v>2.222981004751682</v>
      </c>
      <c r="DI12" t="n">
        <v>0.9647008862073102</v>
      </c>
      <c r="DJ12" s="15" t="n">
        <v>0.5722928941725536</v>
      </c>
      <c r="DK12" s="15" t="n">
        <v>6.004676034862706</v>
      </c>
      <c r="DL12" s="15" t="n">
        <v>5.436031159084131</v>
      </c>
      <c r="DM12" s="15" t="n">
        <v>1.83428039152875</v>
      </c>
      <c r="DN12" s="15" t="n">
        <v>9.956145097529264</v>
      </c>
      <c r="DO12" s="15" t="n">
        <v>0.3820332000009429</v>
      </c>
      <c r="DP12" s="15" t="n">
        <v>3.1875</v>
      </c>
      <c r="DQ12" s="15" t="n">
        <v>63</v>
      </c>
      <c r="DR12" s="15" t="b">
        <v>1</v>
      </c>
      <c r="DS12" s="15" t="n">
        <v>5.386777042434508</v>
      </c>
      <c r="DT12" s="15" t="n">
        <v>37.63102832280809</v>
      </c>
      <c r="DU12" t="n">
        <v>136</v>
      </c>
      <c r="DV12" s="15" t="n">
        <v>0.06539557698532283</v>
      </c>
      <c r="DW12" s="15" t="n">
        <v>2.316079643428752</v>
      </c>
      <c r="DX12" s="15" t="n">
        <v>2.957816483854892</v>
      </c>
      <c r="DY12" s="15" t="n">
        <v>0.06034955516646792</v>
      </c>
      <c r="DZ12" s="15" t="b">
        <v>1</v>
      </c>
      <c r="EA12" s="15" t="n">
        <v>0.4269466257706314</v>
      </c>
      <c r="EB12" s="15" t="n">
        <v>20000</v>
      </c>
      <c r="EC12" s="15" t="n">
        <v>3518.400107071238</v>
      </c>
      <c r="ED12" s="15" t="n">
        <v>24</v>
      </c>
      <c r="EE12" s="15" t="n">
        <v>2</v>
      </c>
      <c r="EF12" s="15" t="n">
        <v>0.03666289844319384</v>
      </c>
      <c r="EG12" s="15" t="b">
        <v>0</v>
      </c>
      <c r="EH12" s="15" t="b">
        <v>1</v>
      </c>
      <c r="EI12" s="15" t="b">
        <v>0</v>
      </c>
      <c r="EJ12" s="15" t="inlineStr">
        <is>
          <t>wf=log|dst=-90.0|ceil=20000.0|fft=adaptive_tier</t>
        </is>
      </c>
      <c r="EK12" s="15" t="inlineStr">
        <is>
          <t>wf=log|dst=runtime_configured|ceil=runtime_configured|fft=fixed</t>
        </is>
      </c>
      <c r="EL12" s="15" t="n">
        <v>0.5835344293579521</v>
      </c>
      <c r="EM12" s="15" t="n">
        <v>0.9967885826525719</v>
      </c>
      <c r="EN12" s="15" t="n">
        <v>0.1751824817518248</v>
      </c>
      <c r="EO12" s="15" t="n">
        <v>0.3683284927557801</v>
      </c>
      <c r="EP12" s="15" t="inlineStr">
        <is>
          <t>warn:power_outlier_detected</t>
        </is>
      </c>
      <c r="EQ12" s="15" t="n">
        <v>508.7615824456651</v>
      </c>
      <c r="ER12" s="15" t="inlineStr">
        <is>
          <t>winsorize_p95_for_robust_diagnostics</t>
        </is>
      </c>
      <c r="ES12" s="15" t="n">
        <v>0.1205537609774971</v>
      </c>
      <c r="ET12" s="15" t="n">
        <v>0.03244704476174896</v>
      </c>
      <c r="EU12" s="15" t="n">
        <v>0.03396951142157742</v>
      </c>
      <c r="EV12" t="inlineStr">
        <is>
          <t>computed</t>
        </is>
      </c>
      <c r="EW12" s="15" t="inlineStr">
        <is>
          <t>computed</t>
        </is>
      </c>
      <c r="EX12" s="15" t="inlineStr">
        <is>
          <t>computed</t>
        </is>
      </c>
      <c r="EY12" s="15" t="inlineStr">
        <is>
          <t>available_from_curve</t>
        </is>
      </c>
      <c r="EZ12" s="15" t="n">
        <v>20000</v>
      </c>
      <c r="FA12" s="15" t="n">
        <v>20000</v>
      </c>
      <c r="FB12" s="15" t="n">
        <v>0.164010121395662</v>
      </c>
      <c r="FC12" s="15" t="n">
        <v>0.5643835862429681</v>
      </c>
      <c r="FD12" s="15" t="n">
        <v>2.735192709012877</v>
      </c>
      <c r="FE12" s="15" t="n">
        <v>1.752283256623711</v>
      </c>
      <c r="FF12" s="15" t="n">
        <v>1.517200069226117</v>
      </c>
      <c r="FG12" s="15" t="n">
        <v>1.351965947580225</v>
      </c>
      <c r="FH12" s="15" t="n">
        <v>0.7733026518294845</v>
      </c>
      <c r="FI12" s="15" t="n">
        <v>0.09771240534197174</v>
      </c>
      <c r="FJ12" s="15" t="n">
        <v>44494.66768669131</v>
      </c>
      <c r="FK12" s="15" t="n">
        <v>134.7709629990391</v>
      </c>
      <c r="FL12" s="15" t="n">
        <v>68.25615532516144</v>
      </c>
      <c r="FM12" s="15" t="n">
        <v>0.005034489103838784</v>
      </c>
      <c r="FN12" t="n">
        <v>0.9998579370529505</v>
      </c>
      <c r="FO12" t="n">
        <v>0</v>
      </c>
      <c r="FP12" t="n">
        <v>0.0001420629470495596</v>
      </c>
      <c r="FQ12" t="inlineStr">
        <is>
          <t>excellent</t>
        </is>
      </c>
      <c r="FR12" s="19" t="n">
        <v>0.9411764705882353</v>
      </c>
      <c r="FS12" s="15" t="n">
        <v>2.297483999597431</v>
      </c>
      <c r="FT12" s="15" t="n">
        <v>14.83535958544673</v>
      </c>
      <c r="FU12" t="inlineStr">
        <is>
          <t>passed</t>
        </is>
      </c>
      <c r="FV12" t="n">
        <v>542.4914408542741</v>
      </c>
      <c r="FW12" t="n">
        <v>55.53055595932074</v>
      </c>
      <c r="FX12" t="n">
        <v>31.90031599674844</v>
      </c>
      <c r="FY12" t="n">
        <v>0.8043933863802615</v>
      </c>
      <c r="FZ12" t="n">
        <v>0.9566749162358509</v>
      </c>
      <c r="GA12" t="n">
        <v>1</v>
      </c>
      <c r="GB12" t="n">
        <v>0.6267030254904101</v>
      </c>
      <c r="GC12" t="n">
        <v>0.6266207066060246</v>
      </c>
      <c r="GD12" t="n">
        <v>0.492752032788599</v>
      </c>
      <c r="GE12" t="n">
        <v>0.820020744735843</v>
      </c>
      <c r="GF12" t="n">
        <v>0.869114627971838</v>
      </c>
      <c r="GG12" t="n">
        <v>0.194665076810938</v>
      </c>
      <c r="GH12" t="n">
        <v>0.7381711172415756</v>
      </c>
      <c r="GI12" t="n">
        <v>0.8382352941176467</v>
      </c>
      <c r="GJ12" t="n">
        <v>0.9411764705882335</v>
      </c>
      <c r="GK12" t="n">
        <v>0.4883720930232558</v>
      </c>
      <c r="GL12" t="n">
        <v>0.1646190852041627</v>
      </c>
      <c r="GM12" t="n">
        <v>0.1646190852041627</v>
      </c>
      <c r="GN12" t="n">
        <v>0.7157855908478195</v>
      </c>
      <c r="GO12" t="n">
        <v>0.4807932264369729</v>
      </c>
      <c r="GP12" t="n">
        <v>1762.12356141741</v>
      </c>
      <c r="GQ12" t="inlineStr">
        <is>
          <t>compiled workbook density_weighted_sum = density_component_ratio_weighted_sum (per-note component ratios); research density_weighted_sum maps body-ceiling richness</t>
        </is>
      </c>
      <c r="GR12" s="15" t="inlineStr">
        <is>
          <t>individual_exact</t>
        </is>
      </c>
      <c r="GS12" s="15" t="inlineStr">
        <is>
          <t>density_weight</t>
        </is>
      </c>
      <c r="GT12" s="15" t="n">
        <v>0.6342855963515432</v>
      </c>
      <c r="GU12" s="15" t="n">
        <v>0.3655915227114748</v>
      </c>
      <c r="GV12" s="15" t="n">
        <v>0.0001228809369818853</v>
      </c>
      <c r="GW12" s="15" t="inlineStr">
        <is>
          <t>log</t>
        </is>
      </c>
      <c r="GX12" s="15" t="n">
        <v>0.5</v>
      </c>
      <c r="GY12" s="15" t="inlineStr">
        <is>
          <t>EWSD-R v18.1</t>
        </is>
      </c>
      <c r="GZ12" s="15" t="n">
        <v>5.453095329789845</v>
      </c>
      <c r="HA12" s="15" t="n">
        <v>31.55586442692716</v>
      </c>
      <c r="HB12" s="15" t="n">
        <v>0.3353380696624513</v>
      </c>
      <c r="HC12" s="15" t="n">
        <v>10.53472080116188</v>
      </c>
      <c r="HD12" s="15" t="n">
        <v>40.76307579568797</v>
      </c>
      <c r="HE12" s="15" t="n">
        <v>0.3134629695675253</v>
      </c>
      <c r="HF12" s="15" t="inlineStr">
        <is>
          <t>partials+ratios</t>
        </is>
      </c>
      <c r="HG12" s="15" t="inlineStr">
        <is>
          <t>merged_individual_exact</t>
        </is>
      </c>
      <c r="HH12" s="15" t="inlineStr">
        <is>
          <t>passed</t>
        </is>
      </c>
      <c r="HI12" s="15" t="inlineStr">
        <is>
          <t>passed</t>
        </is>
      </c>
    </row>
    <row r="13">
      <c r="A13" t="inlineStr">
        <is>
          <t>incomplete_inference</t>
        </is>
      </c>
      <c r="B13" t="inlineStr">
        <is>
          <t>missing_instrument_technique</t>
        </is>
      </c>
      <c r="C13" t="inlineStr">
        <is>
          <t>prior_constrained_harmonic_fit</t>
        </is>
      </c>
      <c r="D13" t="inlineStr">
        <is>
          <t>IOWA_Trb.T_pp.D#3_SustainStable/D#3/component_amplitude_mass_pie.png</t>
        </is>
      </c>
      <c r="E13" t="inlineStr">
        <is>
          <t>IOWA_Trb.T_pp.D#3_SustainStable/D#3/component_energy_ratio_pie.png</t>
        </is>
      </c>
      <c r="F13" s="15" t="n">
        <v>155.4286522567423</v>
      </c>
      <c r="G13" s="15" t="inlineStr">
        <is>
          <t>prior_constrained_harmonic_fit</t>
        </is>
      </c>
      <c r="H13" s="15" t="inlineStr">
        <is>
          <t>fit_accepted_acoustically_verified</t>
        </is>
      </c>
      <c r="I13" s="16" t="n">
        <v>1838.184610913196</v>
      </c>
      <c r="J13" t="inlineStr">
        <is>
          <t>richness_weighted_body_density_body_ceiling</t>
        </is>
      </c>
      <c r="K13" t="inlineStr">
        <is>
          <t>research_body_ceiling_richness_metric</t>
        </is>
      </c>
      <c r="L13" s="15" t="n">
        <v>46193.19282703695</v>
      </c>
      <c r="M13" s="15" t="n">
        <v>46194.7999434314</v>
      </c>
      <c r="N13" s="15" t="n">
        <v>112.9585380805906</v>
      </c>
      <c r="O13" s="15" t="n">
        <v>33.88202075400341</v>
      </c>
      <c r="P13" s="15" t="n">
        <v>-3.258513108980446</v>
      </c>
      <c r="Q13" s="15" t="n">
        <v>22</v>
      </c>
      <c r="R13" s="15" t="n">
        <v>105</v>
      </c>
      <c r="S13" s="15" t="n">
        <v>46194.89978552178</v>
      </c>
      <c r="T13" s="15" t="n">
        <v>129</v>
      </c>
      <c r="U13" s="15" t="n">
        <v>0.2187287055456821</v>
      </c>
      <c r="V13" s="15" t="n">
        <v>52.68298251781204</v>
      </c>
      <c r="W13" s="15" t="n">
        <v>0.9961195003512774</v>
      </c>
      <c r="X13" s="15" t="n">
        <v>0.2787541575916573</v>
      </c>
      <c r="Y13" s="15" t="n">
        <v>22</v>
      </c>
      <c r="Z13" s="15" t="n">
        <v>128</v>
      </c>
      <c r="AA13" s="15" t="n">
        <v>0.171875</v>
      </c>
      <c r="AB13" s="15" t="n">
        <v>128</v>
      </c>
      <c r="AC13" s="15" t="n">
        <v>22</v>
      </c>
      <c r="AD13" s="15" t="n">
        <v>0.171875</v>
      </c>
      <c r="AE13" s="15" t="n">
        <v>1537.028744722273</v>
      </c>
      <c r="AF13" s="15" t="n">
        <v>22</v>
      </c>
      <c r="AG13" s="15" t="n">
        <v>128</v>
      </c>
      <c r="AH13" s="15" t="n">
        <v>0.171875</v>
      </c>
      <c r="AI13" s="15" t="n">
        <v>1537.028744722273</v>
      </c>
      <c r="AJ13" s="15" t="n">
        <v>11</v>
      </c>
      <c r="AK13" s="15" t="n">
        <v>11</v>
      </c>
      <c r="AL13" s="15" t="n">
        <v>1.371669501576935</v>
      </c>
      <c r="AM13" s="15" t="n">
        <v>37</v>
      </c>
      <c r="AN13" s="15" t="n">
        <v>1</v>
      </c>
      <c r="AO13" s="15" t="n">
        <v>37</v>
      </c>
      <c r="AP13" s="15" t="n">
        <v>1</v>
      </c>
      <c r="AQ13" s="15" t="n">
        <v>27.56510706917228</v>
      </c>
      <c r="AR13" s="15" t="n">
        <v>16.5561588517947</v>
      </c>
      <c r="AS13" s="15" t="n">
        <v>0.3967781793159347</v>
      </c>
      <c r="AT13" s="17" t="n">
        <v>2.74222953924207</v>
      </c>
      <c r="AU13" s="18" t="n">
        <v>21.60366640276673</v>
      </c>
      <c r="AV13" s="15" t="n">
        <v>26.75553283482783</v>
      </c>
      <c r="AW13" s="15" t="b">
        <v>1</v>
      </c>
      <c r="AX13" s="15" t="n">
        <v>13.91102891263329</v>
      </c>
      <c r="AY13" s="15" t="n">
        <v>21.04089753908177</v>
      </c>
      <c r="AZ13" s="15" t="n">
        <v>0.4994911563318187</v>
      </c>
      <c r="BA13" s="15" t="n">
        <v>1</v>
      </c>
      <c r="BB13" s="15" t="n">
        <v>0.5</v>
      </c>
      <c r="BC13" s="15" t="n">
        <v>0.25</v>
      </c>
      <c r="BD13" s="15" t="inlineStr">
        <is>
          <t>his_note_adaptive</t>
        </is>
      </c>
      <c r="BE13" s="15" t="n">
        <v>-90</v>
      </c>
      <c r="BF13" s="15" t="n">
        <v>20000</v>
      </c>
      <c r="BG13" s="15" t="n">
        <v>22</v>
      </c>
      <c r="BH13" s="15" t="n">
        <v>0.171875</v>
      </c>
      <c r="BI13" s="15" t="n">
        <v>128</v>
      </c>
      <c r="BJ13" s="15" t="n">
        <v>22</v>
      </c>
      <c r="BK13" s="15" t="n">
        <v>128</v>
      </c>
      <c r="BL13" s="15" t="n">
        <v>120</v>
      </c>
      <c r="BM13" s="15" t="n">
        <v>0.9375</v>
      </c>
      <c r="BN13" s="15" t="n">
        <v>0.1776846871765211</v>
      </c>
      <c r="BO13" s="15" t="n">
        <v>0.3083333333333333</v>
      </c>
      <c r="BP13" s="19" t="n">
        <v>0.8218997334450422</v>
      </c>
      <c r="BQ13" s="19" t="n">
        <v>0.1780716506914811</v>
      </c>
      <c r="BR13" s="19" t="n">
        <v>2.861586347670344e-05</v>
      </c>
      <c r="BS13" s="15" t="n">
        <v>0.06680074446399713</v>
      </c>
      <c r="BT13" s="19" t="n">
        <v>0.9999651844792787</v>
      </c>
      <c r="BU13" s="19" t="n">
        <v>0</v>
      </c>
      <c r="BV13" s="19" t="n">
        <v>3.481552072121337e-05</v>
      </c>
      <c r="BW13" t="inlineStr">
        <is>
          <t>D#3</t>
        </is>
      </c>
      <c r="BX13" t="n">
        <v>51</v>
      </c>
      <c r="BY13" t="inlineStr">
        <is>
          <t>D#</t>
        </is>
      </c>
      <c r="BZ13" t="n">
        <v>3</v>
      </c>
      <c r="CA13" t="inlineStr">
        <is>
          <t>Middle</t>
        </is>
      </c>
      <c r="CB13" t="inlineStr">
        <is>
          <t>pp</t>
        </is>
      </c>
      <c r="CC13" s="15" t="n">
        <v>155.5634918610404</v>
      </c>
      <c r="CD13" s="15" t="n">
        <v>155.4286522567423</v>
      </c>
      <c r="CE13" t="inlineStr">
        <is>
          <t>prior_constrained_harmonic_fit</t>
        </is>
      </c>
      <c r="CF13" t="n">
        <v>155.4286522567423</v>
      </c>
      <c r="CG13" s="15" t="n">
        <v>1</v>
      </c>
      <c r="CH13" t="inlineStr">
        <is>
          <t>free_fit_acoustically_verified</t>
        </is>
      </c>
      <c r="CI13" s="15" t="inlineStr">
        <is>
          <t>free_f0_fit</t>
        </is>
      </c>
      <c r="CJ13" s="15" t="n">
        <v>155.5634918610404</v>
      </c>
      <c r="CK13" s="15" t="n">
        <v>155.4286522567423</v>
      </c>
      <c r="CL13" s="15" t="n">
        <v>-1.501252897650268</v>
      </c>
      <c r="CM13" s="15" t="n">
        <v>20000</v>
      </c>
      <c r="CN13" s="15" t="n">
        <v>-1.501252897650268</v>
      </c>
      <c r="CO13" s="15" t="n">
        <v>2.196741256688773</v>
      </c>
      <c r="CP13" s="15" t="n">
        <v>46193.19282703695</v>
      </c>
      <c r="CQ13" t="n">
        <v>5.093556470243316</v>
      </c>
      <c r="CR13" t="n">
        <v>0.0397934099237759</v>
      </c>
      <c r="CS13" t="n">
        <v>360.8843097454434</v>
      </c>
      <c r="CT13" t="n">
        <v>360.8968745580578</v>
      </c>
      <c r="CU13" t="n">
        <v>1838.184610913196</v>
      </c>
      <c r="CV13" t="n">
        <v>33.88202075400341</v>
      </c>
      <c r="CW13" s="15" t="n">
        <v>46194.7999434314</v>
      </c>
      <c r="CX13" s="15" t="n">
        <v>112.9585380805906</v>
      </c>
      <c r="CY13" s="15" t="n">
        <v>33.88202075400341</v>
      </c>
      <c r="CZ13" s="15" t="n">
        <v>2.743360893096153</v>
      </c>
      <c r="DA13" s="15" t="n">
        <v>2.742276746693414</v>
      </c>
      <c r="DB13" s="15" t="n">
        <v>1.703986649537462</v>
      </c>
      <c r="DC13" s="15" t="n">
        <v>0</v>
      </c>
      <c r="DD13" s="15" t="n">
        <v>5.938885634877484e-05</v>
      </c>
      <c r="DE13" s="15" t="n">
        <v>0</v>
      </c>
      <c r="DF13" s="15" t="n">
        <v>22</v>
      </c>
      <c r="DG13" s="15" t="inlineStr">
        <is>
          <t>Density_Metrics</t>
        </is>
      </c>
      <c r="DH13" s="15" t="n">
        <v>2.196741256688773</v>
      </c>
      <c r="DI13" t="n">
        <v>0.9533136956932948</v>
      </c>
      <c r="DJ13" s="15" t="n">
        <v>0.573130422546367</v>
      </c>
      <c r="DK13" s="15" t="n">
        <v>5.832608927008171</v>
      </c>
      <c r="DL13" s="15" t="n">
        <v>5.125981581563789</v>
      </c>
      <c r="DM13" s="15" t="n">
        <v>1.961621749160589</v>
      </c>
      <c r="DN13" s="15" t="n">
        <v>9.364878264235806</v>
      </c>
      <c r="DO13" s="15" t="n">
        <v>0.387972537543983</v>
      </c>
      <c r="DP13" s="15" t="n">
        <v>2.875</v>
      </c>
      <c r="DQ13" s="15" t="n">
        <v>61</v>
      </c>
      <c r="DR13" s="15" t="b">
        <v>1</v>
      </c>
      <c r="DS13" s="15" t="n">
        <v>5.093556470243316</v>
      </c>
      <c r="DT13" s="15" t="n">
        <v>35.68053217173213</v>
      </c>
      <c r="DU13" t="n">
        <v>128</v>
      </c>
      <c r="DV13" s="15" t="n">
        <v>0.06680074446399713</v>
      </c>
      <c r="DW13" s="15" t="n">
        <v>2.378823227238771</v>
      </c>
      <c r="DX13" s="15" t="n">
        <v>2.956559672842499</v>
      </c>
      <c r="DY13" s="15" t="n">
        <v>0.05772392397713198</v>
      </c>
      <c r="DZ13" s="15" t="b">
        <v>1</v>
      </c>
      <c r="EA13" s="15" t="n">
        <v>0.5295114659267968</v>
      </c>
      <c r="EB13" s="15" t="n">
        <v>20000</v>
      </c>
      <c r="EC13" s="15" t="n">
        <v>3885.716306418558</v>
      </c>
      <c r="ED13" s="15" t="n">
        <v>25</v>
      </c>
      <c r="EE13" s="15" t="n">
        <v>3</v>
      </c>
      <c r="EF13" s="15" t="n">
        <v>0.03460516806898831</v>
      </c>
      <c r="EG13" s="15" t="b">
        <v>0</v>
      </c>
      <c r="EH13" s="15" t="b">
        <v>1</v>
      </c>
      <c r="EI13" s="15" t="b">
        <v>0</v>
      </c>
      <c r="EJ13" s="15" t="inlineStr">
        <is>
          <t>wf=log|dst=-90.0|ceil=20000.0|fft=adaptive_tier</t>
        </is>
      </c>
      <c r="EK13" s="15" t="inlineStr">
        <is>
          <t>wf=log|dst=runtime_configured|ceil=runtime_configured|fft=fixed</t>
        </is>
      </c>
      <c r="EL13" s="15" t="n">
        <v>0.5825713066066857</v>
      </c>
      <c r="EM13" s="15" t="n">
        <v>0.997169096975688</v>
      </c>
      <c r="EN13" s="15" t="n">
        <v>0.1705426356589147</v>
      </c>
      <c r="EO13" s="15" t="n">
        <v>0.3707764524350292</v>
      </c>
      <c r="EP13" s="15" t="inlineStr">
        <is>
          <t>warn:power_outlier_detected</t>
        </is>
      </c>
      <c r="EQ13" s="15" t="n">
        <v>487.7862588781362</v>
      </c>
      <c r="ER13" s="15" t="inlineStr">
        <is>
          <t>winsorize_p95_for_robust_diagnostics</t>
        </is>
      </c>
      <c r="ES13" s="15" t="n">
        <v>0.08701272866439161</v>
      </c>
      <c r="ET13" s="15" t="n">
        <v>0.03025109865522172</v>
      </c>
      <c r="EU13" s="15" t="n">
        <v>0.03193204938582574</v>
      </c>
      <c r="EV13" t="inlineStr">
        <is>
          <t>computed</t>
        </is>
      </c>
      <c r="EW13" s="15" t="inlineStr">
        <is>
          <t>computed</t>
        </is>
      </c>
      <c r="EX13" s="15" t="inlineStr">
        <is>
          <t>computed</t>
        </is>
      </c>
      <c r="EY13" s="15" t="inlineStr">
        <is>
          <t>available_from_curve</t>
        </is>
      </c>
      <c r="EZ13" s="15" t="n">
        <v>20000</v>
      </c>
      <c r="FA13" s="15" t="n">
        <v>20000</v>
      </c>
      <c r="FB13" s="15" t="n">
        <v>0.1780716506914811</v>
      </c>
      <c r="FC13" s="15" t="n">
        <v>0.5584805510032278</v>
      </c>
      <c r="FD13" s="15" t="n">
        <v>2.742276746693414</v>
      </c>
      <c r="FE13" s="15" t="n">
        <v>1.703986649537462</v>
      </c>
      <c r="FF13" s="15" t="n">
        <v>1.386345530777295</v>
      </c>
      <c r="FG13" s="15" t="n">
        <v>1.355467484303361</v>
      </c>
      <c r="FH13" s="15" t="n">
        <v>0.7519888064834276</v>
      </c>
      <c r="FI13" s="15" t="n">
        <v>0.08928496590198429</v>
      </c>
      <c r="FJ13" s="15" t="n">
        <v>46194.7999434314</v>
      </c>
      <c r="FK13" s="15" t="n">
        <v>112.9585380805906</v>
      </c>
      <c r="FL13" s="15" t="n">
        <v>33.88202075400341</v>
      </c>
      <c r="FM13" s="15" t="n">
        <v>0.00533594641893879</v>
      </c>
      <c r="FN13" t="n">
        <v>0.9999651844792787</v>
      </c>
      <c r="FO13" t="n">
        <v>0</v>
      </c>
      <c r="FP13" t="n">
        <v>3.481552072121337e-05</v>
      </c>
      <c r="FQ13" t="inlineStr">
        <is>
          <t>excellent</t>
        </is>
      </c>
      <c r="FR13" s="19" t="n">
        <v>0.9375</v>
      </c>
      <c r="FS13" s="15" t="n">
        <v>2.033639565674657</v>
      </c>
      <c r="FT13" s="15" t="n">
        <v>16.69754542099792</v>
      </c>
      <c r="FU13" t="inlineStr">
        <is>
          <t>passed</t>
        </is>
      </c>
      <c r="FV13" t="n">
        <v>551.4293532528205</v>
      </c>
      <c r="FW13" t="n">
        <v>49.58091129006323</v>
      </c>
      <c r="FX13" t="n">
        <v>23.34139874674354</v>
      </c>
      <c r="FY13" t="n">
        <v>0.7412923751715704</v>
      </c>
      <c r="FZ13" t="n">
        <v>1</v>
      </c>
      <c r="GA13" t="n">
        <v>0.8621097625190132</v>
      </c>
      <c r="GB13" t="n">
        <v>0.5803923072659719</v>
      </c>
      <c r="GC13" t="n">
        <v>0.582393239112728</v>
      </c>
      <c r="GD13" t="n">
        <v>0.4667627777366578</v>
      </c>
      <c r="GE13" t="n">
        <v>0.6468343759265711</v>
      </c>
      <c r="GF13" t="n">
        <v>0.8804835178445994</v>
      </c>
      <c r="GG13" t="n">
        <v>0.2090287639685035</v>
      </c>
      <c r="GH13" t="n">
        <v>0.6640405393578146</v>
      </c>
      <c r="GI13" t="n">
        <v>0.8677884615384613</v>
      </c>
      <c r="GJ13" t="n">
        <v>0.7999999999999992</v>
      </c>
      <c r="GK13" t="n">
        <v>0.4186046511627906</v>
      </c>
      <c r="GL13" t="n">
        <v>0.2953049962763515</v>
      </c>
      <c r="GM13" t="n">
        <v>0.2953049962763515</v>
      </c>
      <c r="GN13" t="n">
        <v>0.7052359728346503</v>
      </c>
      <c r="GO13" t="n">
        <v>0.4375694946240693</v>
      </c>
      <c r="GP13" t="n">
        <v>1838.184610913196</v>
      </c>
      <c r="GQ13" t="inlineStr">
        <is>
          <t>compiled workbook density_weighted_sum = density_component_ratio_weighted_sum (per-note component ratios); research density_weighted_sum maps body-ceiling richness</t>
        </is>
      </c>
      <c r="GR13" s="15" t="inlineStr">
        <is>
          <t>individual_exact</t>
        </is>
      </c>
      <c r="GS13" s="15" t="inlineStr">
        <is>
          <t>density_weight</t>
        </is>
      </c>
      <c r="GT13" s="15" t="n">
        <v>0.6289213363494671</v>
      </c>
      <c r="GU13" s="15" t="n">
        <v>0.371048861273152</v>
      </c>
      <c r="GV13" s="15" t="n">
        <v>2.980237738091335e-05</v>
      </c>
      <c r="GW13" s="15" t="inlineStr">
        <is>
          <t>log</t>
        </is>
      </c>
      <c r="GX13" s="15" t="n">
        <v>0.5</v>
      </c>
      <c r="GY13" s="15" t="inlineStr">
        <is>
          <t>EWSD-R v18.1</t>
        </is>
      </c>
      <c r="GZ13" s="15" t="n">
        <v>8.208520968019984</v>
      </c>
      <c r="HA13" s="15" t="n">
        <v>36.69682922562903</v>
      </c>
      <c r="HB13" s="15" t="n">
        <v>0.3484581511511525</v>
      </c>
      <c r="HC13" s="15" t="n">
        <v>13.60090775555445</v>
      </c>
      <c r="HD13" s="15" t="n">
        <v>45.04895633200186</v>
      </c>
      <c r="HE13" s="15" t="n">
        <v>0.31051839553398</v>
      </c>
      <c r="HF13" s="15" t="inlineStr">
        <is>
          <t>partials+ratios</t>
        </is>
      </c>
      <c r="HG13" s="15" t="inlineStr">
        <is>
          <t>merged_individual_exact</t>
        </is>
      </c>
      <c r="HH13" s="15" t="inlineStr">
        <is>
          <t>passed</t>
        </is>
      </c>
      <c r="HI13" s="15" t="inlineStr">
        <is>
          <t>passed</t>
        </is>
      </c>
    </row>
    <row r="14">
      <c r="A14" t="inlineStr">
        <is>
          <t>incomplete_inference</t>
        </is>
      </c>
      <c r="B14" t="inlineStr">
        <is>
          <t>missing_instrument_technique</t>
        </is>
      </c>
      <c r="C14" t="inlineStr">
        <is>
          <t>prior_constrained_harmonic_fit</t>
        </is>
      </c>
      <c r="D14" t="inlineStr">
        <is>
          <t>IOWA_Trb.T_pp.E3_SustainStable/E3/component_amplitude_mass_pie.png</t>
        </is>
      </c>
      <c r="E14" t="inlineStr">
        <is>
          <t>IOWA_Trb.T_pp.E3_SustainStable/E3/component_energy_ratio_pie.png</t>
        </is>
      </c>
      <c r="F14" s="15" t="n">
        <v>165.0367448081035</v>
      </c>
      <c r="G14" s="15" t="inlineStr">
        <is>
          <t>prior_constrained_harmonic_fit</t>
        </is>
      </c>
      <c r="H14" s="15" t="inlineStr">
        <is>
          <t>fit_accepted_acoustically_verified</t>
        </is>
      </c>
      <c r="I14" s="16" t="n">
        <v>1612.757456320435</v>
      </c>
      <c r="J14" t="inlineStr">
        <is>
          <t>richness_weighted_body_density_body_ceiling</t>
        </is>
      </c>
      <c r="K14" t="inlineStr">
        <is>
          <t>research_body_ceiling_richness_metric</t>
        </is>
      </c>
      <c r="L14" s="15" t="n">
        <v>44331.13979294373</v>
      </c>
      <c r="M14" s="15" t="n">
        <v>44334.28839667881</v>
      </c>
      <c r="N14" s="15" t="n">
        <v>97.33666843680808</v>
      </c>
      <c r="O14" s="15" t="n">
        <v>36.30024268055811</v>
      </c>
      <c r="P14" s="15" t="n">
        <v>-3.468184059099074</v>
      </c>
      <c r="Q14" s="15" t="n">
        <v>20</v>
      </c>
      <c r="R14" s="15" t="n">
        <v>101</v>
      </c>
      <c r="S14" s="15" t="n">
        <v>44334.35904161047</v>
      </c>
      <c r="T14" s="15" t="n">
        <v>122</v>
      </c>
      <c r="U14" s="15" t="n">
        <v>0.2026556184305351</v>
      </c>
      <c r="V14" s="15" t="n">
        <v>47.99327595579734</v>
      </c>
      <c r="W14" s="15" t="n">
        <v>0.9963494653851905</v>
      </c>
      <c r="X14" s="15" t="n">
        <v>0.2667219544239845</v>
      </c>
      <c r="Y14" s="15" t="n">
        <v>14</v>
      </c>
      <c r="Z14" s="15" t="n">
        <v>121</v>
      </c>
      <c r="AA14" s="15" t="n">
        <v>0.115702479338843</v>
      </c>
      <c r="AB14" s="15" t="n">
        <v>121</v>
      </c>
      <c r="AC14" s="15" t="n">
        <v>14</v>
      </c>
      <c r="AD14" s="15" t="n">
        <v>0.115702479338843</v>
      </c>
      <c r="AE14" s="15" t="n">
        <v>1422.708464452379</v>
      </c>
      <c r="AF14" s="15" t="n">
        <v>14</v>
      </c>
      <c r="AG14" s="15" t="n">
        <v>121</v>
      </c>
      <c r="AH14" s="15" t="n">
        <v>0.115702479338843</v>
      </c>
      <c r="AI14" s="15" t="n">
        <v>1422.708464452379</v>
      </c>
      <c r="AJ14" s="15" t="n">
        <v>8</v>
      </c>
      <c r="AK14" s="15" t="n">
        <v>6</v>
      </c>
      <c r="AL14" s="15" t="n">
        <v>1.085086322748164</v>
      </c>
      <c r="AM14" s="15" t="n">
        <v>46</v>
      </c>
      <c r="AN14" s="15" t="n">
        <v>2</v>
      </c>
      <c r="AO14" s="15" t="n">
        <v>46</v>
      </c>
      <c r="AP14" s="15" t="n">
        <v>2</v>
      </c>
      <c r="AQ14" s="15" t="n">
        <v>30.59416005892306</v>
      </c>
      <c r="AR14" s="15" t="n">
        <v>17.41237312714431</v>
      </c>
      <c r="AS14" s="15" t="n">
        <v>0.4309354097517389</v>
      </c>
      <c r="AT14" s="17" t="n">
        <v>2.709648786433646</v>
      </c>
      <c r="AU14" s="18" t="n">
        <v>20.11377407255261</v>
      </c>
      <c r="AV14" s="15" t="n">
        <v>23.70401322736135</v>
      </c>
      <c r="AW14" s="15" t="b">
        <v>1</v>
      </c>
      <c r="AX14" s="15" t="n">
        <v>10.35063256304444</v>
      </c>
      <c r="AY14" s="15" t="n">
        <v>23.9688669318626</v>
      </c>
      <c r="AZ14" s="15" t="n">
        <v>0.9799579992129607</v>
      </c>
      <c r="BA14" s="15" t="n">
        <v>1</v>
      </c>
      <c r="BB14" s="15" t="n">
        <v>0.5</v>
      </c>
      <c r="BC14" s="15" t="n">
        <v>0.25</v>
      </c>
      <c r="BD14" s="15" t="inlineStr">
        <is>
          <t>his_note_adaptive</t>
        </is>
      </c>
      <c r="BE14" s="15" t="n">
        <v>-90</v>
      </c>
      <c r="BF14" s="15" t="n">
        <v>20000</v>
      </c>
      <c r="BG14" s="15" t="n">
        <v>14</v>
      </c>
      <c r="BH14" s="15" t="n">
        <v>0.115702479338843</v>
      </c>
      <c r="BI14" s="15" t="n">
        <v>121</v>
      </c>
      <c r="BJ14" s="15" t="n">
        <v>14</v>
      </c>
      <c r="BK14" s="15" t="n">
        <v>121</v>
      </c>
      <c r="BL14" s="15" t="n">
        <v>113</v>
      </c>
      <c r="BM14" s="15" t="n">
        <v>0.9338842975206612</v>
      </c>
      <c r="BN14" s="15" t="n">
        <v>0.1671302746572138</v>
      </c>
      <c r="BO14" s="15" t="n">
        <v>0.3833333333333334</v>
      </c>
      <c r="BP14" s="19" t="n">
        <v>0.8134534187938108</v>
      </c>
      <c r="BQ14" s="19" t="n">
        <v>0.1864887586133378</v>
      </c>
      <c r="BR14" s="19" t="n">
        <v>5.78225928513628e-05</v>
      </c>
      <c r="BS14" s="15" t="n">
        <v>0.08787507022840045</v>
      </c>
      <c r="BT14" s="19" t="n">
        <v>0.9999289221956504</v>
      </c>
      <c r="BU14" s="19" t="n">
        <v>0</v>
      </c>
      <c r="BV14" s="19" t="n">
        <v>7.107780434945421e-05</v>
      </c>
      <c r="BW14" t="inlineStr">
        <is>
          <t>E3</t>
        </is>
      </c>
      <c r="BX14" t="n">
        <v>52</v>
      </c>
      <c r="BY14" t="inlineStr">
        <is>
          <t>E</t>
        </is>
      </c>
      <c r="BZ14" t="n">
        <v>3</v>
      </c>
      <c r="CA14" t="inlineStr">
        <is>
          <t>Middle</t>
        </is>
      </c>
      <c r="CB14" t="inlineStr">
        <is>
          <t>pp</t>
        </is>
      </c>
      <c r="CC14" s="15" t="n">
        <v>164.813778456435</v>
      </c>
      <c r="CD14" s="15" t="n">
        <v>165.0367448081035</v>
      </c>
      <c r="CE14" t="inlineStr">
        <is>
          <t>prior_constrained_harmonic_fit</t>
        </is>
      </c>
      <c r="CF14" t="n">
        <v>165.0367448081035</v>
      </c>
      <c r="CG14" s="15" t="n">
        <v>1</v>
      </c>
      <c r="CH14" t="inlineStr">
        <is>
          <t>free_fit_acoustically_verified</t>
        </is>
      </c>
      <c r="CI14" s="15" t="inlineStr">
        <is>
          <t>free_f0_fit</t>
        </is>
      </c>
      <c r="CJ14" s="15" t="n">
        <v>164.813778456435</v>
      </c>
      <c r="CK14" s="15" t="n">
        <v>165.0367448081035</v>
      </c>
      <c r="CL14" s="15" t="n">
        <v>2.340496505971323</v>
      </c>
      <c r="CM14" s="15" t="n">
        <v>20000</v>
      </c>
      <c r="CN14" s="15" t="n">
        <v>2.340496505971323</v>
      </c>
      <c r="CO14" s="15" t="n">
        <v>2.154523775752077</v>
      </c>
      <c r="CP14" s="15" t="n">
        <v>44331.13979294373</v>
      </c>
      <c r="CQ14" t="n">
        <v>4.401954573780207</v>
      </c>
      <c r="CR14" t="n">
        <v>0.03637978986595213</v>
      </c>
      <c r="CS14" t="n">
        <v>366.3730348165471</v>
      </c>
      <c r="CT14" t="n">
        <v>366.3990776585026</v>
      </c>
      <c r="CU14" t="n">
        <v>1612.757456320435</v>
      </c>
      <c r="CV14" t="n">
        <v>36.30024268055811</v>
      </c>
      <c r="CW14" s="15" t="n">
        <v>44334.28839667881</v>
      </c>
      <c r="CX14" s="15" t="n">
        <v>97.33666843680808</v>
      </c>
      <c r="CY14" s="15" t="n">
        <v>36.30024268055811</v>
      </c>
      <c r="CZ14" s="15" t="n">
        <v>2.712129004297665</v>
      </c>
      <c r="DA14" s="15" t="n">
        <v>2.709741465224281</v>
      </c>
      <c r="DB14" s="15" t="n">
        <v>1.641919454018361</v>
      </c>
      <c r="DC14" s="15" t="n">
        <v>0</v>
      </c>
      <c r="DD14" s="15" t="n">
        <v>6.117886923199209e-05</v>
      </c>
      <c r="DE14" s="15" t="n">
        <v>0</v>
      </c>
      <c r="DF14" s="15" t="n">
        <v>20</v>
      </c>
      <c r="DG14" s="15" t="inlineStr">
        <is>
          <t>Density_Metrics</t>
        </is>
      </c>
      <c r="DH14" s="15" t="n">
        <v>2.154523775752077</v>
      </c>
      <c r="DI14" t="n">
        <v>0.9349926928660036</v>
      </c>
      <c r="DJ14" s="15" t="n">
        <v>0.5693327944306643</v>
      </c>
      <c r="DK14" s="15" t="n">
        <v>5.757496172353332</v>
      </c>
      <c r="DL14" s="15" t="n">
        <v>4.428526199870485</v>
      </c>
      <c r="DM14" s="15" t="n">
        <v>1.729181346669865</v>
      </c>
      <c r="DN14" s="15" t="n">
        <v>8.374034661586478</v>
      </c>
      <c r="DO14" s="15" t="n">
        <v>0.396260581539422</v>
      </c>
      <c r="DP14" s="15" t="n">
        <v>2.9375</v>
      </c>
      <c r="DQ14" s="15" t="n">
        <v>57</v>
      </c>
      <c r="DR14" s="15" t="b">
        <v>1</v>
      </c>
      <c r="DS14" s="15" t="n">
        <v>4.401954573780207</v>
      </c>
      <c r="DT14" s="15" t="n">
        <v>32.27335648530212</v>
      </c>
      <c r="DU14" t="n">
        <v>121</v>
      </c>
      <c r="DV14" s="15" t="n">
        <v>0.08787507022840045</v>
      </c>
      <c r="DW14" s="15" t="n">
        <v>2.290323886758399</v>
      </c>
      <c r="DX14" s="15" t="n">
        <v>2.936217592331105</v>
      </c>
      <c r="DY14" s="15" t="n">
        <v>0.06181950439473666</v>
      </c>
      <c r="DZ14" s="15" t="b">
        <v>1</v>
      </c>
      <c r="EA14" s="15" t="n">
        <v>0.4317709393569884</v>
      </c>
      <c r="EB14" s="15" t="n">
        <v>20000</v>
      </c>
      <c r="EC14" s="15" t="n">
        <v>3795.84513058638</v>
      </c>
      <c r="ED14" s="15" t="n">
        <v>23</v>
      </c>
      <c r="EE14" s="15" t="n">
        <v>2</v>
      </c>
      <c r="EF14" s="15" t="n">
        <v>0.03266292922635083</v>
      </c>
      <c r="EG14" s="15" t="b">
        <v>0</v>
      </c>
      <c r="EH14" s="15" t="b">
        <v>1</v>
      </c>
      <c r="EI14" s="15" t="b">
        <v>0</v>
      </c>
      <c r="EJ14" s="15" t="inlineStr">
        <is>
          <t>wf=log|dst=-90.0|ceil=20000.0|fft=adaptive_tier</t>
        </is>
      </c>
      <c r="EK14" s="15" t="inlineStr">
        <is>
          <t>wf=log|dst=runtime_configured|ceil=runtime_configured|fft=fixed</t>
        </is>
      </c>
      <c r="EL14" s="15" t="n">
        <v>0.5775786761354954</v>
      </c>
      <c r="EM14" s="15" t="n">
        <v>0.996688023287303</v>
      </c>
      <c r="EN14" s="15" t="n">
        <v>0.1639344262295082</v>
      </c>
      <c r="EO14" s="15" t="n">
        <v>0.3584600823794057</v>
      </c>
      <c r="EP14" s="15" t="inlineStr">
        <is>
          <t>warn:power_outlier_detected</t>
        </is>
      </c>
      <c r="EQ14" s="15" t="n">
        <v>606.1846889632058</v>
      </c>
      <c r="ER14" s="15" t="inlineStr">
        <is>
          <t>winsorize_p95_for_robust_diagnostics</t>
        </is>
      </c>
      <c r="ES14" s="15" t="n">
        <v>0.0914333889343126</v>
      </c>
      <c r="ET14" s="15" t="n">
        <v>0.02707740969432096</v>
      </c>
      <c r="EU14" s="15" t="n">
        <v>0.02857353085680743</v>
      </c>
      <c r="EV14" t="inlineStr">
        <is>
          <t>computed</t>
        </is>
      </c>
      <c r="EW14" s="15" t="inlineStr">
        <is>
          <t>computed</t>
        </is>
      </c>
      <c r="EX14" s="15" t="inlineStr">
        <is>
          <t>computed</t>
        </is>
      </c>
      <c r="EY14" s="15" t="inlineStr">
        <is>
          <t>available_from_curve</t>
        </is>
      </c>
      <c r="EZ14" s="15" t="n">
        <v>20000</v>
      </c>
      <c r="FA14" s="15" t="n">
        <v>20000</v>
      </c>
      <c r="FB14" s="15" t="n">
        <v>0.1864887586133378</v>
      </c>
      <c r="FC14" s="15" t="n">
        <v>0.5463542441263268</v>
      </c>
      <c r="FD14" s="15" t="n">
        <v>2.709741465224281</v>
      </c>
      <c r="FE14" s="15" t="n">
        <v>1.641919454018361</v>
      </c>
      <c r="FF14" s="15" t="n">
        <v>1.405835253110689</v>
      </c>
      <c r="FG14" s="15" t="n">
        <v>1.339385768197486</v>
      </c>
      <c r="FH14" s="15" t="n">
        <v>0.7245978428905782</v>
      </c>
      <c r="FI14" s="15" t="n">
        <v>0.09054016466401339</v>
      </c>
      <c r="FJ14" s="15" t="n">
        <v>44334.28839667881</v>
      </c>
      <c r="FK14" s="15" t="n">
        <v>97.33666843680808</v>
      </c>
      <c r="FL14" s="15" t="n">
        <v>36.30024268055811</v>
      </c>
      <c r="FM14" s="15" t="n">
        <v>0.005041257768972824</v>
      </c>
      <c r="FN14" t="n">
        <v>0.9999289221956504</v>
      </c>
      <c r="FO14" t="n">
        <v>0</v>
      </c>
      <c r="FP14" t="n">
        <v>7.107780434945421e-05</v>
      </c>
      <c r="FQ14" t="inlineStr">
        <is>
          <t>excellent</t>
        </is>
      </c>
      <c r="FR14" s="19" t="n">
        <v>0.9338842975206612</v>
      </c>
      <c r="FS14" s="15" t="n">
        <v>2.092728176669793</v>
      </c>
      <c r="FT14" s="15" t="n">
        <v>9.919841417318503</v>
      </c>
      <c r="FU14" t="inlineStr">
        <is>
          <t>passed</t>
        </is>
      </c>
      <c r="FV14" t="n">
        <v>511.5561693266814</v>
      </c>
      <c r="FW14" t="n">
        <v>42.84493736694849</v>
      </c>
      <c r="FX14" t="n">
        <v>24.45864311717062</v>
      </c>
      <c r="FY14" t="n">
        <v>0.6397683158931656</v>
      </c>
      <c r="FZ14" t="n">
        <v>0.8715945885549967</v>
      </c>
      <c r="GA14" t="n">
        <v>0.801916296688444</v>
      </c>
      <c r="GB14" t="n">
        <v>0.4762165173357391</v>
      </c>
      <c r="GC14" t="n">
        <v>0.4780765461687559</v>
      </c>
      <c r="GD14" t="n">
        <v>0.4109387181060657</v>
      </c>
      <c r="GE14" t="n">
        <v>0.6755751185975736</v>
      </c>
      <c r="GF14" t="n">
        <v>0.8139312814154445</v>
      </c>
      <c r="GG14" t="n">
        <v>0.4244514996427581</v>
      </c>
      <c r="GH14" t="n">
        <v>0.6592088807117178</v>
      </c>
      <c r="GI14" t="n">
        <v>0.265734265734266</v>
      </c>
      <c r="GJ14" t="n">
        <v>0.6611570247933879</v>
      </c>
      <c r="GK14" t="n">
        <v>0.6279069767441863</v>
      </c>
      <c r="GL14" t="n">
        <v>0.3735324347163405</v>
      </c>
      <c r="GM14" t="n">
        <v>0.3735324347163405</v>
      </c>
      <c r="GN14" t="n">
        <v>0.6835644258649599</v>
      </c>
      <c r="GO14" t="n">
        <v>0.5170459375697041</v>
      </c>
      <c r="GP14" t="n">
        <v>1612.757456320435</v>
      </c>
      <c r="GQ14" t="inlineStr">
        <is>
          <t>compiled workbook density_weighted_sum = density_component_ratio_weighted_sum (per-note component ratios); research density_weighted_sum maps body-ceiling richness</t>
        </is>
      </c>
      <c r="GR14" s="15" t="inlineStr">
        <is>
          <t>individual_exact</t>
        </is>
      </c>
      <c r="GS14" s="15" t="inlineStr">
        <is>
          <t>density_weight</t>
        </is>
      </c>
      <c r="GT14" s="15" t="n">
        <v>0.4813572920560144</v>
      </c>
      <c r="GU14" s="15" t="n">
        <v>0.5185880125966111</v>
      </c>
      <c r="GV14" s="15" t="n">
        <v>5.469534737456074e-05</v>
      </c>
      <c r="GW14" s="15" t="inlineStr">
        <is>
          <t>log</t>
        </is>
      </c>
      <c r="GX14" s="15" t="n">
        <v>0.5</v>
      </c>
      <c r="GY14" s="15" t="inlineStr">
        <is>
          <t>EWSD-R v18.1</t>
        </is>
      </c>
      <c r="GZ14" s="15" t="n">
        <v>7.224546851213933</v>
      </c>
      <c r="HA14" s="15" t="n">
        <v>33.77019360757468</v>
      </c>
      <c r="HB14" s="15" t="n">
        <v>0.3470446467371047</v>
      </c>
      <c r="HC14" s="15" t="n">
        <v>12.1522610681372</v>
      </c>
      <c r="HD14" s="15" t="n">
        <v>41.01216316871248</v>
      </c>
      <c r="HE14" s="15" t="n">
        <v>0.3259200144245272</v>
      </c>
      <c r="HF14" s="15" t="inlineStr">
        <is>
          <t>partials+ratios</t>
        </is>
      </c>
      <c r="HG14" s="15" t="inlineStr">
        <is>
          <t>merged_individual_exact</t>
        </is>
      </c>
      <c r="HH14" s="15" t="inlineStr">
        <is>
          <t>passed</t>
        </is>
      </c>
      <c r="HI14" s="15" t="inlineStr">
        <is>
          <t>passed</t>
        </is>
      </c>
    </row>
    <row r="15">
      <c r="A15" t="inlineStr">
        <is>
          <t>incomplete_inference</t>
        </is>
      </c>
      <c r="B15" t="inlineStr">
        <is>
          <t>missing_instrument_technique</t>
        </is>
      </c>
      <c r="C15" t="inlineStr">
        <is>
          <t>prior_constrained_harmonic_fit</t>
        </is>
      </c>
      <c r="D15" t="inlineStr">
        <is>
          <t>IOWA_Trb.T_pp.F3_SustainStable/F3/component_amplitude_mass_pie.png</t>
        </is>
      </c>
      <c r="E15" t="inlineStr">
        <is>
          <t>IOWA_Trb.T_pp.F3_SustainStable/F3/component_energy_ratio_pie.png</t>
        </is>
      </c>
      <c r="F15" s="15" t="n">
        <v>174.6330422195815</v>
      </c>
      <c r="G15" s="15" t="inlineStr">
        <is>
          <t>prior_constrained_harmonic_fit</t>
        </is>
      </c>
      <c r="H15" s="15" t="inlineStr">
        <is>
          <t>fit_accepted_acoustically_verified</t>
        </is>
      </c>
      <c r="I15" s="16" t="n">
        <v>1773.257033137203</v>
      </c>
      <c r="J15" t="inlineStr">
        <is>
          <t>richness_weighted_body_density_body_ceiling</t>
        </is>
      </c>
      <c r="K15" t="inlineStr">
        <is>
          <t>research_body_ceiling_richness_metric</t>
        </is>
      </c>
      <c r="L15" s="15" t="n">
        <v>44969.97055190324</v>
      </c>
      <c r="M15" s="15" t="n">
        <v>44972.42889286471</v>
      </c>
      <c r="N15" s="15" t="n">
        <v>116.3036688428817</v>
      </c>
      <c r="O15" s="15" t="n">
        <v>30.95016250591897</v>
      </c>
      <c r="P15" s="15" t="n">
        <v>-3.319480474737603</v>
      </c>
      <c r="Q15" s="15" t="n">
        <v>21</v>
      </c>
      <c r="R15" s="15" t="n">
        <v>86</v>
      </c>
      <c r="S15" s="15" t="n">
        <v>44972.49170020653</v>
      </c>
      <c r="T15" s="15" t="n">
        <v>115</v>
      </c>
      <c r="U15" s="15" t="n">
        <v>0.1030027132192868</v>
      </c>
      <c r="V15" s="15" t="n">
        <v>47.9140730041735</v>
      </c>
      <c r="W15" s="15" t="n">
        <v>0.9954591313521191</v>
      </c>
      <c r="X15" s="15" t="n">
        <v>0.2996298460828559</v>
      </c>
      <c r="Y15" s="15" t="n">
        <v>21</v>
      </c>
      <c r="Z15" s="15" t="n">
        <v>114</v>
      </c>
      <c r="AA15" s="15" t="n">
        <v>0.1842105263157895</v>
      </c>
      <c r="AB15" s="15" t="n">
        <v>114</v>
      </c>
      <c r="AC15" s="15" t="n">
        <v>21</v>
      </c>
      <c r="AD15" s="15" t="n">
        <v>0.1842105263157895</v>
      </c>
      <c r="AE15" s="15" t="n">
        <v>1451.164593844748</v>
      </c>
      <c r="AF15" s="15" t="n">
        <v>21</v>
      </c>
      <c r="AG15" s="15" t="n">
        <v>114</v>
      </c>
      <c r="AH15" s="15" t="n">
        <v>0.1842105263157895</v>
      </c>
      <c r="AI15" s="15" t="n">
        <v>1451.164593844748</v>
      </c>
      <c r="AJ15" s="15" t="n">
        <v>10</v>
      </c>
      <c r="AK15" s="15" t="n">
        <v>11</v>
      </c>
      <c r="AL15" s="15" t="n">
        <v>0.8359673906677516</v>
      </c>
      <c r="AM15" s="15" t="n">
        <v>36</v>
      </c>
      <c r="AN15" s="15" t="n">
        <v>2</v>
      </c>
      <c r="AO15" s="15" t="n">
        <v>36</v>
      </c>
      <c r="AP15" s="15" t="n">
        <v>2</v>
      </c>
      <c r="AQ15" s="15" t="n">
        <v>26.10457511600968</v>
      </c>
      <c r="AR15" s="15" t="n">
        <v>15.16052795254452</v>
      </c>
      <c r="AS15" s="15" t="n">
        <v>0.3411018286622949</v>
      </c>
      <c r="AT15" s="17" t="n">
        <v>2.717312581858462</v>
      </c>
      <c r="AU15" s="18" t="n">
        <v>20.62681279331334</v>
      </c>
      <c r="AV15" s="15" t="n">
        <v>25.72789418612857</v>
      </c>
      <c r="AW15" s="15" t="b">
        <v>1</v>
      </c>
      <c r="AX15" s="15" t="n">
        <v>13.045770673</v>
      </c>
      <c r="AY15" s="15" t="n">
        <v>19.26073047694112</v>
      </c>
      <c r="AZ15" s="15" t="n">
        <v>0.9529996587827072</v>
      </c>
      <c r="BA15" s="15" t="n">
        <v>1</v>
      </c>
      <c r="BB15" s="15" t="n">
        <v>0.5</v>
      </c>
      <c r="BC15" s="15" t="n">
        <v>0.25</v>
      </c>
      <c r="BD15" s="15" t="inlineStr">
        <is>
          <t>his_note_adaptive</t>
        </is>
      </c>
      <c r="BE15" s="15" t="n">
        <v>-90</v>
      </c>
      <c r="BF15" s="15" t="n">
        <v>20000</v>
      </c>
      <c r="BG15" s="15" t="n">
        <v>21</v>
      </c>
      <c r="BH15" s="15" t="n">
        <v>0.1842105263157895</v>
      </c>
      <c r="BI15" s="15" t="n">
        <v>114</v>
      </c>
      <c r="BJ15" s="15" t="n">
        <v>21</v>
      </c>
      <c r="BK15" s="15" t="n">
        <v>114</v>
      </c>
      <c r="BL15" s="15" t="n">
        <v>107</v>
      </c>
      <c r="BM15" s="15" t="n">
        <v>0.9385964912280702</v>
      </c>
      <c r="BN15" s="15" t="n">
        <v>0.1906606808558537</v>
      </c>
      <c r="BO15" s="15" t="n">
        <v>0.3</v>
      </c>
      <c r="BP15" s="19" t="n">
        <v>0.825609759723652</v>
      </c>
      <c r="BQ15" s="19" t="n">
        <v>0.1743450761790238</v>
      </c>
      <c r="BR15" s="19" t="n">
        <v>4.516409732414804e-05</v>
      </c>
      <c r="BS15" s="15" t="n">
        <v>0.06334792095910512</v>
      </c>
      <c r="BT15" s="19" t="n">
        <v>0.9999452990637843</v>
      </c>
      <c r="BU15" s="19" t="n">
        <v>0</v>
      </c>
      <c r="BV15" s="19" t="n">
        <v>5.470093621574624e-05</v>
      </c>
      <c r="BW15" t="inlineStr">
        <is>
          <t>F3</t>
        </is>
      </c>
      <c r="BX15" t="n">
        <v>53</v>
      </c>
      <c r="BY15" t="inlineStr">
        <is>
          <t>F</t>
        </is>
      </c>
      <c r="BZ15" t="n">
        <v>3</v>
      </c>
      <c r="CA15" t="inlineStr">
        <is>
          <t>Middle</t>
        </is>
      </c>
      <c r="CB15" t="inlineStr">
        <is>
          <t>pp</t>
        </is>
      </c>
      <c r="CC15" s="15" t="n">
        <v>174.6141157165019</v>
      </c>
      <c r="CD15" s="15" t="n">
        <v>174.6330422195815</v>
      </c>
      <c r="CE15" t="inlineStr">
        <is>
          <t>prior_constrained_harmonic_fit</t>
        </is>
      </c>
      <c r="CF15" t="n">
        <v>174.6330422195815</v>
      </c>
      <c r="CG15" s="15" t="n">
        <v>1</v>
      </c>
      <c r="CH15" t="inlineStr">
        <is>
          <t>free_fit_acoustically_verified</t>
        </is>
      </c>
      <c r="CI15" s="15" t="inlineStr">
        <is>
          <t>free_f0_fit</t>
        </is>
      </c>
      <c r="CJ15" s="15" t="n">
        <v>174.6141157165019</v>
      </c>
      <c r="CK15" s="15" t="n">
        <v>174.6330422195815</v>
      </c>
      <c r="CL15" s="15" t="n">
        <v>0.1876390736397508</v>
      </c>
      <c r="CM15" s="15" t="n">
        <v>20000</v>
      </c>
      <c r="CN15" s="15" t="n">
        <v>0.1876390736397508</v>
      </c>
      <c r="CO15" s="15" t="n">
        <v>2.182096180353036</v>
      </c>
      <c r="CP15" s="15" t="n">
        <v>44969.97055190324</v>
      </c>
      <c r="CQ15" t="n">
        <v>4.495251095501518</v>
      </c>
      <c r="CR15" t="n">
        <v>0.03943202715352209</v>
      </c>
      <c r="CS15" t="n">
        <v>394.4734110429859</v>
      </c>
      <c r="CT15" t="n">
        <v>394.494990288287</v>
      </c>
      <c r="CU15" t="n">
        <v>1773.257033137203</v>
      </c>
      <c r="CV15" t="n">
        <v>30.95016250591897</v>
      </c>
      <c r="CW15" s="15" t="n">
        <v>44972.42889286471</v>
      </c>
      <c r="CX15" s="15" t="n">
        <v>116.3036688428817</v>
      </c>
      <c r="CY15" s="15" t="n">
        <v>30.95016250591897</v>
      </c>
      <c r="CZ15" s="15" t="n">
        <v>2.718930657727304</v>
      </c>
      <c r="DA15" s="15" t="n">
        <v>2.717386298436784</v>
      </c>
      <c r="DB15" s="15" t="n">
        <v>1.701100379355065</v>
      </c>
      <c r="DC15" s="15" t="n">
        <v>0</v>
      </c>
      <c r="DD15" s="15" t="n">
        <v>6.046102820078968e-05</v>
      </c>
      <c r="DE15" s="15" t="n">
        <v>0</v>
      </c>
      <c r="DF15" s="15" t="n">
        <v>21</v>
      </c>
      <c r="DG15" s="15" t="inlineStr">
        <is>
          <t>Density_Metrics</t>
        </is>
      </c>
      <c r="DH15" s="15" t="n">
        <v>2.182096180353036</v>
      </c>
      <c r="DI15" t="n">
        <v>0.9469582126327288</v>
      </c>
      <c r="DJ15" s="15" t="n">
        <v>0.570229081641468</v>
      </c>
      <c r="DK15" s="15" t="n">
        <v>5.788243787009291</v>
      </c>
      <c r="DL15" s="15" t="n">
        <v>4.52472966120046</v>
      </c>
      <c r="DM15" s="15" t="n">
        <v>1.600460562700758</v>
      </c>
      <c r="DN15" s="15" t="n">
        <v>8.708741588210454</v>
      </c>
      <c r="DO15" s="15" t="n">
        <v>0.3971951981077744</v>
      </c>
      <c r="DP15" s="15" t="n">
        <v>3.75</v>
      </c>
      <c r="DQ15" s="15" t="n">
        <v>60</v>
      </c>
      <c r="DR15" s="15" t="b">
        <v>1</v>
      </c>
      <c r="DS15" s="15" t="n">
        <v>4.495251095501518</v>
      </c>
      <c r="DT15" s="15" t="n">
        <v>34.15780245344558</v>
      </c>
      <c r="DU15" t="n">
        <v>114</v>
      </c>
      <c r="DV15" s="15" t="n">
        <v>0.06334792095910512</v>
      </c>
      <c r="DW15" s="15" t="n">
        <v>2.313318620236314</v>
      </c>
      <c r="DX15" s="15" t="n">
        <v>2.939688126775104</v>
      </c>
      <c r="DY15" s="15" t="n">
        <v>0.059279610093618</v>
      </c>
      <c r="DZ15" s="15" t="b">
        <v>1</v>
      </c>
      <c r="EA15" s="15" t="n">
        <v>0.4282765566004428</v>
      </c>
      <c r="EB15" s="15" t="n">
        <v>20000</v>
      </c>
      <c r="EC15" s="15" t="n">
        <v>3841.926928830793</v>
      </c>
      <c r="ED15" s="15" t="n">
        <v>22</v>
      </c>
      <c r="EE15" s="15" t="n">
        <v>3</v>
      </c>
      <c r="EF15" s="15" t="n">
        <v>0.03082969987369269</v>
      </c>
      <c r="EG15" s="15" t="b">
        <v>0</v>
      </c>
      <c r="EH15" s="15" t="b">
        <v>1</v>
      </c>
      <c r="EI15" s="15" t="b">
        <v>0</v>
      </c>
      <c r="EJ15" s="15" t="inlineStr">
        <is>
          <t>wf=log|dst=-90.0|ceil=20000.0|fft=adaptive_tier</t>
        </is>
      </c>
      <c r="EK15" s="15" t="inlineStr">
        <is>
          <t>wf=log|dst=runtime_configured|ceil=runtime_configured|fft=fixed</t>
        </is>
      </c>
      <c r="EL15" s="15" t="n">
        <v>0.5850040932286794</v>
      </c>
      <c r="EM15" s="15" t="n">
        <v>0.9988112272791082</v>
      </c>
      <c r="EN15" s="15" t="n">
        <v>0.1826086956521739</v>
      </c>
      <c r="EO15" s="15" t="n">
        <v>0.3581299873740996</v>
      </c>
      <c r="EP15" s="15" t="inlineStr">
        <is>
          <t>warn:power_outlier_detected</t>
        </is>
      </c>
      <c r="EQ15" s="15" t="n">
        <v>609.8437559066381</v>
      </c>
      <c r="ER15" s="15" t="inlineStr">
        <is>
          <t>winsorize_p95_for_robust_diagnostics</t>
        </is>
      </c>
      <c r="ES15" s="15" t="n">
        <v>0.09136859269082785</v>
      </c>
      <c r="ET15" s="15" t="n">
        <v>0.02797936471450772</v>
      </c>
      <c r="EU15" s="15" t="n">
        <v>0.03084135661201444</v>
      </c>
      <c r="EV15" t="inlineStr">
        <is>
          <t>computed</t>
        </is>
      </c>
      <c r="EW15" s="15" t="inlineStr">
        <is>
          <t>computed</t>
        </is>
      </c>
      <c r="EX15" s="15" t="inlineStr">
        <is>
          <t>computed</t>
        </is>
      </c>
      <c r="EY15" s="15" t="inlineStr">
        <is>
          <t>available_from_curve</t>
        </is>
      </c>
      <c r="EZ15" s="15" t="n">
        <v>20000</v>
      </c>
      <c r="FA15" s="15" t="n">
        <v>20000</v>
      </c>
      <c r="FB15" s="15" t="n">
        <v>0.1743450761790238</v>
      </c>
      <c r="FC15" s="15" t="n">
        <v>0.5335502439969516</v>
      </c>
      <c r="FD15" s="15" t="n">
        <v>2.717386298436784</v>
      </c>
      <c r="FE15" s="15" t="n">
        <v>1.701100379355065</v>
      </c>
      <c r="FF15" s="15" t="n">
        <v>1.369757109217441</v>
      </c>
      <c r="FG15" s="15" t="n">
        <v>1.343164497990153</v>
      </c>
      <c r="FH15" s="15" t="n">
        <v>0.7507150624254924</v>
      </c>
      <c r="FI15" s="15" t="n">
        <v>0.08821661993738997</v>
      </c>
      <c r="FJ15" s="15" t="n">
        <v>44972.42889286471</v>
      </c>
      <c r="FK15" s="15" t="n">
        <v>116.3036688428817</v>
      </c>
      <c r="FL15" s="15" t="n">
        <v>30.95016250591897</v>
      </c>
      <c r="FM15" s="15" t="n">
        <v>0.005201975251474681</v>
      </c>
      <c r="FN15" t="n">
        <v>0.9999452990637843</v>
      </c>
      <c r="FO15" t="n">
        <v>0</v>
      </c>
      <c r="FP15" t="n">
        <v>5.470093621574624e-05</v>
      </c>
      <c r="FQ15" t="inlineStr">
        <is>
          <t>excellent</t>
        </is>
      </c>
      <c r="FR15" s="19" t="n">
        <v>0.9385964912280702</v>
      </c>
      <c r="FS15" s="15" t="n">
        <v>2.046130275192398</v>
      </c>
      <c r="FT15" s="15" t="n">
        <v>16.88059387188284</v>
      </c>
      <c r="FU15" t="inlineStr">
        <is>
          <t>passed</t>
        </is>
      </c>
      <c r="FV15" t="n">
        <v>520.6585122356471</v>
      </c>
      <c r="FW15" t="n">
        <v>49.2458710392221</v>
      </c>
      <c r="FX15" t="n">
        <v>22.42918109333247</v>
      </c>
      <c r="FY15" t="n">
        <v>0.7060740825340824</v>
      </c>
      <c r="FZ15" t="n">
        <v>0.9630166456498336</v>
      </c>
      <c r="GA15" t="n">
        <v>0.8265566590432779</v>
      </c>
      <c r="GB15" t="n">
        <v>0.49058599793784</v>
      </c>
      <c r="GC15" t="n">
        <v>0.4921487814516761</v>
      </c>
      <c r="GD15" t="n">
        <v>0.4099959234480416</v>
      </c>
      <c r="GE15" t="n">
        <v>0.5643022833307676</v>
      </c>
      <c r="GF15" t="n">
        <v>0.9959506302866807</v>
      </c>
      <c r="GG15" t="n">
        <v>0.173733841913128</v>
      </c>
      <c r="GH15" t="n">
        <v>0.6292526677189538</v>
      </c>
      <c r="GI15" t="n">
        <v>1</v>
      </c>
      <c r="GJ15" t="n">
        <v>0.8421052631578949</v>
      </c>
      <c r="GK15" t="n">
        <v>0.3953488372093023</v>
      </c>
      <c r="GL15" t="n">
        <v>0.2606707274785989</v>
      </c>
      <c r="GM15" t="n">
        <v>0.2606707274785989</v>
      </c>
      <c r="GN15" t="n">
        <v>0.6606817384135771</v>
      </c>
      <c r="GO15" t="n">
        <v>0.39924798462125</v>
      </c>
      <c r="GP15" t="n">
        <v>1773.257033137203</v>
      </c>
      <c r="GQ15" t="inlineStr">
        <is>
          <t>compiled workbook density_weighted_sum = density_component_ratio_weighted_sum (per-note component ratios); research density_weighted_sum maps body-ceiling richness</t>
        </is>
      </c>
      <c r="GR15" s="15" t="inlineStr">
        <is>
          <t>individual_exact</t>
        </is>
      </c>
      <c r="GS15" s="15" t="inlineStr">
        <is>
          <t>density_weight</t>
        </is>
      </c>
      <c r="GT15" s="15" t="n">
        <v>0.6595743333060382</v>
      </c>
      <c r="GU15" s="15" t="n">
        <v>0.3403724347998515</v>
      </c>
      <c r="GV15" s="15" t="n">
        <v>5.323189411025002e-05</v>
      </c>
      <c r="GW15" s="15" t="inlineStr">
        <is>
          <t>log</t>
        </is>
      </c>
      <c r="GX15" s="15" t="n">
        <v>0.5</v>
      </c>
      <c r="GY15" s="15" t="inlineStr">
        <is>
          <t>EWSD-R v18.1</t>
        </is>
      </c>
      <c r="GZ15" s="15" t="n">
        <v>8.152583935799077</v>
      </c>
      <c r="HA15" s="15" t="n">
        <v>33.52710750809167</v>
      </c>
      <c r="HB15" s="15" t="n">
        <v>0.314868349327911</v>
      </c>
      <c r="HC15" s="15" t="n">
        <v>13.35390705351514</v>
      </c>
      <c r="HD15" s="15" t="n">
        <v>41.80892312202105</v>
      </c>
      <c r="HE15" s="15" t="n">
        <v>0.281133371711166</v>
      </c>
      <c r="HF15" s="15" t="inlineStr">
        <is>
          <t>partials+ratios</t>
        </is>
      </c>
      <c r="HG15" s="15" t="inlineStr">
        <is>
          <t>merged_individual_exact</t>
        </is>
      </c>
      <c r="HH15" s="15" t="inlineStr">
        <is>
          <t>passed</t>
        </is>
      </c>
      <c r="HI15" s="15" t="inlineStr">
        <is>
          <t>passed</t>
        </is>
      </c>
    </row>
    <row r="16">
      <c r="A16" t="inlineStr">
        <is>
          <t>incomplete_inference</t>
        </is>
      </c>
      <c r="B16" t="inlineStr">
        <is>
          <t>missing_instrument_technique</t>
        </is>
      </c>
      <c r="C16" t="inlineStr">
        <is>
          <t>prior_constrained_harmonic_fit</t>
        </is>
      </c>
      <c r="D16" t="inlineStr">
        <is>
          <t>IOWA_Trb.T_pp.F#3_SustainStable/F#3/component_amplitude_mass_pie.png</t>
        </is>
      </c>
      <c r="E16" t="inlineStr">
        <is>
          <t>IOWA_Trb.T_pp.F#3_SustainStable/F#3/component_energy_ratio_pie.png</t>
        </is>
      </c>
      <c r="F16" s="15" t="n">
        <v>185.2126705744269</v>
      </c>
      <c r="G16" s="15" t="inlineStr">
        <is>
          <t>prior_constrained_harmonic_fit</t>
        </is>
      </c>
      <c r="H16" s="15" t="inlineStr">
        <is>
          <t>fit_accepted_acoustically_verified</t>
        </is>
      </c>
      <c r="I16" s="16" t="n">
        <v>1740.707716558539</v>
      </c>
      <c r="J16" t="inlineStr">
        <is>
          <t>richness_weighted_body_density_body_ceiling</t>
        </is>
      </c>
      <c r="K16" t="inlineStr">
        <is>
          <t>research_body_ceiling_richness_metric</t>
        </is>
      </c>
      <c r="L16" s="15" t="n">
        <v>45320.10481291656</v>
      </c>
      <c r="M16" s="15" t="n">
        <v>45322.22284702176</v>
      </c>
      <c r="N16" s="15" t="n">
        <v>100.641019479046</v>
      </c>
      <c r="O16" s="15" t="n">
        <v>25.29306584839285</v>
      </c>
      <c r="P16" s="15" t="n">
        <v>-4.354444348193528</v>
      </c>
      <c r="Q16" s="15" t="n">
        <v>17</v>
      </c>
      <c r="R16" s="15" t="n">
        <v>74</v>
      </c>
      <c r="S16" s="15" t="n">
        <v>45322.25868436644</v>
      </c>
      <c r="T16" s="15" t="n">
        <v>108</v>
      </c>
      <c r="U16" s="15" t="n">
        <v>0.1819005944804651</v>
      </c>
      <c r="V16" s="15" t="n">
        <v>45.13568704710594</v>
      </c>
      <c r="W16" s="15" t="n">
        <v>0.9964495951182072</v>
      </c>
      <c r="X16" s="15" t="n">
        <v>0.3001743415625641</v>
      </c>
      <c r="Y16" s="15" t="n">
        <v>12</v>
      </c>
      <c r="Z16" s="15" t="n">
        <v>107</v>
      </c>
      <c r="AA16" s="15" t="n">
        <v>0.1121495327102804</v>
      </c>
      <c r="AB16" s="15" t="n">
        <v>107</v>
      </c>
      <c r="AC16" s="15" t="n">
        <v>12</v>
      </c>
      <c r="AD16" s="15" t="n">
        <v>0.1121495327102804</v>
      </c>
      <c r="AE16" s="15" t="n">
        <v>1395.292443910321</v>
      </c>
      <c r="AF16" s="15" t="n">
        <v>12</v>
      </c>
      <c r="AG16" s="15" t="n">
        <v>107</v>
      </c>
      <c r="AH16" s="15" t="n">
        <v>0.1121495327102804</v>
      </c>
      <c r="AI16" s="15" t="n">
        <v>1395.292443910321</v>
      </c>
      <c r="AJ16" s="15" t="n">
        <v>6</v>
      </c>
      <c r="AK16" s="15" t="n">
        <v>6</v>
      </c>
      <c r="AL16" s="15" t="n">
        <v>0.7734560399220064</v>
      </c>
      <c r="AM16" s="15" t="n">
        <v>39</v>
      </c>
      <c r="AN16" s="15" t="n">
        <v>2</v>
      </c>
      <c r="AO16" s="15" t="n">
        <v>39</v>
      </c>
      <c r="AP16" s="15" t="n">
        <v>2</v>
      </c>
      <c r="AQ16" s="15" t="n">
        <v>22.5737574672693</v>
      </c>
      <c r="AR16" s="15" t="n">
        <v>13.66045321138673</v>
      </c>
      <c r="AS16" s="15" t="n">
        <v>0.2812588663574043</v>
      </c>
      <c r="AT16" s="17" t="n">
        <v>2.700876865028298</v>
      </c>
      <c r="AU16" s="18" t="n">
        <v>19.31003934725736</v>
      </c>
      <c r="AV16" s="15" t="n">
        <v>23.30457765567579</v>
      </c>
      <c r="AW16" s="15" t="b">
        <v>1</v>
      </c>
      <c r="AX16" s="15" t="n">
        <v>9.288605818201734</v>
      </c>
      <c r="AY16" s="15" t="n">
        <v>20.4526309035652</v>
      </c>
      <c r="AZ16" s="15" t="n">
        <v>0.9256754936765483</v>
      </c>
      <c r="BA16" s="15" t="n">
        <v>1</v>
      </c>
      <c r="BB16" s="15" t="n">
        <v>0.5</v>
      </c>
      <c r="BC16" s="15" t="n">
        <v>0.25</v>
      </c>
      <c r="BD16" s="15" t="inlineStr">
        <is>
          <t>his_note_adaptive</t>
        </is>
      </c>
      <c r="BE16" s="15" t="n">
        <v>-90</v>
      </c>
      <c r="BF16" s="15" t="n">
        <v>20000</v>
      </c>
      <c r="BG16" s="15" t="n">
        <v>12</v>
      </c>
      <c r="BH16" s="15" t="n">
        <v>0.1121495327102804</v>
      </c>
      <c r="BI16" s="15" t="n">
        <v>107</v>
      </c>
      <c r="BJ16" s="15" t="n">
        <v>12</v>
      </c>
      <c r="BK16" s="15" t="n">
        <v>107</v>
      </c>
      <c r="BL16" s="15" t="n">
        <v>100</v>
      </c>
      <c r="BM16" s="15" t="n">
        <v>0.9345794392523364</v>
      </c>
      <c r="BN16" s="15" t="n">
        <v>0.1883045518661927</v>
      </c>
      <c r="BO16" s="15" t="n">
        <v>0.325</v>
      </c>
      <c r="BP16" s="19" t="n">
        <v>0.8536626279179885</v>
      </c>
      <c r="BQ16" s="19" t="n">
        <v>0.1462974538995414</v>
      </c>
      <c r="BR16" s="19" t="n">
        <v>3.991818247007984e-05</v>
      </c>
      <c r="BS16" s="15" t="n">
        <v>0.05569465938052381</v>
      </c>
      <c r="BT16" s="19" t="n">
        <v>0.999953241111143</v>
      </c>
      <c r="BU16" s="19" t="n">
        <v>0</v>
      </c>
      <c r="BV16" s="19" t="n">
        <v>4.675888885703583e-05</v>
      </c>
      <c r="BW16" t="inlineStr">
        <is>
          <t>F#3</t>
        </is>
      </c>
      <c r="BX16" t="n">
        <v>54</v>
      </c>
      <c r="BY16" t="inlineStr">
        <is>
          <t>F#</t>
        </is>
      </c>
      <c r="BZ16" t="n">
        <v>3</v>
      </c>
      <c r="CA16" t="inlineStr">
        <is>
          <t>Middle</t>
        </is>
      </c>
      <c r="CB16" t="inlineStr">
        <is>
          <t>pp</t>
        </is>
      </c>
      <c r="CC16" s="15" t="n">
        <v>184.9972113558172</v>
      </c>
      <c r="CD16" s="15" t="n">
        <v>185.2126705744269</v>
      </c>
      <c r="CE16" t="inlineStr">
        <is>
          <t>prior_constrained_harmonic_fit</t>
        </is>
      </c>
      <c r="CF16" t="n">
        <v>185.2126705744269</v>
      </c>
      <c r="CG16" s="15" t="n">
        <v>1</v>
      </c>
      <c r="CH16" t="inlineStr">
        <is>
          <t>free_fit_acoustically_verified</t>
        </is>
      </c>
      <c r="CI16" s="15" t="inlineStr">
        <is>
          <t>free_f0_fit</t>
        </is>
      </c>
      <c r="CJ16" s="15" t="n">
        <v>184.9972113558172</v>
      </c>
      <c r="CK16" s="15" t="n">
        <v>185.2126705744269</v>
      </c>
      <c r="CL16" s="15" t="n">
        <v>2.015129232166093</v>
      </c>
      <c r="CM16" s="15" t="n">
        <v>20000</v>
      </c>
      <c r="CN16" s="15" t="n">
        <v>2.015129232166093</v>
      </c>
      <c r="CO16" s="15" t="n">
        <v>2.138045787409505</v>
      </c>
      <c r="CP16" s="15" t="n">
        <v>45320.10481291656</v>
      </c>
      <c r="CQ16" t="n">
        <v>4.109781548413761</v>
      </c>
      <c r="CR16" t="n">
        <v>0.03840917334966132</v>
      </c>
      <c r="CS16" t="n">
        <v>423.5523703760833</v>
      </c>
      <c r="CT16" t="n">
        <v>423.5721761403903</v>
      </c>
      <c r="CU16" t="n">
        <v>1740.707716558539</v>
      </c>
      <c r="CV16" t="n">
        <v>25.29306584839285</v>
      </c>
      <c r="CW16" s="15" t="n">
        <v>45322.22284702176</v>
      </c>
      <c r="CX16" s="15" t="n">
        <v>100.641019479046</v>
      </c>
      <c r="CY16" s="15" t="n">
        <v>25.29306584839285</v>
      </c>
      <c r="CZ16" s="15" t="n">
        <v>2.701997613628991</v>
      </c>
      <c r="DA16" s="15" t="n">
        <v>2.700941230984961</v>
      </c>
      <c r="DB16" s="15" t="n">
        <v>1.626322983532582</v>
      </c>
      <c r="DC16" s="15" t="n">
        <v>0</v>
      </c>
      <c r="DD16" s="15" t="n">
        <v>5.96202860691289e-05</v>
      </c>
      <c r="DE16" s="15" t="n">
        <v>0</v>
      </c>
      <c r="DF16" s="15" t="n">
        <v>17</v>
      </c>
      <c r="DG16" s="15" t="inlineStr">
        <is>
          <t>Density_Metrics</t>
        </is>
      </c>
      <c r="DH16" s="15" t="n">
        <v>2.138045787409505</v>
      </c>
      <c r="DI16" t="n">
        <v>0.9278417860777698</v>
      </c>
      <c r="DJ16" s="15" t="n">
        <v>0.5683046355602925</v>
      </c>
      <c r="DK16" s="15" t="n">
        <v>5.651655269975553</v>
      </c>
      <c r="DL16" s="15" t="n">
        <v>4.132647090131949</v>
      </c>
      <c r="DM16" s="15" t="n">
        <v>1.420379519094977</v>
      </c>
      <c r="DN16" s="15" t="n">
        <v>8.012809876741461</v>
      </c>
      <c r="DO16" s="15" t="n">
        <v>0.4183810392143921</v>
      </c>
      <c r="DP16" s="15" t="n">
        <v>3.5625</v>
      </c>
      <c r="DQ16" s="15" t="n">
        <v>52</v>
      </c>
      <c r="DR16" s="15" t="b">
        <v>1</v>
      </c>
      <c r="DS16" s="15" t="n">
        <v>4.109781548413761</v>
      </c>
      <c r="DT16" s="15" t="n">
        <v>32.11865454719435</v>
      </c>
      <c r="DU16" t="n">
        <v>107</v>
      </c>
      <c r="DV16" s="15" t="n">
        <v>0.05569465938052381</v>
      </c>
      <c r="DW16" s="15" t="n">
        <v>2.269092984286164</v>
      </c>
      <c r="DX16" s="15" t="n">
        <v>2.93317945139771</v>
      </c>
      <c r="DY16" s="15" t="n">
        <v>0.06276665801240817</v>
      </c>
      <c r="DZ16" s="15" t="b">
        <v>1</v>
      </c>
      <c r="EA16" s="15" t="n">
        <v>0.5227814227879477</v>
      </c>
      <c r="EB16" s="15" t="n">
        <v>20000</v>
      </c>
      <c r="EC16" s="15" t="n">
        <v>3333.828070339685</v>
      </c>
      <c r="ED16" s="15" t="n">
        <v>18</v>
      </c>
      <c r="EE16" s="15" t="n">
        <v>1</v>
      </c>
      <c r="EF16" s="15" t="n">
        <v>0.02909936177846458</v>
      </c>
      <c r="EG16" s="15" t="b">
        <v>0</v>
      </c>
      <c r="EH16" s="15" t="b">
        <v>1</v>
      </c>
      <c r="EI16" s="15" t="b">
        <v>0</v>
      </c>
      <c r="EJ16" s="15" t="inlineStr">
        <is>
          <t>wf=log|dst=-90.0|ceil=20000.0|fft=adaptive_tier</t>
        </is>
      </c>
      <c r="EK16" s="15" t="inlineStr">
        <is>
          <t>wf=log|dst=runtime_configured|ceil=runtime_configured|fft=fixed</t>
        </is>
      </c>
      <c r="EL16" s="15" t="n">
        <v>0.5735094621715926</v>
      </c>
      <c r="EM16" s="15" t="n">
        <v>0.9967689637113022</v>
      </c>
      <c r="EN16" s="15" t="n">
        <v>0.1559633027522936</v>
      </c>
      <c r="EO16" s="15" t="n">
        <v>0.3518813626910197</v>
      </c>
      <c r="EP16" s="15" t="inlineStr">
        <is>
          <t>warn:power_outlier_detected</t>
        </is>
      </c>
      <c r="EQ16" s="15" t="n">
        <v>684.811355300384</v>
      </c>
      <c r="ER16" s="15" t="inlineStr">
        <is>
          <t>winsorize_p95_for_robust_diagnostics</t>
        </is>
      </c>
      <c r="ES16" s="15" t="n">
        <v>0.08984558665325354</v>
      </c>
      <c r="ET16" s="15" t="n">
        <v>0.02307988285702069</v>
      </c>
      <c r="EU16" s="15" t="n">
        <v>0.02449562046345659</v>
      </c>
      <c r="EV16" t="inlineStr">
        <is>
          <t>computed</t>
        </is>
      </c>
      <c r="EW16" s="15" t="inlineStr">
        <is>
          <t>computed</t>
        </is>
      </c>
      <c r="EX16" s="15" t="inlineStr">
        <is>
          <t>computed</t>
        </is>
      </c>
      <c r="EY16" s="15" t="inlineStr">
        <is>
          <t>available_from_curve</t>
        </is>
      </c>
      <c r="EZ16" s="15" t="n">
        <v>20000</v>
      </c>
      <c r="FA16" s="15" t="n">
        <v>20000</v>
      </c>
      <c r="FB16" s="15" t="n">
        <v>0.1462974538995414</v>
      </c>
      <c r="FC16" s="15" t="n">
        <v>0.5457762397146269</v>
      </c>
      <c r="FD16" s="15" t="n">
        <v>2.700941230984961</v>
      </c>
      <c r="FE16" s="15" t="n">
        <v>1.626322983532582</v>
      </c>
      <c r="FF16" s="15" t="n">
        <v>1.32439105545801</v>
      </c>
      <c r="FG16" s="15" t="n">
        <v>1.335035940493176</v>
      </c>
      <c r="FH16" s="15" t="n">
        <v>0.7177149420009854</v>
      </c>
      <c r="FI16" s="15" t="n">
        <v>0.0852949049153439</v>
      </c>
      <c r="FJ16" s="15" t="n">
        <v>45322.22284702176</v>
      </c>
      <c r="FK16" s="15" t="n">
        <v>100.641019479046</v>
      </c>
      <c r="FL16" s="15" t="n">
        <v>25.29306584839285</v>
      </c>
      <c r="FM16" s="15" t="n">
        <v>0.005146248912452241</v>
      </c>
      <c r="FN16" t="n">
        <v>0.999953241111143</v>
      </c>
      <c r="FO16" t="n">
        <v>0</v>
      </c>
      <c r="FP16" t="n">
        <v>4.675888885703583e-05</v>
      </c>
      <c r="FQ16" t="inlineStr">
        <is>
          <t>excellent</t>
        </is>
      </c>
      <c r="FR16" s="19" t="n">
        <v>0.9345794392523364</v>
      </c>
      <c r="FS16" s="15" t="n">
        <v>3.099354360272842</v>
      </c>
      <c r="FT16" s="15" t="n">
        <v>14.15521042189879</v>
      </c>
      <c r="FU16" t="inlineStr">
        <is>
          <t>passed</t>
        </is>
      </c>
      <c r="FV16" t="n">
        <v>501.2746167918131</v>
      </c>
      <c r="FW16" t="n">
        <v>41.29830685894023</v>
      </c>
      <c r="FX16" t="n">
        <v>20.10527694917851</v>
      </c>
      <c r="FY16" t="n">
        <v>0.6001422598575483</v>
      </c>
      <c r="FZ16" t="n">
        <v>0.9444762511038109</v>
      </c>
      <c r="GA16" t="n">
        <v>0.7170980688118413</v>
      </c>
      <c r="GB16" t="n">
        <v>0.4320223784848324</v>
      </c>
      <c r="GC16" t="n">
        <v>0.4340070837662787</v>
      </c>
      <c r="GD16" t="n">
        <v>0.3769233247058492</v>
      </c>
      <c r="GE16" t="n">
        <v>0.6880892075500472</v>
      </c>
      <c r="GF16" t="n">
        <v>0.9989623307537662</v>
      </c>
      <c r="GG16" t="n">
        <v>0.09550184699571773</v>
      </c>
      <c r="GH16" t="n">
        <v>0.6529698060274401</v>
      </c>
      <c r="GI16" t="n">
        <v>0.2276539659717232</v>
      </c>
      <c r="GJ16" t="n">
        <v>0.6878504672897188</v>
      </c>
      <c r="GK16" t="n">
        <v>0.4651162790697675</v>
      </c>
      <c r="GL16" t="n">
        <v>0</v>
      </c>
      <c r="GM16" t="n">
        <v>0</v>
      </c>
      <c r="GN16" t="n">
        <v>0.6825314444400294</v>
      </c>
      <c r="GO16" t="n">
        <v>0.3066062156059632</v>
      </c>
      <c r="GP16" t="n">
        <v>1740.707716558539</v>
      </c>
      <c r="GQ16" t="inlineStr">
        <is>
          <t>compiled workbook density_weighted_sum = density_component_ratio_weighted_sum (per-note component ratios); research density_weighted_sum maps body-ceiling richness</t>
        </is>
      </c>
      <c r="GR16" s="15" t="inlineStr">
        <is>
          <t>individual_exact</t>
        </is>
      </c>
      <c r="GS16" s="15" t="inlineStr">
        <is>
          <t>density_weight</t>
        </is>
      </c>
      <c r="GT16" s="15" t="n">
        <v>0.6083095614935328</v>
      </c>
      <c r="GU16" s="15" t="n">
        <v>0.3916395095225396</v>
      </c>
      <c r="GV16" s="15" t="n">
        <v>5.092898392746974e-05</v>
      </c>
      <c r="GW16" s="15" t="inlineStr">
        <is>
          <t>log</t>
        </is>
      </c>
      <c r="GX16" s="15" t="n">
        <v>0.5</v>
      </c>
      <c r="GY16" s="15" t="inlineStr">
        <is>
          <t>EWSD-R v18.1</t>
        </is>
      </c>
      <c r="GZ16" s="15" t="n">
        <v>7.736569802329298</v>
      </c>
      <c r="HA16" s="15" t="n">
        <v>34.7131601101021</v>
      </c>
      <c r="HB16" s="15" t="n">
        <v>0.3654469489966178</v>
      </c>
      <c r="HC16" s="15" t="n">
        <v>12.41692492910924</v>
      </c>
      <c r="HD16" s="15" t="n">
        <v>40.63092032866804</v>
      </c>
      <c r="HE16" s="15" t="n">
        <v>0.3187032367932222</v>
      </c>
      <c r="HF16" s="15" t="inlineStr">
        <is>
          <t>partials+ratios</t>
        </is>
      </c>
      <c r="HG16" s="15" t="inlineStr">
        <is>
          <t>merged_individual_exact</t>
        </is>
      </c>
      <c r="HH16" s="15" t="inlineStr">
        <is>
          <t>passed</t>
        </is>
      </c>
      <c r="HI16" s="15" t="inlineStr">
        <is>
          <t>passed</t>
        </is>
      </c>
    </row>
    <row r="17">
      <c r="A17" t="inlineStr">
        <is>
          <t>incomplete_inference</t>
        </is>
      </c>
      <c r="B17" t="inlineStr">
        <is>
          <t>missing_instrument_technique</t>
        </is>
      </c>
      <c r="C17" t="inlineStr">
        <is>
          <t>prior_constrained_harmonic_fit</t>
        </is>
      </c>
      <c r="D17" t="inlineStr">
        <is>
          <t>IOWA_Trb.T_pp.G3_SustainStable/G3/component_amplitude_mass_pie.png</t>
        </is>
      </c>
      <c r="E17" t="inlineStr">
        <is>
          <t>IOWA_Trb.T_pp.G3_SustainStable/G3/component_energy_ratio_pie.png</t>
        </is>
      </c>
      <c r="F17" s="15" t="n">
        <v>195.8123104750567</v>
      </c>
      <c r="G17" s="15" t="inlineStr">
        <is>
          <t>prior_constrained_harmonic_fit</t>
        </is>
      </c>
      <c r="H17" s="15" t="inlineStr">
        <is>
          <t>fit_accepted_acoustically_verified</t>
        </is>
      </c>
      <c r="I17" s="16" t="n">
        <v>1354.342095959969</v>
      </c>
      <c r="J17" t="inlineStr">
        <is>
          <t>richness_weighted_body_density_body_ceiling</t>
        </is>
      </c>
      <c r="K17" t="inlineStr">
        <is>
          <t>research_body_ceiling_richness_metric</t>
        </is>
      </c>
      <c r="L17" s="15" t="n">
        <v>43797.59978281264</v>
      </c>
      <c r="M17" s="15" t="n">
        <v>43799.55665137011</v>
      </c>
      <c r="N17" s="15" t="n">
        <v>79.0934474161272</v>
      </c>
      <c r="O17" s="15" t="n">
        <v>26.90736638040179</v>
      </c>
      <c r="P17" s="15" t="n">
        <v>-4.22596298968837</v>
      </c>
      <c r="Q17" s="15" t="n">
        <v>18</v>
      </c>
      <c r="R17" s="15" t="n">
        <v>64</v>
      </c>
      <c r="S17" s="15" t="n">
        <v>43799.59960925086</v>
      </c>
      <c r="T17" s="15" t="n">
        <v>103</v>
      </c>
      <c r="U17" s="15" t="n">
        <v>0.07273841220213134</v>
      </c>
      <c r="V17" s="15" t="n">
        <v>36.12120022973996</v>
      </c>
      <c r="W17" s="15" t="n">
        <v>0.9981881170340172</v>
      </c>
      <c r="X17" s="15" t="n">
        <v>0.2414524575385838</v>
      </c>
      <c r="Y17" s="15" t="n">
        <v>11</v>
      </c>
      <c r="Z17" s="15" t="n">
        <v>102</v>
      </c>
      <c r="AA17" s="15" t="n">
        <v>0.107843137254902</v>
      </c>
      <c r="AB17" s="15" t="n">
        <v>102</v>
      </c>
      <c r="AC17" s="15" t="n">
        <v>11</v>
      </c>
      <c r="AD17" s="15" t="n">
        <v>0.107843137254902</v>
      </c>
      <c r="AE17" s="15" t="n">
        <v>1234.084460827406</v>
      </c>
      <c r="AF17" s="15" t="n">
        <v>11</v>
      </c>
      <c r="AG17" s="15" t="n">
        <v>102</v>
      </c>
      <c r="AH17" s="15" t="n">
        <v>0.107843137254902</v>
      </c>
      <c r="AI17" s="15" t="n">
        <v>1234.084460827406</v>
      </c>
      <c r="AJ17" s="15" t="n">
        <v>6</v>
      </c>
      <c r="AK17" s="15" t="n">
        <v>5</v>
      </c>
      <c r="AL17" s="15" t="n">
        <v>0.7276842074436655</v>
      </c>
      <c r="AM17" s="15" t="n">
        <v>38</v>
      </c>
      <c r="AN17" s="15" t="n">
        <v>2</v>
      </c>
      <c r="AO17" s="15" t="n">
        <v>38</v>
      </c>
      <c r="AP17" s="15" t="n">
        <v>2</v>
      </c>
      <c r="AQ17" s="15" t="n">
        <v>23.08735751644524</v>
      </c>
      <c r="AR17" s="15" t="n">
        <v>12.83070034871128</v>
      </c>
      <c r="AS17" s="15" t="n">
        <v>0.2481572695362103</v>
      </c>
      <c r="AT17" s="17" t="n">
        <v>2.648318240945434</v>
      </c>
      <c r="AU17" s="18" t="n">
        <v>15.7626841433409</v>
      </c>
      <c r="AV17" s="15" t="n">
        <v>19.33939757589167</v>
      </c>
      <c r="AW17" s="15" t="b">
        <v>1</v>
      </c>
      <c r="AX17" s="15" t="n">
        <v>7.876028810881147</v>
      </c>
      <c r="AY17" s="15" t="n">
        <v>18.94397324261384</v>
      </c>
      <c r="AZ17" s="15" t="n">
        <v>0.9005749551236617</v>
      </c>
      <c r="BA17" s="15" t="n">
        <v>1</v>
      </c>
      <c r="BB17" s="15" t="n">
        <v>0.5</v>
      </c>
      <c r="BC17" s="15" t="n">
        <v>0.25</v>
      </c>
      <c r="BD17" s="15" t="inlineStr">
        <is>
          <t>his_note_adaptive</t>
        </is>
      </c>
      <c r="BE17" s="15" t="n">
        <v>-90</v>
      </c>
      <c r="BF17" s="15" t="n">
        <v>20000</v>
      </c>
      <c r="BG17" s="15" t="n">
        <v>11</v>
      </c>
      <c r="BH17" s="15" t="n">
        <v>0.107843137254902</v>
      </c>
      <c r="BI17" s="15" t="n">
        <v>102</v>
      </c>
      <c r="BJ17" s="15" t="n">
        <v>11</v>
      </c>
      <c r="BK17" s="15" t="n">
        <v>102</v>
      </c>
      <c r="BL17" s="15" t="n">
        <v>96</v>
      </c>
      <c r="BM17" s="15" t="n">
        <v>0.9411764705882353</v>
      </c>
      <c r="BN17" s="15" t="n">
        <v>0.1427843844992948</v>
      </c>
      <c r="BO17" s="15" t="n">
        <v>0.3166666666666667</v>
      </c>
      <c r="BP17" s="19" t="n">
        <v>0.8320181783559011</v>
      </c>
      <c r="BQ17" s="19" t="n">
        <v>0.167944624375274</v>
      </c>
      <c r="BR17" s="19" t="n">
        <v>3.719726882486089e-05</v>
      </c>
      <c r="BS17" s="15" t="n">
        <v>0.06391697709491129</v>
      </c>
      <c r="BT17" s="19" t="n">
        <v>0.999955294719661</v>
      </c>
      <c r="BU17" s="19" t="n">
        <v>0</v>
      </c>
      <c r="BV17" s="19" t="n">
        <v>4.470528033898266e-05</v>
      </c>
      <c r="BW17" t="inlineStr">
        <is>
          <t>G3</t>
        </is>
      </c>
      <c r="BX17" t="n">
        <v>55</v>
      </c>
      <c r="BY17" t="inlineStr">
        <is>
          <t>G</t>
        </is>
      </c>
      <c r="BZ17" t="n">
        <v>3</v>
      </c>
      <c r="CA17" t="inlineStr">
        <is>
          <t>Middle</t>
        </is>
      </c>
      <c r="CB17" t="inlineStr">
        <is>
          <t>pp</t>
        </is>
      </c>
      <c r="CC17" s="15" t="n">
        <v>195.9977179908747</v>
      </c>
      <c r="CD17" s="15" t="n">
        <v>195.8123104750567</v>
      </c>
      <c r="CE17" t="inlineStr">
        <is>
          <t>prior_constrained_harmonic_fit</t>
        </is>
      </c>
      <c r="CF17" t="n">
        <v>195.8123104750567</v>
      </c>
      <c r="CG17" s="15" t="n">
        <v>1</v>
      </c>
      <c r="CH17" t="inlineStr">
        <is>
          <t>free_fit_acoustically_verified</t>
        </is>
      </c>
      <c r="CI17" s="15" t="inlineStr">
        <is>
          <t>free_f0_fit</t>
        </is>
      </c>
      <c r="CJ17" s="15" t="n">
        <v>195.9977179908747</v>
      </c>
      <c r="CK17" s="15" t="n">
        <v>195.8123104750567</v>
      </c>
      <c r="CL17" s="15" t="n">
        <v>-1.638466629108513</v>
      </c>
      <c r="CM17" s="15" t="n">
        <v>20000</v>
      </c>
      <c r="CN17" s="15" t="n">
        <v>-1.638466629108513</v>
      </c>
      <c r="CO17" s="15" t="n">
        <v>2.094944748899354</v>
      </c>
      <c r="CP17" s="15" t="n">
        <v>43797.59978281264</v>
      </c>
      <c r="CQ17" t="n">
        <v>3.154120277527706</v>
      </c>
      <c r="CR17" t="n">
        <v>0.03092274781889908</v>
      </c>
      <c r="CS17" t="n">
        <v>429.3882213716792</v>
      </c>
      <c r="CT17" t="n">
        <v>429.4074181506871</v>
      </c>
      <c r="CU17" t="n">
        <v>1354.342095959969</v>
      </c>
      <c r="CV17" t="n">
        <v>26.90736638040179</v>
      </c>
      <c r="CW17" s="15" t="n">
        <v>43799.55665137011</v>
      </c>
      <c r="CX17" s="15" t="n">
        <v>79.0934474161272</v>
      </c>
      <c r="CY17" s="15" t="n">
        <v>26.90736638040179</v>
      </c>
      <c r="CZ17" s="15" t="n">
        <v>2.649461140885682</v>
      </c>
      <c r="DA17" s="15" t="n">
        <v>2.648376635948416</v>
      </c>
      <c r="DB17" s="15" t="n">
        <v>1.584939103967977</v>
      </c>
      <c r="DC17" s="15" t="n">
        <v>0</v>
      </c>
      <c r="DD17" s="15" t="n">
        <v>6.049329538659792e-05</v>
      </c>
      <c r="DE17" s="15" t="n">
        <v>0</v>
      </c>
      <c r="DF17" s="15" t="n">
        <v>18</v>
      </c>
      <c r="DG17" s="15" t="inlineStr">
        <is>
          <t>Density_Metrics</t>
        </is>
      </c>
      <c r="DH17" s="15" t="n">
        <v>2.094944748899354</v>
      </c>
      <c r="DI17" t="n">
        <v>0.9091373482268299</v>
      </c>
      <c r="DJ17" s="15" t="n">
        <v>0.5620927145956153</v>
      </c>
      <c r="DK17" s="15" t="n">
        <v>5.575470772068008</v>
      </c>
      <c r="DL17" s="15" t="n">
        <v>3.169403347342753</v>
      </c>
      <c r="DM17" s="15" t="n">
        <v>1.161729416301755</v>
      </c>
      <c r="DN17" s="15" t="n">
        <v>6.698767944545707</v>
      </c>
      <c r="DO17" s="15" t="n">
        <v>0.6083397686771247</v>
      </c>
      <c r="DP17" s="15" t="n">
        <v>4.4375</v>
      </c>
      <c r="DQ17" s="15" t="n">
        <v>54</v>
      </c>
      <c r="DR17" s="15" t="b">
        <v>1</v>
      </c>
      <c r="DS17" s="15" t="n">
        <v>3.154120277527706</v>
      </c>
      <c r="DT17" s="15" t="n">
        <v>24.62815066893554</v>
      </c>
      <c r="DU17" t="n">
        <v>102</v>
      </c>
      <c r="DV17" s="15" t="n">
        <v>0.06391697709491129</v>
      </c>
      <c r="DW17" s="15" t="n">
        <v>2.119670768060081</v>
      </c>
      <c r="DX17" s="15" t="n">
        <v>2.911058442006495</v>
      </c>
      <c r="DY17" s="15" t="n">
        <v>0.07870755349865223</v>
      </c>
      <c r="DZ17" s="15" t="b">
        <v>1</v>
      </c>
      <c r="EA17" s="15" t="n">
        <v>0.3912870056011859</v>
      </c>
      <c r="EB17" s="15" t="n">
        <v>20000</v>
      </c>
      <c r="EC17" s="15" t="n">
        <v>3524.621588551021</v>
      </c>
      <c r="ED17" s="15" t="n">
        <v>18</v>
      </c>
      <c r="EE17" s="15" t="n">
        <v>1</v>
      </c>
      <c r="EF17" s="15" t="n">
        <v>0.02746614009812419</v>
      </c>
      <c r="EG17" s="15" t="b">
        <v>0</v>
      </c>
      <c r="EH17" s="15" t="b">
        <v>1</v>
      </c>
      <c r="EI17" s="15" t="b">
        <v>0</v>
      </c>
      <c r="EJ17" s="15" t="inlineStr">
        <is>
          <t>wf=log|dst=-90.0|ceil=20000.0|fft=adaptive_tier</t>
        </is>
      </c>
      <c r="EK17" s="15" t="inlineStr">
        <is>
          <t>wf=log|dst=runtime_configured|ceil=runtime_configured|fft=fixed</t>
        </is>
      </c>
      <c r="EL17" s="15" t="n">
        <v>0.5782784225781208</v>
      </c>
      <c r="EM17" s="15" t="n">
        <v>0.9986941683337995</v>
      </c>
      <c r="EN17" s="15" t="n">
        <v>0.1747572815533981</v>
      </c>
      <c r="EO17" s="15" t="n">
        <v>0.3385049914211083</v>
      </c>
      <c r="EP17" s="15" t="inlineStr">
        <is>
          <t>warn:power_outlier_detected</t>
        </is>
      </c>
      <c r="EQ17" s="15" t="n">
        <v>889.841850181096</v>
      </c>
      <c r="ER17" s="15" t="inlineStr">
        <is>
          <t>winsorize_p95_for_robust_diagnostics</t>
        </is>
      </c>
      <c r="ES17" s="15" t="n">
        <v>0.1349797965317813</v>
      </c>
      <c r="ET17" s="15" t="n">
        <v>0.02668709996200345</v>
      </c>
      <c r="EU17" s="15" t="n">
        <v>0.0277306302285785</v>
      </c>
      <c r="EV17" t="inlineStr">
        <is>
          <t>computed</t>
        </is>
      </c>
      <c r="EW17" s="15" t="inlineStr">
        <is>
          <t>computed</t>
        </is>
      </c>
      <c r="EX17" s="15" t="inlineStr">
        <is>
          <t>computed</t>
        </is>
      </c>
      <c r="EY17" s="15" t="inlineStr">
        <is>
          <t>available_from_curve</t>
        </is>
      </c>
      <c r="EZ17" s="15" t="n">
        <v>20000</v>
      </c>
      <c r="FA17" s="15" t="n">
        <v>20000</v>
      </c>
      <c r="FB17" s="15" t="n">
        <v>0.167944624375274</v>
      </c>
      <c r="FC17" s="15" t="n">
        <v>0.4562864722709666</v>
      </c>
      <c r="FD17" s="15" t="n">
        <v>2.648376635948416</v>
      </c>
      <c r="FE17" s="15" t="n">
        <v>1.584939103967977</v>
      </c>
      <c r="FF17" s="15" t="n">
        <v>1.342155032151616</v>
      </c>
      <c r="FG17" s="15" t="n">
        <v>1.309054026201147</v>
      </c>
      <c r="FH17" s="15" t="n">
        <v>0.6994517624098258</v>
      </c>
      <c r="FI17" s="15" t="n">
        <v>0.08643896028838137</v>
      </c>
      <c r="FJ17" s="15" t="n">
        <v>43799.55665137011</v>
      </c>
      <c r="FK17" s="15" t="n">
        <v>79.0934474161272</v>
      </c>
      <c r="FL17" s="15" t="n">
        <v>26.90736638040179</v>
      </c>
      <c r="FM17" s="15" t="n">
        <v>0.005072645623584047</v>
      </c>
      <c r="FN17" t="n">
        <v>0.999955294719661</v>
      </c>
      <c r="FO17" t="n">
        <v>0</v>
      </c>
      <c r="FP17" t="n">
        <v>4.470528033898266e-05</v>
      </c>
      <c r="FQ17" t="inlineStr">
        <is>
          <t>excellent</t>
        </is>
      </c>
      <c r="FR17" s="19" t="n">
        <v>0.9411764705882353</v>
      </c>
      <c r="FS17" s="15" t="n">
        <v>2.224570532150342</v>
      </c>
      <c r="FT17" s="15" t="n">
        <v>12.74816505755124</v>
      </c>
      <c r="FU17" t="inlineStr">
        <is>
          <t>passed</t>
        </is>
      </c>
      <c r="FV17" t="n">
        <v>444.0170351050766</v>
      </c>
      <c r="FW17" t="n">
        <v>37.45378590217747</v>
      </c>
      <c r="FX17" t="n">
        <v>20.986445932546</v>
      </c>
      <c r="FY17" t="n">
        <v>0.4964934326045258</v>
      </c>
      <c r="FZ17" t="n">
        <v>0.7243987871852001</v>
      </c>
      <c r="GA17" t="n">
        <v>0.6560457349879819</v>
      </c>
      <c r="GB17" t="n">
        <v>0.2881469702016619</v>
      </c>
      <c r="GC17" t="n">
        <v>0.2898614070940568</v>
      </c>
      <c r="GD17" t="n">
        <v>0.2696191164409212</v>
      </c>
      <c r="GE17" t="n">
        <v>0.9053675048631299</v>
      </c>
      <c r="GF17" t="n">
        <v>0.6741612403242702</v>
      </c>
      <c r="GG17" t="n">
        <v>0.1795507601338119</v>
      </c>
      <c r="GH17" t="n">
        <v>0.6201550518950582</v>
      </c>
      <c r="GI17" t="n">
        <v>0.18149824032177</v>
      </c>
      <c r="GJ17" t="n">
        <v>0.9411764705882335</v>
      </c>
      <c r="GK17" t="n">
        <v>0.4418604651162792</v>
      </c>
      <c r="GL17" t="n">
        <v>0.2011858124562061</v>
      </c>
      <c r="GM17" t="n">
        <v>0.2011858124562061</v>
      </c>
      <c r="GN17" t="n">
        <v>0.5225996764129289</v>
      </c>
      <c r="GO17" t="n">
        <v>0.3200820792317645</v>
      </c>
      <c r="GP17" t="n">
        <v>1354.342095959969</v>
      </c>
      <c r="GQ17" t="inlineStr">
        <is>
          <t>compiled workbook density_weighted_sum = density_component_ratio_weighted_sum (per-note component ratios); research density_weighted_sum maps body-ceiling richness</t>
        </is>
      </c>
      <c r="GR17" s="15" t="inlineStr">
        <is>
          <t>individual_exact</t>
        </is>
      </c>
      <c r="GS17" s="15" t="inlineStr">
        <is>
          <t>density_weight</t>
        </is>
      </c>
      <c r="GT17" s="15" t="n">
        <v>0.5522288776246531</v>
      </c>
      <c r="GU17" s="15" t="n">
        <v>0.4477027116062045</v>
      </c>
      <c r="GV17" s="15" t="n">
        <v>6.84107691422118e-05</v>
      </c>
      <c r="GW17" s="15" t="inlineStr">
        <is>
          <t>log</t>
        </is>
      </c>
      <c r="GX17" s="15" t="n">
        <v>0.5</v>
      </c>
      <c r="GY17" s="15" t="inlineStr">
        <is>
          <t>EWSD-R v18.1</t>
        </is>
      </c>
      <c r="GZ17" s="15" t="n">
        <v>4.09655626899177</v>
      </c>
      <c r="HA17" s="15" t="n">
        <v>26.90518137697222</v>
      </c>
      <c r="HB17" s="15" t="n">
        <v>0.3802383271872654</v>
      </c>
      <c r="HC17" s="15" t="n">
        <v>7.66176544358284</v>
      </c>
      <c r="HD17" s="15" t="n">
        <v>35.10548773917316</v>
      </c>
      <c r="HE17" s="15" t="n">
        <v>0.3629220097464171</v>
      </c>
      <c r="HF17" s="15" t="inlineStr">
        <is>
          <t>partials+ratios</t>
        </is>
      </c>
      <c r="HG17" s="15" t="inlineStr">
        <is>
          <t>merged_individual_exact</t>
        </is>
      </c>
      <c r="HH17" s="15" t="inlineStr">
        <is>
          <t>passed</t>
        </is>
      </c>
      <c r="HI17" s="15" t="inlineStr">
        <is>
          <t>passed</t>
        </is>
      </c>
    </row>
    <row r="18">
      <c r="A18" t="inlineStr">
        <is>
          <t>incomplete_inference</t>
        </is>
      </c>
      <c r="B18" t="inlineStr">
        <is>
          <t>missing_instrument_technique</t>
        </is>
      </c>
      <c r="C18" t="inlineStr">
        <is>
          <t>prior_constrained_harmonic_fit</t>
        </is>
      </c>
      <c r="D18" t="inlineStr">
        <is>
          <t>IOWA_Trb.T_pp.G#3_SustainStable/G#3/component_amplitude_mass_pie.png</t>
        </is>
      </c>
      <c r="E18" t="inlineStr">
        <is>
          <t>IOWA_Trb.T_pp.G#3_SustainStable/G#3/component_energy_ratio_pie.png</t>
        </is>
      </c>
      <c r="F18" s="15" t="n">
        <v>207.4353714857505</v>
      </c>
      <c r="G18" s="15" t="inlineStr">
        <is>
          <t>prior_constrained_harmonic_fit</t>
        </is>
      </c>
      <c r="H18" s="15" t="inlineStr">
        <is>
          <t>fit_accepted_acoustically_verified</t>
        </is>
      </c>
      <c r="I18" s="16" t="n">
        <v>325.1953463694207</v>
      </c>
      <c r="J18" t="inlineStr">
        <is>
          <t>richness_weighted_body_density_body_ceiling</t>
        </is>
      </c>
      <c r="K18" t="inlineStr">
        <is>
          <t>research_body_ceiling_richness_metric</t>
        </is>
      </c>
      <c r="L18" s="15" t="n">
        <v>41042.44607449693</v>
      </c>
      <c r="M18" s="15" t="n">
        <v>41043.8881793773</v>
      </c>
      <c r="N18" s="15" t="n">
        <v>160.9030743539445</v>
      </c>
      <c r="O18" s="15" t="n">
        <v>24.72752956789886</v>
      </c>
      <c r="P18" s="15" t="n">
        <v>-4.878147416011023</v>
      </c>
      <c r="Q18" s="15" t="n">
        <v>15</v>
      </c>
      <c r="R18" s="15" t="n">
        <v>53</v>
      </c>
      <c r="S18" s="15" t="n">
        <v>10260.98267237896</v>
      </c>
      <c r="T18" s="15" t="n">
        <v>97</v>
      </c>
      <c r="U18" s="15" t="n">
        <v>-0.3356094799846509</v>
      </c>
      <c r="V18" s="15" t="n">
        <v>33.67785849823469</v>
      </c>
      <c r="W18" s="15" t="n">
        <v>0.9972898620105463</v>
      </c>
      <c r="X18" s="15" t="n">
        <v>0.1647352186024335</v>
      </c>
      <c r="Y18" s="15" t="n">
        <v>13</v>
      </c>
      <c r="Z18" s="15" t="n">
        <v>96</v>
      </c>
      <c r="AA18" s="15" t="n">
        <v>0.1354166666666667</v>
      </c>
      <c r="AB18" s="15" t="n">
        <v>96</v>
      </c>
      <c r="AC18" s="15" t="n">
        <v>13</v>
      </c>
      <c r="AD18" s="15" t="n">
        <v>0.1354166666666667</v>
      </c>
      <c r="AE18" s="15" t="n">
        <v>592.9575406946112</v>
      </c>
      <c r="AF18" s="15" t="n">
        <v>13</v>
      </c>
      <c r="AG18" s="15" t="n">
        <v>96</v>
      </c>
      <c r="AH18" s="15" t="n">
        <v>0.1354166666666667</v>
      </c>
      <c r="AI18" s="15" t="n">
        <v>592.9575406946112</v>
      </c>
      <c r="AJ18" s="15" t="n">
        <v>7</v>
      </c>
      <c r="AK18" s="15" t="n">
        <v>6</v>
      </c>
      <c r="AL18" s="15" t="n">
        <v>0.7758870762309642</v>
      </c>
      <c r="AM18" s="15" t="n">
        <v>35</v>
      </c>
      <c r="AN18" s="15" t="n">
        <v>1</v>
      </c>
      <c r="AO18" s="15" t="n">
        <v>35</v>
      </c>
      <c r="AP18" s="15" t="n">
        <v>1</v>
      </c>
      <c r="AQ18" s="15" t="n">
        <v>24.8533043000132</v>
      </c>
      <c r="AR18" s="15" t="n">
        <v>14.88790749719699</v>
      </c>
      <c r="AS18" s="15" t="n">
        <v>0.330226093483718</v>
      </c>
      <c r="AT18" s="17" t="n">
        <v>2.630092737363342</v>
      </c>
      <c r="AU18" s="18" t="n">
        <v>12.22450920213311</v>
      </c>
      <c r="AV18" s="15" t="n">
        <v>14.54739693520066</v>
      </c>
      <c r="AW18" s="15" t="b">
        <v>1</v>
      </c>
      <c r="AX18" s="15" t="n">
        <v>8.748492845281152</v>
      </c>
      <c r="AY18" s="15" t="n">
        <v>20.14353784181716</v>
      </c>
      <c r="AZ18" s="15" t="n">
        <v>0.4708926755472874</v>
      </c>
      <c r="BA18" s="15" t="n">
        <v>1</v>
      </c>
      <c r="BB18" s="15" t="n">
        <v>0.5</v>
      </c>
      <c r="BC18" s="15" t="n">
        <v>0.25</v>
      </c>
      <c r="BD18" s="15" t="inlineStr">
        <is>
          <t>his_note_adaptive</t>
        </is>
      </c>
      <c r="BE18" s="15" t="n">
        <v>-90</v>
      </c>
      <c r="BF18" s="15" t="n">
        <v>20000</v>
      </c>
      <c r="BG18" s="15" t="n">
        <v>13</v>
      </c>
      <c r="BH18" s="15" t="n">
        <v>0.1354166666666667</v>
      </c>
      <c r="BI18" s="15" t="n">
        <v>96</v>
      </c>
      <c r="BJ18" s="15" t="n">
        <v>13</v>
      </c>
      <c r="BK18" s="15" t="n">
        <v>96</v>
      </c>
      <c r="BL18" s="15" t="n">
        <v>90</v>
      </c>
      <c r="BM18" s="15" t="n">
        <v>0.9375</v>
      </c>
      <c r="BN18" s="15" t="n">
        <v>0.09988612130910975</v>
      </c>
      <c r="BO18" s="15" t="n">
        <v>0.2916666666666667</v>
      </c>
      <c r="BP18" s="19" t="n">
        <v>0.7601894720463305</v>
      </c>
      <c r="BQ18" s="19" t="n">
        <v>0.2397838011393429</v>
      </c>
      <c r="BR18" s="19" t="n">
        <v>2.672681432660941e-05</v>
      </c>
      <c r="BS18" s="15" t="n">
        <v>0.09199612176613725</v>
      </c>
      <c r="BT18" s="19" t="n">
        <v>0.9999648431401927</v>
      </c>
      <c r="BU18" s="19" t="n">
        <v>0</v>
      </c>
      <c r="BV18" s="19" t="n">
        <v>3.515685980733525e-05</v>
      </c>
      <c r="BW18" t="inlineStr">
        <is>
          <t>G#3</t>
        </is>
      </c>
      <c r="BX18" t="n">
        <v>56</v>
      </c>
      <c r="BY18" t="inlineStr">
        <is>
          <t>G#</t>
        </is>
      </c>
      <c r="BZ18" t="n">
        <v>3</v>
      </c>
      <c r="CA18" t="inlineStr">
        <is>
          <t>Middle</t>
        </is>
      </c>
      <c r="CB18" t="inlineStr">
        <is>
          <t>pp</t>
        </is>
      </c>
      <c r="CC18" s="15" t="n">
        <v>207.6523487899725</v>
      </c>
      <c r="CD18" s="15" t="n">
        <v>207.4353714857505</v>
      </c>
      <c r="CE18" t="inlineStr">
        <is>
          <t>prior_constrained_harmonic_fit</t>
        </is>
      </c>
      <c r="CF18" t="n">
        <v>207.4353714857505</v>
      </c>
      <c r="CG18" s="15" t="n">
        <v>1</v>
      </c>
      <c r="CH18" t="inlineStr">
        <is>
          <t>free_fit_acoustically_verified</t>
        </is>
      </c>
      <c r="CI18" s="15" t="inlineStr">
        <is>
          <t>free_f0_fit</t>
        </is>
      </c>
      <c r="CJ18" s="15" t="n">
        <v>207.6523487899725</v>
      </c>
      <c r="CK18" s="15" t="n">
        <v>207.4353714857505</v>
      </c>
      <c r="CL18" s="15" t="n">
        <v>-1.809923603174399</v>
      </c>
      <c r="CM18" s="15" t="n">
        <v>20000</v>
      </c>
      <c r="CN18" s="15" t="n">
        <v>-1.809923603174399</v>
      </c>
      <c r="CO18" s="15" t="n">
        <v>2.120372295665023</v>
      </c>
      <c r="CP18" s="15" t="n">
        <v>41042.44607449693</v>
      </c>
      <c r="CQ18" t="n">
        <v>3.042582194644048</v>
      </c>
      <c r="CR18" t="n">
        <v>0.03169356452754217</v>
      </c>
      <c r="CS18" t="n">
        <v>106.8813677217569</v>
      </c>
      <c r="CT18" t="n">
        <v>106.8851254671284</v>
      </c>
      <c r="CU18" t="n">
        <v>325.1953463694207</v>
      </c>
      <c r="CV18" t="n">
        <v>24.72752956789886</v>
      </c>
      <c r="CW18" s="15" t="n">
        <v>41043.8881793773</v>
      </c>
      <c r="CX18" s="15" t="n">
        <v>160.9030743539445</v>
      </c>
      <c r="CY18" s="15" t="n">
        <v>24.72752956789886</v>
      </c>
      <c r="CZ18" s="15" t="n">
        <v>2.630920191556965</v>
      </c>
      <c r="DA18" s="15" t="n">
        <v>2.630143316846428</v>
      </c>
      <c r="DB18" s="15" t="n">
        <v>1.684970610373571</v>
      </c>
      <c r="DC18" s="15" t="n">
        <v>0</v>
      </c>
      <c r="DD18" s="15" t="n">
        <v>6.410242183863826e-05</v>
      </c>
      <c r="DE18" s="15" t="n">
        <v>0</v>
      </c>
      <c r="DF18" s="15" t="n">
        <v>15</v>
      </c>
      <c r="DG18" s="15" t="inlineStr">
        <is>
          <t>Density_Metrics</t>
        </is>
      </c>
      <c r="DH18" s="15" t="n">
        <v>2.120372295665023</v>
      </c>
      <c r="DI18" t="n">
        <v>0.9201720700019982</v>
      </c>
      <c r="DJ18" s="15" t="n">
        <v>0.5599177200252883</v>
      </c>
      <c r="DK18" s="15" t="n">
        <v>5.506576902213731</v>
      </c>
      <c r="DL18" s="15" t="n">
        <v>3.070152727883642</v>
      </c>
      <c r="DM18" s="15" t="n">
        <v>1.16641068109929</v>
      </c>
      <c r="DN18" s="15" t="n">
        <v>6.428991922303083</v>
      </c>
      <c r="DO18" s="15" t="n">
        <v>0.5098236753133605</v>
      </c>
      <c r="DP18" s="15" t="n">
        <v>8.4375</v>
      </c>
      <c r="DQ18" s="15" t="n">
        <v>39</v>
      </c>
      <c r="DR18" s="15" t="b">
        <v>1</v>
      </c>
      <c r="DS18" s="15" t="n">
        <v>3.042582194644048</v>
      </c>
      <c r="DT18" s="15" t="n">
        <v>15.81458098583361</v>
      </c>
      <c r="DU18" t="n">
        <v>96</v>
      </c>
      <c r="DV18" s="15" t="n">
        <v>0.09199612176613725</v>
      </c>
      <c r="DW18" s="15" t="n">
        <v>1.837214855292976</v>
      </c>
      <c r="DX18" s="15" t="n">
        <v>2.591055717178019</v>
      </c>
      <c r="DY18" s="15" t="n">
        <v>0.084214178971467</v>
      </c>
      <c r="DZ18" s="15" t="b">
        <v>1</v>
      </c>
      <c r="EA18" s="15" t="n">
        <v>0.1680612135627368</v>
      </c>
      <c r="EB18" s="15" t="n">
        <v>20000</v>
      </c>
      <c r="EC18" s="15" t="n">
        <v>3318.965943772008</v>
      </c>
      <c r="ED18" s="15" t="n">
        <v>16</v>
      </c>
      <c r="EE18" s="15" t="n">
        <v>0</v>
      </c>
      <c r="EF18" s="15" t="n">
        <v>0.05184916821427216</v>
      </c>
      <c r="EG18" s="15" t="b">
        <v>0</v>
      </c>
      <c r="EH18" s="15" t="b">
        <v>1</v>
      </c>
      <c r="EI18" s="15" t="b">
        <v>0</v>
      </c>
      <c r="EJ18" s="15" t="inlineStr">
        <is>
          <t>wf=log|dst=-90.0|ceil=20000.0|fft=adaptive_tier</t>
        </is>
      </c>
      <c r="EK18" s="15" t="inlineStr">
        <is>
          <t>wf=log|dst=runtime_configured|ceil=runtime_configured|fft=fixed</t>
        </is>
      </c>
      <c r="EL18" s="15" t="n">
        <v>0.5722612429083369</v>
      </c>
      <c r="EM18" s="15" t="n">
        <v>0.9854997406566917</v>
      </c>
      <c r="EN18" s="15" t="n">
        <v>0.154639175257732</v>
      </c>
      <c r="EO18" s="15" t="n">
        <v>0.3733132413630973</v>
      </c>
      <c r="EP18" s="15" t="inlineStr">
        <is>
          <t>warn:power_outlier_detected</t>
        </is>
      </c>
      <c r="EQ18" s="15" t="n">
        <v>467.2166537082059</v>
      </c>
      <c r="ER18" s="15" t="inlineStr">
        <is>
          <t>winsorize_p95_for_robust_diagnostics</t>
        </is>
      </c>
      <c r="ES18" s="15" t="n">
        <v>0.08741174336637791</v>
      </c>
      <c r="ET18" s="15" t="n">
        <v>0.01534093351766267</v>
      </c>
      <c r="EU18" s="15" t="n">
        <v>0.01636503051089827</v>
      </c>
      <c r="EV18" t="inlineStr">
        <is>
          <t>computed</t>
        </is>
      </c>
      <c r="EW18" s="15" t="inlineStr">
        <is>
          <t>computed</t>
        </is>
      </c>
      <c r="EX18" s="15" t="inlineStr">
        <is>
          <t>computed</t>
        </is>
      </c>
      <c r="EY18" s="15" t="inlineStr">
        <is>
          <t>available_from_curve</t>
        </is>
      </c>
      <c r="EZ18" s="15" t="n">
        <v>20000</v>
      </c>
      <c r="FA18" s="15" t="n">
        <v>20000</v>
      </c>
      <c r="FB18" s="15" t="n">
        <v>0.2397838011393429</v>
      </c>
      <c r="FC18" s="15" t="n">
        <v>0.4781209971902812</v>
      </c>
      <c r="FD18" s="15" t="n">
        <v>2.630143316846428</v>
      </c>
      <c r="FE18" s="15" t="n">
        <v>1.684970610373571</v>
      </c>
      <c r="FF18" s="15" t="n">
        <v>1.191462974993733</v>
      </c>
      <c r="FG18" s="15" t="n">
        <v>1.300041561940028</v>
      </c>
      <c r="FH18" s="15" t="n">
        <v>0.7435968108074179</v>
      </c>
      <c r="FI18" s="15" t="n">
        <v>0.07673392291757687</v>
      </c>
      <c r="FJ18" s="15" t="n">
        <v>10260.97204484433</v>
      </c>
      <c r="FK18" s="15" t="n">
        <v>40.22576858848613</v>
      </c>
      <c r="FL18" s="15" t="n">
        <v>6.181882391974716</v>
      </c>
      <c r="FM18" s="15" t="n">
        <v>0.004756872390618704</v>
      </c>
      <c r="FN18" t="n">
        <v>0.9999648431401927</v>
      </c>
      <c r="FO18" t="n">
        <v>0</v>
      </c>
      <c r="FP18" t="n">
        <v>3.515685980733525e-05</v>
      </c>
      <c r="FQ18" t="inlineStr">
        <is>
          <t>excellent</t>
        </is>
      </c>
      <c r="FR18" s="19" t="n">
        <v>0.9375</v>
      </c>
      <c r="FS18" s="15" t="n">
        <v>2.572647576891029</v>
      </c>
      <c r="FT18" s="15" t="n">
        <v>14.49701280355961</v>
      </c>
      <c r="FU18" t="inlineStr">
        <is>
          <t>passed</t>
        </is>
      </c>
      <c r="FV18" t="n">
        <v>212.860156472904</v>
      </c>
      <c r="FW18" t="n">
        <v>23.7069801862116</v>
      </c>
      <c r="FX18" t="n">
        <v>7.270213989798735</v>
      </c>
      <c r="FY18" t="n">
        <v>0.5576412725008253</v>
      </c>
      <c r="FZ18" t="n">
        <v>0.1381871923256968</v>
      </c>
      <c r="GA18" t="n">
        <v>0.600835926479888</v>
      </c>
      <c r="GB18" t="n">
        <v>0.2733223492228758</v>
      </c>
      <c r="GC18" t="n">
        <v>0.2730377343955906</v>
      </c>
      <c r="GD18" t="n">
        <v>0.2405347264660252</v>
      </c>
      <c r="GE18" t="n">
        <v>0.7931047141109309</v>
      </c>
      <c r="GF18" t="n">
        <v>0.2498246701449813</v>
      </c>
      <c r="GG18" t="n">
        <v>0.4665770796512718</v>
      </c>
      <c r="GH18" t="n">
        <v>0.4974034230533063</v>
      </c>
      <c r="GI18" t="n">
        <v>0.4770299145299149</v>
      </c>
      <c r="GJ18" t="n">
        <v>0.7999999999999992</v>
      </c>
      <c r="GK18" t="n">
        <v>0.3720930232558141</v>
      </c>
      <c r="GL18" t="n">
        <v>0.8688491987480391</v>
      </c>
      <c r="GM18" t="n">
        <v>0.8688491987480391</v>
      </c>
      <c r="GN18" t="n">
        <v>0.5616212793752591</v>
      </c>
      <c r="GO18" t="n">
        <v>0.3664170787395855</v>
      </c>
      <c r="GP18" t="n">
        <v>325.1953463694207</v>
      </c>
      <c r="GQ18" t="inlineStr">
        <is>
          <t>compiled workbook density_weighted_sum = density_component_ratio_weighted_sum (per-note component ratios); research density_weighted_sum maps body-ceiling richness</t>
        </is>
      </c>
      <c r="GR18" s="15" t="inlineStr">
        <is>
          <t>individual_exact</t>
        </is>
      </c>
      <c r="GS18" s="15" t="inlineStr">
        <is>
          <t>density_weight</t>
        </is>
      </c>
      <c r="GT18" s="15" t="n">
        <v>0.4611516619846939</v>
      </c>
      <c r="GU18" s="15" t="n">
        <v>0.538808363417555</v>
      </c>
      <c r="GV18" s="15" t="n">
        <v>3.997459775112441e-05</v>
      </c>
      <c r="GW18" s="15" t="inlineStr">
        <is>
          <t>log</t>
        </is>
      </c>
      <c r="GX18" s="15" t="n">
        <v>0.5</v>
      </c>
      <c r="GY18" s="15" t="inlineStr">
        <is>
          <t>EWSD-R v18.1</t>
        </is>
      </c>
      <c r="GZ18" s="15" t="n">
        <v>3.284673159817651</v>
      </c>
      <c r="HA18" s="15" t="n">
        <v>23.25823276427397</v>
      </c>
      <c r="HB18" s="15" t="n">
        <v>0.4316111453813726</v>
      </c>
      <c r="HC18" s="15" t="n">
        <v>5.771590913741283</v>
      </c>
      <c r="HD18" s="15" t="n">
        <v>28.5108500155625</v>
      </c>
      <c r="HE18" s="15" t="n">
        <v>0.4056791982224188</v>
      </c>
      <c r="HF18" s="15" t="inlineStr">
        <is>
          <t>partials+ratios</t>
        </is>
      </c>
      <c r="HG18" s="15" t="inlineStr">
        <is>
          <t>merged_individual_exact</t>
        </is>
      </c>
      <c r="HH18" s="15" t="inlineStr">
        <is>
          <t>passed</t>
        </is>
      </c>
      <c r="HI18" s="15" t="inlineStr">
        <is>
          <t>passed</t>
        </is>
      </c>
    </row>
    <row r="19">
      <c r="A19" t="inlineStr">
        <is>
          <t>incomplete_inference</t>
        </is>
      </c>
      <c r="B19" t="inlineStr">
        <is>
          <t>missing_instrument_technique</t>
        </is>
      </c>
      <c r="C19" t="inlineStr">
        <is>
          <t>prior_constrained_harmonic_fit</t>
        </is>
      </c>
      <c r="D19" t="inlineStr">
        <is>
          <t>IOWA_Trb.T_pp.A3_SustainStable/A3/component_amplitude_mass_pie.png</t>
        </is>
      </c>
      <c r="E19" t="inlineStr">
        <is>
          <t>IOWA_Trb.T_pp.A3_SustainStable/A3/component_energy_ratio_pie.png</t>
        </is>
      </c>
      <c r="F19" s="15" t="n">
        <v>219.7248507174623</v>
      </c>
      <c r="G19" s="15" t="inlineStr">
        <is>
          <t>prior_constrained_harmonic_fit</t>
        </is>
      </c>
      <c r="H19" s="15" t="inlineStr">
        <is>
          <t>fit_accepted_acoustically_verified</t>
        </is>
      </c>
      <c r="I19" s="16" t="n">
        <v>352.5058174503295</v>
      </c>
      <c r="J19" t="inlineStr">
        <is>
          <t>richness_weighted_body_density_body_ceiling</t>
        </is>
      </c>
      <c r="K19" t="inlineStr">
        <is>
          <t>research_body_ceiling_richness_metric</t>
        </is>
      </c>
      <c r="L19" s="15" t="n">
        <v>41268.00822530565</v>
      </c>
      <c r="M19" s="15" t="n">
        <v>41269.80259997975</v>
      </c>
      <c r="N19" s="15" t="n">
        <v>174.2294007754795</v>
      </c>
      <c r="O19" s="15" t="n">
        <v>32.95441056465267</v>
      </c>
      <c r="P19" s="15" t="n">
        <v>-4.354496674388732</v>
      </c>
      <c r="Q19" s="15" t="n">
        <v>16</v>
      </c>
      <c r="R19" s="15" t="n">
        <v>68</v>
      </c>
      <c r="S19" s="15" t="n">
        <v>10317.465680706</v>
      </c>
      <c r="T19" s="15" t="n">
        <v>92</v>
      </c>
      <c r="U19" s="15" t="n">
        <v>-0.2342176331127205</v>
      </c>
      <c r="V19" s="15" t="n">
        <v>31.29533296021839</v>
      </c>
      <c r="W19" s="15" t="n">
        <v>0.9980175704540131</v>
      </c>
      <c r="X19" s="15" t="n">
        <v>0.1773448651045983</v>
      </c>
      <c r="Y19" s="15" t="n">
        <v>15</v>
      </c>
      <c r="Z19" s="15" t="n">
        <v>91</v>
      </c>
      <c r="AA19" s="15" t="n">
        <v>0.1648351648351648</v>
      </c>
      <c r="AB19" s="15" t="n">
        <v>91</v>
      </c>
      <c r="AC19" s="15" t="n">
        <v>15</v>
      </c>
      <c r="AD19" s="15" t="n">
        <v>0.1648351648351648</v>
      </c>
      <c r="AE19" s="15" t="n">
        <v>574.8472217149538</v>
      </c>
      <c r="AF19" s="15" t="n">
        <v>15</v>
      </c>
      <c r="AG19" s="15" t="n">
        <v>91</v>
      </c>
      <c r="AH19" s="15" t="n">
        <v>0.1648351648351648</v>
      </c>
      <c r="AI19" s="15" t="n">
        <v>574.8472217149538</v>
      </c>
      <c r="AJ19" s="15" t="n">
        <v>8</v>
      </c>
      <c r="AK19" s="15" t="n">
        <v>7</v>
      </c>
      <c r="AL19" s="15" t="n">
        <v>1.247375758265175</v>
      </c>
      <c r="AM19" s="15" t="n">
        <v>32</v>
      </c>
      <c r="AN19" s="15" t="n">
        <v>1</v>
      </c>
      <c r="AO19" s="15" t="n">
        <v>32</v>
      </c>
      <c r="AP19" s="15" t="n">
        <v>1</v>
      </c>
      <c r="AQ19" s="15" t="n">
        <v>23.23992104102203</v>
      </c>
      <c r="AR19" s="15" t="n">
        <v>13.75820581837619</v>
      </c>
      <c r="AS19" s="15" t="n">
        <v>0.2851585424300511</v>
      </c>
      <c r="AT19" s="17" t="n">
        <v>2.616468530744147</v>
      </c>
      <c r="AU19" s="18" t="n">
        <v>11.13633905281229</v>
      </c>
      <c r="AV19" s="15" t="n">
        <v>13.78387188887255</v>
      </c>
      <c r="AW19" s="15" t="b">
        <v>1</v>
      </c>
      <c r="AX19" s="15" t="n">
        <v>9.115808032534503</v>
      </c>
      <c r="AY19" s="15" t="n">
        <v>18.6937420044522</v>
      </c>
      <c r="AZ19" s="15" t="n">
        <v>0.486995986886024</v>
      </c>
      <c r="BA19" s="15" t="n">
        <v>1</v>
      </c>
      <c r="BB19" s="15" t="n">
        <v>0.5</v>
      </c>
      <c r="BC19" s="15" t="n">
        <v>0.25</v>
      </c>
      <c r="BD19" s="15" t="inlineStr">
        <is>
          <t>his_note_adaptive</t>
        </is>
      </c>
      <c r="BE19" s="15" t="n">
        <v>-90</v>
      </c>
      <c r="BF19" s="15" t="n">
        <v>20000</v>
      </c>
      <c r="BG19" s="15" t="n">
        <v>15</v>
      </c>
      <c r="BH19" s="15" t="n">
        <v>0.1648351648351648</v>
      </c>
      <c r="BI19" s="15" t="n">
        <v>91</v>
      </c>
      <c r="BJ19" s="15" t="n">
        <v>15</v>
      </c>
      <c r="BK19" s="15" t="n">
        <v>91</v>
      </c>
      <c r="BL19" s="15" t="n">
        <v>85</v>
      </c>
      <c r="BM19" s="15" t="n">
        <v>0.9340659340659341</v>
      </c>
      <c r="BN19" s="15" t="n">
        <v>0.1189747572681805</v>
      </c>
      <c r="BO19" s="15" t="n">
        <v>0.2666666666666667</v>
      </c>
      <c r="BP19" s="19" t="n">
        <v>0.7571471349399932</v>
      </c>
      <c r="BQ19" s="19" t="n">
        <v>0.2428199172275726</v>
      </c>
      <c r="BR19" s="19" t="n">
        <v>3.29478324342688e-05</v>
      </c>
      <c r="BS19" s="15" t="n">
        <v>0.08551727574537123</v>
      </c>
      <c r="BT19" s="19" t="n">
        <v>0.9999564861342977</v>
      </c>
      <c r="BU19" s="19" t="n">
        <v>0</v>
      </c>
      <c r="BV19" s="19" t="n">
        <v>4.351386570236999e-05</v>
      </c>
      <c r="BW19" t="inlineStr">
        <is>
          <t>A3</t>
        </is>
      </c>
      <c r="BX19" t="n">
        <v>57</v>
      </c>
      <c r="BY19" t="inlineStr">
        <is>
          <t>A</t>
        </is>
      </c>
      <c r="BZ19" t="n">
        <v>3</v>
      </c>
      <c r="CA19" t="inlineStr">
        <is>
          <t>Middle</t>
        </is>
      </c>
      <c r="CB19" t="inlineStr">
        <is>
          <t>pp</t>
        </is>
      </c>
      <c r="CC19" s="15" t="n">
        <v>220</v>
      </c>
      <c r="CD19" s="15" t="n">
        <v>219.7248507174623</v>
      </c>
      <c r="CE19" t="inlineStr">
        <is>
          <t>prior_constrained_harmonic_fit</t>
        </is>
      </c>
      <c r="CF19" t="n">
        <v>219.7248507174623</v>
      </c>
      <c r="CG19" s="15" t="n">
        <v>1</v>
      </c>
      <c r="CH19" t="inlineStr">
        <is>
          <t>free_fit_acoustically_verified</t>
        </is>
      </c>
      <c r="CI19" s="15" t="inlineStr">
        <is>
          <t>free_f0_fit</t>
        </is>
      </c>
      <c r="CJ19" s="15" t="n">
        <v>220</v>
      </c>
      <c r="CK19" s="15" t="n">
        <v>219.7248507174623</v>
      </c>
      <c r="CL19" s="15" t="n">
        <v>-2.166572427725289</v>
      </c>
      <c r="CM19" s="15" t="n">
        <v>20000</v>
      </c>
      <c r="CN19" s="15" t="n">
        <v>-2.166572427725289</v>
      </c>
      <c r="CO19" s="15" t="n">
        <v>2.126679509828639</v>
      </c>
      <c r="CP19" s="15" t="n">
        <v>41268.00822530565</v>
      </c>
      <c r="CQ19" t="n">
        <v>3.109239518174916</v>
      </c>
      <c r="CR19" t="n">
        <v>0.03416746723269139</v>
      </c>
      <c r="CS19" t="n">
        <v>113.3736450311316</v>
      </c>
      <c r="CT19" t="n">
        <v>113.378578571373</v>
      </c>
      <c r="CU19" t="n">
        <v>352.5058174503295</v>
      </c>
      <c r="CV19" t="n">
        <v>32.95441056465267</v>
      </c>
      <c r="CW19" s="15" t="n">
        <v>41269.80259997975</v>
      </c>
      <c r="CX19" s="15" t="n">
        <v>174.2294007754795</v>
      </c>
      <c r="CY19" s="15" t="n">
        <v>32.95441056465267</v>
      </c>
      <c r="CZ19" s="15" t="n">
        <v>2.617848326860077</v>
      </c>
      <c r="DA19" s="15" t="n">
        <v>2.616528208321529</v>
      </c>
      <c r="DB19" s="15" t="n">
        <v>1.706689276766241</v>
      </c>
      <c r="DC19" s="15" t="n">
        <v>0</v>
      </c>
      <c r="DD19" s="15" t="n">
        <v>6.343529623643927e-05</v>
      </c>
      <c r="DE19" s="15" t="n">
        <v>0</v>
      </c>
      <c r="DF19" s="15" t="n">
        <v>16</v>
      </c>
      <c r="DG19" s="15" t="inlineStr">
        <is>
          <t>Density_Metrics</t>
        </is>
      </c>
      <c r="DH19" s="15" t="n">
        <v>2.126679509828639</v>
      </c>
      <c r="DI19" t="n">
        <v>0.9229091941970019</v>
      </c>
      <c r="DJ19" s="15" t="n">
        <v>0.5582846903695019</v>
      </c>
      <c r="DK19" s="15" t="n">
        <v>5.568284518473827</v>
      </c>
      <c r="DL19" s="15" t="n">
        <v>3.140518824118645</v>
      </c>
      <c r="DM19" s="15" t="n">
        <v>1.126046648857159</v>
      </c>
      <c r="DN19" s="15" t="n">
        <v>7.181401794571957</v>
      </c>
      <c r="DO19" s="15" t="n">
        <v>0.5702784821902884</v>
      </c>
      <c r="DP19" s="15" t="n">
        <v>8.6875</v>
      </c>
      <c r="DQ19" s="15" t="n">
        <v>41</v>
      </c>
      <c r="DR19" s="15" t="b">
        <v>1</v>
      </c>
      <c r="DS19" s="15" t="n">
        <v>3.109239518174916</v>
      </c>
      <c r="DT19" s="15" t="n">
        <v>16.13838272451845</v>
      </c>
      <c r="DU19" t="n">
        <v>91</v>
      </c>
      <c r="DV19" s="15" t="n">
        <v>0.08551727574537123</v>
      </c>
      <c r="DW19" s="15" t="n">
        <v>1.713410127768711</v>
      </c>
      <c r="DX19" s="15" t="n">
        <v>2.591583711414117</v>
      </c>
      <c r="DY19" s="15" t="n">
        <v>0.0938255003332574</v>
      </c>
      <c r="DZ19" s="15" t="b">
        <v>1</v>
      </c>
      <c r="EA19" s="15" t="n">
        <v>0.1255486607757296</v>
      </c>
      <c r="EB19" s="15" t="n">
        <v>20000</v>
      </c>
      <c r="EC19" s="15" t="n">
        <v>3735.322462196859</v>
      </c>
      <c r="ED19" s="15" t="n">
        <v>17</v>
      </c>
      <c r="EE19" s="15" t="n">
        <v>1</v>
      </c>
      <c r="EF19" s="15" t="n">
        <v>0.04893909801136364</v>
      </c>
      <c r="EG19" s="15" t="b">
        <v>0</v>
      </c>
      <c r="EH19" s="15" t="b">
        <v>1</v>
      </c>
      <c r="EI19" s="15" t="b">
        <v>0</v>
      </c>
      <c r="EJ19" s="15" t="inlineStr">
        <is>
          <t>wf=log|dst=-90.0|ceil=20000.0|fft=adaptive_tier</t>
        </is>
      </c>
      <c r="EK19" s="15" t="inlineStr">
        <is>
          <t>wf=log|dst=runtime_configured|ceil=runtime_configured|fft=fixed</t>
        </is>
      </c>
      <c r="EL19" s="15" t="n">
        <v>0.5870616236372598</v>
      </c>
      <c r="EM19" s="15" t="n">
        <v>0.9974569076998855</v>
      </c>
      <c r="EN19" s="15" t="n">
        <v>0.1758241758241758</v>
      </c>
      <c r="EO19" s="15" t="n">
        <v>0.3833377681692489</v>
      </c>
      <c r="EP19" s="15" t="inlineStr">
        <is>
          <t>warn:power_outlier_detected</t>
        </is>
      </c>
      <c r="EQ19" s="15" t="n">
        <v>396.1303750295515</v>
      </c>
      <c r="ER19" s="15" t="inlineStr">
        <is>
          <t>winsorize_p95_for_robust_diagnostics</t>
        </is>
      </c>
      <c r="ES19" s="15" t="n">
        <v>0.1035258557979534</v>
      </c>
      <c r="ET19" s="15" t="n">
        <v>0.01535532005882805</v>
      </c>
      <c r="EU19" s="15" t="n">
        <v>0.01643940333380931</v>
      </c>
      <c r="EV19" t="inlineStr">
        <is>
          <t>computed</t>
        </is>
      </c>
      <c r="EW19" s="15" t="inlineStr">
        <is>
          <t>computed</t>
        </is>
      </c>
      <c r="EX19" s="15" t="inlineStr">
        <is>
          <t>computed</t>
        </is>
      </c>
      <c r="EY19" s="15" t="inlineStr">
        <is>
          <t>available_from_curve</t>
        </is>
      </c>
      <c r="EZ19" s="15" t="n">
        <v>20000</v>
      </c>
      <c r="FA19" s="15" t="n">
        <v>20000</v>
      </c>
      <c r="FB19" s="15" t="n">
        <v>0.2428199172275726</v>
      </c>
      <c r="FC19" s="15" t="n">
        <v>0.4507061243560174</v>
      </c>
      <c r="FD19" s="15" t="n">
        <v>2.616528208321529</v>
      </c>
      <c r="FE19" s="15" t="n">
        <v>1.706689276766241</v>
      </c>
      <c r="FF19" s="15" t="n">
        <v>1.245067033386057</v>
      </c>
      <c r="FG19" s="15" t="n">
        <v>1.2933118119529</v>
      </c>
      <c r="FH19" s="15" t="n">
        <v>0.7531815068045776</v>
      </c>
      <c r="FI19" s="15" t="n">
        <v>0.08018619107116139</v>
      </c>
      <c r="FJ19" s="15" t="n">
        <v>10317.45064999494</v>
      </c>
      <c r="FK19" s="15" t="n">
        <v>43.55735019386989</v>
      </c>
      <c r="FL19" s="15" t="n">
        <v>8.238602641163167</v>
      </c>
      <c r="FM19" s="15" t="n">
        <v>0.004766406476435636</v>
      </c>
      <c r="FN19" t="n">
        <v>0.9999564861342977</v>
      </c>
      <c r="FO19" t="n">
        <v>0</v>
      </c>
      <c r="FP19" t="n">
        <v>4.351386570236999e-05</v>
      </c>
      <c r="FQ19" t="inlineStr">
        <is>
          <t>excellent</t>
        </is>
      </c>
      <c r="FR19" s="19" t="n">
        <v>0.9340659340659341</v>
      </c>
      <c r="FS19" s="15" t="n">
        <v>2.431083553979299</v>
      </c>
      <c r="FT19" s="15" t="n">
        <v>11.0826586130911</v>
      </c>
      <c r="FU19" t="inlineStr">
        <is>
          <t>passed</t>
        </is>
      </c>
      <c r="FV19" t="n">
        <v>206.2750872056492</v>
      </c>
      <c r="FW19" t="n">
        <v>24.94832960585067</v>
      </c>
      <c r="FX19" t="n">
        <v>8.290974852712953</v>
      </c>
      <c r="FY19" t="n">
        <v>0.5728087806140812</v>
      </c>
      <c r="FZ19" t="n">
        <v>0.1537434915756079</v>
      </c>
      <c r="GA19" t="n">
        <v>0.6502868527294509</v>
      </c>
      <c r="GB19" t="n">
        <v>0.2838326181977758</v>
      </c>
      <c r="GC19" t="n">
        <v>0.2830918877846963</v>
      </c>
      <c r="GD19" t="n">
        <v>0.2121742638343307</v>
      </c>
      <c r="GE19" t="n">
        <v>0.8840528063373966</v>
      </c>
      <c r="GF19" t="n">
        <v>0.3195708474331804</v>
      </c>
      <c r="GG19" t="n">
        <v>0.4003500150510302</v>
      </c>
      <c r="GH19" t="n">
        <v>0.527882371501288</v>
      </c>
      <c r="GI19" t="n">
        <v>0.7923358692589457</v>
      </c>
      <c r="GJ19" t="n">
        <v>0.6681318681318681</v>
      </c>
      <c r="GK19" t="n">
        <v>0.302325581395349</v>
      </c>
      <c r="GL19" t="n">
        <v>0.8970664423183526</v>
      </c>
      <c r="GM19" t="n">
        <v>0.8970664423183526</v>
      </c>
      <c r="GN19" t="n">
        <v>0.5126267495215272</v>
      </c>
      <c r="GO19" t="n">
        <v>0.3240850485748692</v>
      </c>
      <c r="GP19" t="n">
        <v>352.5058174503295</v>
      </c>
      <c r="GQ19" t="inlineStr">
        <is>
          <t>compiled workbook density_weighted_sum = density_component_ratio_weighted_sum (per-note component ratios); research density_weighted_sum maps body-ceiling richness</t>
        </is>
      </c>
      <c r="GR19" s="15" t="inlineStr">
        <is>
          <t>individual_exact</t>
        </is>
      </c>
      <c r="GS19" s="15" t="inlineStr">
        <is>
          <t>density_weight</t>
        </is>
      </c>
      <c r="GT19" s="15" t="n">
        <v>0.5152036244625182</v>
      </c>
      <c r="GU19" s="15" t="n">
        <v>0.4847442031789281</v>
      </c>
      <c r="GV19" s="15" t="n">
        <v>5.217235855370592e-05</v>
      </c>
      <c r="GW19" s="15" t="inlineStr">
        <is>
          <t>log</t>
        </is>
      </c>
      <c r="GX19" s="15" t="n">
        <v>0.5</v>
      </c>
      <c r="GY19" s="15" t="inlineStr">
        <is>
          <t>EWSD-R v18.1</t>
        </is>
      </c>
      <c r="GZ19" s="15" t="n">
        <v>2.645961565254137</v>
      </c>
      <c r="HA19" s="15" t="n">
        <v>20.58324054597322</v>
      </c>
      <c r="HB19" s="15" t="n">
        <v>0.4286263740203215</v>
      </c>
      <c r="HC19" s="15" t="n">
        <v>4.859171016140609</v>
      </c>
      <c r="HD19" s="15" t="n">
        <v>26.75337245821942</v>
      </c>
      <c r="HE19" s="15" t="n">
        <v>0.4099309358917814</v>
      </c>
      <c r="HF19" s="15" t="inlineStr">
        <is>
          <t>partials+ratios</t>
        </is>
      </c>
      <c r="HG19" s="15" t="inlineStr">
        <is>
          <t>merged_individual_exact</t>
        </is>
      </c>
      <c r="HH19" s="15" t="inlineStr">
        <is>
          <t>passed</t>
        </is>
      </c>
      <c r="HI19" s="15" t="inlineStr">
        <is>
          <t>passed</t>
        </is>
      </c>
    </row>
    <row r="20">
      <c r="A20" t="inlineStr">
        <is>
          <t>incomplete_inference</t>
        </is>
      </c>
      <c r="B20" t="inlineStr">
        <is>
          <t>missing_instrument_technique</t>
        </is>
      </c>
      <c r="C20" t="inlineStr">
        <is>
          <t>prior_constrained_harmonic_fit</t>
        </is>
      </c>
      <c r="D20" t="inlineStr">
        <is>
          <t>IOWA_Trb.T_pp.A#3_SustainStable/A#3/component_amplitude_mass_pie.png</t>
        </is>
      </c>
      <c r="E20" t="inlineStr">
        <is>
          <t>IOWA_Trb.T_pp.A#3_SustainStable/A#3/component_energy_ratio_pie.png</t>
        </is>
      </c>
      <c r="F20" s="15" t="n">
        <v>233.4665702364799</v>
      </c>
      <c r="G20" s="15" t="inlineStr">
        <is>
          <t>prior_constrained_harmonic_fit</t>
        </is>
      </c>
      <c r="H20" s="15" t="inlineStr">
        <is>
          <t>fit_accepted_acoustically_verified</t>
        </is>
      </c>
      <c r="I20" s="16" t="n">
        <v>413.8320723043281</v>
      </c>
      <c r="J20" t="inlineStr">
        <is>
          <t>richness_weighted_body_density_body_ceiling</t>
        </is>
      </c>
      <c r="K20" t="inlineStr">
        <is>
          <t>research_body_ceiling_richness_metric</t>
        </is>
      </c>
      <c r="L20" s="15" t="n">
        <v>42421.24467658975</v>
      </c>
      <c r="M20" s="15" t="n">
        <v>42422.92537925958</v>
      </c>
      <c r="N20" s="15" t="n">
        <v>138.8931541356192</v>
      </c>
      <c r="O20" s="15" t="n">
        <v>29.76913008909185</v>
      </c>
      <c r="P20" s="15" t="n">
        <v>-5.406920841944483</v>
      </c>
      <c r="Q20" s="15" t="n">
        <v>14</v>
      </c>
      <c r="R20" s="15" t="n">
        <v>54</v>
      </c>
      <c r="S20" s="15" t="n">
        <v>10605.74335636329</v>
      </c>
      <c r="T20" s="15" t="n">
        <v>86</v>
      </c>
      <c r="U20" s="15" t="n">
        <v>-0.3082871300506904</v>
      </c>
      <c r="V20" s="15" t="n">
        <v>33.62381992783342</v>
      </c>
      <c r="W20" s="15" t="n">
        <v>0.9966320705156678</v>
      </c>
      <c r="X20" s="15" t="n">
        <v>0.1962491111880088</v>
      </c>
      <c r="Y20" s="15" t="n">
        <v>13</v>
      </c>
      <c r="Z20" s="15" t="n">
        <v>85</v>
      </c>
      <c r="AA20" s="15" t="n">
        <v>0.1529411764705882</v>
      </c>
      <c r="AB20" s="15" t="n">
        <v>85</v>
      </c>
      <c r="AC20" s="15" t="n">
        <v>13</v>
      </c>
      <c r="AD20" s="15" t="n">
        <v>0.1529411764705882</v>
      </c>
      <c r="AE20" s="15" t="n">
        <v>599.9910749119331</v>
      </c>
      <c r="AF20" s="15" t="n">
        <v>13</v>
      </c>
      <c r="AG20" s="15" t="n">
        <v>85</v>
      </c>
      <c r="AH20" s="15" t="n">
        <v>0.1529411764705882</v>
      </c>
      <c r="AI20" s="15" t="n">
        <v>599.9910749119331</v>
      </c>
      <c r="AJ20" s="15" t="n">
        <v>7</v>
      </c>
      <c r="AK20" s="15" t="n">
        <v>6</v>
      </c>
      <c r="AL20" s="15" t="n">
        <v>1.417395868511403</v>
      </c>
      <c r="AM20" s="15" t="n">
        <v>35</v>
      </c>
      <c r="AN20" s="15" t="n">
        <v>1</v>
      </c>
      <c r="AO20" s="15" t="n">
        <v>35</v>
      </c>
      <c r="AP20" s="15" t="n">
        <v>1</v>
      </c>
      <c r="AQ20" s="15" t="n">
        <v>24.06785052483887</v>
      </c>
      <c r="AR20" s="15" t="n">
        <v>14.3435886051024</v>
      </c>
      <c r="AS20" s="15" t="n">
        <v>0.3085114055100273</v>
      </c>
      <c r="AT20" s="17" t="n">
        <v>2.635090338909514</v>
      </c>
      <c r="AU20" s="18" t="n">
        <v>11.54901095359059</v>
      </c>
      <c r="AV20" s="15" t="n">
        <v>13.95274933039561</v>
      </c>
      <c r="AW20" s="15" t="b">
        <v>1</v>
      </c>
      <c r="AX20" s="15" t="n">
        <v>8.777249593038343</v>
      </c>
      <c r="AY20" s="15" t="n">
        <v>19.84187943868674</v>
      </c>
      <c r="AZ20" s="15" t="n">
        <v>0.4887255932305357</v>
      </c>
      <c r="BA20" s="15" t="n">
        <v>1</v>
      </c>
      <c r="BB20" s="15" t="n">
        <v>0.5</v>
      </c>
      <c r="BC20" s="15" t="n">
        <v>0.25</v>
      </c>
      <c r="BD20" s="15" t="inlineStr">
        <is>
          <t>his_note_adaptive</t>
        </is>
      </c>
      <c r="BE20" s="15" t="n">
        <v>-90</v>
      </c>
      <c r="BF20" s="15" t="n">
        <v>20000</v>
      </c>
      <c r="BG20" s="15" t="n">
        <v>13</v>
      </c>
      <c r="BH20" s="15" t="n">
        <v>0.1529411764705882</v>
      </c>
      <c r="BI20" s="15" t="n">
        <v>85</v>
      </c>
      <c r="BJ20" s="15" t="n">
        <v>13</v>
      </c>
      <c r="BK20" s="15" t="n">
        <v>85</v>
      </c>
      <c r="BL20" s="15" t="n">
        <v>78</v>
      </c>
      <c r="BM20" s="15" t="n">
        <v>0.9176470588235294</v>
      </c>
      <c r="BN20" s="15" t="n">
        <v>0.1346235816624934</v>
      </c>
      <c r="BO20" s="15" t="n">
        <v>0.2916666666666667</v>
      </c>
      <c r="BP20" s="19" t="n">
        <v>0.7620111954439226</v>
      </c>
      <c r="BQ20" s="19" t="n">
        <v>0.2379585929573039</v>
      </c>
      <c r="BR20" s="19" t="n">
        <v>3.021159877355861e-05</v>
      </c>
      <c r="BS20" s="15" t="n">
        <v>0.09107718946912595</v>
      </c>
      <c r="BT20" s="19" t="n">
        <v>0.9999603543869213</v>
      </c>
      <c r="BU20" s="19" t="n">
        <v>0</v>
      </c>
      <c r="BV20" s="19" t="n">
        <v>3.964561307869442e-05</v>
      </c>
      <c r="BW20" t="inlineStr">
        <is>
          <t>A#3</t>
        </is>
      </c>
      <c r="BX20" t="n">
        <v>58</v>
      </c>
      <c r="BY20" t="inlineStr">
        <is>
          <t>A#</t>
        </is>
      </c>
      <c r="BZ20" t="n">
        <v>3</v>
      </c>
      <c r="CA20" t="inlineStr">
        <is>
          <t>Middle</t>
        </is>
      </c>
      <c r="CB20" t="inlineStr">
        <is>
          <t>pp</t>
        </is>
      </c>
      <c r="CC20" s="15" t="n">
        <v>233.081880759045</v>
      </c>
      <c r="CD20" s="15" t="n">
        <v>233.4665702364799</v>
      </c>
      <c r="CE20" t="inlineStr">
        <is>
          <t>prior_constrained_harmonic_fit</t>
        </is>
      </c>
      <c r="CF20" t="n">
        <v>233.4665702364799</v>
      </c>
      <c r="CG20" s="15" t="n">
        <v>1</v>
      </c>
      <c r="CH20" t="inlineStr">
        <is>
          <t>free_fit_acoustically_verified</t>
        </is>
      </c>
      <c r="CI20" s="15" t="inlineStr">
        <is>
          <t>free_f0_fit</t>
        </is>
      </c>
      <c r="CJ20" s="15" t="n">
        <v>233.081880759045</v>
      </c>
      <c r="CK20" s="15" t="n">
        <v>233.4665702364799</v>
      </c>
      <c r="CL20" s="15" t="n">
        <v>2.854956097960643</v>
      </c>
      <c r="CM20" s="15" t="n">
        <v>20000</v>
      </c>
      <c r="CN20" s="15" t="n">
        <v>2.854956097960643</v>
      </c>
      <c r="CO20" s="15" t="n">
        <v>2.103168894904386</v>
      </c>
      <c r="CP20" s="15" t="n">
        <v>42421.24467658975</v>
      </c>
      <c r="CQ20" t="n">
        <v>3.31680292671046</v>
      </c>
      <c r="CR20" t="n">
        <v>0.039021210902476</v>
      </c>
      <c r="CS20" t="n">
        <v>124.7683632246305</v>
      </c>
      <c r="CT20" t="n">
        <v>124.7733099389988</v>
      </c>
      <c r="CU20" t="n">
        <v>413.8320723043281</v>
      </c>
      <c r="CV20" t="n">
        <v>29.76913008909185</v>
      </c>
      <c r="CW20" s="15" t="n">
        <v>42422.92537925958</v>
      </c>
      <c r="CX20" s="15" t="n">
        <v>138.8931541356192</v>
      </c>
      <c r="CY20" s="15" t="n">
        <v>29.76913008909185</v>
      </c>
      <c r="CZ20" s="15" t="n">
        <v>2.6362219641708</v>
      </c>
      <c r="DA20" s="15" t="n">
        <v>2.635146220745072</v>
      </c>
      <c r="DB20" s="15" t="n">
        <v>1.635401110336293</v>
      </c>
      <c r="DC20" s="15" t="n">
        <v>0</v>
      </c>
      <c r="DD20" s="15" t="n">
        <v>6.214390888972676e-05</v>
      </c>
      <c r="DE20" s="15" t="n">
        <v>0</v>
      </c>
      <c r="DF20" s="15" t="n">
        <v>14</v>
      </c>
      <c r="DG20" s="15" t="inlineStr">
        <is>
          <t>Density_Metrics</t>
        </is>
      </c>
      <c r="DH20" s="15" t="n">
        <v>2.103168894904386</v>
      </c>
      <c r="DI20" t="n">
        <v>0.912706358003519</v>
      </c>
      <c r="DJ20" s="15" t="n">
        <v>0.5605152083731537</v>
      </c>
      <c r="DK20" s="15" t="n">
        <v>5.496159653399285</v>
      </c>
      <c r="DL20" s="15" t="n">
        <v>3.343215858055407</v>
      </c>
      <c r="DM20" s="15" t="n">
        <v>1.188295966924095</v>
      </c>
      <c r="DN20" s="15" t="n">
        <v>7.233272119854847</v>
      </c>
      <c r="DO20" s="15" t="n">
        <v>0.5113722064613455</v>
      </c>
      <c r="DP20" s="15" t="n">
        <v>7.875</v>
      </c>
      <c r="DQ20" s="15" t="n">
        <v>37</v>
      </c>
      <c r="DR20" s="15" t="b">
        <v>1</v>
      </c>
      <c r="DS20" s="15" t="n">
        <v>3.31680292671046</v>
      </c>
      <c r="DT20" s="15" t="n">
        <v>16.68117445098075</v>
      </c>
      <c r="DU20" t="n">
        <v>85</v>
      </c>
      <c r="DV20" s="15" t="n">
        <v>0.09107718946912595</v>
      </c>
      <c r="DW20" s="15" t="n">
        <v>1.845422809648064</v>
      </c>
      <c r="DX20" s="15" t="n">
        <v>2.600110398005877</v>
      </c>
      <c r="DY20" s="15" t="n">
        <v>0.08307819345320031</v>
      </c>
      <c r="DZ20" s="15" t="b">
        <v>1</v>
      </c>
      <c r="EA20" s="15" t="n">
        <v>0.1895525497044796</v>
      </c>
      <c r="EB20" s="15" t="n">
        <v>20000</v>
      </c>
      <c r="EC20" s="15" t="n">
        <v>3268.531983310719</v>
      </c>
      <c r="ED20" s="15" t="n">
        <v>14</v>
      </c>
      <c r="EE20" s="15" t="n">
        <v>1</v>
      </c>
      <c r="EF20" s="15" t="n">
        <v>0.04619235749873789</v>
      </c>
      <c r="EG20" s="15" t="b">
        <v>0</v>
      </c>
      <c r="EH20" s="15" t="b">
        <v>1</v>
      </c>
      <c r="EI20" s="15" t="b">
        <v>0</v>
      </c>
      <c r="EJ20" s="15" t="inlineStr">
        <is>
          <t>wf=log|dst=-90.0|ceil=20000.0|fft=adaptive_tier</t>
        </is>
      </c>
      <c r="EK20" s="15" t="inlineStr">
        <is>
          <t>wf=log|dst=runtime_configured|ceil=runtime_configured|fft=fixed</t>
        </is>
      </c>
      <c r="EL20" s="15" t="n">
        <v>0.5829695530535106</v>
      </c>
      <c r="EM20" s="15" t="n">
        <v>0.9950338563492491</v>
      </c>
      <c r="EN20" s="15" t="n">
        <v>0.1627906976744186</v>
      </c>
      <c r="EO20" s="15" t="n">
        <v>0.3911378675515099</v>
      </c>
      <c r="EP20" s="15" t="inlineStr">
        <is>
          <t>warn:power_outlier_detected</t>
        </is>
      </c>
      <c r="EQ20" s="15" t="n">
        <v>350.2825918681215</v>
      </c>
      <c r="ER20" s="15" t="inlineStr">
        <is>
          <t>winsorize_p95_for_robust_diagnostics</t>
        </is>
      </c>
      <c r="ES20" s="15" t="n">
        <v>0.08428294977243313</v>
      </c>
      <c r="ET20" s="15" t="n">
        <v>0.01483527426140778</v>
      </c>
      <c r="EU20" s="15" t="n">
        <v>0.01601464660471149</v>
      </c>
      <c r="EV20" t="inlineStr">
        <is>
          <t>computed</t>
        </is>
      </c>
      <c r="EW20" s="15" t="inlineStr">
        <is>
          <t>computed</t>
        </is>
      </c>
      <c r="EX20" s="15" t="inlineStr">
        <is>
          <t>computed</t>
        </is>
      </c>
      <c r="EY20" s="15" t="inlineStr">
        <is>
          <t>available_from_curve</t>
        </is>
      </c>
      <c r="EZ20" s="15" t="n">
        <v>20000</v>
      </c>
      <c r="FA20" s="15" t="n">
        <v>20000</v>
      </c>
      <c r="FB20" s="15" t="n">
        <v>0.2379585929573039</v>
      </c>
      <c r="FC20" s="15" t="n">
        <v>0.4939141723576376</v>
      </c>
      <c r="FD20" s="15" t="n">
        <v>2.635146220745072</v>
      </c>
      <c r="FE20" s="15" t="n">
        <v>1.635401110336293</v>
      </c>
      <c r="FF20" s="15" t="n">
        <v>1.22561232231792</v>
      </c>
      <c r="FG20" s="15" t="n">
        <v>1.302514424523968</v>
      </c>
      <c r="FH20" s="15" t="n">
        <v>0.7217212232368633</v>
      </c>
      <c r="FI20" s="15" t="n">
        <v>0.07893324714355507</v>
      </c>
      <c r="FJ20" s="15" t="n">
        <v>10605.7313448149</v>
      </c>
      <c r="FK20" s="15" t="n">
        <v>34.7232885339048</v>
      </c>
      <c r="FL20" s="15" t="n">
        <v>7.442282522272961</v>
      </c>
      <c r="FM20" s="15" t="n">
        <v>0.004904643106213242</v>
      </c>
      <c r="FN20" t="n">
        <v>0.9999603543869213</v>
      </c>
      <c r="FO20" t="n">
        <v>0</v>
      </c>
      <c r="FP20" t="n">
        <v>3.964561307869442e-05</v>
      </c>
      <c r="FQ20" t="inlineStr">
        <is>
          <t>excellent</t>
        </is>
      </c>
      <c r="FR20" s="19" t="n">
        <v>0.9176470588235294</v>
      </c>
      <c r="FS20" s="15" t="n">
        <v>2.712272627133436</v>
      </c>
      <c r="FT20" s="15" t="n">
        <v>13.96842514775785</v>
      </c>
      <c r="FU20" t="inlineStr">
        <is>
          <t>passed</t>
        </is>
      </c>
      <c r="FV20" t="n">
        <v>215.3321937971355</v>
      </c>
      <c r="FW20" t="n">
        <v>21.0958903964808</v>
      </c>
      <c r="FX20" t="n">
        <v>7.905863370122455</v>
      </c>
      <c r="FY20" t="n">
        <v>0.5162707539416537</v>
      </c>
      <c r="FZ20" t="n">
        <v>0.188675498773829</v>
      </c>
      <c r="GA20" t="n">
        <v>0.5924878061980221</v>
      </c>
      <c r="GB20" t="n">
        <v>0.3141085672851727</v>
      </c>
      <c r="GC20" t="n">
        <v>0.3143993906491879</v>
      </c>
      <c r="GD20" t="n">
        <v>0.2398914767580656</v>
      </c>
      <c r="GE20" t="n">
        <v>0.7108947547802652</v>
      </c>
      <c r="GF20" t="n">
        <v>0.4241335644456627</v>
      </c>
      <c r="GG20" t="n">
        <v>0.4571837110787895</v>
      </c>
      <c r="GH20" t="n">
        <v>0.5056166721537667</v>
      </c>
      <c r="GI20" t="n">
        <v>0.6648567119155349</v>
      </c>
      <c r="GJ20" t="n">
        <v>0.03764705882352917</v>
      </c>
      <c r="GK20" t="n">
        <v>0.3720930232558141</v>
      </c>
      <c r="GL20" t="n">
        <v>0.8518859660051322</v>
      </c>
      <c r="GM20" t="n">
        <v>0.8518859660051322</v>
      </c>
      <c r="GN20" t="n">
        <v>0.5898460753427667</v>
      </c>
      <c r="GO20" t="n">
        <v>0.3458083035348268</v>
      </c>
      <c r="GP20" t="n">
        <v>413.8320723043281</v>
      </c>
      <c r="GQ20" t="inlineStr">
        <is>
          <t>compiled workbook density_weighted_sum = density_component_ratio_weighted_sum (per-note component ratios); research density_weighted_sum maps body-ceiling richness</t>
        </is>
      </c>
      <c r="GR20" s="15" t="inlineStr">
        <is>
          <t>individual_exact</t>
        </is>
      </c>
      <c r="GS20" s="15" t="inlineStr">
        <is>
          <t>density_weight</t>
        </is>
      </c>
      <c r="GT20" s="15" t="n">
        <v>0.4968469558093849</v>
      </c>
      <c r="GU20" s="15" t="n">
        <v>0.5031084427978311</v>
      </c>
      <c r="GV20" s="15" t="n">
        <v>4.460139278399184e-05</v>
      </c>
      <c r="GW20" s="15" t="inlineStr">
        <is>
          <t>log</t>
        </is>
      </c>
      <c r="GX20" s="15" t="n">
        <v>0.5</v>
      </c>
      <c r="GY20" s="15" t="inlineStr">
        <is>
          <t>EWSD-R v18.1</t>
        </is>
      </c>
      <c r="GZ20" s="15" t="n">
        <v>3.595732497811337</v>
      </c>
      <c r="HA20" s="15" t="n">
        <v>23.82374317761407</v>
      </c>
      <c r="HB20" s="15" t="n">
        <v>0.4669382787423256</v>
      </c>
      <c r="HC20" s="15" t="n">
        <v>6.313480230473325</v>
      </c>
      <c r="HD20" s="15" t="n">
        <v>28.74909595742182</v>
      </c>
      <c r="HE20" s="15" t="n">
        <v>0.4208239440971482</v>
      </c>
      <c r="HF20" s="15" t="inlineStr">
        <is>
          <t>partials+ratios</t>
        </is>
      </c>
      <c r="HG20" s="15" t="inlineStr">
        <is>
          <t>merged_individual_exact</t>
        </is>
      </c>
      <c r="HH20" s="15" t="inlineStr">
        <is>
          <t>passed</t>
        </is>
      </c>
      <c r="HI20" s="15" t="inlineStr">
        <is>
          <t>passed</t>
        </is>
      </c>
    </row>
    <row r="21">
      <c r="A21" t="inlineStr">
        <is>
          <t>incomplete_inference</t>
        </is>
      </c>
      <c r="B21" t="inlineStr">
        <is>
          <t>missing_instrument_technique</t>
        </is>
      </c>
      <c r="C21" t="inlineStr">
        <is>
          <t>prior_constrained_harmonic_fit</t>
        </is>
      </c>
      <c r="D21" t="inlineStr">
        <is>
          <t>IOWA_Trb.T_pp.B3_SustainStable/B3/component_amplitude_mass_pie.png</t>
        </is>
      </c>
      <c r="E21" t="inlineStr">
        <is>
          <t>IOWA_Trb.T_pp.B3_SustainStable/B3/component_energy_ratio_pie.png</t>
        </is>
      </c>
      <c r="F21" s="15" t="n">
        <v>246.6857847256978</v>
      </c>
      <c r="G21" s="15" t="inlineStr">
        <is>
          <t>prior_constrained_harmonic_fit</t>
        </is>
      </c>
      <c r="H21" s="15" t="inlineStr">
        <is>
          <t>fit_accepted_acoustically_verified</t>
        </is>
      </c>
      <c r="I21" s="16" t="n">
        <v>369.8784108846295</v>
      </c>
      <c r="J21" t="inlineStr">
        <is>
          <t>richness_weighted_body_density_body_ceiling</t>
        </is>
      </c>
      <c r="K21" t="inlineStr">
        <is>
          <t>research_body_ceiling_richness_metric</t>
        </is>
      </c>
      <c r="L21" s="15" t="n">
        <v>42075.00936046442</v>
      </c>
      <c r="M21" s="15" t="n">
        <v>42076.58216379882</v>
      </c>
      <c r="N21" s="15" t="n">
        <v>166.6673493608131</v>
      </c>
      <c r="O21" s="15" t="n">
        <v>28.61917380589769</v>
      </c>
      <c r="P21" s="15" t="n">
        <v>-4.307483681428431</v>
      </c>
      <c r="Q21" s="15" t="n">
        <v>15</v>
      </c>
      <c r="R21" s="15" t="n">
        <v>48</v>
      </c>
      <c r="S21" s="15" t="n">
        <v>10519.15387160998</v>
      </c>
      <c r="T21" s="15" t="n">
        <v>82</v>
      </c>
      <c r="U21" s="15" t="n">
        <v>-0.4146944927745769</v>
      </c>
      <c r="V21" s="15" t="n">
        <v>30.05808243042104</v>
      </c>
      <c r="W21" s="15" t="n">
        <v>0.9967862359622595</v>
      </c>
      <c r="X21" s="15" t="n">
        <v>0.2029531672893126</v>
      </c>
      <c r="Y21" s="15" t="n">
        <v>12</v>
      </c>
      <c r="Z21" s="15" t="n">
        <v>81</v>
      </c>
      <c r="AA21" s="15" t="n">
        <v>0.1481481481481481</v>
      </c>
      <c r="AB21" s="15" t="n">
        <v>81</v>
      </c>
      <c r="AC21" s="15" t="n">
        <v>12</v>
      </c>
      <c r="AD21" s="15" t="n">
        <v>0.1481481481481481</v>
      </c>
      <c r="AE21" s="15" t="n">
        <v>561.3707505636315</v>
      </c>
      <c r="AF21" s="15" t="n">
        <v>12</v>
      </c>
      <c r="AG21" s="15" t="n">
        <v>81</v>
      </c>
      <c r="AH21" s="15" t="n">
        <v>0.1481481481481481</v>
      </c>
      <c r="AI21" s="15" t="n">
        <v>561.3707505636315</v>
      </c>
      <c r="AJ21" s="15" t="n">
        <v>7</v>
      </c>
      <c r="AK21" s="15" t="n">
        <v>5</v>
      </c>
      <c r="AL21" s="15" t="n">
        <v>1.193471623512615</v>
      </c>
      <c r="AM21" s="15" t="n">
        <v>30</v>
      </c>
      <c r="AN21" s="15" t="n">
        <v>1</v>
      </c>
      <c r="AO21" s="15" t="n">
        <v>30</v>
      </c>
      <c r="AP21" s="15" t="n">
        <v>1</v>
      </c>
      <c r="AQ21" s="15" t="n">
        <v>19.64338682098575</v>
      </c>
      <c r="AR21" s="15" t="n">
        <v>11.99509193082221</v>
      </c>
      <c r="AS21" s="15" t="n">
        <v>0.2148220751746348</v>
      </c>
      <c r="AT21" s="17" t="n">
        <v>2.606427662665979</v>
      </c>
      <c r="AU21" s="18" t="n">
        <v>10.51336728472107</v>
      </c>
      <c r="AV21" s="15" t="n">
        <v>13.28831898597365</v>
      </c>
      <c r="AW21" s="15" t="b">
        <v>1</v>
      </c>
      <c r="AX21" s="15" t="n">
        <v>8.04430720967258</v>
      </c>
      <c r="AY21" s="15" t="n">
        <v>17.34856775124099</v>
      </c>
      <c r="AZ21" s="15" t="n">
        <v>0.4772107226011512</v>
      </c>
      <c r="BA21" s="15" t="n">
        <v>1</v>
      </c>
      <c r="BB21" s="15" t="n">
        <v>0.5</v>
      </c>
      <c r="BC21" s="15" t="n">
        <v>0.25</v>
      </c>
      <c r="BD21" s="15" t="inlineStr">
        <is>
          <t>his_note_adaptive</t>
        </is>
      </c>
      <c r="BE21" s="15" t="n">
        <v>-90</v>
      </c>
      <c r="BF21" s="15" t="n">
        <v>20000</v>
      </c>
      <c r="BG21" s="15" t="n">
        <v>12</v>
      </c>
      <c r="BH21" s="15" t="n">
        <v>0.1481481481481481</v>
      </c>
      <c r="BI21" s="15" t="n">
        <v>81</v>
      </c>
      <c r="BJ21" s="15" t="n">
        <v>12</v>
      </c>
      <c r="BK21" s="15" t="n">
        <v>81</v>
      </c>
      <c r="BL21" s="15" t="n">
        <v>75</v>
      </c>
      <c r="BM21" s="15" t="n">
        <v>0.9259259259259259</v>
      </c>
      <c r="BN21" s="15" t="n">
        <v>0.1416760033397119</v>
      </c>
      <c r="BO21" s="15" t="n">
        <v>0.25</v>
      </c>
      <c r="BP21" s="19" t="n">
        <v>0.7872268879342876</v>
      </c>
      <c r="BQ21" s="19" t="n">
        <v>0.2127436647559962</v>
      </c>
      <c r="BR21" s="19" t="n">
        <v>2.944730971611718e-05</v>
      </c>
      <c r="BS21" s="15" t="n">
        <v>0.06755857502564844</v>
      </c>
      <c r="BT21" s="19" t="n">
        <v>0.9999625950171529</v>
      </c>
      <c r="BU21" s="19" t="n">
        <v>0</v>
      </c>
      <c r="BV21" s="19" t="n">
        <v>3.740498284715642e-05</v>
      </c>
      <c r="BW21" t="inlineStr">
        <is>
          <t>B3</t>
        </is>
      </c>
      <c r="BX21" t="n">
        <v>59</v>
      </c>
      <c r="BY21" t="inlineStr">
        <is>
          <t>B</t>
        </is>
      </c>
      <c r="BZ21" t="n">
        <v>3</v>
      </c>
      <c r="CA21" t="inlineStr">
        <is>
          <t>Middle</t>
        </is>
      </c>
      <c r="CB21" t="inlineStr">
        <is>
          <t>pp</t>
        </is>
      </c>
      <c r="CC21" s="15" t="n">
        <v>246.941650628062</v>
      </c>
      <c r="CD21" s="15" t="n">
        <v>246.6857847256978</v>
      </c>
      <c r="CE21" t="inlineStr">
        <is>
          <t>prior_constrained_harmonic_fit</t>
        </is>
      </c>
      <c r="CF21" t="n">
        <v>246.6857847256978</v>
      </c>
      <c r="CG21" s="15" t="n">
        <v>1</v>
      </c>
      <c r="CH21" t="inlineStr">
        <is>
          <t>free_fit_acoustically_verified</t>
        </is>
      </c>
      <c r="CI21" s="15" t="inlineStr">
        <is>
          <t>free_f0_fit</t>
        </is>
      </c>
      <c r="CJ21" s="15" t="n">
        <v>246.941650628062</v>
      </c>
      <c r="CK21" s="15" t="n">
        <v>246.6857847256978</v>
      </c>
      <c r="CL21" s="15" t="n">
        <v>-1.794729263869803</v>
      </c>
      <c r="CM21" s="15" t="n">
        <v>20000</v>
      </c>
      <c r="CN21" s="15" t="n">
        <v>-1.794729263869803</v>
      </c>
      <c r="CO21" s="15" t="n">
        <v>2.109884461066735</v>
      </c>
      <c r="CP21" s="15" t="n">
        <v>42075.00936046442</v>
      </c>
      <c r="CQ21" t="n">
        <v>2.84826099856534</v>
      </c>
      <c r="CR21" t="n">
        <v>0.03516371603167087</v>
      </c>
      <c r="CS21" t="n">
        <v>129.8611366974221</v>
      </c>
      <c r="CT21" t="n">
        <v>129.8659943327124</v>
      </c>
      <c r="CU21" t="n">
        <v>369.8784108846295</v>
      </c>
      <c r="CV21" t="n">
        <v>28.61917380589769</v>
      </c>
      <c r="CW21" s="15" t="n">
        <v>42076.58216379882</v>
      </c>
      <c r="CX21" s="15" t="n">
        <v>166.6673493608131</v>
      </c>
      <c r="CY21" s="15" t="n">
        <v>28.61917380589769</v>
      </c>
      <c r="CZ21" s="15" t="n">
        <v>2.607452676744112</v>
      </c>
      <c r="DA21" s="15" t="n">
        <v>2.606479672366239</v>
      </c>
      <c r="DB21" s="15" t="n">
        <v>1.684124243482959</v>
      </c>
      <c r="DC21" s="15" t="n">
        <v>0</v>
      </c>
      <c r="DD21" s="15" t="n">
        <v>6.197152933242583e-05</v>
      </c>
      <c r="DE21" s="15" t="n">
        <v>0</v>
      </c>
      <c r="DF21" s="15" t="n">
        <v>15</v>
      </c>
      <c r="DG21" s="15" t="inlineStr">
        <is>
          <t>Density_Metrics</t>
        </is>
      </c>
      <c r="DH21" s="15" t="n">
        <v>2.109884461066735</v>
      </c>
      <c r="DI21" t="n">
        <v>0.9156206935800953</v>
      </c>
      <c r="DJ21" s="15" t="n">
        <v>0.5570772255819383</v>
      </c>
      <c r="DK21" s="15" t="n">
        <v>5.506635142563799</v>
      </c>
      <c r="DL21" s="15" t="n">
        <v>2.874747907796141</v>
      </c>
      <c r="DM21" s="15" t="n">
        <v>1.074927273658406</v>
      </c>
      <c r="DN21" s="15" t="n">
        <v>6.265686197869825</v>
      </c>
      <c r="DO21" s="15" t="n">
        <v>0.5331305865464232</v>
      </c>
      <c r="DP21" s="15" t="n">
        <v>4.875</v>
      </c>
      <c r="DQ21" s="15" t="n">
        <v>39</v>
      </c>
      <c r="DR21" s="15" t="b">
        <v>1</v>
      </c>
      <c r="DS21" s="15" t="n">
        <v>2.8515145838603</v>
      </c>
      <c r="DT21" s="15" t="n">
        <v>16.43920655043432</v>
      </c>
      <c r="DU21" t="n">
        <v>81</v>
      </c>
      <c r="DV21" s="15" t="n">
        <v>0.06755857502564844</v>
      </c>
      <c r="DW21" s="15" t="n">
        <v>1.712752082050415</v>
      </c>
      <c r="DX21" s="15" t="n">
        <v>2.583223764614237</v>
      </c>
      <c r="DY21" s="15" t="n">
        <v>0.09533997452829594</v>
      </c>
      <c r="DZ21" s="15" t="b">
        <v>1</v>
      </c>
      <c r="EA21" s="15" t="n">
        <v>0.2274482375481398</v>
      </c>
      <c r="EB21" s="15" t="n">
        <v>20000</v>
      </c>
      <c r="EC21" s="15" t="n">
        <v>4440.34412506256</v>
      </c>
      <c r="ED21" s="15" t="n">
        <v>18</v>
      </c>
      <c r="EE21" s="15" t="n">
        <v>1</v>
      </c>
      <c r="EF21" s="15" t="n">
        <v>0.0435997796852683</v>
      </c>
      <c r="EG21" s="15" t="b">
        <v>0</v>
      </c>
      <c r="EH21" s="15" t="b">
        <v>1</v>
      </c>
      <c r="EI21" s="15" t="b">
        <v>0</v>
      </c>
      <c r="EJ21" s="15" t="inlineStr">
        <is>
          <t>wf=log|dst=-90.0|ceil=20000.0|fft=adaptive_tier</t>
        </is>
      </c>
      <c r="EK21" s="15" t="inlineStr">
        <is>
          <t>wf=log|dst=runtime_configured|ceil=runtime_configured|fft=fixed</t>
        </is>
      </c>
      <c r="EL21" s="15" t="n">
        <v>0.5881055957256838</v>
      </c>
      <c r="EM21" s="15" t="n">
        <v>0.9926137561175736</v>
      </c>
      <c r="EN21" s="15" t="n">
        <v>0.1851851851851852</v>
      </c>
      <c r="EO21" s="15" t="n">
        <v>0.383072953289804</v>
      </c>
      <c r="EP21" s="15" t="inlineStr">
        <is>
          <t>warn:power_outlier_detected</t>
        </is>
      </c>
      <c r="EQ21" s="15" t="n">
        <v>397.820280570993</v>
      </c>
      <c r="ER21" s="15" t="inlineStr">
        <is>
          <t>winsorize_p95_for_robust_diagnostics</t>
        </is>
      </c>
      <c r="ES21" s="15" t="n">
        <v>0.08165119356108454</v>
      </c>
      <c r="ET21" s="15" t="n">
        <v>0.01431381773729267</v>
      </c>
      <c r="EU21" s="15" t="n">
        <v>0.0153441310908084</v>
      </c>
      <c r="EV21" t="inlineStr">
        <is>
          <t>computed</t>
        </is>
      </c>
      <c r="EW21" s="15" t="inlineStr">
        <is>
          <t>computed</t>
        </is>
      </c>
      <c r="EX21" s="15" t="inlineStr">
        <is>
          <t>computed</t>
        </is>
      </c>
      <c r="EY21" s="15" t="inlineStr">
        <is>
          <t>available_from_curve</t>
        </is>
      </c>
      <c r="EZ21" s="15" t="n">
        <v>20000</v>
      </c>
      <c r="FA21" s="15" t="n">
        <v>20000</v>
      </c>
      <c r="FB21" s="15" t="n">
        <v>0.2127436647559962</v>
      </c>
      <c r="FC21" s="15" t="n">
        <v>0.4563136118890977</v>
      </c>
      <c r="FD21" s="15" t="n">
        <v>2.606479672366239</v>
      </c>
      <c r="FE21" s="15" t="n">
        <v>1.684124243482959</v>
      </c>
      <c r="FF21" s="15" t="n">
        <v>1.216031226714601</v>
      </c>
      <c r="FG21" s="15" t="n">
        <v>1.288344966878393</v>
      </c>
      <c r="FH21" s="15" t="n">
        <v>0.7432232994139505</v>
      </c>
      <c r="FI21" s="15" t="n">
        <v>0.07831619477439108</v>
      </c>
      <c r="FJ21" s="15" t="n">
        <v>10519.1455409497</v>
      </c>
      <c r="FK21" s="15" t="n">
        <v>41.66683734020327</v>
      </c>
      <c r="FL21" s="15" t="n">
        <v>7.154793451474423</v>
      </c>
      <c r="FM21" s="15" t="n">
        <v>0.004843157393405483</v>
      </c>
      <c r="FN21" t="n">
        <v>0.9999625950171529</v>
      </c>
      <c r="FO21" t="n">
        <v>0</v>
      </c>
      <c r="FP21" t="n">
        <v>3.740498284715642e-05</v>
      </c>
      <c r="FQ21" t="inlineStr">
        <is>
          <t>excellent</t>
        </is>
      </c>
      <c r="FR21" s="19" t="n">
        <v>0.9259259259259259</v>
      </c>
      <c r="FS21" s="15" t="n">
        <v>2.531621533191793</v>
      </c>
      <c r="FT21" s="15" t="n">
        <v>11.99483459655793</v>
      </c>
      <c r="FU21" t="inlineStr">
        <is>
          <t>passed</t>
        </is>
      </c>
      <c r="FV21" t="n">
        <v>201.5457300614657</v>
      </c>
      <c r="FW21" t="n">
        <v>23.65985079233971</v>
      </c>
      <c r="FX21" t="n">
        <v>7.722449806784078</v>
      </c>
      <c r="FY21" t="n">
        <v>0.5324202617291202</v>
      </c>
      <c r="FZ21" t="n">
        <v>0.1636390829555724</v>
      </c>
      <c r="GA21" t="n">
        <v>0.6008825988265206</v>
      </c>
      <c r="GB21" t="n">
        <v>0.2441356054925909</v>
      </c>
      <c r="GC21" t="n">
        <v>0.2442183494465359</v>
      </c>
      <c r="GD21" t="n">
        <v>0.1974466158589067</v>
      </c>
      <c r="GE21" t="n">
        <v>0.7301621597150685</v>
      </c>
      <c r="GF21" t="n">
        <v>0.46121488035022</v>
      </c>
      <c r="GG21" t="n">
        <v>0.2167753431280718</v>
      </c>
      <c r="GH21" t="n">
        <v>0.4736300319750594</v>
      </c>
      <c r="GI21" t="n">
        <v>0.6134852801519463</v>
      </c>
      <c r="GJ21" t="n">
        <v>0.3555555555555561</v>
      </c>
      <c r="GK21" t="n">
        <v>0.2558139534883722</v>
      </c>
      <c r="GL21" t="n">
        <v>0.6175419060324022</v>
      </c>
      <c r="GM21" t="n">
        <v>0.6175419060324022</v>
      </c>
      <c r="GN21" t="n">
        <v>0.5226481790209396</v>
      </c>
      <c r="GO21" t="n">
        <v>0.2297190048945786</v>
      </c>
      <c r="GP21" t="n">
        <v>369.8784108846295</v>
      </c>
      <c r="GQ21" t="inlineStr">
        <is>
          <t>compiled workbook density_weighted_sum = density_component_ratio_weighted_sum (per-note component ratios); research density_weighted_sum maps body-ceiling richness</t>
        </is>
      </c>
      <c r="GR21" s="15" t="inlineStr">
        <is>
          <t>individual_exact</t>
        </is>
      </c>
      <c r="GS21" s="15" t="inlineStr">
        <is>
          <t>density_weight</t>
        </is>
      </c>
      <c r="GT21" s="15" t="n">
        <v>0.575275215684929</v>
      </c>
      <c r="GU21" s="15" t="n">
        <v>0.4246675671879839</v>
      </c>
      <c r="GV21" s="15" t="n">
        <v>5.721712708700535e-05</v>
      </c>
      <c r="GW21" s="15" t="inlineStr">
        <is>
          <t>log</t>
        </is>
      </c>
      <c r="GX21" s="15" t="n">
        <v>0.5</v>
      </c>
      <c r="GY21" s="15" t="inlineStr">
        <is>
          <t>EWSD-R v18.1</t>
        </is>
      </c>
      <c r="GZ21" s="15" t="n">
        <v>2.636919253467517</v>
      </c>
      <c r="HA21" s="15" t="n">
        <v>19.12387855291427</v>
      </c>
      <c r="HB21" s="15" t="n">
        <v>0.4134531761331757</v>
      </c>
      <c r="HC21" s="15" t="n">
        <v>4.930235662266005</v>
      </c>
      <c r="HD21" s="15" t="n">
        <v>24.56682787808074</v>
      </c>
      <c r="HE21" s="15" t="n">
        <v>0.383974471715479</v>
      </c>
      <c r="HF21" s="15" t="inlineStr">
        <is>
          <t>partials+ratios</t>
        </is>
      </c>
      <c r="HG21" s="15" t="inlineStr">
        <is>
          <t>merged_individual_exact</t>
        </is>
      </c>
      <c r="HH21" s="15" t="inlineStr">
        <is>
          <t>passed</t>
        </is>
      </c>
      <c r="HI21" s="15" t="inlineStr">
        <is>
          <t>passed</t>
        </is>
      </c>
    </row>
    <row r="22">
      <c r="A22" t="inlineStr">
        <is>
          <t>incomplete_inference</t>
        </is>
      </c>
      <c r="B22" t="inlineStr">
        <is>
          <t>missing_instrument_technique</t>
        </is>
      </c>
      <c r="C22" t="inlineStr">
        <is>
          <t>prior_constrained_harmonic_fit</t>
        </is>
      </c>
      <c r="D22" t="inlineStr">
        <is>
          <t>IOWA_Trb.T_pp.C4_SustainStable/C4/component_amplitude_mass_pie.png</t>
        </is>
      </c>
      <c r="E22" t="inlineStr">
        <is>
          <t>IOWA_Trb.T_pp.C4_SustainStable/C4/component_energy_ratio_pie.png</t>
        </is>
      </c>
      <c r="F22" s="15" t="n">
        <v>261.3103015177074</v>
      </c>
      <c r="G22" s="15" t="inlineStr">
        <is>
          <t>prior_constrained_harmonic_fit</t>
        </is>
      </c>
      <c r="H22" s="15" t="inlineStr">
        <is>
          <t>fit_accepted_acoustically_verified</t>
        </is>
      </c>
      <c r="I22" s="16" t="n">
        <v>397.4942503864692</v>
      </c>
      <c r="J22" t="inlineStr">
        <is>
          <t>richness_weighted_body_density_body_ceiling</t>
        </is>
      </c>
      <c r="K22" t="inlineStr">
        <is>
          <t>research_body_ceiling_richness_metric</t>
        </is>
      </c>
      <c r="L22" s="15" t="n">
        <v>41741.69163167119</v>
      </c>
      <c r="M22" s="15" t="n">
        <v>41743.18249531028</v>
      </c>
      <c r="N22" s="15" t="n">
        <v>101.6201023341595</v>
      </c>
      <c r="O22" s="15" t="n">
        <v>26.27175411158157</v>
      </c>
      <c r="P22" s="15" t="n">
        <v>-6.649911464165259</v>
      </c>
      <c r="Q22" s="15" t="n">
        <v>11</v>
      </c>
      <c r="R22" s="15" t="n">
        <v>54</v>
      </c>
      <c r="S22" s="15" t="n">
        <v>10435.8070362182</v>
      </c>
      <c r="T22" s="15" t="n">
        <v>77</v>
      </c>
      <c r="U22" s="15" t="n">
        <v>-0.2820137198006404</v>
      </c>
      <c r="V22" s="15" t="n">
        <v>30.23137836840081</v>
      </c>
      <c r="W22" s="15" t="n">
        <v>0.9971194157262039</v>
      </c>
      <c r="X22" s="15" t="n">
        <v>0.216868085898854</v>
      </c>
      <c r="Y22" s="15" t="n">
        <v>11</v>
      </c>
      <c r="Z22" s="15" t="n">
        <v>76</v>
      </c>
      <c r="AA22" s="15" t="n">
        <v>0.1447368421052632</v>
      </c>
      <c r="AB22" s="15" t="n">
        <v>76</v>
      </c>
      <c r="AC22" s="15" t="n">
        <v>11</v>
      </c>
      <c r="AD22" s="15" t="n">
        <v>0.1447368421052632</v>
      </c>
      <c r="AE22" s="15" t="n">
        <v>559.4563741415647</v>
      </c>
      <c r="AF22" s="15" t="n">
        <v>11</v>
      </c>
      <c r="AG22" s="15" t="n">
        <v>76</v>
      </c>
      <c r="AH22" s="15" t="n">
        <v>0.1447368421052632</v>
      </c>
      <c r="AI22" s="15" t="n">
        <v>559.4563741415647</v>
      </c>
      <c r="AJ22" s="15" t="n">
        <v>6</v>
      </c>
      <c r="AK22" s="15" t="n">
        <v>5</v>
      </c>
      <c r="AL22" s="15" t="n">
        <v>1.36161585190236</v>
      </c>
      <c r="AM22" s="15" t="n">
        <v>33</v>
      </c>
      <c r="AN22" s="15" t="n">
        <v>1</v>
      </c>
      <c r="AO22" s="15" t="n">
        <v>33</v>
      </c>
      <c r="AP22" s="15" t="n">
        <v>1</v>
      </c>
      <c r="AQ22" s="15" t="n">
        <v>20.5744953930955</v>
      </c>
      <c r="AR22" s="15" t="n">
        <v>12.20912125066851</v>
      </c>
      <c r="AS22" s="15" t="n">
        <v>0.2233604154108139</v>
      </c>
      <c r="AT22" s="17" t="n">
        <v>2.604637206355715</v>
      </c>
      <c r="AU22" s="18" t="n">
        <v>10.0962466507762</v>
      </c>
      <c r="AV22" s="15" t="n">
        <v>12.30771031949041</v>
      </c>
      <c r="AW22" s="15" t="b">
        <v>1</v>
      </c>
      <c r="AX22" s="15" t="n">
        <v>7.507254438200508</v>
      </c>
      <c r="AY22" s="15" t="n">
        <v>18.31128905750852</v>
      </c>
      <c r="AZ22" s="15" t="n">
        <v>0.4757089415019223</v>
      </c>
      <c r="BA22" s="15" t="n">
        <v>1</v>
      </c>
      <c r="BB22" s="15" t="n">
        <v>0.5</v>
      </c>
      <c r="BC22" s="15" t="n">
        <v>0.25</v>
      </c>
      <c r="BD22" s="15" t="inlineStr">
        <is>
          <t>his_note_adaptive</t>
        </is>
      </c>
      <c r="BE22" s="15" t="n">
        <v>-90</v>
      </c>
      <c r="BF22" s="15" t="n">
        <v>20000</v>
      </c>
      <c r="BG22" s="15" t="n">
        <v>11</v>
      </c>
      <c r="BH22" s="15" t="n">
        <v>0.1447368421052632</v>
      </c>
      <c r="BI22" s="15" t="n">
        <v>76</v>
      </c>
      <c r="BJ22" s="15" t="n">
        <v>11</v>
      </c>
      <c r="BK22" s="15" t="n">
        <v>76</v>
      </c>
      <c r="BL22" s="15" t="n">
        <v>71</v>
      </c>
      <c r="BM22" s="15" t="n">
        <v>0.9342105263157895</v>
      </c>
      <c r="BN22" s="15" t="n">
        <v>0.1531330730783477</v>
      </c>
      <c r="BO22" s="15" t="n">
        <v>0.275</v>
      </c>
      <c r="BP22" s="19" t="n">
        <v>0.7937203167837467</v>
      </c>
      <c r="BQ22" s="19" t="n">
        <v>0.2062513165172395</v>
      </c>
      <c r="BR22" s="19" t="n">
        <v>2.836669901384956e-05</v>
      </c>
      <c r="BS22" s="15" t="n">
        <v>0.07145726754893292</v>
      </c>
      <c r="BT22" s="19" t="n">
        <v>0.9999642623671647</v>
      </c>
      <c r="BU22" s="19" t="n">
        <v>0</v>
      </c>
      <c r="BV22" s="19" t="n">
        <v>3.573763283535028e-05</v>
      </c>
      <c r="BW22" t="inlineStr">
        <is>
          <t>C4</t>
        </is>
      </c>
      <c r="BX22" t="n">
        <v>60</v>
      </c>
      <c r="BY22" t="inlineStr">
        <is>
          <t>C</t>
        </is>
      </c>
      <c r="BZ22" t="n">
        <v>4</v>
      </c>
      <c r="CA22" t="inlineStr">
        <is>
          <t>High</t>
        </is>
      </c>
      <c r="CB22" t="inlineStr">
        <is>
          <t>pp</t>
        </is>
      </c>
      <c r="CC22" s="15" t="n">
        <v>261.6255653005986</v>
      </c>
      <c r="CD22" s="15" t="n">
        <v>261.3103015177074</v>
      </c>
      <c r="CE22" t="inlineStr">
        <is>
          <t>prior_constrained_harmonic_fit</t>
        </is>
      </c>
      <c r="CF22" t="n">
        <v>261.3103015177074</v>
      </c>
      <c r="CG22" s="15" t="n">
        <v>1</v>
      </c>
      <c r="CH22" t="inlineStr">
        <is>
          <t>free_fit_acoustically_verified</t>
        </is>
      </c>
      <c r="CI22" s="15" t="inlineStr">
        <is>
          <t>free_f0_fit</t>
        </is>
      </c>
      <c r="CJ22" s="15" t="n">
        <v>261.6255653005986</v>
      </c>
      <c r="CK22" s="15" t="n">
        <v>261.3103015177074</v>
      </c>
      <c r="CL22" s="15" t="n">
        <v>-2.087427908985471</v>
      </c>
      <c r="CM22" s="15" t="n">
        <v>20000</v>
      </c>
      <c r="CN22" s="15" t="n">
        <v>-2.087427908985471</v>
      </c>
      <c r="CO22" s="15" t="n">
        <v>2.035658513914434</v>
      </c>
      <c r="CP22" s="15" t="n">
        <v>41741.69163167119</v>
      </c>
      <c r="CQ22" t="n">
        <v>2.894905551546939</v>
      </c>
      <c r="CR22" t="n">
        <v>0.03809086252035446</v>
      </c>
      <c r="CS22" t="n">
        <v>137.3081930683582</v>
      </c>
      <c r="CT22" t="n">
        <v>137.3131003135206</v>
      </c>
      <c r="CU22" t="n">
        <v>397.4942503864692</v>
      </c>
      <c r="CV22" t="n">
        <v>26.27175411158157</v>
      </c>
      <c r="CW22" s="15" t="n">
        <v>41743.18249531028</v>
      </c>
      <c r="CX22" s="15" t="n">
        <v>101.6201023341595</v>
      </c>
      <c r="CY22" s="15" t="n">
        <v>26.27175411158157</v>
      </c>
      <c r="CZ22" s="15" t="n">
        <v>2.605533197856495</v>
      </c>
      <c r="DA22" s="15" t="n">
        <v>2.604687392915813</v>
      </c>
      <c r="DB22" s="15" t="n">
        <v>1.52022146107194</v>
      </c>
      <c r="DC22" s="15" t="n">
        <v>0</v>
      </c>
      <c r="DD22" s="15" t="n">
        <v>6.242040262401743e-05</v>
      </c>
      <c r="DE22" s="15" t="n">
        <v>0</v>
      </c>
      <c r="DF22" s="15" t="n">
        <v>11</v>
      </c>
      <c r="DG22" s="15" t="inlineStr">
        <is>
          <t>Density_Metrics</t>
        </is>
      </c>
      <c r="DH22" s="15" t="n">
        <v>2.035658513914434</v>
      </c>
      <c r="DI22" t="n">
        <v>0.8834090656604947</v>
      </c>
      <c r="DJ22" s="15" t="n">
        <v>0.5568615610925073</v>
      </c>
      <c r="DK22" s="15" t="n">
        <v>5.325290586011652</v>
      </c>
      <c r="DL22" s="15" t="n">
        <v>2.912664416289131</v>
      </c>
      <c r="DM22" s="15" t="n">
        <v>1.049580030563291</v>
      </c>
      <c r="DN22" s="15" t="n">
        <v>6.131345902552243</v>
      </c>
      <c r="DO22" s="15" t="n">
        <v>0.5296639666318876</v>
      </c>
      <c r="DP22" s="15" t="n">
        <v>3.6875</v>
      </c>
      <c r="DQ22" s="15" t="n">
        <v>31</v>
      </c>
      <c r="DR22" s="15" t="b">
        <v>1</v>
      </c>
      <c r="DS22" s="15" t="n">
        <v>2.894905551546939</v>
      </c>
      <c r="DT22" s="15" t="n">
        <v>16.4819745283129</v>
      </c>
      <c r="DU22" t="n">
        <v>76</v>
      </c>
      <c r="DV22" s="15" t="n">
        <v>0.07145726754893292</v>
      </c>
      <c r="DW22" s="15" t="n">
        <v>1.793969625268688</v>
      </c>
      <c r="DX22" s="15" t="n">
        <v>2.57376446820435</v>
      </c>
      <c r="DY22" s="15" t="n">
        <v>0.08941574188375323</v>
      </c>
      <c r="DZ22" s="15" t="b">
        <v>1</v>
      </c>
      <c r="EA22" s="15" t="n">
        <v>0.1402214617625719</v>
      </c>
      <c r="EB22" s="15" t="n">
        <v>20000</v>
      </c>
      <c r="EC22" s="15" t="n">
        <v>2874.413316694781</v>
      </c>
      <c r="ED22" s="15" t="n">
        <v>11</v>
      </c>
      <c r="EE22" s="15" t="n">
        <v>0</v>
      </c>
      <c r="EF22" s="15" t="n">
        <v>0.04115271208350588</v>
      </c>
      <c r="EG22" s="15" t="b">
        <v>0</v>
      </c>
      <c r="EH22" s="15" t="b">
        <v>1</v>
      </c>
      <c r="EI22" s="15" t="b">
        <v>0</v>
      </c>
      <c r="EJ22" s="15" t="inlineStr">
        <is>
          <t>wf=log|dst=-90.0|ceil=20000.0|fft=adaptive_tier</t>
        </is>
      </c>
      <c r="EK22" s="15" t="inlineStr">
        <is>
          <t>wf=log|dst=runtime_configured|ceil=runtime_configured|fft=fixed</t>
        </is>
      </c>
      <c r="EL22" s="15" t="n">
        <v>0.5749263725251949</v>
      </c>
      <c r="EM22" s="15" t="n">
        <v>0.9971229790704622</v>
      </c>
      <c r="EN22" s="15" t="n">
        <v>0.1428571428571428</v>
      </c>
      <c r="EO22" s="15" t="n">
        <v>0.3811051597174341</v>
      </c>
      <c r="EP22" s="15" t="inlineStr">
        <is>
          <t>warn:power_outlier_detected</t>
        </is>
      </c>
      <c r="EQ22" s="15" t="n">
        <v>410.6759467956915</v>
      </c>
      <c r="ER22" s="15" t="inlineStr">
        <is>
          <t>winsorize_p95_for_robust_diagnostics</t>
        </is>
      </c>
      <c r="ES22" s="15" t="n">
        <v>0.08730002825447504</v>
      </c>
      <c r="ET22" s="15" t="n">
        <v>0.01403823170277095</v>
      </c>
      <c r="EU22" s="15" t="n">
        <v>0.01479227507576693</v>
      </c>
      <c r="EV22" t="inlineStr">
        <is>
          <t>computed</t>
        </is>
      </c>
      <c r="EW22" s="15" t="inlineStr">
        <is>
          <t>computed</t>
        </is>
      </c>
      <c r="EX22" s="15" t="inlineStr">
        <is>
          <t>computed</t>
        </is>
      </c>
      <c r="EY22" s="15" t="inlineStr">
        <is>
          <t>available_from_curve</t>
        </is>
      </c>
      <c r="EZ22" s="15" t="n">
        <v>20000</v>
      </c>
      <c r="FA22" s="15" t="n">
        <v>20000</v>
      </c>
      <c r="FB22" s="15" t="n">
        <v>0.2062513165172395</v>
      </c>
      <c r="FC22" s="15" t="n">
        <v>0.4953667179275014</v>
      </c>
      <c r="FD22" s="15" t="n">
        <v>2.604687392915813</v>
      </c>
      <c r="FE22" s="15" t="n">
        <v>1.52022146107194</v>
      </c>
      <c r="FF22" s="15" t="n">
        <v>1.2003817320239</v>
      </c>
      <c r="FG22" s="15" t="n">
        <v>1.287459069231204</v>
      </c>
      <c r="FH22" s="15" t="n">
        <v>0.6708911260615177</v>
      </c>
      <c r="FI22" s="15" t="n">
        <v>0.07730831862171283</v>
      </c>
      <c r="FJ22" s="15" t="n">
        <v>10435.79562382757</v>
      </c>
      <c r="FK22" s="15" t="n">
        <v>25.40502558353987</v>
      </c>
      <c r="FL22" s="15" t="n">
        <v>6.567938527895393</v>
      </c>
      <c r="FM22" s="15" t="n">
        <v>0.004835939616025907</v>
      </c>
      <c r="FN22" t="n">
        <v>0.9999642623671647</v>
      </c>
      <c r="FO22" t="n">
        <v>0</v>
      </c>
      <c r="FP22" t="n">
        <v>3.573763283535028e-05</v>
      </c>
      <c r="FQ22" t="inlineStr">
        <is>
          <t>excellent</t>
        </is>
      </c>
      <c r="FR22" s="19" t="n">
        <v>0.9342105263157895</v>
      </c>
      <c r="FS22" s="15" t="n">
        <v>2.980453073737004</v>
      </c>
      <c r="FT22" s="15" t="n">
        <v>16.29682701633829</v>
      </c>
      <c r="FU22" t="inlineStr">
        <is>
          <t>passed</t>
        </is>
      </c>
      <c r="FV22" t="n">
        <v>200.7136305649413</v>
      </c>
      <c r="FW22" t="n">
        <v>16.06500096080436</v>
      </c>
      <c r="FX22" t="n">
        <v>7.431434395934165</v>
      </c>
      <c r="FY22" t="n">
        <v>0.3539226514622842</v>
      </c>
      <c r="FZ22" t="n">
        <v>0.1793693229084249</v>
      </c>
      <c r="GA22" t="n">
        <v>0.4555576481102023</v>
      </c>
      <c r="GB22" t="n">
        <v>0.2497990247267557</v>
      </c>
      <c r="GC22" t="n">
        <v>0.2507631583544599</v>
      </c>
      <c r="GD22" t="n">
        <v>0.1995094491401783</v>
      </c>
      <c r="GE22" t="n">
        <v>0.7718025504117191</v>
      </c>
      <c r="GF22" t="n">
        <v>0.5381807477221024</v>
      </c>
      <c r="GG22" t="n">
        <v>0.2566279589748538</v>
      </c>
      <c r="GH22" t="n">
        <v>0.5135146041992834</v>
      </c>
      <c r="GI22" t="n">
        <v>0.5769230769230772</v>
      </c>
      <c r="GJ22" t="n">
        <v>0.673684210526316</v>
      </c>
      <c r="GK22" t="n">
        <v>0.3255813953488373</v>
      </c>
      <c r="GL22" t="n">
        <v>0.557202918235953</v>
      </c>
      <c r="GM22" t="n">
        <v>0.557202918235953</v>
      </c>
      <c r="GN22" t="n">
        <v>0.5924419942703077</v>
      </c>
      <c r="GO22" t="n">
        <v>0.2541494779030949</v>
      </c>
      <c r="GP22" t="n">
        <v>397.4942503864692</v>
      </c>
      <c r="GQ22" t="inlineStr">
        <is>
          <t>compiled workbook density_weighted_sum = density_component_ratio_weighted_sum (per-note component ratios); research density_weighted_sum maps body-ceiling richness</t>
        </is>
      </c>
      <c r="GR22" s="15" t="inlineStr">
        <is>
          <t>individual_exact</t>
        </is>
      </c>
      <c r="GS22" s="15" t="inlineStr">
        <is>
          <t>density_weight</t>
        </is>
      </c>
      <c r="GT22" s="15" t="n">
        <v>0.5647298851382346</v>
      </c>
      <c r="GU22" s="15" t="n">
        <v>0.4352248919285361</v>
      </c>
      <c r="GV22" s="15" t="n">
        <v>4.522293322924686e-05</v>
      </c>
      <c r="GW22" s="15" t="inlineStr">
        <is>
          <t>log</t>
        </is>
      </c>
      <c r="GX22" s="15" t="n">
        <v>0.5</v>
      </c>
      <c r="GY22" s="15" t="inlineStr">
        <is>
          <t>EWSD-R v18.1</t>
        </is>
      </c>
      <c r="GZ22" s="15" t="n">
        <v>3.29240140559067</v>
      </c>
      <c r="HA22" s="15" t="n">
        <v>23.21834209009906</v>
      </c>
      <c r="HB22" s="15" t="n">
        <v>0.5132395629041686</v>
      </c>
      <c r="HC22" s="15" t="n">
        <v>5.601342952510327</v>
      </c>
      <c r="HD22" s="15" t="n">
        <v>26.45024891151081</v>
      </c>
      <c r="HE22" s="15" t="n">
        <v>0.4393453557796251</v>
      </c>
      <c r="HF22" s="15" t="inlineStr">
        <is>
          <t>partials+ratios</t>
        </is>
      </c>
      <c r="HG22" s="15" t="inlineStr">
        <is>
          <t>merged_individual_exact</t>
        </is>
      </c>
      <c r="HH22" s="15" t="inlineStr">
        <is>
          <t>passed</t>
        </is>
      </c>
      <c r="HI22" s="15" t="inlineStr">
        <is>
          <t>passed</t>
        </is>
      </c>
    </row>
    <row r="23">
      <c r="A23" t="inlineStr">
        <is>
          <t>incomplete_inference</t>
        </is>
      </c>
      <c r="B23" t="inlineStr">
        <is>
          <t>missing_instrument_technique</t>
        </is>
      </c>
      <c r="C23" t="inlineStr">
        <is>
          <t>prior_constrained_harmonic_fit</t>
        </is>
      </c>
      <c r="D23" t="inlineStr">
        <is>
          <t>IOWA_Trb.T_pp.C#4_SustainStable/C#4/component_amplitude_mass_pie.png</t>
        </is>
      </c>
      <c r="E23" t="inlineStr">
        <is>
          <t>IOWA_Trb.T_pp.C#4_SustainStable/C#4/component_energy_ratio_pie.png</t>
        </is>
      </c>
      <c r="F23" s="15" t="n">
        <v>276.7191881480906</v>
      </c>
      <c r="G23" s="15" t="inlineStr">
        <is>
          <t>prior_constrained_harmonic_fit</t>
        </is>
      </c>
      <c r="H23" s="15" t="inlineStr">
        <is>
          <t>fit_accepted_acoustically_verified</t>
        </is>
      </c>
      <c r="I23" s="16" t="n">
        <v>453.2737248444937</v>
      </c>
      <c r="J23" t="inlineStr">
        <is>
          <t>richness_weighted_body_density_body_ceiling</t>
        </is>
      </c>
      <c r="K23" t="inlineStr">
        <is>
          <t>research_body_ceiling_richness_metric</t>
        </is>
      </c>
      <c r="L23" s="15" t="n">
        <v>42144.7238230128</v>
      </c>
      <c r="M23" s="15" t="n">
        <v>42145.92313091623</v>
      </c>
      <c r="N23" s="15" t="n">
        <v>72.10542418994103</v>
      </c>
      <c r="O23" s="15" t="n">
        <v>19.55684524559647</v>
      </c>
      <c r="P23" s="15" t="n">
        <v>-6.773159843904953</v>
      </c>
      <c r="Q23" s="15" t="n">
        <v>12</v>
      </c>
      <c r="R23" s="15" t="n">
        <v>38</v>
      </c>
      <c r="S23" s="15" t="n">
        <v>10536.48685428686</v>
      </c>
      <c r="T23" s="15" t="n">
        <v>73</v>
      </c>
      <c r="U23" s="15" t="n">
        <v>0.0782382583216277</v>
      </c>
      <c r="V23" s="15" t="n">
        <v>30.39808050272624</v>
      </c>
      <c r="W23" s="15" t="n">
        <v>0.9989453057122135</v>
      </c>
      <c r="X23" s="15" t="n">
        <v>0.2236942297923409</v>
      </c>
      <c r="Y23" s="15" t="n">
        <v>11</v>
      </c>
      <c r="Z23" s="15" t="n">
        <v>72</v>
      </c>
      <c r="AA23" s="15" t="n">
        <v>0.1527777777777778</v>
      </c>
      <c r="AB23" s="15" t="n">
        <v>72</v>
      </c>
      <c r="AC23" s="15" t="n">
        <v>11</v>
      </c>
      <c r="AD23" s="15" t="n">
        <v>0.1527777777777778</v>
      </c>
      <c r="AE23" s="15" t="n">
        <v>561.5911266112802</v>
      </c>
      <c r="AF23" s="15" t="n">
        <v>11</v>
      </c>
      <c r="AG23" s="15" t="n">
        <v>72</v>
      </c>
      <c r="AH23" s="15" t="n">
        <v>0.1527777777777778</v>
      </c>
      <c r="AI23" s="15" t="n">
        <v>561.5911266112802</v>
      </c>
      <c r="AJ23" s="15" t="n">
        <v>6</v>
      </c>
      <c r="AK23" s="15" t="n">
        <v>5</v>
      </c>
      <c r="AL23" s="15" t="n">
        <v>1.440950212591767</v>
      </c>
      <c r="AM23" s="15" t="n">
        <v>35</v>
      </c>
      <c r="AN23" s="15" t="n">
        <v>1</v>
      </c>
      <c r="AO23" s="15" t="n">
        <v>35</v>
      </c>
      <c r="AP23" s="15" t="n">
        <v>1</v>
      </c>
      <c r="AQ23" s="15" t="n">
        <v>22.02678530476464</v>
      </c>
      <c r="AR23" s="15" t="n">
        <v>12.96418012388981</v>
      </c>
      <c r="AS23" s="15" t="n">
        <v>0.253482220977169</v>
      </c>
      <c r="AT23" s="17" t="n">
        <v>2.606411349816699</v>
      </c>
      <c r="AU23" s="18" t="n">
        <v>9.304250417814716</v>
      </c>
      <c r="AV23" s="15" t="n">
        <v>11.52433943194815</v>
      </c>
      <c r="AW23" s="15" t="b">
        <v>1</v>
      </c>
      <c r="AX23" s="15" t="n">
        <v>7.315267164884825</v>
      </c>
      <c r="AY23" s="15" t="n">
        <v>19.61034617853889</v>
      </c>
      <c r="AZ23" s="15" t="n">
        <v>0.4722952640458474</v>
      </c>
      <c r="BA23" s="15" t="n">
        <v>1</v>
      </c>
      <c r="BB23" s="15" t="n">
        <v>0.5</v>
      </c>
      <c r="BC23" s="15" t="n">
        <v>0.25</v>
      </c>
      <c r="BD23" s="15" t="inlineStr">
        <is>
          <t>his_note_adaptive</t>
        </is>
      </c>
      <c r="BE23" s="15" t="n">
        <v>-90</v>
      </c>
      <c r="BF23" s="15" t="n">
        <v>20000</v>
      </c>
      <c r="BG23" s="15" t="n">
        <v>11</v>
      </c>
      <c r="BH23" s="15" t="n">
        <v>0.1527777777777778</v>
      </c>
      <c r="BI23" s="15" t="n">
        <v>72</v>
      </c>
      <c r="BJ23" s="15" t="n">
        <v>11</v>
      </c>
      <c r="BK23" s="15" t="n">
        <v>72</v>
      </c>
      <c r="BL23" s="15" t="n">
        <v>67</v>
      </c>
      <c r="BM23" s="15" t="n">
        <v>0.9305555555555556</v>
      </c>
      <c r="BN23" s="15" t="n">
        <v>0.1669805967144164</v>
      </c>
      <c r="BO23" s="15" t="n">
        <v>0.2916666666666667</v>
      </c>
      <c r="BP23" s="19" t="n">
        <v>0.7840429900757646</v>
      </c>
      <c r="BQ23" s="19" t="n">
        <v>0.2159346881384221</v>
      </c>
      <c r="BR23" s="19" t="n">
        <v>2.232178581333478e-05</v>
      </c>
      <c r="BS23" s="15" t="n">
        <v>0.08032615364338259</v>
      </c>
      <c r="BT23" s="19" t="n">
        <v>0.9999715307060832</v>
      </c>
      <c r="BU23" s="19" t="n">
        <v>0</v>
      </c>
      <c r="BV23" s="19" t="n">
        <v>2.846929391677458e-05</v>
      </c>
      <c r="BW23" t="inlineStr">
        <is>
          <t>C#4</t>
        </is>
      </c>
      <c r="BX23" t="n">
        <v>61</v>
      </c>
      <c r="BY23" t="inlineStr">
        <is>
          <t>C#</t>
        </is>
      </c>
      <c r="BZ23" t="n">
        <v>4</v>
      </c>
      <c r="CA23" t="inlineStr">
        <is>
          <t>High</t>
        </is>
      </c>
      <c r="CB23" t="inlineStr">
        <is>
          <t>pp</t>
        </is>
      </c>
      <c r="CC23" s="15" t="n">
        <v>277.182630976872</v>
      </c>
      <c r="CD23" s="15" t="n">
        <v>276.7191881480906</v>
      </c>
      <c r="CE23" t="inlineStr">
        <is>
          <t>prior_constrained_harmonic_fit</t>
        </is>
      </c>
      <c r="CF23" t="n">
        <v>276.7191881480906</v>
      </c>
      <c r="CG23" s="15" t="n">
        <v>1</v>
      </c>
      <c r="CH23" t="inlineStr">
        <is>
          <t>free_fit_acoustically_verified</t>
        </is>
      </c>
      <c r="CI23" s="15" t="inlineStr">
        <is>
          <t>free_f0_fit</t>
        </is>
      </c>
      <c r="CJ23" s="15" t="n">
        <v>277.182630976872</v>
      </c>
      <c r="CK23" s="15" t="n">
        <v>276.7191881480906</v>
      </c>
      <c r="CL23" s="15" t="n">
        <v>-2.897005081052564</v>
      </c>
      <c r="CM23" s="15" t="n">
        <v>20000</v>
      </c>
      <c r="CN23" s="15" t="n">
        <v>-2.897005081052564</v>
      </c>
      <c r="CO23" s="15" t="n">
        <v>2.015242501006277</v>
      </c>
      <c r="CP23" s="15" t="n">
        <v>42144.7238230128</v>
      </c>
      <c r="CQ23" t="n">
        <v>3.097489380355604</v>
      </c>
      <c r="CR23" t="n">
        <v>0.04302068583827228</v>
      </c>
      <c r="CS23" t="n">
        <v>146.3358446744557</v>
      </c>
      <c r="CT23" t="n">
        <v>146.3400108712369</v>
      </c>
      <c r="CU23" t="n">
        <v>453.2737248444937</v>
      </c>
      <c r="CV23" t="n">
        <v>19.55684524559647</v>
      </c>
      <c r="CW23" s="15" t="n">
        <v>42145.92313091623</v>
      </c>
      <c r="CX23" s="15" t="n">
        <v>72.10542418994103</v>
      </c>
      <c r="CY23" s="15" t="n">
        <v>19.55684524559647</v>
      </c>
      <c r="CZ23" s="15" t="n">
        <v>2.606935570419017</v>
      </c>
      <c r="DA23" s="15" t="n">
        <v>2.606453004720307</v>
      </c>
      <c r="DB23" s="15" t="n">
        <v>1.480311881085248</v>
      </c>
      <c r="DC23" s="15" t="n">
        <v>0</v>
      </c>
      <c r="DD23" s="15" t="n">
        <v>6.185674822231295e-05</v>
      </c>
      <c r="DE23" s="15" t="n">
        <v>0</v>
      </c>
      <c r="DF23" s="15" t="n">
        <v>12</v>
      </c>
      <c r="DG23" s="15" t="inlineStr">
        <is>
          <t>Density_Metrics</t>
        </is>
      </c>
      <c r="DH23" s="15" t="n">
        <v>2.015242501006277</v>
      </c>
      <c r="DI23" t="n">
        <v>0.8745491853001947</v>
      </c>
      <c r="DJ23" s="15" t="n">
        <v>0.5570752611459057</v>
      </c>
      <c r="DK23" s="15" t="n">
        <v>5.230065916004513</v>
      </c>
      <c r="DL23" s="15" t="n">
        <v>3.110974606085887</v>
      </c>
      <c r="DM23" s="15" t="n">
        <v>1.030265723441924</v>
      </c>
      <c r="DN23" s="15" t="n">
        <v>6.784365651905128</v>
      </c>
      <c r="DO23" s="15" t="n">
        <v>0.5434923809018597</v>
      </c>
      <c r="DP23" s="15" t="n">
        <v>7.375</v>
      </c>
      <c r="DQ23" s="15" t="n">
        <v>33</v>
      </c>
      <c r="DR23" s="15" t="b">
        <v>1</v>
      </c>
      <c r="DS23" s="15" t="n">
        <v>3.097489380355604</v>
      </c>
      <c r="DT23" s="15" t="n">
        <v>16.10598454504855</v>
      </c>
      <c r="DU23" t="n">
        <v>72</v>
      </c>
      <c r="DV23" s="15" t="n">
        <v>0.08032615364338259</v>
      </c>
      <c r="DW23" s="15" t="n">
        <v>1.731137698030645</v>
      </c>
      <c r="DX23" s="15" t="n">
        <v>2.571544085482372</v>
      </c>
      <c r="DY23" s="15" t="n">
        <v>0.09572182834249819</v>
      </c>
      <c r="DZ23" s="15" t="b">
        <v>1</v>
      </c>
      <c r="EA23" s="15" t="n">
        <v>0.1597379859701126</v>
      </c>
      <c r="EB23" s="15" t="n">
        <v>20000</v>
      </c>
      <c r="EC23" s="15" t="n">
        <v>3320.630257777087</v>
      </c>
      <c r="ED23" s="15" t="n">
        <v>12</v>
      </c>
      <c r="EE23" s="15" t="n">
        <v>1</v>
      </c>
      <c r="EF23" s="15" t="n">
        <v>0.03884298783280674</v>
      </c>
      <c r="EG23" s="15" t="b">
        <v>0</v>
      </c>
      <c r="EH23" s="15" t="b">
        <v>1</v>
      </c>
      <c r="EI23" s="15" t="b">
        <v>0</v>
      </c>
      <c r="EJ23" s="15" t="inlineStr">
        <is>
          <t>wf=log|dst=-90.0|ceil=20000.0|fft=adaptive_tier</t>
        </is>
      </c>
      <c r="EK23" s="15" t="inlineStr">
        <is>
          <t>wf=log|dst=runtime_configured|ceil=runtime_configured|fft=fixed</t>
        </is>
      </c>
      <c r="EL23" s="15" t="n">
        <v>0.5840919813521862</v>
      </c>
      <c r="EM23" s="15" t="n">
        <v>0.9973464472423108</v>
      </c>
      <c r="EN23" s="15" t="n">
        <v>0.1643835616438356</v>
      </c>
      <c r="EO23" s="15" t="n">
        <v>0.3887591675890196</v>
      </c>
      <c r="EP23" s="15" t="inlineStr">
        <is>
          <t>warn:power_outlier_detected</t>
        </is>
      </c>
      <c r="EQ23" s="15" t="n">
        <v>363.4965603788747</v>
      </c>
      <c r="ER23" s="15" t="inlineStr">
        <is>
          <t>winsorize_p95_for_robust_diagnostics</t>
        </is>
      </c>
      <c r="ES23" s="15" t="n">
        <v>0.09314045903094406</v>
      </c>
      <c r="ET23" s="15" t="n">
        <v>0.01359685588674822</v>
      </c>
      <c r="EU23" s="15" t="n">
        <v>0.01433008039750306</v>
      </c>
      <c r="EV23" t="inlineStr">
        <is>
          <t>computed</t>
        </is>
      </c>
      <c r="EW23" s="15" t="inlineStr">
        <is>
          <t>computed</t>
        </is>
      </c>
      <c r="EX23" s="15" t="inlineStr">
        <is>
          <t>computed</t>
        </is>
      </c>
      <c r="EY23" s="15" t="inlineStr">
        <is>
          <t>available_from_curve</t>
        </is>
      </c>
      <c r="EZ23" s="15" t="n">
        <v>20000</v>
      </c>
      <c r="FA23" s="15" t="n">
        <v>20000</v>
      </c>
      <c r="FB23" s="15" t="n">
        <v>0.2159346881384221</v>
      </c>
      <c r="FC23" s="15" t="n">
        <v>0.4902130437398116</v>
      </c>
      <c r="FD23" s="15" t="n">
        <v>2.606453004720307</v>
      </c>
      <c r="FE23" s="15" t="n">
        <v>1.480311881085248</v>
      </c>
      <c r="FF23" s="15" t="n">
        <v>1.143301030198957</v>
      </c>
      <c r="FG23" s="15" t="n">
        <v>1.288331785449135</v>
      </c>
      <c r="FH23" s="15" t="n">
        <v>0.6532785717439157</v>
      </c>
      <c r="FI23" s="15" t="n">
        <v>0.0736321438132263</v>
      </c>
      <c r="FJ23" s="15" t="n">
        <v>10536.48078272906</v>
      </c>
      <c r="FK23" s="15" t="n">
        <v>18.02635604748526</v>
      </c>
      <c r="FL23" s="15" t="n">
        <v>4.889211311399118</v>
      </c>
      <c r="FM23" s="15" t="n">
        <v>0.00488248788906191</v>
      </c>
      <c r="FN23" t="n">
        <v>0.9999715307060832</v>
      </c>
      <c r="FO23" t="n">
        <v>0</v>
      </c>
      <c r="FP23" t="n">
        <v>2.846929391677458e-05</v>
      </c>
      <c r="FQ23" t="inlineStr">
        <is>
          <t>excellent</t>
        </is>
      </c>
      <c r="FR23" s="19" t="n">
        <v>0.9305555555555556</v>
      </c>
      <c r="FS23" s="15" t="n">
        <v>3.793905550807497</v>
      </c>
      <c r="FT23" s="15" t="n">
        <v>15.21957037593174</v>
      </c>
      <c r="FU23" t="inlineStr">
        <is>
          <t>passed</t>
        </is>
      </c>
      <c r="FV23" t="n">
        <v>201.533323920488</v>
      </c>
      <c r="FW23" t="n">
        <v>14.61060612750865</v>
      </c>
      <c r="FX23" t="n">
        <v>6.454582037962521</v>
      </c>
      <c r="FY23" t="n">
        <v>0.3048264842176217</v>
      </c>
      <c r="FZ23" t="n">
        <v>0.2111418322181738</v>
      </c>
      <c r="GA23" t="n">
        <v>0.3792470009153092</v>
      </c>
      <c r="GB23" t="n">
        <v>0.2794197305318133</v>
      </c>
      <c r="GC23" t="n">
        <v>0.2813195740805047</v>
      </c>
      <c r="GD23" t="n">
        <v>0.2014937928862254</v>
      </c>
      <c r="GE23" t="n">
        <v>1</v>
      </c>
      <c r="GF23" t="n">
        <v>0.5759373527235322</v>
      </c>
      <c r="GG23" t="n">
        <v>0.3472861240904768</v>
      </c>
      <c r="GH23" t="n">
        <v>0.6218083359757762</v>
      </c>
      <c r="GI23" t="n">
        <v>0.6631054131054132</v>
      </c>
      <c r="GJ23" t="n">
        <v>0.5333333333333342</v>
      </c>
      <c r="GK23" t="n">
        <v>0.3720930232558141</v>
      </c>
      <c r="GL23" t="n">
        <v>0.647198836598908</v>
      </c>
      <c r="GM23" t="n">
        <v>0.647198836598908</v>
      </c>
      <c r="GN23" t="n">
        <v>0.5832315979510663</v>
      </c>
      <c r="GO23" t="n">
        <v>0.2922547328114253</v>
      </c>
      <c r="GP23" t="n">
        <v>453.2737248444937</v>
      </c>
      <c r="GQ23" t="inlineStr">
        <is>
          <t>compiled workbook density_weighted_sum = density_component_ratio_weighted_sum (per-note component ratios); research density_weighted_sum maps body-ceiling richness</t>
        </is>
      </c>
      <c r="GR23" s="15" t="inlineStr">
        <is>
          <t>individual_exact</t>
        </is>
      </c>
      <c r="GS23" s="15" t="inlineStr">
        <is>
          <t>density_weight</t>
        </is>
      </c>
      <c r="GT23" s="15" t="n">
        <v>0.5405064939833962</v>
      </c>
      <c r="GU23" s="15" t="n">
        <v>0.4594623636744317</v>
      </c>
      <c r="GV23" s="15" t="n">
        <v>3.114234217208585e-05</v>
      </c>
      <c r="GW23" s="15" t="inlineStr">
        <is>
          <t>log</t>
        </is>
      </c>
      <c r="GX23" s="15" t="n">
        <v>0.5</v>
      </c>
      <c r="GY23" s="15" t="inlineStr">
        <is>
          <t>EWSD-R v18.1</t>
        </is>
      </c>
      <c r="GZ23" s="15" t="n">
        <v>2.207947968646651</v>
      </c>
      <c r="HA23" s="15" t="n">
        <v>20.16455082730277</v>
      </c>
      <c r="HB23" s="15" t="n">
        <v>0.5400074921942283</v>
      </c>
      <c r="HC23" s="15" t="n">
        <v>4.415603622827808</v>
      </c>
      <c r="HD23" s="15" t="n">
        <v>24.51840058494201</v>
      </c>
      <c r="HE23" s="15" t="n">
        <v>0.4820515525752077</v>
      </c>
      <c r="HF23" s="15" t="inlineStr">
        <is>
          <t>partials+ratios</t>
        </is>
      </c>
      <c r="HG23" s="15" t="inlineStr">
        <is>
          <t>merged_individual_exact</t>
        </is>
      </c>
      <c r="HH23" s="15" t="inlineStr">
        <is>
          <t>passed</t>
        </is>
      </c>
      <c r="HI23" s="15" t="inlineStr">
        <is>
          <t>passed</t>
        </is>
      </c>
    </row>
    <row r="24">
      <c r="A24" t="inlineStr">
        <is>
          <t>incomplete_inference</t>
        </is>
      </c>
      <c r="B24" t="inlineStr">
        <is>
          <t>missing_instrument_technique</t>
        </is>
      </c>
      <c r="C24" t="inlineStr">
        <is>
          <t>prior_constrained_harmonic_fit</t>
        </is>
      </c>
      <c r="D24" t="inlineStr">
        <is>
          <t>IOWA_Trb.T_pp.D4_SustainStable/D4/component_amplitude_mass_pie.png</t>
        </is>
      </c>
      <c r="E24" t="inlineStr">
        <is>
          <t>IOWA_Trb.T_pp.D4_SustainStable/D4/component_energy_ratio_pie.png</t>
        </is>
      </c>
      <c r="F24" s="15" t="n">
        <v>293.899956856537</v>
      </c>
      <c r="G24" s="15" t="inlineStr">
        <is>
          <t>prior_constrained_harmonic_fit</t>
        </is>
      </c>
      <c r="H24" s="15" t="inlineStr">
        <is>
          <t>fit_accepted_acoustically_verified</t>
        </is>
      </c>
      <c r="I24" s="16" t="n">
        <v>452.7124763551876</v>
      </c>
      <c r="J24" t="inlineStr">
        <is>
          <t>richness_weighted_body_density_body_ceiling</t>
        </is>
      </c>
      <c r="K24" t="inlineStr">
        <is>
          <t>research_body_ceiling_richness_metric</t>
        </is>
      </c>
      <c r="L24" s="15" t="n">
        <v>42295.61992304091</v>
      </c>
      <c r="M24" s="15" t="n">
        <v>42296.62588840931</v>
      </c>
      <c r="N24" s="15" t="n">
        <v>125.2469110231746</v>
      </c>
      <c r="O24" s="15" t="n">
        <v>14.36001739747715</v>
      </c>
      <c r="P24" s="15" t="n">
        <v>-6.652858348948165</v>
      </c>
      <c r="Q24" s="15" t="n">
        <v>12</v>
      </c>
      <c r="R24" s="15" t="n">
        <v>44</v>
      </c>
      <c r="S24" s="15" t="n">
        <v>10574.16426040984</v>
      </c>
      <c r="T24" s="15" t="n">
        <v>69</v>
      </c>
      <c r="U24" s="15" t="n">
        <v>-0.7915731539486188</v>
      </c>
      <c r="V24" s="15" t="n">
        <v>27.65971603619524</v>
      </c>
      <c r="W24" s="15" t="n">
        <v>0.9940944490596305</v>
      </c>
      <c r="X24" s="15" t="n">
        <v>0.2149897732102144</v>
      </c>
      <c r="Y24" s="15" t="n">
        <v>11</v>
      </c>
      <c r="Z24" s="15" t="n">
        <v>68</v>
      </c>
      <c r="AA24" s="15" t="n">
        <v>0.1617647058823529</v>
      </c>
      <c r="AB24" s="15" t="n">
        <v>68</v>
      </c>
      <c r="AC24" s="15" t="n">
        <v>11</v>
      </c>
      <c r="AD24" s="15" t="n">
        <v>0.1617647058823529</v>
      </c>
      <c r="AE24" s="15" t="n">
        <v>547.8705945499464</v>
      </c>
      <c r="AF24" s="15" t="n">
        <v>11</v>
      </c>
      <c r="AG24" s="15" t="n">
        <v>68</v>
      </c>
      <c r="AH24" s="15" t="n">
        <v>0.1617647058823529</v>
      </c>
      <c r="AI24" s="15" t="n">
        <v>547.8705945499464</v>
      </c>
      <c r="AJ24" s="15" t="n">
        <v>6</v>
      </c>
      <c r="AK24" s="15" t="n">
        <v>5</v>
      </c>
      <c r="AL24" s="15" t="n">
        <v>1.330494371462015</v>
      </c>
      <c r="AM24" s="15" t="n">
        <v>33</v>
      </c>
      <c r="AN24" s="15" t="n">
        <v>1</v>
      </c>
      <c r="AO24" s="15" t="n">
        <v>33</v>
      </c>
      <c r="AP24" s="15" t="n">
        <v>1</v>
      </c>
      <c r="AQ24" s="15" t="n">
        <v>20.71120904806821</v>
      </c>
      <c r="AR24" s="15" t="n">
        <v>12.07475656193882</v>
      </c>
      <c r="AS24" s="15" t="n">
        <v>0.2180001618300136</v>
      </c>
      <c r="AT24" s="17" t="n">
        <v>2.595676742475234</v>
      </c>
      <c r="AU24" s="18" t="n">
        <v>9.557620971567545</v>
      </c>
      <c r="AV24" s="15" t="n">
        <v>11.91119259939983</v>
      </c>
      <c r="AW24" s="15" t="b">
        <v>1</v>
      </c>
      <c r="AX24" s="15" t="n">
        <v>7.319816002056086</v>
      </c>
      <c r="AY24" s="15" t="n">
        <v>18.09187207298852</v>
      </c>
      <c r="AZ24" s="15" t="n">
        <v>0.4614090192058527</v>
      </c>
      <c r="BA24" s="15" t="n">
        <v>1</v>
      </c>
      <c r="BB24" s="15" t="n">
        <v>0.5</v>
      </c>
      <c r="BC24" s="15" t="n">
        <v>0.25</v>
      </c>
      <c r="BD24" s="15" t="inlineStr">
        <is>
          <t>his_note_adaptive</t>
        </is>
      </c>
      <c r="BE24" s="15" t="n">
        <v>-90</v>
      </c>
      <c r="BF24" s="15" t="n">
        <v>20000</v>
      </c>
      <c r="BG24" s="15" t="n">
        <v>11</v>
      </c>
      <c r="BH24" s="15" t="n">
        <v>0.1617647058823529</v>
      </c>
      <c r="BI24" s="15" t="n">
        <v>68</v>
      </c>
      <c r="BJ24" s="15" t="n">
        <v>11</v>
      </c>
      <c r="BK24" s="15" t="n">
        <v>68</v>
      </c>
      <c r="BL24" s="15" t="n">
        <v>63</v>
      </c>
      <c r="BM24" s="15" t="n">
        <v>0.9264705882352942</v>
      </c>
      <c r="BN24" s="15" t="n">
        <v>0.1519126621755139</v>
      </c>
      <c r="BO24" s="15" t="n">
        <v>0.275</v>
      </c>
      <c r="BP24" s="19" t="n">
        <v>0.7777500363514954</v>
      </c>
      <c r="BQ24" s="19" t="n">
        <v>0.222231459242449</v>
      </c>
      <c r="BR24" s="19" t="n">
        <v>1.850440605573616e-05</v>
      </c>
      <c r="BS24" s="15" t="n">
        <v>0.07857562769528889</v>
      </c>
      <c r="BT24" s="19" t="n">
        <v>0.9999762083382316</v>
      </c>
      <c r="BU24" s="19" t="n">
        <v>0</v>
      </c>
      <c r="BV24" s="19" t="n">
        <v>2.37916617683106e-05</v>
      </c>
      <c r="BW24" t="inlineStr">
        <is>
          <t>D4</t>
        </is>
      </c>
      <c r="BX24" t="n">
        <v>62</v>
      </c>
      <c r="BY24" t="inlineStr">
        <is>
          <t>D</t>
        </is>
      </c>
      <c r="BZ24" t="n">
        <v>4</v>
      </c>
      <c r="CA24" t="inlineStr">
        <is>
          <t>High</t>
        </is>
      </c>
      <c r="CB24" t="inlineStr">
        <is>
          <t>pp</t>
        </is>
      </c>
      <c r="CC24" s="15" t="n">
        <v>293.6647679174076</v>
      </c>
      <c r="CD24" s="15" t="n">
        <v>293.899956856537</v>
      </c>
      <c r="CE24" t="inlineStr">
        <is>
          <t>prior_constrained_harmonic_fit</t>
        </is>
      </c>
      <c r="CF24" t="n">
        <v>293.899956856537</v>
      </c>
      <c r="CG24" s="15" t="n">
        <v>1</v>
      </c>
      <c r="CH24" t="inlineStr">
        <is>
          <t>free_fit_acoustically_verified</t>
        </is>
      </c>
      <c r="CI24" s="15" t="inlineStr">
        <is>
          <t>free_f0_fit</t>
        </is>
      </c>
      <c r="CJ24" s="15" t="n">
        <v>293.6647679174076</v>
      </c>
      <c r="CK24" s="15" t="n">
        <v>293.899956856537</v>
      </c>
      <c r="CL24" s="15" t="n">
        <v>1.385948148221613</v>
      </c>
      <c r="CM24" s="15" t="n">
        <v>20000</v>
      </c>
      <c r="CN24" s="15" t="n">
        <v>1.385948148221613</v>
      </c>
      <c r="CO24" s="15" t="n">
        <v>2.047798239714388</v>
      </c>
      <c r="CP24" s="15" t="n">
        <v>42295.61992304091</v>
      </c>
      <c r="CQ24" t="n">
        <v>2.911360438440885</v>
      </c>
      <c r="CR24" t="n">
        <v>0.0428141240947189</v>
      </c>
      <c r="CS24" t="n">
        <v>155.4986014021774</v>
      </c>
      <c r="CT24" t="n">
        <v>155.5023010603284</v>
      </c>
      <c r="CU24" t="n">
        <v>452.7124763551876</v>
      </c>
      <c r="CV24" t="n">
        <v>14.36001739747715</v>
      </c>
      <c r="CW24" s="15" t="n">
        <v>42296.62588840931</v>
      </c>
      <c r="CX24" s="15" t="n">
        <v>125.2469110231746</v>
      </c>
      <c r="CY24" s="15" t="n">
        <v>14.36001739747715</v>
      </c>
      <c r="CZ24" s="15" t="n">
        <v>2.595992602040882</v>
      </c>
      <c r="DA24" s="15" t="n">
        <v>2.595712709682811</v>
      </c>
      <c r="DB24" s="15" t="n">
        <v>1.574772435790391</v>
      </c>
      <c r="DC24" s="15" t="n">
        <v>0</v>
      </c>
      <c r="DD24" s="15" t="n">
        <v>6.137733899549e-05</v>
      </c>
      <c r="DE24" s="15" t="n">
        <v>0</v>
      </c>
      <c r="DF24" s="15" t="n">
        <v>12</v>
      </c>
      <c r="DG24" s="15" t="inlineStr">
        <is>
          <t>Density_Metrics</t>
        </is>
      </c>
      <c r="DH24" s="15" t="n">
        <v>2.047798239714388</v>
      </c>
      <c r="DI24" t="n">
        <v>0.8886773087145272</v>
      </c>
      <c r="DJ24" s="15" t="n">
        <v>0.5557806409951025</v>
      </c>
      <c r="DK24" s="15" t="n">
        <v>5.254441008280698</v>
      </c>
      <c r="DL24" s="15" t="n">
        <v>2.930601356749574</v>
      </c>
      <c r="DM24" s="15" t="n">
        <v>1.0394494754107</v>
      </c>
      <c r="DN24" s="15" t="n">
        <v>6.61425549478761</v>
      </c>
      <c r="DO24" s="15" t="n">
        <v>0.5357064756309091</v>
      </c>
      <c r="DP24" s="15" t="n">
        <v>9.375</v>
      </c>
      <c r="DQ24" s="15" t="n">
        <v>33</v>
      </c>
      <c r="DR24" s="15" t="b">
        <v>1</v>
      </c>
      <c r="DS24" s="15" t="n">
        <v>2.911360438440885</v>
      </c>
      <c r="DT24" s="15" t="n">
        <v>14.61930457829458</v>
      </c>
      <c r="DU24" t="n">
        <v>68</v>
      </c>
      <c r="DV24" s="15" t="n">
        <v>0.07857562769528889</v>
      </c>
      <c r="DW24" s="15" t="n">
        <v>1.706094715495733</v>
      </c>
      <c r="DX24" s="15" t="n">
        <v>2.575157128100218</v>
      </c>
      <c r="DY24" s="15" t="n">
        <v>0.1009505276489023</v>
      </c>
      <c r="DZ24" s="15" t="b">
        <v>1</v>
      </c>
      <c r="EA24" s="15" t="n">
        <v>0.159689478879925</v>
      </c>
      <c r="EB24" s="15" t="n">
        <v>20000</v>
      </c>
      <c r="EC24" s="15" t="n">
        <v>3526.799482278444</v>
      </c>
      <c r="ED24" s="15" t="n">
        <v>12</v>
      </c>
      <c r="EE24" s="15" t="n">
        <v>1</v>
      </c>
      <c r="EF24" s="15" t="n">
        <v>0.03666289844319382</v>
      </c>
      <c r="EG24" s="15" t="b">
        <v>0</v>
      </c>
      <c r="EH24" s="15" t="b">
        <v>1</v>
      </c>
      <c r="EI24" s="15" t="b">
        <v>0</v>
      </c>
      <c r="EJ24" s="15" t="inlineStr">
        <is>
          <t>wf=log|dst=-90.0|ceil=20000.0|fft=adaptive_tier</t>
        </is>
      </c>
      <c r="EK24" s="15" t="inlineStr">
        <is>
          <t>wf=log|dst=runtime_configured|ceil=runtime_configured|fft=fixed</t>
        </is>
      </c>
      <c r="EL24" s="15" t="n">
        <v>0.5863733936944427</v>
      </c>
      <c r="EM24" s="15" t="n">
        <v>0.9976090407082987</v>
      </c>
      <c r="EN24" s="15" t="n">
        <v>0.1739130434782609</v>
      </c>
      <c r="EO24" s="15" t="n">
        <v>0.382898800791585</v>
      </c>
      <c r="EP24" s="15" t="inlineStr">
        <is>
          <t>warn:power_outlier_detected</t>
        </is>
      </c>
      <c r="EQ24" s="15" t="n">
        <v>398.9367388817867</v>
      </c>
      <c r="ER24" s="15" t="inlineStr">
        <is>
          <t>winsorize_p95_for_robust_diagnostics</t>
        </is>
      </c>
      <c r="ES24" s="15" t="n">
        <v>0.09801027303942092</v>
      </c>
      <c r="ET24" s="15" t="n">
        <v>0.01298020042946952</v>
      </c>
      <c r="EU24" s="15" t="n">
        <v>0.0137545093773918</v>
      </c>
      <c r="EV24" t="inlineStr">
        <is>
          <t>computed</t>
        </is>
      </c>
      <c r="EW24" s="15" t="inlineStr">
        <is>
          <t>computed</t>
        </is>
      </c>
      <c r="EX24" s="15" t="inlineStr">
        <is>
          <t>computed</t>
        </is>
      </c>
      <c r="EY24" s="15" t="inlineStr">
        <is>
          <t>available_from_curve</t>
        </is>
      </c>
      <c r="EZ24" s="15" t="n">
        <v>20000</v>
      </c>
      <c r="FA24" s="15" t="n">
        <v>20000</v>
      </c>
      <c r="FB24" s="15" t="n">
        <v>0.222231459242449</v>
      </c>
      <c r="FC24" s="15" t="n">
        <v>0.4644169137713423</v>
      </c>
      <c r="FD24" s="15" t="n">
        <v>2.595712709682811</v>
      </c>
      <c r="FE24" s="15" t="n">
        <v>1.574772435790391</v>
      </c>
      <c r="FF24" s="15" t="n">
        <v>1.083955862807496</v>
      </c>
      <c r="FG24" s="15" t="n">
        <v>1.283023013928279</v>
      </c>
      <c r="FH24" s="15" t="n">
        <v>0.6949650954099105</v>
      </c>
      <c r="FI24" s="15" t="n">
        <v>0.0698101303761986</v>
      </c>
      <c r="FJ24" s="15" t="n">
        <v>10574.15647210233</v>
      </c>
      <c r="FK24" s="15" t="n">
        <v>31.31172775579365</v>
      </c>
      <c r="FL24" s="15" t="n">
        <v>3.590004349369287</v>
      </c>
      <c r="FM24" s="15" t="n">
        <v>0.004899334704432498</v>
      </c>
      <c r="FN24" t="n">
        <v>0.9999762083382316</v>
      </c>
      <c r="FO24" t="n">
        <v>0</v>
      </c>
      <c r="FP24" t="n">
        <v>2.37916617683106e-05</v>
      </c>
      <c r="FQ24" t="inlineStr">
        <is>
          <t>excellent</t>
        </is>
      </c>
      <c r="FR24" s="19" t="n">
        <v>0.9264705882352942</v>
      </c>
      <c r="FS24" s="15" t="n">
        <v>3.715366151441353</v>
      </c>
      <c r="FT24" s="15" t="n">
        <v>12.80329425047221</v>
      </c>
      <c r="FU24" t="inlineStr">
        <is>
          <t>passed</t>
        </is>
      </c>
      <c r="FV24" t="n">
        <v>196.5982253771821</v>
      </c>
      <c r="FW24" t="n">
        <v>18.28202611763835</v>
      </c>
      <c r="FX24" t="n">
        <v>5.566327702285894</v>
      </c>
      <c r="FY24" t="n">
        <v>0.3831161091104606</v>
      </c>
      <c r="FZ24" t="n">
        <v>0.2108221398398424</v>
      </c>
      <c r="GA24" t="n">
        <v>0.3987805846693033</v>
      </c>
      <c r="GB24" t="n">
        <v>0.2524781852729997</v>
      </c>
      <c r="GC24" t="n">
        <v>0.2532451055444864</v>
      </c>
      <c r="GD24" t="n">
        <v>0.1688975911306406</v>
      </c>
      <c r="GE24" t="n">
        <v>0.3937459951478441</v>
      </c>
      <c r="GF24" t="n">
        <v>0.5277914691834819</v>
      </c>
      <c r="GG24" t="n">
        <v>0.3293921666361378</v>
      </c>
      <c r="GH24" t="n">
        <v>0.3603382275602799</v>
      </c>
      <c r="GI24" t="n">
        <v>0.7594268476621411</v>
      </c>
      <c r="GJ24" t="n">
        <v>0.376470588235296</v>
      </c>
      <c r="GK24" t="n">
        <v>0.3255813953488373</v>
      </c>
      <c r="GL24" t="n">
        <v>0.7057201575186357</v>
      </c>
      <c r="GM24" t="n">
        <v>0.7057201575186357</v>
      </c>
      <c r="GN24" t="n">
        <v>0.5371300067639898</v>
      </c>
      <c r="GO24" t="n">
        <v>0.257736577579493</v>
      </c>
      <c r="GP24" t="n">
        <v>452.7124763551876</v>
      </c>
      <c r="GQ24" t="inlineStr">
        <is>
          <t>compiled workbook density_weighted_sum = density_component_ratio_weighted_sum (per-note component ratios); research density_weighted_sum maps body-ceiling richness</t>
        </is>
      </c>
      <c r="GR24" s="15" t="inlineStr">
        <is>
          <t>individual_exact</t>
        </is>
      </c>
      <c r="GS24" s="15" t="inlineStr">
        <is>
          <t>density_weight</t>
        </is>
      </c>
      <c r="GT24" s="15" t="n">
        <v>0.5585478417009749</v>
      </c>
      <c r="GU24" s="15" t="n">
        <v>0.4414290822205769</v>
      </c>
      <c r="GV24" s="15" t="n">
        <v>2.307607844810895e-05</v>
      </c>
      <c r="GW24" s="15" t="inlineStr">
        <is>
          <t>log</t>
        </is>
      </c>
      <c r="GX24" s="15" t="n">
        <v>0.5</v>
      </c>
      <c r="GY24" s="15" t="inlineStr">
        <is>
          <t>EWSD-R v18.1</t>
        </is>
      </c>
      <c r="GZ24" s="15" t="n">
        <v>2.668661437570312</v>
      </c>
      <c r="HA24" s="15" t="n">
        <v>20.58864045816075</v>
      </c>
      <c r="HB24" s="15" t="n">
        <v>0.5175696387563625</v>
      </c>
      <c r="HC24" s="15" t="n">
        <v>4.590172684830105</v>
      </c>
      <c r="HD24" s="15" t="n">
        <v>24.44659662355192</v>
      </c>
      <c r="HE24" s="15" t="n">
        <v>0.4542181057331949</v>
      </c>
      <c r="HF24" s="15" t="inlineStr">
        <is>
          <t>partials+ratios</t>
        </is>
      </c>
      <c r="HG24" s="15" t="inlineStr">
        <is>
          <t>merged_individual_exact</t>
        </is>
      </c>
      <c r="HH24" s="15" t="inlineStr">
        <is>
          <t>passed</t>
        </is>
      </c>
      <c r="HI24" s="15" t="inlineStr">
        <is>
          <t>passed</t>
        </is>
      </c>
    </row>
    <row r="25">
      <c r="A25" t="inlineStr">
        <is>
          <t>incomplete_inference</t>
        </is>
      </c>
      <c r="B25" t="inlineStr">
        <is>
          <t>missing_instrument_technique</t>
        </is>
      </c>
      <c r="C25" t="inlineStr">
        <is>
          <t>prior_constrained_harmonic_fit</t>
        </is>
      </c>
      <c r="D25" t="inlineStr">
        <is>
          <t>IOWA_Trb.T_pp.D#4_SustainStable/D#4/component_amplitude_mass_pie.png</t>
        </is>
      </c>
      <c r="E25" t="inlineStr">
        <is>
          <t>IOWA_Trb.T_pp.D#4_SustainStable/D#4/component_energy_ratio_pie.png</t>
        </is>
      </c>
      <c r="F25" s="15" t="n">
        <v>311.4886326945447</v>
      </c>
      <c r="G25" s="15" t="inlineStr">
        <is>
          <t>prior_constrained_harmonic_fit</t>
        </is>
      </c>
      <c r="H25" s="15" t="inlineStr">
        <is>
          <t>fit_accepted_acoustically_verified</t>
        </is>
      </c>
      <c r="I25" s="16" t="n">
        <v>429.668284581715</v>
      </c>
      <c r="J25" t="inlineStr">
        <is>
          <t>richness_weighted_body_density_body_ceiling</t>
        </is>
      </c>
      <c r="K25" t="inlineStr">
        <is>
          <t>research_body_ceiling_richness_metric</t>
        </is>
      </c>
      <c r="L25" s="15" t="n">
        <v>42367.01492013559</v>
      </c>
      <c r="M25" s="15" t="n">
        <v>42368.49764834657</v>
      </c>
      <c r="N25" s="15" t="n">
        <v>142.1958898429929</v>
      </c>
      <c r="O25" s="15" t="n">
        <v>25.99101340612579</v>
      </c>
      <c r="P25" s="15" t="n">
        <v>-6.791921613391467</v>
      </c>
      <c r="Q25" s="15" t="n">
        <v>12</v>
      </c>
      <c r="R25" s="15" t="n">
        <v>39</v>
      </c>
      <c r="S25" s="15" t="n">
        <v>10592.12985931148</v>
      </c>
      <c r="T25" s="15" t="n">
        <v>65</v>
      </c>
      <c r="U25" s="15" t="n">
        <v>-0.498482938974761</v>
      </c>
      <c r="V25" s="15" t="n">
        <v>26.53215997676854</v>
      </c>
      <c r="W25" s="15" t="n">
        <v>0.9953485620758155</v>
      </c>
      <c r="X25" s="15" t="n">
        <v>0.2363163040192613</v>
      </c>
      <c r="Y25" s="15" t="n">
        <v>9</v>
      </c>
      <c r="Z25" s="15" t="n">
        <v>64</v>
      </c>
      <c r="AA25" s="15" t="n">
        <v>0.140625</v>
      </c>
      <c r="AB25" s="15" t="n">
        <v>64</v>
      </c>
      <c r="AC25" s="15" t="n">
        <v>9</v>
      </c>
      <c r="AD25" s="15" t="n">
        <v>0.140625</v>
      </c>
      <c r="AE25" s="15" t="n">
        <v>532.5436247180645</v>
      </c>
      <c r="AF25" s="15" t="n">
        <v>9</v>
      </c>
      <c r="AG25" s="15" t="n">
        <v>64</v>
      </c>
      <c r="AH25" s="15" t="n">
        <v>0.140625</v>
      </c>
      <c r="AI25" s="15" t="n">
        <v>532.5436247180645</v>
      </c>
      <c r="AJ25" s="15" t="n">
        <v>5</v>
      </c>
      <c r="AK25" s="15" t="n">
        <v>4</v>
      </c>
      <c r="AL25" s="15" t="n">
        <v>1.445604716799996</v>
      </c>
      <c r="AM25" s="15" t="n">
        <v>34</v>
      </c>
      <c r="AN25" s="15" t="n">
        <v>1</v>
      </c>
      <c r="AO25" s="15" t="n">
        <v>34</v>
      </c>
      <c r="AP25" s="15" t="n">
        <v>1</v>
      </c>
      <c r="AQ25" s="15" t="n">
        <v>21.16818867318025</v>
      </c>
      <c r="AR25" s="15" t="n">
        <v>12.39549759411693</v>
      </c>
      <c r="AS25" s="15" t="n">
        <v>0.2307955865989501</v>
      </c>
      <c r="AT25" s="17" t="n">
        <v>2.583651828890412</v>
      </c>
      <c r="AU25" s="18" t="n">
        <v>10.21469467826314</v>
      </c>
      <c r="AV25" s="15" t="n">
        <v>12.25985163534275</v>
      </c>
      <c r="AW25" s="15" t="b">
        <v>1</v>
      </c>
      <c r="AX25" s="15" t="n">
        <v>6.499679371853233</v>
      </c>
      <c r="AY25" s="15" t="n">
        <v>18.61305552266981</v>
      </c>
      <c r="AZ25" s="15" t="n">
        <v>0.4718160484005797</v>
      </c>
      <c r="BA25" s="15" t="n">
        <v>1</v>
      </c>
      <c r="BB25" s="15" t="n">
        <v>0.5</v>
      </c>
      <c r="BC25" s="15" t="n">
        <v>0.25</v>
      </c>
      <c r="BD25" s="15" t="inlineStr">
        <is>
          <t>his_note_adaptive</t>
        </is>
      </c>
      <c r="BE25" s="15" t="n">
        <v>-90</v>
      </c>
      <c r="BF25" s="15" t="n">
        <v>20000</v>
      </c>
      <c r="BG25" s="15" t="n">
        <v>9</v>
      </c>
      <c r="BH25" s="15" t="n">
        <v>0.140625</v>
      </c>
      <c r="BI25" s="15" t="n">
        <v>64</v>
      </c>
      <c r="BJ25" s="15" t="n">
        <v>9</v>
      </c>
      <c r="BK25" s="15" t="n">
        <v>64</v>
      </c>
      <c r="BL25" s="15" t="n">
        <v>59</v>
      </c>
      <c r="BM25" s="15" t="n">
        <v>0.921875</v>
      </c>
      <c r="BN25" s="15" t="n">
        <v>0.1636692232559784</v>
      </c>
      <c r="BO25" s="15" t="n">
        <v>0.2833333333333333</v>
      </c>
      <c r="BP25" s="19" t="n">
        <v>0.7719985130336301</v>
      </c>
      <c r="BQ25" s="19" t="n">
        <v>0.2279744525711544</v>
      </c>
      <c r="BR25" s="19" t="n">
        <v>2.703439521528636e-05</v>
      </c>
      <c r="BS25" s="15" t="n">
        <v>0.08366661152204985</v>
      </c>
      <c r="BT25" s="19" t="n">
        <v>0.9999649825121651</v>
      </c>
      <c r="BU25" s="19" t="n">
        <v>0</v>
      </c>
      <c r="BV25" s="19" t="n">
        <v>3.501748783485435e-05</v>
      </c>
      <c r="BW25" t="inlineStr">
        <is>
          <t>D#4</t>
        </is>
      </c>
      <c r="BX25" t="n">
        <v>63</v>
      </c>
      <c r="BY25" t="inlineStr">
        <is>
          <t>D#</t>
        </is>
      </c>
      <c r="BZ25" t="n">
        <v>4</v>
      </c>
      <c r="CA25" t="inlineStr">
        <is>
          <t>High</t>
        </is>
      </c>
      <c r="CB25" t="inlineStr">
        <is>
          <t>pp</t>
        </is>
      </c>
      <c r="CC25" s="15" t="n">
        <v>311.1269837220809</v>
      </c>
      <c r="CD25" s="15" t="n">
        <v>311.4886326945447</v>
      </c>
      <c r="CE25" t="inlineStr">
        <is>
          <t>prior_constrained_harmonic_fit</t>
        </is>
      </c>
      <c r="CF25" t="n">
        <v>311.4886326945447</v>
      </c>
      <c r="CG25" s="15" t="n">
        <v>1</v>
      </c>
      <c r="CH25" t="inlineStr">
        <is>
          <t>free_fit_acoustically_verified</t>
        </is>
      </c>
      <c r="CI25" s="15" t="inlineStr">
        <is>
          <t>free_f0_fit</t>
        </is>
      </c>
      <c r="CJ25" s="15" t="n">
        <v>311.1269837220809</v>
      </c>
      <c r="CK25" s="15" t="n">
        <v>311.4886326945447</v>
      </c>
      <c r="CL25" s="15" t="n">
        <v>2.011189789798246</v>
      </c>
      <c r="CM25" s="15" t="n">
        <v>20000</v>
      </c>
      <c r="CN25" s="15" t="n">
        <v>2.011189789798246</v>
      </c>
      <c r="CO25" s="15" t="n">
        <v>2.071046370603699</v>
      </c>
      <c r="CP25" s="15" t="n">
        <v>42367.01492013559</v>
      </c>
      <c r="CQ25" t="n">
        <v>2.596243408302695</v>
      </c>
      <c r="CR25" t="n">
        <v>0.04056630325472961</v>
      </c>
      <c r="CS25" t="n">
        <v>165.4961484765454</v>
      </c>
      <c r="CT25" t="n">
        <v>165.5019439388538</v>
      </c>
      <c r="CU25" t="n">
        <v>429.668284581715</v>
      </c>
      <c r="CV25" t="n">
        <v>25.99101340612579</v>
      </c>
      <c r="CW25" s="15" t="n">
        <v>42368.49764834657</v>
      </c>
      <c r="CX25" s="15" t="n">
        <v>142.1958898429929</v>
      </c>
      <c r="CY25" s="15" t="n">
        <v>25.99101340612579</v>
      </c>
      <c r="CZ25" s="15" t="n">
        <v>2.584519961672567</v>
      </c>
      <c r="DA25" s="15" t="n">
        <v>2.583700296370499</v>
      </c>
      <c r="DB25" s="15" t="n">
        <v>1.624028845234606</v>
      </c>
      <c r="DC25" s="15" t="n">
        <v>0</v>
      </c>
      <c r="DD25" s="15" t="n">
        <v>6.100311684796639e-05</v>
      </c>
      <c r="DE25" s="15" t="n">
        <v>0</v>
      </c>
      <c r="DF25" s="15" t="n">
        <v>12</v>
      </c>
      <c r="DG25" s="15" t="inlineStr">
        <is>
          <t>Density_Metrics</t>
        </is>
      </c>
      <c r="DH25" s="15" t="n">
        <v>2.071046370603699</v>
      </c>
      <c r="DI25" t="n">
        <v>0.8987662354411355</v>
      </c>
      <c r="DJ25" s="15" t="n">
        <v>0.5543258089876352</v>
      </c>
      <c r="DK25" s="15" t="n">
        <v>5.407335858341908</v>
      </c>
      <c r="DL25" s="15" t="n">
        <v>2.616889444770525</v>
      </c>
      <c r="DM25" s="15" t="n">
        <v>1.041713809384482</v>
      </c>
      <c r="DN25" s="15" t="n">
        <v>6.142330286858592</v>
      </c>
      <c r="DO25" s="15" t="n">
        <v>0.6471143945522674</v>
      </c>
      <c r="DP25" s="15" t="n">
        <v>7.3125</v>
      </c>
      <c r="DQ25" s="15" t="n">
        <v>33</v>
      </c>
      <c r="DR25" s="15" t="b">
        <v>1</v>
      </c>
      <c r="DS25" s="15" t="n">
        <v>2.596243408302695</v>
      </c>
      <c r="DT25" s="15" t="n">
        <v>15.12424345723272</v>
      </c>
      <c r="DU25" t="n">
        <v>64</v>
      </c>
      <c r="DV25" s="15" t="n">
        <v>0.08366661152204985</v>
      </c>
      <c r="DW25" s="15" t="n">
        <v>1.620429121100452</v>
      </c>
      <c r="DX25" s="15" t="n">
        <v>2.581987555832717</v>
      </c>
      <c r="DY25" s="15" t="n">
        <v>0.1057923171982492</v>
      </c>
      <c r="DZ25" s="15" t="b">
        <v>1</v>
      </c>
      <c r="EA25" s="15" t="n">
        <v>0.1280766202172987</v>
      </c>
      <c r="EB25" s="15" t="n">
        <v>20000</v>
      </c>
      <c r="EC25" s="15" t="n">
        <v>3737.863592334536</v>
      </c>
      <c r="ED25" s="15" t="n">
        <v>12</v>
      </c>
      <c r="EE25" s="15" t="n">
        <v>1</v>
      </c>
      <c r="EF25" s="15" t="n">
        <v>0.03460516806898831</v>
      </c>
      <c r="EG25" s="15" t="b">
        <v>0</v>
      </c>
      <c r="EH25" s="15" t="b">
        <v>1</v>
      </c>
      <c r="EI25" s="15" t="b">
        <v>0</v>
      </c>
      <c r="EJ25" s="15" t="inlineStr">
        <is>
          <t>wf=log|dst=-90.0|ceil=20000.0|fft=adaptive_tier</t>
        </is>
      </c>
      <c r="EK25" s="15" t="inlineStr">
        <is>
          <t>wf=log|dst=runtime_configured|ceil=runtime_configured|fft=fixed</t>
        </is>
      </c>
      <c r="EL25" s="15" t="n">
        <v>0.5887281448033908</v>
      </c>
      <c r="EM25" s="15" t="n">
        <v>0.9979426231778645</v>
      </c>
      <c r="EN25" s="15" t="n">
        <v>0.1846153846153846</v>
      </c>
      <c r="EO25" s="15" t="n">
        <v>0.3751928987898355</v>
      </c>
      <c r="EP25" s="15" t="inlineStr">
        <is>
          <t>warn:power_outlier_detected</t>
        </is>
      </c>
      <c r="EQ25" s="15" t="n">
        <v>452.6958957403964</v>
      </c>
      <c r="ER25" s="15" t="inlineStr">
        <is>
          <t>winsorize_p95_for_robust_diagnostics</t>
        </is>
      </c>
      <c r="ES25" s="15" t="n">
        <v>0.09274925734001654</v>
      </c>
      <c r="ET25" s="15" t="n">
        <v>0.01357283602854894</v>
      </c>
      <c r="EU25" s="15" t="n">
        <v>0.01440177247734414</v>
      </c>
      <c r="EV25" t="inlineStr">
        <is>
          <t>computed</t>
        </is>
      </c>
      <c r="EW25" s="15" t="inlineStr">
        <is>
          <t>computed</t>
        </is>
      </c>
      <c r="EX25" s="15" t="inlineStr">
        <is>
          <t>computed</t>
        </is>
      </c>
      <c r="EY25" s="15" t="inlineStr">
        <is>
          <t>available_from_curve</t>
        </is>
      </c>
      <c r="EZ25" s="15" t="n">
        <v>20000</v>
      </c>
      <c r="FA25" s="15" t="n">
        <v>20000</v>
      </c>
      <c r="FB25" s="15" t="n">
        <v>0.2279744525711544</v>
      </c>
      <c r="FC25" s="15" t="n">
        <v>0.4277251831547605</v>
      </c>
      <c r="FD25" s="15" t="n">
        <v>2.583700296370499</v>
      </c>
      <c r="FE25" s="15" t="n">
        <v>1.624028845234606</v>
      </c>
      <c r="FF25" s="15" t="n">
        <v>1.199606716736803</v>
      </c>
      <c r="FG25" s="15" t="n">
        <v>1.277085452858819</v>
      </c>
      <c r="FH25" s="15" t="n">
        <v>0.7167025125191752</v>
      </c>
      <c r="FI25" s="15" t="n">
        <v>0.0772584052257046</v>
      </c>
      <c r="FJ25" s="15" t="n">
        <v>10592.12441208664</v>
      </c>
      <c r="FK25" s="15" t="n">
        <v>35.54897246074822</v>
      </c>
      <c r="FL25" s="15" t="n">
        <v>6.497753351531448</v>
      </c>
      <c r="FM25" s="15" t="n">
        <v>0.004891486954838079</v>
      </c>
      <c r="FN25" t="n">
        <v>0.9999649825121651</v>
      </c>
      <c r="FO25" t="n">
        <v>0</v>
      </c>
      <c r="FP25" t="n">
        <v>3.501748783485435e-05</v>
      </c>
      <c r="FQ25" t="inlineStr">
        <is>
          <t>excellent</t>
        </is>
      </c>
      <c r="FR25" s="19" t="n">
        <v>0.921875</v>
      </c>
      <c r="FS25" s="15" t="n">
        <v>3.755562781349243</v>
      </c>
      <c r="FT25" s="15" t="n">
        <v>16.37087591294637</v>
      </c>
      <c r="FU25" t="inlineStr">
        <is>
          <t>passed</t>
        </is>
      </c>
      <c r="FV25" t="n">
        <v>191.2212715556044</v>
      </c>
      <c r="FW25" t="n">
        <v>20.53772866945702</v>
      </c>
      <c r="FX25" t="n">
        <v>7.4172930663566</v>
      </c>
      <c r="FY25" t="n">
        <v>0.4390229175260931</v>
      </c>
      <c r="FZ25" t="n">
        <v>0.1976959531058803</v>
      </c>
      <c r="GA25" t="n">
        <v>0.5213066586379751</v>
      </c>
      <c r="GB25" t="n">
        <v>0.2056204405358428</v>
      </c>
      <c r="GC25" t="n">
        <v>0.2057149199818801</v>
      </c>
      <c r="GD25" t="n">
        <v>0.1554756945010932</v>
      </c>
      <c r="GE25" t="n">
        <v>0.5504834732991486</v>
      </c>
      <c r="GF25" t="n">
        <v>0.645752269947775</v>
      </c>
      <c r="GG25" t="n">
        <v>0.3814324395015546</v>
      </c>
      <c r="GH25" t="n">
        <v>0.4484427628695106</v>
      </c>
      <c r="GI25" t="n">
        <v>0.532852564102564</v>
      </c>
      <c r="GJ25" t="n">
        <v>0.2000000000000008</v>
      </c>
      <c r="GK25" t="n">
        <v>0.3488372093023256</v>
      </c>
      <c r="GL25" t="n">
        <v>0.7590947442832864</v>
      </c>
      <c r="GM25" t="n">
        <v>0.7590947442832864</v>
      </c>
      <c r="GN25" t="n">
        <v>0.4715563270337522</v>
      </c>
      <c r="GO25" t="n">
        <v>0.2697268317036122</v>
      </c>
      <c r="GP25" t="n">
        <v>429.668284581715</v>
      </c>
      <c r="GQ25" t="inlineStr">
        <is>
          <t>compiled workbook density_weighted_sum = density_component_ratio_weighted_sum (per-note component ratios); research density_weighted_sum maps body-ceiling richness</t>
        </is>
      </c>
      <c r="GR25" s="15" t="inlineStr">
        <is>
          <t>individual_exact</t>
        </is>
      </c>
      <c r="GS25" s="15" t="inlineStr">
        <is>
          <t>density_weight</t>
        </is>
      </c>
      <c r="GT25" s="15" t="n">
        <v>0.5132137798289507</v>
      </c>
      <c r="GU25" s="15" t="n">
        <v>0.4867417707438984</v>
      </c>
      <c r="GV25" s="15" t="n">
        <v>4.444942715108632e-05</v>
      </c>
      <c r="GW25" s="15" t="inlineStr">
        <is>
          <t>log</t>
        </is>
      </c>
      <c r="GX25" s="15" t="n">
        <v>0.5</v>
      </c>
      <c r="GY25" s="15" t="inlineStr">
        <is>
          <t>EWSD-R v18.1</t>
        </is>
      </c>
      <c r="GZ25" s="15" t="n">
        <v>2.79499310135052</v>
      </c>
      <c r="HA25" s="15" t="n">
        <v>20.74636541233419</v>
      </c>
      <c r="HB25" s="15" t="n">
        <v>0.4622876559152233</v>
      </c>
      <c r="HC25" s="15" t="n">
        <v>4.831530135057345</v>
      </c>
      <c r="HD25" s="15" t="n">
        <v>24.8554590097128</v>
      </c>
      <c r="HE25" s="15" t="n">
        <v>0.4271034671164106</v>
      </c>
      <c r="HF25" s="15" t="inlineStr">
        <is>
          <t>partials+ratios</t>
        </is>
      </c>
      <c r="HG25" s="15" t="inlineStr">
        <is>
          <t>merged_individual_exact</t>
        </is>
      </c>
      <c r="HH25" s="15" t="inlineStr">
        <is>
          <t>passed</t>
        </is>
      </c>
      <c r="HI25" s="15" t="inlineStr">
        <is>
          <t>passed</t>
        </is>
      </c>
    </row>
    <row r="26">
      <c r="A26" t="inlineStr">
        <is>
          <t>incomplete_inference</t>
        </is>
      </c>
      <c r="B26" t="inlineStr">
        <is>
          <t>missing_instrument_technique</t>
        </is>
      </c>
      <c r="C26" t="inlineStr">
        <is>
          <t>prior_constrained_harmonic_fit</t>
        </is>
      </c>
      <c r="D26" t="inlineStr">
        <is>
          <t>IOWA_Trb.T_pp.E4_SustainStable/E4/component_amplitude_mass_pie.png</t>
        </is>
      </c>
      <c r="E26" t="inlineStr">
        <is>
          <t>IOWA_Trb.T_pp.E4_SustainStable/E4/component_energy_ratio_pie.png</t>
        </is>
      </c>
      <c r="F26" s="15" t="n">
        <v>329.743428106592</v>
      </c>
      <c r="G26" s="15" t="inlineStr">
        <is>
          <t>prior_constrained_harmonic_fit</t>
        </is>
      </c>
      <c r="H26" s="15" t="inlineStr">
        <is>
          <t>fit_accepted_acoustically_verified</t>
        </is>
      </c>
      <c r="I26" s="16" t="n">
        <v>400.5955687360657</v>
      </c>
      <c r="J26" t="inlineStr">
        <is>
          <t>richness_weighted_body_density_body_ceiling</t>
        </is>
      </c>
      <c r="K26" t="inlineStr">
        <is>
          <t>research_body_ceiling_richness_metric</t>
        </is>
      </c>
      <c r="L26" s="15" t="n">
        <v>42056.18772580705</v>
      </c>
      <c r="M26" s="15" t="n">
        <v>42057.31575864675</v>
      </c>
      <c r="N26" s="15" t="n">
        <v>137.7375636500209</v>
      </c>
      <c r="O26" s="15" t="n">
        <v>19.38798209313646</v>
      </c>
      <c r="P26" s="15" t="n">
        <v>-8.676117443567616</v>
      </c>
      <c r="Q26" s="15" t="n">
        <v>9</v>
      </c>
      <c r="R26" s="15" t="n">
        <v>34</v>
      </c>
      <c r="S26" s="15" t="n">
        <v>10514.3353457993</v>
      </c>
      <c r="T26" s="15" t="n">
        <v>61</v>
      </c>
      <c r="U26" s="15" t="n">
        <v>-0.2218670784459565</v>
      </c>
      <c r="V26" s="15" t="n">
        <v>23.60804111706247</v>
      </c>
      <c r="W26" s="15" t="n">
        <v>0.9982374884285115</v>
      </c>
      <c r="X26" s="15" t="n">
        <v>0.1889845678387196</v>
      </c>
      <c r="Y26" s="15" t="n">
        <v>7</v>
      </c>
      <c r="Z26" s="15" t="n">
        <v>60</v>
      </c>
      <c r="AA26" s="15" t="n">
        <v>0.1166666666666667</v>
      </c>
      <c r="AB26" s="15" t="n">
        <v>60</v>
      </c>
      <c r="AC26" s="15" t="n">
        <v>7</v>
      </c>
      <c r="AD26" s="15" t="n">
        <v>0.1166666666666667</v>
      </c>
      <c r="AE26" s="15" t="n">
        <v>487.9827744327477</v>
      </c>
      <c r="AF26" s="15" t="n">
        <v>7</v>
      </c>
      <c r="AG26" s="15" t="n">
        <v>60</v>
      </c>
      <c r="AH26" s="15" t="n">
        <v>0.1166666666666667</v>
      </c>
      <c r="AI26" s="15" t="n">
        <v>487.9827744327477</v>
      </c>
      <c r="AJ26" s="15" t="n">
        <v>4</v>
      </c>
      <c r="AK26" s="15" t="n">
        <v>3</v>
      </c>
      <c r="AL26" s="15" t="n">
        <v>1.314162483823811</v>
      </c>
      <c r="AM26" s="15" t="n">
        <v>36</v>
      </c>
      <c r="AN26" s="15" t="n">
        <v>1</v>
      </c>
      <c r="AO26" s="15" t="n">
        <v>36</v>
      </c>
      <c r="AP26" s="15" t="n">
        <v>1</v>
      </c>
      <c r="AQ26" s="15" t="n">
        <v>24.21604042940176</v>
      </c>
      <c r="AR26" s="15" t="n">
        <v>13.83042160849916</v>
      </c>
      <c r="AS26" s="15" t="n">
        <v>0.2880394700849034</v>
      </c>
      <c r="AT26" s="17" t="n">
        <v>2.545779646902561</v>
      </c>
      <c r="AU26" s="18" t="n">
        <v>9.016231562769146</v>
      </c>
      <c r="AV26" s="15" t="n">
        <v>10.30704166394082</v>
      </c>
      <c r="AW26" s="15" t="b">
        <v>1</v>
      </c>
      <c r="AX26" s="15" t="n">
        <v>5.286889419085267</v>
      </c>
      <c r="AY26" s="15" t="n">
        <v>19.6783685419309</v>
      </c>
      <c r="AZ26" s="15" t="n">
        <v>0.4553381310786397</v>
      </c>
      <c r="BA26" s="15" t="n">
        <v>1</v>
      </c>
      <c r="BB26" s="15" t="n">
        <v>0.5</v>
      </c>
      <c r="BC26" s="15" t="n">
        <v>0.25</v>
      </c>
      <c r="BD26" s="15" t="inlineStr">
        <is>
          <t>his_note_adaptive</t>
        </is>
      </c>
      <c r="BE26" s="15" t="n">
        <v>-90</v>
      </c>
      <c r="BF26" s="15" t="n">
        <v>20000</v>
      </c>
      <c r="BG26" s="15" t="n">
        <v>7</v>
      </c>
      <c r="BH26" s="15" t="n">
        <v>0.1166666666666667</v>
      </c>
      <c r="BI26" s="15" t="n">
        <v>60</v>
      </c>
      <c r="BJ26" s="15" t="n">
        <v>7</v>
      </c>
      <c r="BK26" s="15" t="n">
        <v>60</v>
      </c>
      <c r="BL26" s="15" t="n">
        <v>56</v>
      </c>
      <c r="BM26" s="15" t="n">
        <v>0.9333333333333333</v>
      </c>
      <c r="BN26" s="15" t="n">
        <v>0.130281679080521</v>
      </c>
      <c r="BO26" s="15" t="n">
        <v>0.3</v>
      </c>
      <c r="BP26" s="19" t="n">
        <v>0.7460846276158869</v>
      </c>
      <c r="BQ26" s="19" t="n">
        <v>0.2538953516411862</v>
      </c>
      <c r="BR26" s="19" t="n">
        <v>2.002074292698847e-05</v>
      </c>
      <c r="BS26" s="15" t="n">
        <v>0.102088367442693</v>
      </c>
      <c r="BT26" s="19" t="n">
        <v>0.999973166307205</v>
      </c>
      <c r="BU26" s="19" t="n">
        <v>0</v>
      </c>
      <c r="BV26" s="19" t="n">
        <v>2.683369279500879e-05</v>
      </c>
      <c r="BW26" t="inlineStr">
        <is>
          <t>E4</t>
        </is>
      </c>
      <c r="BX26" t="n">
        <v>64</v>
      </c>
      <c r="BY26" t="inlineStr">
        <is>
          <t>E</t>
        </is>
      </c>
      <c r="BZ26" t="n">
        <v>4</v>
      </c>
      <c r="CA26" t="inlineStr">
        <is>
          <t>High</t>
        </is>
      </c>
      <c r="CB26" t="inlineStr">
        <is>
          <t>pp</t>
        </is>
      </c>
      <c r="CC26" s="15" t="n">
        <v>329.6275569128699</v>
      </c>
      <c r="CD26" s="15" t="n">
        <v>329.743428106592</v>
      </c>
      <c r="CE26" t="inlineStr">
        <is>
          <t>prior_constrained_harmonic_fit</t>
        </is>
      </c>
      <c r="CF26" t="n">
        <v>329.743428106592</v>
      </c>
      <c r="CG26" s="15" t="n">
        <v>1</v>
      </c>
      <c r="CH26" t="inlineStr">
        <is>
          <t>free_fit_acoustically_verified</t>
        </is>
      </c>
      <c r="CI26" s="15" t="inlineStr">
        <is>
          <t>free_f0_fit</t>
        </is>
      </c>
      <c r="CJ26" s="15" t="n">
        <v>329.6275569128699</v>
      </c>
      <c r="CK26" s="15" t="n">
        <v>329.743428106592</v>
      </c>
      <c r="CL26" s="15" t="n">
        <v>0.608459160321428</v>
      </c>
      <c r="CM26" s="15" t="n">
        <v>20000</v>
      </c>
      <c r="CN26" s="15" t="n">
        <v>0.608459160321428</v>
      </c>
      <c r="CO26" s="15" t="n">
        <v>2.019019179248256</v>
      </c>
      <c r="CP26" s="15" t="n">
        <v>42056.18772580705</v>
      </c>
      <c r="CQ26" t="n">
        <v>2.286059267016831</v>
      </c>
      <c r="CR26" t="n">
        <v>0.03810098778361385</v>
      </c>
      <c r="CS26" t="n">
        <v>175.234113356483</v>
      </c>
      <c r="CT26" t="n">
        <v>175.2388156610281</v>
      </c>
      <c r="CU26" t="n">
        <v>400.5955687360657</v>
      </c>
      <c r="CV26" t="n">
        <v>19.38798209313646</v>
      </c>
      <c r="CW26" s="15" t="n">
        <v>42057.31575864675</v>
      </c>
      <c r="CX26" s="15" t="n">
        <v>137.7375636500209</v>
      </c>
      <c r="CY26" s="15" t="n">
        <v>19.38798209313646</v>
      </c>
      <c r="CZ26" s="15" t="n">
        <v>2.546269310975033</v>
      </c>
      <c r="DA26" s="15" t="n">
        <v>2.545817373500943</v>
      </c>
      <c r="DB26" s="15" t="n">
        <v>1.557283757000226</v>
      </c>
      <c r="DC26" s="15" t="n">
        <v>0</v>
      </c>
      <c r="DD26" s="15" t="n">
        <v>6.054446322086771e-05</v>
      </c>
      <c r="DE26" s="15" t="n">
        <v>0</v>
      </c>
      <c r="DF26" s="15" t="n">
        <v>9</v>
      </c>
      <c r="DG26" s="15" t="inlineStr">
        <is>
          <t>Density_Metrics</t>
        </is>
      </c>
      <c r="DH26" s="15" t="n">
        <v>2.019019179248256</v>
      </c>
      <c r="DI26" t="n">
        <v>0.8761881398567876</v>
      </c>
      <c r="DJ26" s="15" t="n">
        <v>0.5497117427968181</v>
      </c>
      <c r="DK26" s="15" t="n">
        <v>5.242977149972815</v>
      </c>
      <c r="DL26" s="15" t="n">
        <v>2.303165918135365</v>
      </c>
      <c r="DM26" s="15" t="n">
        <v>1.023709835385477</v>
      </c>
      <c r="DN26" s="15" t="n">
        <v>6.246748937415012</v>
      </c>
      <c r="DO26" s="15" t="n">
        <v>0.8147723042005017</v>
      </c>
      <c r="DP26" s="15" t="n">
        <v>4.25</v>
      </c>
      <c r="DQ26" s="15" t="n">
        <v>27</v>
      </c>
      <c r="DR26" s="15" t="b">
        <v>1</v>
      </c>
      <c r="DS26" s="15" t="n">
        <v>2.286059267016831</v>
      </c>
      <c r="DT26" s="15" t="n">
        <v>11.33907407032318</v>
      </c>
      <c r="DU26" t="n">
        <v>60</v>
      </c>
      <c r="DV26" s="15" t="n">
        <v>0.102088367442693</v>
      </c>
      <c r="DW26" s="15" t="n">
        <v>1.427571956576666</v>
      </c>
      <c r="DX26" s="15" t="n">
        <v>2.554695235193146</v>
      </c>
      <c r="DY26" s="15" t="n">
        <v>0.1200476750265472</v>
      </c>
      <c r="DZ26" s="15" t="b">
        <v>1</v>
      </c>
      <c r="EA26" s="15" t="n">
        <v>0.2979180080576271</v>
      </c>
      <c r="EB26" s="15" t="n">
        <v>20000</v>
      </c>
      <c r="EC26" s="15" t="n">
        <v>2967.690852959328</v>
      </c>
      <c r="ED26" s="15" t="n">
        <v>9</v>
      </c>
      <c r="EE26" s="15" t="n">
        <v>1</v>
      </c>
      <c r="EF26" s="15" t="n">
        <v>0.03266292922635083</v>
      </c>
      <c r="EG26" s="15" t="b">
        <v>0</v>
      </c>
      <c r="EH26" s="15" t="b">
        <v>1</v>
      </c>
      <c r="EI26" s="15" t="b">
        <v>0</v>
      </c>
      <c r="EJ26" s="15" t="inlineStr">
        <is>
          <t>wf=log|dst=-90.0|ceil=20000.0|fft=adaptive_tier</t>
        </is>
      </c>
      <c r="EK26" s="15" t="inlineStr">
        <is>
          <t>wf=log|dst=runtime_configured|ceil=runtime_configured|fft=fixed</t>
        </is>
      </c>
      <c r="EL26" s="15" t="n">
        <v>0.5746688570822942</v>
      </c>
      <c r="EM26" s="15" t="n">
        <v>0.9967943077734203</v>
      </c>
      <c r="EN26" s="15" t="n">
        <v>0.1475409836065574</v>
      </c>
      <c r="EO26" s="15" t="n">
        <v>0.3723603716098</v>
      </c>
      <c r="EP26" s="15" t="inlineStr">
        <is>
          <t>warn:power_outlier_detected</t>
        </is>
      </c>
      <c r="EQ26" s="15" t="n">
        <v>474.8087183084156</v>
      </c>
      <c r="ER26" s="15" t="inlineStr">
        <is>
          <t>winsorize_p95_for_robust_diagnostics</t>
        </is>
      </c>
      <c r="ES26" s="15" t="n">
        <v>0.1001744339956241</v>
      </c>
      <c r="ET26" s="15" t="n">
        <v>0.01397401437704856</v>
      </c>
      <c r="EU26" s="15" t="n">
        <v>0.01469838673500833</v>
      </c>
      <c r="EV26" t="inlineStr">
        <is>
          <t>computed</t>
        </is>
      </c>
      <c r="EW26" s="15" t="inlineStr">
        <is>
          <t>computed</t>
        </is>
      </c>
      <c r="EX26" s="15" t="inlineStr">
        <is>
          <t>computed</t>
        </is>
      </c>
      <c r="EY26" s="15" t="inlineStr">
        <is>
          <t>available_from_curve</t>
        </is>
      </c>
      <c r="EZ26" s="15" t="n">
        <v>20000</v>
      </c>
      <c r="FA26" s="15" t="n">
        <v>20000</v>
      </c>
      <c r="FB26" s="15" t="n">
        <v>0.2538953516411862</v>
      </c>
      <c r="FC26" s="15" t="n">
        <v>0.418408490449885</v>
      </c>
      <c r="FD26" s="15" t="n">
        <v>2.545817373500943</v>
      </c>
      <c r="FE26" s="15" t="n">
        <v>1.557283757000226</v>
      </c>
      <c r="FF26" s="15" t="n">
        <v>1.139876019471646</v>
      </c>
      <c r="FG26" s="15" t="n">
        <v>1.258360475439246</v>
      </c>
      <c r="FH26" s="15" t="n">
        <v>0.6872471413438046</v>
      </c>
      <c r="FI26" s="15" t="n">
        <v>0.07341156246520521</v>
      </c>
      <c r="FJ26" s="15" t="n">
        <v>10514.32893966169</v>
      </c>
      <c r="FK26" s="15" t="n">
        <v>34.43439091250521</v>
      </c>
      <c r="FL26" s="15" t="n">
        <v>4.846995523284115</v>
      </c>
      <c r="FM26" s="15" t="n">
        <v>0.004854422792511548</v>
      </c>
      <c r="FN26" t="n">
        <v>0.999973166307205</v>
      </c>
      <c r="FO26" t="n">
        <v>0</v>
      </c>
      <c r="FP26" t="n">
        <v>2.683369279500879e-05</v>
      </c>
      <c r="FQ26" t="inlineStr">
        <is>
          <t>excellent</t>
        </is>
      </c>
      <c r="FR26" s="19" t="n">
        <v>0.9333333333333333</v>
      </c>
      <c r="FS26" s="15" t="n">
        <v>4.252245651867662</v>
      </c>
      <c r="FT26" s="15" t="n">
        <v>15.74117991971455</v>
      </c>
      <c r="FU26" t="inlineStr">
        <is>
          <t>passed</t>
        </is>
      </c>
      <c r="FV26" t="n">
        <v>175.2063179263757</v>
      </c>
      <c r="FW26" t="n">
        <v>17.54071564721302</v>
      </c>
      <c r="FX26" t="n">
        <v>6.399951273294191</v>
      </c>
      <c r="FY26" t="n">
        <v>0.3139085918471378</v>
      </c>
      <c r="FZ26" t="n">
        <v>0.1811358627887746</v>
      </c>
      <c r="GA26" t="n">
        <v>0.3895937379544817</v>
      </c>
      <c r="GB26" t="n">
        <v>0.158760960969467</v>
      </c>
      <c r="GC26" t="n">
        <v>0.1589287790125094</v>
      </c>
      <c r="GD26" t="n">
        <v>0.1206683598773584</v>
      </c>
      <c r="GE26" t="n">
        <v>0.9115378800733163</v>
      </c>
      <c r="GF26" t="n">
        <v>0.383952094785086</v>
      </c>
      <c r="GG26" t="n">
        <v>0.5697404831710459</v>
      </c>
      <c r="GH26" t="n">
        <v>0.5315950163598807</v>
      </c>
      <c r="GI26" t="n">
        <v>0.2760683760683763</v>
      </c>
      <c r="GJ26" t="n">
        <v>0.6400000000000001</v>
      </c>
      <c r="GK26" t="n">
        <v>0.3953488372093023</v>
      </c>
      <c r="GL26" t="n">
        <v>1</v>
      </c>
      <c r="GM26" t="n">
        <v>1</v>
      </c>
      <c r="GN26" t="n">
        <v>0.454905986117468</v>
      </c>
      <c r="GO26" t="n">
        <v>0.3496965176185562</v>
      </c>
      <c r="GP26" t="n">
        <v>400.5955687360657</v>
      </c>
      <c r="GQ26" t="inlineStr">
        <is>
          <t>compiled workbook density_weighted_sum = density_component_ratio_weighted_sum (per-note component ratios); research density_weighted_sum maps body-ceiling richness</t>
        </is>
      </c>
      <c r="GR26" s="15" t="inlineStr">
        <is>
          <t>individual_exact</t>
        </is>
      </c>
      <c r="GS26" s="15" t="inlineStr">
        <is>
          <t>density_weight</t>
        </is>
      </c>
      <c r="GT26" s="15" t="n">
        <v>0.4063018405688081</v>
      </c>
      <c r="GU26" s="15" t="n">
        <v>0.5936636967425403</v>
      </c>
      <c r="GV26" s="15" t="n">
        <v>3.446268865159177e-05</v>
      </c>
      <c r="GW26" s="15" t="inlineStr">
        <is>
          <t>log</t>
        </is>
      </c>
      <c r="GX26" s="15" t="n">
        <v>0.5</v>
      </c>
      <c r="GY26" s="15" t="inlineStr">
        <is>
          <t>EWSD-R v18.1</t>
        </is>
      </c>
      <c r="GZ26" s="15" t="n">
        <v>2.558073407927252</v>
      </c>
      <c r="HA26" s="15" t="n">
        <v>19.19569971711625</v>
      </c>
      <c r="HB26" s="15" t="n">
        <v>0.5025243194844325</v>
      </c>
      <c r="HC26" s="15" t="n">
        <v>4.47425127716404</v>
      </c>
      <c r="HD26" s="15" t="n">
        <v>22.16745528072144</v>
      </c>
      <c r="HE26" s="15" t="n">
        <v>0.4677715876144099</v>
      </c>
      <c r="HF26" s="15" t="inlineStr">
        <is>
          <t>partials+ratios</t>
        </is>
      </c>
      <c r="HG26" s="15" t="inlineStr">
        <is>
          <t>merged_individual_exact</t>
        </is>
      </c>
      <c r="HH26" s="15" t="inlineStr">
        <is>
          <t>passed</t>
        </is>
      </c>
      <c r="HI26" s="15" t="inlineStr">
        <is>
          <t>passed</t>
        </is>
      </c>
    </row>
    <row r="27">
      <c r="A27" t="inlineStr">
        <is>
          <t>incomplete_inference</t>
        </is>
      </c>
      <c r="B27" t="inlineStr">
        <is>
          <t>missing_instrument_technique</t>
        </is>
      </c>
      <c r="C27" t="inlineStr">
        <is>
          <t>prior_constrained_harmonic_fit</t>
        </is>
      </c>
      <c r="D27" t="inlineStr">
        <is>
          <t>IOWA_Trb.T_pp.F4_SustainStable/F4/component_amplitude_mass_pie.png</t>
        </is>
      </c>
      <c r="E27" t="inlineStr">
        <is>
          <t>IOWA_Trb.T_pp.F4_SustainStable/F4/component_energy_ratio_pie.png</t>
        </is>
      </c>
      <c r="F27" s="15" t="n">
        <v>349.8026842042775</v>
      </c>
      <c r="G27" s="15" t="inlineStr">
        <is>
          <t>prior_constrained_harmonic_fit</t>
        </is>
      </c>
      <c r="H27" s="15" t="inlineStr">
        <is>
          <t>fit_accepted_acoustically_verified</t>
        </is>
      </c>
      <c r="I27" s="16" t="n">
        <v>435.7741168252365</v>
      </c>
      <c r="J27" t="inlineStr">
        <is>
          <t>richness_weighted_body_density_body_ceiling</t>
        </is>
      </c>
      <c r="K27" t="inlineStr">
        <is>
          <t>research_body_ceiling_richness_metric</t>
        </is>
      </c>
      <c r="L27" s="15" t="n">
        <v>44410.12472627256</v>
      </c>
      <c r="M27" s="15" t="n">
        <v>44410.71287663975</v>
      </c>
      <c r="N27" s="15" t="n">
        <v>47.50080000977619</v>
      </c>
      <c r="O27" s="15" t="n">
        <v>9.730263548906851</v>
      </c>
      <c r="P27" s="15" t="n">
        <v>-7.768182336315525</v>
      </c>
      <c r="Q27" s="15" t="n">
        <v>11</v>
      </c>
      <c r="R27" s="15" t="n">
        <v>24</v>
      </c>
      <c r="S27" s="15" t="n">
        <v>11102.68158711758</v>
      </c>
      <c r="T27" s="15" t="n">
        <v>58</v>
      </c>
      <c r="U27" s="15" t="n">
        <v>-0.6963404193337124</v>
      </c>
      <c r="V27" s="15" t="n">
        <v>21.61675054708287</v>
      </c>
      <c r="W27" s="15" t="n">
        <v>0.9959031162960552</v>
      </c>
      <c r="X27" s="15" t="n">
        <v>0.2100658239915347</v>
      </c>
      <c r="Y27" s="15" t="n">
        <v>7</v>
      </c>
      <c r="Z27" s="15" t="n">
        <v>57</v>
      </c>
      <c r="AA27" s="15" t="n">
        <v>0.1228070175438596</v>
      </c>
      <c r="AB27" s="15" t="n">
        <v>57</v>
      </c>
      <c r="AC27" s="15" t="n">
        <v>7</v>
      </c>
      <c r="AD27" s="15" t="n">
        <v>0.1228070175438596</v>
      </c>
      <c r="AE27" s="15" t="n">
        <v>496.1582510253598</v>
      </c>
      <c r="AF27" s="15" t="n">
        <v>7</v>
      </c>
      <c r="AG27" s="15" t="n">
        <v>57</v>
      </c>
      <c r="AH27" s="15" t="n">
        <v>0.1228070175438596</v>
      </c>
      <c r="AI27" s="15" t="n">
        <v>496.1582510253598</v>
      </c>
      <c r="AJ27" s="15" t="n">
        <v>4</v>
      </c>
      <c r="AK27" s="15" t="n">
        <v>3</v>
      </c>
      <c r="AL27" s="15" t="n">
        <v>0.9571110046017213</v>
      </c>
      <c r="AM27" s="15" t="n">
        <v>25</v>
      </c>
      <c r="AN27" s="15" t="n">
        <v>1</v>
      </c>
      <c r="AO27" s="15" t="n">
        <v>25</v>
      </c>
      <c r="AP27" s="15" t="n">
        <v>1</v>
      </c>
      <c r="AQ27" s="15" t="n">
        <v>15.05101017675165</v>
      </c>
      <c r="AR27" s="15" t="n">
        <v>8.764018665130811</v>
      </c>
      <c r="AS27" s="15" t="n">
        <v>0.08592383408174555</v>
      </c>
      <c r="AT27" s="17" t="n">
        <v>2.553122421855717</v>
      </c>
      <c r="AU27" s="18" t="n">
        <v>6.740195302138014</v>
      </c>
      <c r="AV27" s="15" t="n">
        <v>8.798850110480979</v>
      </c>
      <c r="AW27" s="15" t="b">
        <v>1</v>
      </c>
      <c r="AX27" s="15" t="n">
        <v>5.209810260566273</v>
      </c>
      <c r="AY27" s="15" t="n">
        <v>13.15621209975651</v>
      </c>
      <c r="AZ27" s="15" t="n">
        <v>0.4234023550225379</v>
      </c>
      <c r="BA27" s="15" t="n">
        <v>1</v>
      </c>
      <c r="BB27" s="15" t="n">
        <v>0.5</v>
      </c>
      <c r="BC27" s="15" t="n">
        <v>0.25</v>
      </c>
      <c r="BD27" s="15" t="inlineStr">
        <is>
          <t>his_note_adaptive</t>
        </is>
      </c>
      <c r="BE27" s="15" t="n">
        <v>-90</v>
      </c>
      <c r="BF27" s="15" t="n">
        <v>20000</v>
      </c>
      <c r="BG27" s="15" t="n">
        <v>7</v>
      </c>
      <c r="BH27" s="15" t="n">
        <v>0.1228070175438596</v>
      </c>
      <c r="BI27" s="15" t="n">
        <v>57</v>
      </c>
      <c r="BJ27" s="15" t="n">
        <v>7</v>
      </c>
      <c r="BK27" s="15" t="n">
        <v>57</v>
      </c>
      <c r="BL27" s="15" t="n">
        <v>53</v>
      </c>
      <c r="BM27" s="15" t="n">
        <v>0.9298245614035088</v>
      </c>
      <c r="BN27" s="15" t="n">
        <v>0.1542042765011016</v>
      </c>
      <c r="BO27" s="15" t="n">
        <v>0.2083333333333333</v>
      </c>
      <c r="BP27" s="19" t="n">
        <v>0.7670483516935681</v>
      </c>
      <c r="BQ27" s="19" t="n">
        <v>0.2329414875910787</v>
      </c>
      <c r="BR27" s="19" t="n">
        <v>1.016071535309486e-05</v>
      </c>
      <c r="BS27" s="15" t="n">
        <v>0.06326698132723872</v>
      </c>
      <c r="BT27" s="19" t="n">
        <v>0.9999867536632621</v>
      </c>
      <c r="BU27" s="19" t="n">
        <v>0</v>
      </c>
      <c r="BV27" s="19" t="n">
        <v>1.324633673796994e-05</v>
      </c>
      <c r="BW27" t="inlineStr">
        <is>
          <t>F4</t>
        </is>
      </c>
      <c r="BX27" t="n">
        <v>65</v>
      </c>
      <c r="BY27" t="inlineStr">
        <is>
          <t>F</t>
        </is>
      </c>
      <c r="BZ27" t="n">
        <v>4</v>
      </c>
      <c r="CA27" t="inlineStr">
        <is>
          <t>High</t>
        </is>
      </c>
      <c r="CB27" t="inlineStr">
        <is>
          <t>pp</t>
        </is>
      </c>
      <c r="CC27" s="15" t="n">
        <v>349.2282314330039</v>
      </c>
      <c r="CD27" s="15" t="n">
        <v>349.8026842042775</v>
      </c>
      <c r="CE27" t="inlineStr">
        <is>
          <t>prior_constrained_harmonic_fit</t>
        </is>
      </c>
      <c r="CF27" t="n">
        <v>349.8026842042775</v>
      </c>
      <c r="CG27" s="15" t="n">
        <v>1</v>
      </c>
      <c r="CH27" t="inlineStr">
        <is>
          <t>free_fit_acoustically_verified</t>
        </is>
      </c>
      <c r="CI27" s="15" t="inlineStr">
        <is>
          <t>free_f0_fit</t>
        </is>
      </c>
      <c r="CJ27" s="15" t="n">
        <v>349.2282314330039</v>
      </c>
      <c r="CK27" s="15" t="n">
        <v>349.8026842042775</v>
      </c>
      <c r="CL27" s="15" t="n">
        <v>2.845403254239196</v>
      </c>
      <c r="CM27" s="15" t="n">
        <v>20000</v>
      </c>
      <c r="CN27" s="15" t="n">
        <v>2.845403254239196</v>
      </c>
      <c r="CO27" s="15" t="n">
        <v>1.924385686131674</v>
      </c>
      <c r="CP27" s="15" t="n">
        <v>44410.12472627256</v>
      </c>
      <c r="CQ27" t="n">
        <v>2.237248815149926</v>
      </c>
      <c r="CR27" t="n">
        <v>0.03924997921315659</v>
      </c>
      <c r="CS27" t="n">
        <v>194.7812482341325</v>
      </c>
      <c r="CT27" t="n">
        <v>194.7838284063147</v>
      </c>
      <c r="CU27" t="n">
        <v>435.7741168252365</v>
      </c>
      <c r="CV27" t="n">
        <v>9.730263548906851</v>
      </c>
      <c r="CW27" s="15" t="n">
        <v>44410.71287663975</v>
      </c>
      <c r="CX27" s="15" t="n">
        <v>47.50080000977619</v>
      </c>
      <c r="CY27" s="15" t="n">
        <v>9.730263548906851</v>
      </c>
      <c r="CZ27" s="15" t="n">
        <v>2.553238020628347</v>
      </c>
      <c r="DA27" s="15" t="n">
        <v>2.553142950072086</v>
      </c>
      <c r="DB27" s="15" t="n">
        <v>1.35455637361256</v>
      </c>
      <c r="DC27" s="15" t="n">
        <v>0</v>
      </c>
      <c r="DD27" s="15" t="n">
        <v>5.749225061549712e-05</v>
      </c>
      <c r="DE27" s="15" t="n">
        <v>0</v>
      </c>
      <c r="DF27" s="15" t="n">
        <v>11</v>
      </c>
      <c r="DG27" s="15" t="inlineStr">
        <is>
          <t>Density_Metrics</t>
        </is>
      </c>
      <c r="DH27" s="15" t="n">
        <v>1.924385686131674</v>
      </c>
      <c r="DI27" t="n">
        <v>0.8351203059529805</v>
      </c>
      <c r="DJ27" s="15" t="n">
        <v>0.5506101712440316</v>
      </c>
      <c r="DK27" s="15" t="n">
        <v>4.911114467820937</v>
      </c>
      <c r="DL27" s="15" t="n">
        <v>2.243017923067483</v>
      </c>
      <c r="DM27" s="15" t="n">
        <v>1.009177695080111</v>
      </c>
      <c r="DN27" s="15" t="n">
        <v>5.450017236843118</v>
      </c>
      <c r="DO27" s="15" t="n">
        <v>0.6656558420388881</v>
      </c>
      <c r="DP27" s="15" t="n">
        <v>5.0625</v>
      </c>
      <c r="DQ27" s="15" t="n">
        <v>31</v>
      </c>
      <c r="DR27" s="15" t="b">
        <v>1</v>
      </c>
      <c r="DS27" s="15" t="n">
        <v>2.237248815149926</v>
      </c>
      <c r="DT27" s="15" t="n">
        <v>11.97375196751748</v>
      </c>
      <c r="DU27" t="n">
        <v>57</v>
      </c>
      <c r="DV27" s="15" t="n">
        <v>0.06326698132723872</v>
      </c>
      <c r="DW27" s="15" t="n">
        <v>1.473321432669281</v>
      </c>
      <c r="DX27" s="15" t="n">
        <v>2.56423240426191</v>
      </c>
      <c r="DY27" s="15" t="n">
        <v>0.1259414490455484</v>
      </c>
      <c r="DZ27" s="15" t="b">
        <v>1</v>
      </c>
      <c r="EA27" s="15" t="n">
        <v>0.3545819810269662</v>
      </c>
      <c r="EB27" s="15" t="n">
        <v>20000</v>
      </c>
      <c r="EC27" s="15" t="n">
        <v>3847.829526247052</v>
      </c>
      <c r="ED27" s="15" t="n">
        <v>11</v>
      </c>
      <c r="EE27" s="15" t="n">
        <v>0</v>
      </c>
      <c r="EF27" s="15" t="n">
        <v>0.03082969987369268</v>
      </c>
      <c r="EG27" s="15" t="b">
        <v>0</v>
      </c>
      <c r="EH27" s="15" t="b">
        <v>1</v>
      </c>
      <c r="EI27" s="15" t="b">
        <v>0</v>
      </c>
      <c r="EJ27" s="15" t="inlineStr">
        <is>
          <t>wf=log|dst=-90.0|ceil=20000.0|fft=adaptive_tier</t>
        </is>
      </c>
      <c r="EK27" s="15" t="inlineStr">
        <is>
          <t>wf=log|dst=runtime_configured|ceil=runtime_configured|fft=fixed</t>
        </is>
      </c>
      <c r="EL27" s="15" t="n">
        <v>0.5891388371068534</v>
      </c>
      <c r="EM27" s="15" t="n">
        <v>0.9976948762827766</v>
      </c>
      <c r="EN27" s="15" t="n">
        <v>0.1896551724137931</v>
      </c>
      <c r="EO27" s="15" t="n">
        <v>0.3689841621738816</v>
      </c>
      <c r="EP27" s="15" t="inlineStr">
        <is>
          <t>warn:power_outlier_detected</t>
        </is>
      </c>
      <c r="EQ27" s="15" t="n">
        <v>503.0307802005123</v>
      </c>
      <c r="ER27" s="15" t="inlineStr">
        <is>
          <t>winsorize_p95_for_robust_diagnostics</t>
        </is>
      </c>
      <c r="ES27" s="15" t="n">
        <v>0.1174506759732228</v>
      </c>
      <c r="ET27" s="15" t="n">
        <v>0.01129160364650666</v>
      </c>
      <c r="EU27" s="15" t="n">
        <v>0.01164994871588303</v>
      </c>
      <c r="EV27" t="inlineStr">
        <is>
          <t>computed</t>
        </is>
      </c>
      <c r="EW27" s="15" t="inlineStr">
        <is>
          <t>computed</t>
        </is>
      </c>
      <c r="EX27" s="15" t="inlineStr">
        <is>
          <t>computed</t>
        </is>
      </c>
      <c r="EY27" s="15" t="inlineStr">
        <is>
          <t>available_from_curve</t>
        </is>
      </c>
      <c r="EZ27" s="15" t="n">
        <v>20000</v>
      </c>
      <c r="FA27" s="15" t="n">
        <v>20000</v>
      </c>
      <c r="FB27" s="15" t="n">
        <v>0.2329414875910787</v>
      </c>
      <c r="FC27" s="15" t="n">
        <v>0.3719772214773072</v>
      </c>
      <c r="FD27" s="15" t="n">
        <v>2.553142950072086</v>
      </c>
      <c r="FE27" s="15" t="n">
        <v>1.35455637361256</v>
      </c>
      <c r="FF27" s="15" t="n">
        <v>1.003415144136291</v>
      </c>
      <c r="FG27" s="15" t="n">
        <v>1.261981401320608</v>
      </c>
      <c r="FH27" s="15" t="n">
        <v>0.5977812273258862</v>
      </c>
      <c r="FI27" s="15" t="n">
        <v>0.06462305748517992</v>
      </c>
      <c r="FJ27" s="15" t="n">
        <v>11102.67821915994</v>
      </c>
      <c r="FK27" s="15" t="n">
        <v>11.87520000244405</v>
      </c>
      <c r="FL27" s="15" t="n">
        <v>2.432565887226713</v>
      </c>
      <c r="FM27" s="15" t="n">
        <v>0.005140833466507714</v>
      </c>
      <c r="FN27" t="n">
        <v>0.9999867536632621</v>
      </c>
      <c r="FO27" t="n">
        <v>0</v>
      </c>
      <c r="FP27" t="n">
        <v>1.324633673796994e-05</v>
      </c>
      <c r="FQ27" t="inlineStr">
        <is>
          <t>excellent</t>
        </is>
      </c>
      <c r="FR27" s="19" t="n">
        <v>0.9298245614035088</v>
      </c>
      <c r="FS27" s="15" t="n">
        <v>3.48666934475043</v>
      </c>
      <c r="FT27" s="15" t="n">
        <v>16.84592508512948</v>
      </c>
      <c r="FU27" t="inlineStr">
        <is>
          <t>passed</t>
        </is>
      </c>
      <c r="FV27" t="n">
        <v>178.1952277718411</v>
      </c>
      <c r="FW27" t="n">
        <v>10.81166091415168</v>
      </c>
      <c r="FX27" t="n">
        <v>4.539473298783711</v>
      </c>
      <c r="FY27" t="n">
        <v>0.08633517553419745</v>
      </c>
      <c r="FZ27" t="n">
        <v>0.2011738921450343</v>
      </c>
      <c r="GA27" t="n">
        <v>0.1236473602674367</v>
      </c>
      <c r="GB27" t="n">
        <v>0.1497769240498527</v>
      </c>
      <c r="GC27" t="n">
        <v>0.1515665306642964</v>
      </c>
      <c r="GD27" t="n">
        <v>0.09696497416432527</v>
      </c>
      <c r="GE27" t="n">
        <v>0.619790967007295</v>
      </c>
      <c r="GF27" t="n">
        <v>0.5005562381954312</v>
      </c>
      <c r="GG27" t="n">
        <v>0.1729064732411216</v>
      </c>
      <c r="GH27" t="n">
        <v>0.3889657128900853</v>
      </c>
      <c r="GI27" t="n">
        <v>0.3418803418803413</v>
      </c>
      <c r="GJ27" t="n">
        <v>0.505263157894737</v>
      </c>
      <c r="GK27" t="n">
        <v>0.1395348837209302</v>
      </c>
      <c r="GL27" t="n">
        <v>0.8052576817028516</v>
      </c>
      <c r="GM27" t="n">
        <v>0.8052576817028516</v>
      </c>
      <c r="GN27" t="n">
        <v>0.3719262762506246</v>
      </c>
      <c r="GO27" t="n">
        <v>0.1092239981762025</v>
      </c>
      <c r="GP27" t="n">
        <v>435.7741168252365</v>
      </c>
      <c r="GQ27" t="inlineStr">
        <is>
          <t>compiled workbook density_weighted_sum = density_component_ratio_weighted_sum (per-note component ratios); research density_weighted_sum maps body-ceiling richness</t>
        </is>
      </c>
      <c r="GR27" s="15" t="inlineStr">
        <is>
          <t>individual_exact</t>
        </is>
      </c>
      <c r="GS27" s="15" t="inlineStr">
        <is>
          <t>density_weight</t>
        </is>
      </c>
      <c r="GT27" s="15" t="n">
        <v>0.5526935605761005</v>
      </c>
      <c r="GU27" s="15" t="n">
        <v>0.447285367220627</v>
      </c>
      <c r="GV27" s="15" t="n">
        <v>2.107220327245832e-05</v>
      </c>
      <c r="GW27" s="15" t="inlineStr">
        <is>
          <t>log</t>
        </is>
      </c>
      <c r="GX27" s="15" t="n">
        <v>0.5</v>
      </c>
      <c r="GY27" s="15" t="inlineStr">
        <is>
          <t>EWSD-R v18.1</t>
        </is>
      </c>
      <c r="GZ27" s="15" t="n">
        <v>1.713691544723547</v>
      </c>
      <c r="HA27" s="15" t="n">
        <v>18.2589303489174</v>
      </c>
      <c r="HB27" s="15" t="n">
        <v>0.6660086928965527</v>
      </c>
      <c r="HC27" s="15" t="n">
        <v>3.326669099949128</v>
      </c>
      <c r="HD27" s="15" t="n">
        <v>22.16056694332765</v>
      </c>
      <c r="HE27" s="15" t="n">
        <v>0.5837787306153217</v>
      </c>
      <c r="HF27" s="15" t="inlineStr">
        <is>
          <t>partials+ratios</t>
        </is>
      </c>
      <c r="HG27" s="15" t="inlineStr">
        <is>
          <t>merged_individual_exact</t>
        </is>
      </c>
      <c r="HH27" s="15" t="inlineStr">
        <is>
          <t>passed</t>
        </is>
      </c>
      <c r="HI27" s="15" t="inlineStr">
        <is>
          <t>passed</t>
        </is>
      </c>
    </row>
    <row r="28">
      <c r="A28" t="inlineStr">
        <is>
          <t>incomplete_inference</t>
        </is>
      </c>
      <c r="B28" t="inlineStr">
        <is>
          <t>missing_instrument_technique</t>
        </is>
      </c>
      <c r="C28" t="inlineStr">
        <is>
          <t>prior_constrained_harmonic_fit</t>
        </is>
      </c>
      <c r="D28" t="inlineStr">
        <is>
          <t>IOWA_Trb.T_pp.F#4_SustainStable/F#4/component_amplitude_mass_pie.png</t>
        </is>
      </c>
      <c r="E28" t="inlineStr">
        <is>
          <t>IOWA_Trb.T_pp.F#4_SustainStable/F#4/component_energy_ratio_pie.png</t>
        </is>
      </c>
      <c r="F28" s="15" t="n">
        <v>369.9823482967305</v>
      </c>
      <c r="G28" s="15" t="inlineStr">
        <is>
          <t>prior_constrained_harmonic_fit</t>
        </is>
      </c>
      <c r="H28" s="15" t="inlineStr">
        <is>
          <t>fit_accepted_acoustically_verified</t>
        </is>
      </c>
      <c r="I28" s="16" t="n">
        <v>434.4333725209962</v>
      </c>
      <c r="J28" t="inlineStr">
        <is>
          <t>richness_weighted_body_density_body_ceiling</t>
        </is>
      </c>
      <c r="K28" t="inlineStr">
        <is>
          <t>research_body_ceiling_richness_metric</t>
        </is>
      </c>
      <c r="L28" s="15" t="n">
        <v>43335.63319946794</v>
      </c>
      <c r="M28" s="15" t="n">
        <v>43335.9721219245</v>
      </c>
      <c r="N28" s="15" t="n">
        <v>92.17339968197621</v>
      </c>
      <c r="O28" s="15" t="n">
        <v>6.755207136669977</v>
      </c>
      <c r="P28" s="15" t="n">
        <v>-7.095630863880484</v>
      </c>
      <c r="Q28" s="15" t="n">
        <v>12</v>
      </c>
      <c r="R28" s="15" t="n">
        <v>25</v>
      </c>
      <c r="S28" s="15" t="n">
        <v>10833.99574426188</v>
      </c>
      <c r="T28" s="15" t="n">
        <v>55</v>
      </c>
      <c r="U28" s="15" t="n">
        <v>-0.6973011144941137</v>
      </c>
      <c r="V28" s="15" t="n">
        <v>20.83427287138558</v>
      </c>
      <c r="W28" s="15" t="n">
        <v>0.9958682397463862</v>
      </c>
      <c r="X28" s="15" t="n">
        <v>0.225761180833415</v>
      </c>
      <c r="Y28" s="15" t="n">
        <v>8</v>
      </c>
      <c r="Z28" s="15" t="n">
        <v>54</v>
      </c>
      <c r="AA28" s="15" t="n">
        <v>0.1481481481481481</v>
      </c>
      <c r="AB28" s="15" t="n">
        <v>54</v>
      </c>
      <c r="AC28" s="15" t="n">
        <v>8</v>
      </c>
      <c r="AD28" s="15" t="n">
        <v>0.1481481481481481</v>
      </c>
      <c r="AE28" s="15" t="n">
        <v>480.9590923730775</v>
      </c>
      <c r="AF28" s="15" t="n">
        <v>8</v>
      </c>
      <c r="AG28" s="15" t="n">
        <v>54</v>
      </c>
      <c r="AH28" s="15" t="n">
        <v>0.1481481481481481</v>
      </c>
      <c r="AI28" s="15" t="n">
        <v>480.9590923730775</v>
      </c>
      <c r="AJ28" s="15" t="n">
        <v>4</v>
      </c>
      <c r="AK28" s="15" t="n">
        <v>4</v>
      </c>
      <c r="AL28" s="15" t="n">
        <v>1.285423150480276</v>
      </c>
      <c r="AM28" s="15" t="n">
        <v>23</v>
      </c>
      <c r="AN28" s="15" t="n">
        <v>1</v>
      </c>
      <c r="AO28" s="15" t="n">
        <v>23</v>
      </c>
      <c r="AP28" s="15" t="n">
        <v>1</v>
      </c>
      <c r="AQ28" s="15" t="n">
        <v>13.20174725509093</v>
      </c>
      <c r="AR28" s="15" t="n">
        <v>7.800422671704419</v>
      </c>
      <c r="AS28" s="15" t="n">
        <v>0.04748279035931573</v>
      </c>
      <c r="AT28" s="17" t="n">
        <v>2.539559882669061</v>
      </c>
      <c r="AU28" s="18" t="n">
        <v>7.211180658891157</v>
      </c>
      <c r="AV28" s="15" t="n">
        <v>9.66066239654182</v>
      </c>
      <c r="AW28" s="15" t="b">
        <v>1</v>
      </c>
      <c r="AX28" s="15" t="n">
        <v>5.50885486683305</v>
      </c>
      <c r="AY28" s="15" t="n">
        <v>12.11702177438737</v>
      </c>
      <c r="AZ28" s="15" t="n">
        <v>0.3964424172569004</v>
      </c>
      <c r="BA28" s="15" t="n">
        <v>1</v>
      </c>
      <c r="BB28" s="15" t="n">
        <v>0.5</v>
      </c>
      <c r="BC28" s="15" t="n">
        <v>0.25</v>
      </c>
      <c r="BD28" s="15" t="inlineStr">
        <is>
          <t>his_note_adaptive</t>
        </is>
      </c>
      <c r="BE28" s="15" t="n">
        <v>-90</v>
      </c>
      <c r="BF28" s="15" t="n">
        <v>20000</v>
      </c>
      <c r="BG28" s="15" t="n">
        <v>8</v>
      </c>
      <c r="BH28" s="15" t="n">
        <v>0.1481481481481481</v>
      </c>
      <c r="BI28" s="15" t="n">
        <v>54</v>
      </c>
      <c r="BJ28" s="15" t="n">
        <v>8</v>
      </c>
      <c r="BK28" s="15" t="n">
        <v>54</v>
      </c>
      <c r="BL28" s="15" t="n">
        <v>50</v>
      </c>
      <c r="BM28" s="15" t="n">
        <v>0.9259259259259259</v>
      </c>
      <c r="BN28" s="15" t="n">
        <v>0.1631882194121919</v>
      </c>
      <c r="BO28" s="15" t="n">
        <v>0.1916666666666667</v>
      </c>
      <c r="BP28" s="19" t="n">
        <v>0.7896600740710046</v>
      </c>
      <c r="BQ28" s="19" t="n">
        <v>0.2103337491354905</v>
      </c>
      <c r="BR28" s="19" t="n">
        <v>6.176793504863204e-06</v>
      </c>
      <c r="BS28" s="15" t="n">
        <v>0.05105190773971598</v>
      </c>
      <c r="BT28" s="19" t="n">
        <v>0.9999921779694927</v>
      </c>
      <c r="BU28" s="19" t="n">
        <v>0</v>
      </c>
      <c r="BV28" s="19" t="n">
        <v>7.822030507320004e-06</v>
      </c>
      <c r="BW28" t="inlineStr">
        <is>
          <t>F#4</t>
        </is>
      </c>
      <c r="BX28" t="n">
        <v>66</v>
      </c>
      <c r="BY28" t="inlineStr">
        <is>
          <t>F#</t>
        </is>
      </c>
      <c r="BZ28" t="n">
        <v>4</v>
      </c>
      <c r="CA28" t="inlineStr">
        <is>
          <t>High</t>
        </is>
      </c>
      <c r="CB28" t="inlineStr">
        <is>
          <t>pp</t>
        </is>
      </c>
      <c r="CC28" s="15" t="n">
        <v>369.9944227116344</v>
      </c>
      <c r="CD28" s="15" t="n">
        <v>369.9823482967305</v>
      </c>
      <c r="CE28" t="inlineStr">
        <is>
          <t>prior_constrained_harmonic_fit</t>
        </is>
      </c>
      <c r="CF28" t="n">
        <v>369.9823482967305</v>
      </c>
      <c r="CG28" s="15" t="n">
        <v>1</v>
      </c>
      <c r="CH28" t="inlineStr">
        <is>
          <t>free_fit_acoustically_verified</t>
        </is>
      </c>
      <c r="CI28" s="15" t="inlineStr">
        <is>
          <t>free_f0_fit</t>
        </is>
      </c>
      <c r="CJ28" s="15" t="n">
        <v>369.9944227116344</v>
      </c>
      <c r="CK28" s="15" t="n">
        <v>369.9823482967305</v>
      </c>
      <c r="CL28" s="15" t="n">
        <v>-0.05649809298066008</v>
      </c>
      <c r="CM28" s="15" t="n">
        <v>20000</v>
      </c>
      <c r="CN28" s="15" t="n">
        <v>-0.05649809298066008</v>
      </c>
      <c r="CO28" s="15" t="n">
        <v>1.988568131710259</v>
      </c>
      <c r="CP28" s="15" t="n">
        <v>43335.63319946794</v>
      </c>
      <c r="CQ28" t="n">
        <v>2.165368350498779</v>
      </c>
      <c r="CR28" t="n">
        <v>0.04009941389812554</v>
      </c>
      <c r="CS28" t="n">
        <v>200.6279312343912</v>
      </c>
      <c r="CT28" t="n">
        <v>200.6295005644653</v>
      </c>
      <c r="CU28" t="n">
        <v>434.4333725209962</v>
      </c>
      <c r="CV28" t="n">
        <v>6.755207136669977</v>
      </c>
      <c r="CW28" s="15" t="n">
        <v>43335.9721219245</v>
      </c>
      <c r="CX28" s="15" t="n">
        <v>92.17339968197621</v>
      </c>
      <c r="CY28" s="15" t="n">
        <v>6.755207136669977</v>
      </c>
      <c r="CZ28" s="15" t="n">
        <v>2.539605466301351</v>
      </c>
      <c r="DA28" s="15" t="n">
        <v>2.539572491478548</v>
      </c>
      <c r="DB28" s="15" t="n">
        <v>1.526254002099631</v>
      </c>
      <c r="DC28" s="15" t="n">
        <v>0</v>
      </c>
      <c r="DD28" s="15" t="n">
        <v>5.860316969667657e-05</v>
      </c>
      <c r="DE28" s="15" t="n">
        <v>0</v>
      </c>
      <c r="DF28" s="15" t="n">
        <v>12</v>
      </c>
      <c r="DG28" s="15" t="inlineStr">
        <is>
          <t>Density_Metrics</t>
        </is>
      </c>
      <c r="DH28" s="15" t="n">
        <v>1.988568131710259</v>
      </c>
      <c r="DI28" t="n">
        <v>0.8629733834179992</v>
      </c>
      <c r="DJ28" s="15" t="n">
        <v>0.5489492641695283</v>
      </c>
      <c r="DK28" s="15" t="n">
        <v>4.993437810148583</v>
      </c>
      <c r="DL28" s="15" t="n">
        <v>2.17526338722217</v>
      </c>
      <c r="DM28" s="15" t="n">
        <v>1.013902288070595</v>
      </c>
      <c r="DN28" s="15" t="n">
        <v>6.137520203821235</v>
      </c>
      <c r="DO28" s="15" t="n">
        <v>0.7750660315392294</v>
      </c>
      <c r="DP28" s="15" t="n">
        <v>4.0625</v>
      </c>
      <c r="DQ28" s="15" t="n">
        <v>34</v>
      </c>
      <c r="DR28" s="15" t="b">
        <v>1</v>
      </c>
      <c r="DS28" s="15" t="n">
        <v>2.167378387644195</v>
      </c>
      <c r="DT28" s="15" t="n">
        <v>12.19110376500441</v>
      </c>
      <c r="DU28" t="n">
        <v>54</v>
      </c>
      <c r="DV28" s="15" t="n">
        <v>0.05105190773971598</v>
      </c>
      <c r="DW28" s="15" t="n">
        <v>1.199078069602788</v>
      </c>
      <c r="DX28" s="15" t="n">
        <v>2.577000648122591</v>
      </c>
      <c r="DY28" s="15" t="n">
        <v>0.1374584269711897</v>
      </c>
      <c r="DZ28" s="15" t="b">
        <v>1</v>
      </c>
      <c r="EA28" s="15" t="n">
        <v>0.3834907297214129</v>
      </c>
      <c r="EB28" s="15" t="n">
        <v>20000</v>
      </c>
      <c r="EC28" s="15" t="n">
        <v>4439.788179560766</v>
      </c>
      <c r="ED28" s="15" t="n">
        <v>12</v>
      </c>
      <c r="EE28" s="15" t="n">
        <v>0</v>
      </c>
      <c r="EF28" s="15" t="n">
        <v>0.02909936177846458</v>
      </c>
      <c r="EG28" s="15" t="b">
        <v>0</v>
      </c>
      <c r="EH28" s="15" t="b">
        <v>1</v>
      </c>
      <c r="EI28" s="15" t="b">
        <v>0</v>
      </c>
      <c r="EJ28" s="15" t="inlineStr">
        <is>
          <t>wf=log|dst=-90.0|ceil=20000.0|fft=adaptive_tier</t>
        </is>
      </c>
      <c r="EK28" s="15" t="inlineStr">
        <is>
          <t>wf=log|dst=runtime_configured|ceil=runtime_configured|fft=fixed</t>
        </is>
      </c>
      <c r="EL28" s="15" t="n">
        <v>0.5989143194296229</v>
      </c>
      <c r="EM28" s="15" t="n">
        <v>0.9971512832411479</v>
      </c>
      <c r="EN28" s="15" t="n">
        <v>0.2181818181818182</v>
      </c>
      <c r="EO28" s="15" t="n">
        <v>0.3691630280373503</v>
      </c>
      <c r="EP28" s="15" t="inlineStr">
        <is>
          <t>warn:power_outlier_detected</t>
        </is>
      </c>
      <c r="EQ28" s="15" t="n">
        <v>501.4819483926246</v>
      </c>
      <c r="ER28" s="15" t="inlineStr">
        <is>
          <t>winsorize_p95_for_robust_diagnostics</t>
        </is>
      </c>
      <c r="ES28" s="15" t="n">
        <v>0.1141275771400024</v>
      </c>
      <c r="ET28" s="15" t="n">
        <v>0.01077420510613059</v>
      </c>
      <c r="EU28" s="15" t="n">
        <v>0.01126539267691822</v>
      </c>
      <c r="EV28" t="inlineStr">
        <is>
          <t>computed</t>
        </is>
      </c>
      <c r="EW28" s="15" t="inlineStr">
        <is>
          <t>computed</t>
        </is>
      </c>
      <c r="EX28" s="15" t="inlineStr">
        <is>
          <t>computed</t>
        </is>
      </c>
      <c r="EY28" s="15" t="inlineStr">
        <is>
          <t>available_from_curve</t>
        </is>
      </c>
      <c r="EZ28" s="15" t="n">
        <v>20000</v>
      </c>
      <c r="FA28" s="15" t="n">
        <v>20000</v>
      </c>
      <c r="FB28" s="15" t="n">
        <v>0.2103337491354905</v>
      </c>
      <c r="FC28" s="15" t="n">
        <v>0.3434767360066698</v>
      </c>
      <c r="FD28" s="15" t="n">
        <v>2.539572491478548</v>
      </c>
      <c r="FE28" s="15" t="n">
        <v>1.526254002099631</v>
      </c>
      <c r="FF28" s="15" t="n">
        <v>0.9276113165704045</v>
      </c>
      <c r="FG28" s="15" t="n">
        <v>1.255273721144708</v>
      </c>
      <c r="FH28" s="15" t="n">
        <v>0.6735533554450089</v>
      </c>
      <c r="FI28" s="15" t="n">
        <v>0.0597410551205419</v>
      </c>
      <c r="FJ28" s="15" t="n">
        <v>10833.99303048113</v>
      </c>
      <c r="FK28" s="15" t="n">
        <v>23.04334992049405</v>
      </c>
      <c r="FL28" s="15" t="n">
        <v>1.688801784167494</v>
      </c>
      <c r="FM28" s="15" t="n">
        <v>0.005018675401570251</v>
      </c>
      <c r="FN28" t="n">
        <v>0.9999921779694927</v>
      </c>
      <c r="FO28" t="n">
        <v>0</v>
      </c>
      <c r="FP28" t="n">
        <v>7.822030507320004e-06</v>
      </c>
      <c r="FQ28" t="inlineStr">
        <is>
          <t>excellent</t>
        </is>
      </c>
      <c r="FR28" s="19" t="n">
        <v>0.9259259259259259</v>
      </c>
      <c r="FS28" s="15" t="n">
        <v>2.289033378581648</v>
      </c>
      <c r="FT28" s="15" t="n">
        <v>13.34611477374443</v>
      </c>
      <c r="FU28" t="inlineStr">
        <is>
          <t>passed</t>
        </is>
      </c>
      <c r="FV28" t="n">
        <v>172.6978496951613</v>
      </c>
      <c r="FW28" t="n">
        <v>16.29670158315627</v>
      </c>
      <c r="FX28" t="n">
        <v>3.732347522881445</v>
      </c>
      <c r="FY28" t="n">
        <v>0.2406803014152016</v>
      </c>
      <c r="FZ28" t="n">
        <v>0.200410191674523</v>
      </c>
      <c r="GA28" t="n">
        <v>0.1896192090729868</v>
      </c>
      <c r="GB28" t="n">
        <v>0.1396567321661723</v>
      </c>
      <c r="GC28" t="n">
        <v>0.1410277337505604</v>
      </c>
      <c r="GD28" t="n">
        <v>0.08765072819816248</v>
      </c>
      <c r="GE28" t="n">
        <v>0.6154321393967064</v>
      </c>
      <c r="GF28" t="n">
        <v>0.587370023237494</v>
      </c>
      <c r="GG28" t="n">
        <v>0.04804342433014815</v>
      </c>
      <c r="GH28" t="n">
        <v>0.3886769226256661</v>
      </c>
      <c r="GI28" t="n">
        <v>0.6134852801519463</v>
      </c>
      <c r="GJ28" t="n">
        <v>0.3555555555555561</v>
      </c>
      <c r="GK28" t="n">
        <v>0.09302325581395368</v>
      </c>
      <c r="GL28" t="n">
        <v>0.5951444831172055</v>
      </c>
      <c r="GM28" t="n">
        <v>0.5951444831172055</v>
      </c>
      <c r="GN28" t="n">
        <v>0.3209915921950494</v>
      </c>
      <c r="GO28" t="n">
        <v>0.0607029456947341</v>
      </c>
      <c r="GP28" t="n">
        <v>434.4333725209962</v>
      </c>
      <c r="GQ28" t="inlineStr">
        <is>
          <t>compiled workbook density_weighted_sum = density_component_ratio_weighted_sum (per-note component ratios); research density_weighted_sum maps body-ceiling richness</t>
        </is>
      </c>
      <c r="GR28" s="15" t="inlineStr">
        <is>
          <t>individual_exact</t>
        </is>
      </c>
      <c r="GS28" s="15" t="inlineStr">
        <is>
          <t>density_weight</t>
        </is>
      </c>
      <c r="GT28" s="15" t="n">
        <v>0.6531928944818532</v>
      </c>
      <c r="GU28" s="15" t="n">
        <v>0.3467907724417251</v>
      </c>
      <c r="GV28" s="15" t="n">
        <v>1.633307642166869e-05</v>
      </c>
      <c r="GW28" s="15" t="inlineStr">
        <is>
          <t>log</t>
        </is>
      </c>
      <c r="GX28" s="15" t="n">
        <v>0.5</v>
      </c>
      <c r="GY28" s="15" t="inlineStr">
        <is>
          <t>EWSD-R v18.1</t>
        </is>
      </c>
      <c r="GZ28" s="15" t="n">
        <v>1.638785609617606</v>
      </c>
      <c r="HA28" s="15" t="n">
        <v>16.74255224150183</v>
      </c>
      <c r="HB28" s="15" t="n">
        <v>0.5350541549710839</v>
      </c>
      <c r="HC28" s="15" t="n">
        <v>3.270684477325418</v>
      </c>
      <c r="HD28" s="15" t="n">
        <v>21.4056092857953</v>
      </c>
      <c r="HE28" s="15" t="n">
        <v>0.4800538446218201</v>
      </c>
      <c r="HF28" s="15" t="inlineStr">
        <is>
          <t>partials+ratios</t>
        </is>
      </c>
      <c r="HG28" s="15" t="inlineStr">
        <is>
          <t>merged_individual_exact</t>
        </is>
      </c>
      <c r="HH28" s="15" t="inlineStr">
        <is>
          <t>passed</t>
        </is>
      </c>
      <c r="HI28" s="15" t="inlineStr">
        <is>
          <t>passed</t>
        </is>
      </c>
    </row>
    <row r="29">
      <c r="A29" t="inlineStr">
        <is>
          <t>incomplete_inference</t>
        </is>
      </c>
      <c r="B29" t="inlineStr">
        <is>
          <t>missing_instrument_technique</t>
        </is>
      </c>
      <c r="C29" t="inlineStr">
        <is>
          <t>prior_constrained_harmonic_fit</t>
        </is>
      </c>
      <c r="D29" t="inlineStr">
        <is>
          <t>IOWA_Trb.T_pp.G4_SustainStable/G4/component_amplitude_mass_pie.png</t>
        </is>
      </c>
      <c r="E29" t="inlineStr">
        <is>
          <t>IOWA_Trb.T_pp.G4_SustainStable/G4/component_energy_ratio_pie.png</t>
        </is>
      </c>
      <c r="F29" s="15" t="n">
        <v>391.2839173079032</v>
      </c>
      <c r="G29" s="15" t="inlineStr">
        <is>
          <t>prior_constrained_harmonic_fit</t>
        </is>
      </c>
      <c r="H29" s="15" t="inlineStr">
        <is>
          <t>fit_accepted_acoustically_verified</t>
        </is>
      </c>
      <c r="I29" s="16" t="n">
        <v>381.0836903976673</v>
      </c>
      <c r="J29" t="inlineStr">
        <is>
          <t>richness_weighted_body_density_body_ceiling</t>
        </is>
      </c>
      <c r="K29" t="inlineStr">
        <is>
          <t>research_body_ceiling_richness_metric</t>
        </is>
      </c>
      <c r="L29" s="15" t="n">
        <v>41542.17585236314</v>
      </c>
      <c r="M29" s="15" t="n">
        <v>41542.36806033482</v>
      </c>
      <c r="N29" s="15" t="n">
        <v>80.51645174515792</v>
      </c>
      <c r="O29" s="15" t="n">
        <v>3.786497253005149</v>
      </c>
      <c r="P29" s="15" t="n">
        <v>-9.442024323066711</v>
      </c>
      <c r="Q29" s="15" t="n">
        <v>9</v>
      </c>
      <c r="R29" s="15" t="n">
        <v>20</v>
      </c>
      <c r="S29" s="15" t="n">
        <v>10385.59486548838</v>
      </c>
      <c r="T29" s="15" t="n">
        <v>52</v>
      </c>
      <c r="U29" s="15" t="n">
        <v>-0.5222433816042884</v>
      </c>
      <c r="V29" s="15" t="n">
        <v>18.74313246785012</v>
      </c>
      <c r="W29" s="15" t="n">
        <v>0.9977555091875183</v>
      </c>
      <c r="X29" s="15" t="n">
        <v>0.2098513381782912</v>
      </c>
      <c r="Y29" s="15" t="n">
        <v>6</v>
      </c>
      <c r="Z29" s="15" t="n">
        <v>51</v>
      </c>
      <c r="AA29" s="15" t="n">
        <v>0.1176470588235294</v>
      </c>
      <c r="AB29" s="15" t="n">
        <v>51</v>
      </c>
      <c r="AC29" s="15" t="n">
        <v>6</v>
      </c>
      <c r="AD29" s="15" t="n">
        <v>0.1176470588235294</v>
      </c>
      <c r="AE29" s="15" t="n">
        <v>449.7314589795066</v>
      </c>
      <c r="AF29" s="15" t="n">
        <v>6</v>
      </c>
      <c r="AG29" s="15" t="n">
        <v>51</v>
      </c>
      <c r="AH29" s="15" t="n">
        <v>0.1176470588235294</v>
      </c>
      <c r="AI29" s="15" t="n">
        <v>449.7314589795066</v>
      </c>
      <c r="AJ29" s="15" t="n">
        <v>3</v>
      </c>
      <c r="AK29" s="15" t="n">
        <v>3</v>
      </c>
      <c r="AL29" s="15" t="n">
        <v>2.185168295647802</v>
      </c>
      <c r="AM29" s="15" t="n">
        <v>19</v>
      </c>
      <c r="AN29" s="15" t="n">
        <v>1</v>
      </c>
      <c r="AO29" s="15" t="n">
        <v>19</v>
      </c>
      <c r="AP29" s="15" t="n">
        <v>1</v>
      </c>
      <c r="AQ29" s="15" t="n">
        <v>10.88820084651437</v>
      </c>
      <c r="AR29" s="15" t="n">
        <v>6.610178544169324</v>
      </c>
      <c r="AS29" s="15" t="n">
        <v>0</v>
      </c>
      <c r="AT29" s="17" t="n">
        <v>2.51053133509404</v>
      </c>
      <c r="AU29" s="18" t="n">
        <v>7.025969258733154</v>
      </c>
      <c r="AV29" s="15" t="n">
        <v>8.974355992319406</v>
      </c>
      <c r="AW29" s="15" t="b">
        <v>1</v>
      </c>
      <c r="AX29" s="15" t="n">
        <v>4.576799043954653</v>
      </c>
      <c r="AY29" s="15" t="n">
        <v>9.984567962447345</v>
      </c>
      <c r="AZ29" s="15" t="n">
        <v>0.356559923618151</v>
      </c>
      <c r="BA29" s="15" t="n">
        <v>1</v>
      </c>
      <c r="BB29" s="15" t="n">
        <v>0.5</v>
      </c>
      <c r="BC29" s="15" t="n">
        <v>0.25</v>
      </c>
      <c r="BD29" s="15" t="inlineStr">
        <is>
          <t>his_note_adaptive</t>
        </is>
      </c>
      <c r="BE29" s="15" t="n">
        <v>-90</v>
      </c>
      <c r="BF29" s="15" t="n">
        <v>20000</v>
      </c>
      <c r="BG29" s="15" t="n">
        <v>6</v>
      </c>
      <c r="BH29" s="15" t="n">
        <v>0.1176470588235294</v>
      </c>
      <c r="BI29" s="15" t="n">
        <v>51</v>
      </c>
      <c r="BJ29" s="15" t="n">
        <v>6</v>
      </c>
      <c r="BK29" s="15" t="n">
        <v>51</v>
      </c>
      <c r="BL29" s="15" t="n">
        <v>47</v>
      </c>
      <c r="BM29" s="15" t="n">
        <v>0.9215686274509803</v>
      </c>
      <c r="BN29" s="15" t="n">
        <v>0.1407070063320722</v>
      </c>
      <c r="BO29" s="15" t="n">
        <v>0.1583333333333333</v>
      </c>
      <c r="BP29" s="19" t="n">
        <v>0.7735417815244034</v>
      </c>
      <c r="BQ29" s="19" t="n">
        <v>0.2264546391144528</v>
      </c>
      <c r="BR29" s="19" t="n">
        <v>3.579361143740844e-06</v>
      </c>
      <c r="BS29" s="15" t="n">
        <v>0.04635192669081686</v>
      </c>
      <c r="BT29" s="19" t="n">
        <v>0.9999953727844225</v>
      </c>
      <c r="BU29" s="19" t="n">
        <v>0</v>
      </c>
      <c r="BV29" s="19" t="n">
        <v>4.62721557743327e-06</v>
      </c>
      <c r="BW29" t="inlineStr">
        <is>
          <t>G4</t>
        </is>
      </c>
      <c r="BX29" t="n">
        <v>67</v>
      </c>
      <c r="BY29" t="inlineStr">
        <is>
          <t>G</t>
        </is>
      </c>
      <c r="BZ29" t="n">
        <v>4</v>
      </c>
      <c r="CA29" t="inlineStr">
        <is>
          <t>High</t>
        </is>
      </c>
      <c r="CB29" t="inlineStr">
        <is>
          <t>pp</t>
        </is>
      </c>
      <c r="CC29" s="15" t="n">
        <v>391.9954359817492</v>
      </c>
      <c r="CD29" s="15" t="n">
        <v>391.2839173079032</v>
      </c>
      <c r="CE29" t="inlineStr">
        <is>
          <t>prior_constrained_harmonic_fit</t>
        </is>
      </c>
      <c r="CF29" t="n">
        <v>391.2839173079032</v>
      </c>
      <c r="CG29" s="15" t="n">
        <v>1</v>
      </c>
      <c r="CH29" t="inlineStr">
        <is>
          <t>free_fit_acoustically_verified</t>
        </is>
      </c>
      <c r="CI29" s="15" t="inlineStr">
        <is>
          <t>free_f0_fit</t>
        </is>
      </c>
      <c r="CJ29" s="15" t="n">
        <v>391.9954359817492</v>
      </c>
      <c r="CK29" s="15" t="n">
        <v>391.2839173079032</v>
      </c>
      <c r="CL29" s="15" t="n">
        <v>-3.145252554784877</v>
      </c>
      <c r="CM29" s="15" t="n">
        <v>20000</v>
      </c>
      <c r="CN29" s="15" t="n">
        <v>-3.145252554784877</v>
      </c>
      <c r="CO29" s="15" t="n">
        <v>1.924634374586028</v>
      </c>
      <c r="CP29" s="15" t="n">
        <v>41542.17585236314</v>
      </c>
      <c r="CQ29" t="n">
        <v>1.871377010924913</v>
      </c>
      <c r="CR29" t="n">
        <v>0.03669366688088064</v>
      </c>
      <c r="CS29" t="n">
        <v>203.6381168374618</v>
      </c>
      <c r="CT29" t="n">
        <v>203.6390591192883</v>
      </c>
      <c r="CU29" t="n">
        <v>381.0836903976673</v>
      </c>
      <c r="CV29" t="n">
        <v>3.786497253005149</v>
      </c>
      <c r="CW29" s="15" t="n">
        <v>41542.36806033482</v>
      </c>
      <c r="CX29" s="15" t="n">
        <v>80.51645174515792</v>
      </c>
      <c r="CY29" s="15" t="n">
        <v>3.786497253005149</v>
      </c>
      <c r="CZ29" s="15" t="n">
        <v>2.510545079721647</v>
      </c>
      <c r="DA29" s="15" t="n">
        <v>2.510539175588555</v>
      </c>
      <c r="DB29" s="15" t="n">
        <v>1.430172414098086</v>
      </c>
      <c r="DC29" s="15" t="n">
        <v>0</v>
      </c>
      <c r="DD29" s="15" t="n">
        <v>6.043364431954359e-05</v>
      </c>
      <c r="DE29" s="15" t="n">
        <v>0</v>
      </c>
      <c r="DF29" s="15" t="n">
        <v>9</v>
      </c>
      <c r="DG29" s="15" t="inlineStr">
        <is>
          <t>Density_Metrics</t>
        </is>
      </c>
      <c r="DH29" s="15" t="n">
        <v>1.924634374586028</v>
      </c>
      <c r="DI29" t="n">
        <v>0.8352282285901025</v>
      </c>
      <c r="DJ29" s="15" t="n">
        <v>0.5453728539118405</v>
      </c>
      <c r="DK29" s="15" t="n">
        <v>4.756820414349608</v>
      </c>
      <c r="DL29" s="15" t="n">
        <v>1.878977990737781</v>
      </c>
      <c r="DM29" s="15" t="n">
        <v>1.010787935670559</v>
      </c>
      <c r="DN29" s="15" t="n">
        <v>6.324177493514007</v>
      </c>
      <c r="DO29" s="15" t="n">
        <v>0.836284117828904</v>
      </c>
      <c r="DP29" s="15" t="n">
        <v>4.4375</v>
      </c>
      <c r="DQ29" s="15" t="n">
        <v>27</v>
      </c>
      <c r="DR29" s="15" t="b">
        <v>1</v>
      </c>
      <c r="DS29" s="15" t="n">
        <v>1.871377010924913</v>
      </c>
      <c r="DT29" s="15" t="n">
        <v>10.70241824709285</v>
      </c>
      <c r="DU29" t="n">
        <v>51</v>
      </c>
      <c r="DV29" s="15" t="n">
        <v>0.04635192669081686</v>
      </c>
      <c r="DW29" s="15" t="n">
        <v>1.21793160668437</v>
      </c>
      <c r="DX29" s="15" t="n">
        <v>2.549805921393133</v>
      </c>
      <c r="DY29" s="15" t="n">
        <v>0.1411054200577234</v>
      </c>
      <c r="DZ29" s="15" t="b">
        <v>1</v>
      </c>
      <c r="EA29" s="15" t="n">
        <v>0.1762876342336158</v>
      </c>
      <c r="EB29" s="15" t="n">
        <v>20000</v>
      </c>
      <c r="EC29" s="15" t="n">
        <v>3521.555255771128</v>
      </c>
      <c r="ED29" s="15" t="n">
        <v>9</v>
      </c>
      <c r="EE29" s="15" t="n">
        <v>0</v>
      </c>
      <c r="EF29" s="15" t="n">
        <v>0.0274661400981242</v>
      </c>
      <c r="EG29" s="15" t="b">
        <v>0</v>
      </c>
      <c r="EH29" s="15" t="b">
        <v>1</v>
      </c>
      <c r="EI29" s="15" t="b">
        <v>0</v>
      </c>
      <c r="EJ29" s="15" t="inlineStr">
        <is>
          <t>wf=log|dst=-90.0|ceil=20000.0|fft=adaptive_tier</t>
        </is>
      </c>
      <c r="EK29" s="15" t="inlineStr">
        <is>
          <t>wf=log|dst=runtime_configured|ceil=runtime_configured|fft=fixed</t>
        </is>
      </c>
      <c r="EL29" s="15" t="n">
        <v>0.5791290094818142</v>
      </c>
      <c r="EM29" s="15" t="n">
        <v>0.9941761462657785</v>
      </c>
      <c r="EN29" s="15" t="n">
        <v>0.1730769230769231</v>
      </c>
      <c r="EO29" s="15" t="n">
        <v>0.3558641029264539</v>
      </c>
      <c r="EP29" s="15" t="inlineStr">
        <is>
          <t>warn:power_outlier_detected</t>
        </is>
      </c>
      <c r="EQ29" s="15" t="n">
        <v>635.74560383527</v>
      </c>
      <c r="ER29" s="15" t="inlineStr">
        <is>
          <t>winsorize_p95_for_robust_diagnostics</t>
        </is>
      </c>
      <c r="ES29" s="15" t="n">
        <v>0.1583633914518585</v>
      </c>
      <c r="ET29" s="15" t="n">
        <v>0.01186467653977153</v>
      </c>
      <c r="EU29" s="15" t="n">
        <v>0.01203633369900484</v>
      </c>
      <c r="EV29" t="inlineStr">
        <is>
          <t>computed</t>
        </is>
      </c>
      <c r="EW29" s="15" t="inlineStr">
        <is>
          <t>computed</t>
        </is>
      </c>
      <c r="EX29" s="15" t="inlineStr">
        <is>
          <t>computed</t>
        </is>
      </c>
      <c r="EY29" s="15" t="inlineStr">
        <is>
          <t>available_from_curve</t>
        </is>
      </c>
      <c r="EZ29" s="15" t="n">
        <v>20000</v>
      </c>
      <c r="FA29" s="15" t="n">
        <v>20000</v>
      </c>
      <c r="FB29" s="15" t="n">
        <v>0.2264546391144528</v>
      </c>
      <c r="FC29" s="15" t="n">
        <v>0.3365265534558373</v>
      </c>
      <c r="FD29" s="15" t="n">
        <v>2.510539175588555</v>
      </c>
      <c r="FE29" s="15" t="n">
        <v>1.430172414098086</v>
      </c>
      <c r="FF29" s="15" t="n">
        <v>0.8161088246629666</v>
      </c>
      <c r="FG29" s="15" t="n">
        <v>1.240922975656367</v>
      </c>
      <c r="FH29" s="15" t="n">
        <v>0.6311514512364717</v>
      </c>
      <c r="FI29" s="15" t="n">
        <v>0.05255994769318934</v>
      </c>
      <c r="FJ29" s="15" t="n">
        <v>10385.5920150837</v>
      </c>
      <c r="FK29" s="15" t="n">
        <v>20.12911293628948</v>
      </c>
      <c r="FL29" s="15" t="n">
        <v>0.9466243132512872</v>
      </c>
      <c r="FM29" s="15" t="n">
        <v>0.004740813411777309</v>
      </c>
      <c r="FN29" t="n">
        <v>0.9999953727844225</v>
      </c>
      <c r="FO29" t="n">
        <v>0</v>
      </c>
      <c r="FP29" t="n">
        <v>4.62721557743327e-06</v>
      </c>
      <c r="FQ29" t="inlineStr">
        <is>
          <t>excellent</t>
        </is>
      </c>
      <c r="FR29" s="19" t="n">
        <v>0.9215686274509803</v>
      </c>
      <c r="FS29" s="15" t="n">
        <v>2.943450297740715</v>
      </c>
      <c r="FT29" s="15" t="n">
        <v>11.58484287634152</v>
      </c>
      <c r="FU29" t="inlineStr">
        <is>
          <t>passed</t>
        </is>
      </c>
      <c r="FV29" t="n">
        <v>161.4978235924807</v>
      </c>
      <c r="FW29" t="n">
        <v>12.9630177517381</v>
      </c>
      <c r="FX29" t="n">
        <v>2.774001160374395</v>
      </c>
      <c r="FY29" t="n">
        <v>0.08693321835488466</v>
      </c>
      <c r="FZ29" t="n">
        <v>0.1700217147588578</v>
      </c>
      <c r="GA29" t="n">
        <v>0</v>
      </c>
      <c r="GB29" t="n">
        <v>0.09540190808177482</v>
      </c>
      <c r="GC29" t="n">
        <v>0.09638082794516918</v>
      </c>
      <c r="GD29" t="n">
        <v>0.06275877706236391</v>
      </c>
      <c r="GE29" t="n">
        <v>0.8513007166122813</v>
      </c>
      <c r="GF29" t="n">
        <v>0.4993698793586695</v>
      </c>
      <c r="GG29" t="n">
        <v>0</v>
      </c>
      <c r="GH29" t="n">
        <v>0.4413002427522734</v>
      </c>
      <c r="GI29" t="n">
        <v>0.2865761689291099</v>
      </c>
      <c r="GJ29" t="n">
        <v>0.1882352941176459</v>
      </c>
      <c r="GK29" t="n">
        <v>0</v>
      </c>
      <c r="GL29" t="n">
        <v>0.7449698079360084</v>
      </c>
      <c r="GM29" t="n">
        <v>0.7449698079360084</v>
      </c>
      <c r="GN29" t="n">
        <v>0.3085705633420519</v>
      </c>
      <c r="GO29" t="n">
        <v>0</v>
      </c>
      <c r="GP29" t="n">
        <v>381.0836903976673</v>
      </c>
      <c r="GQ29" t="inlineStr">
        <is>
          <t>compiled workbook density_weighted_sum = density_component_ratio_weighted_sum (per-note component ratios); research density_weighted_sum maps body-ceiling richness</t>
        </is>
      </c>
      <c r="GR29" s="15" t="inlineStr">
        <is>
          <t>individual_exact</t>
        </is>
      </c>
      <c r="GS29" s="15" t="inlineStr">
        <is>
          <t>density_weight</t>
        </is>
      </c>
      <c r="GT29" s="15" t="n">
        <v>0.6239682727151298</v>
      </c>
      <c r="GU29" s="15" t="n">
        <v>0.3760199712743732</v>
      </c>
      <c r="GV29" s="15" t="n">
        <v>1.175601049693504e-05</v>
      </c>
      <c r="GW29" s="15" t="inlineStr">
        <is>
          <t>log</t>
        </is>
      </c>
      <c r="GX29" s="15" t="n">
        <v>0.5</v>
      </c>
      <c r="GY29" s="15" t="inlineStr">
        <is>
          <t>EWSD-R v18.1</t>
        </is>
      </c>
      <c r="GZ29" s="15" t="n">
        <v>1.724217089852177</v>
      </c>
      <c r="HA29" s="15" t="n">
        <v>16.40093814848334</v>
      </c>
      <c r="HB29" s="15" t="n">
        <v>0.5738194412283988</v>
      </c>
      <c r="HC29" s="15" t="n">
        <v>3.32594300319455</v>
      </c>
      <c r="HD29" s="15" t="n">
        <v>19.53184028666813</v>
      </c>
      <c r="HE29" s="15" t="n">
        <v>0.4953239323068542</v>
      </c>
      <c r="HF29" s="15" t="inlineStr">
        <is>
          <t>partials+ratios</t>
        </is>
      </c>
      <c r="HG29" s="15" t="inlineStr">
        <is>
          <t>merged_individual_exact</t>
        </is>
      </c>
      <c r="HH29" s="15" t="inlineStr">
        <is>
          <t>passed</t>
        </is>
      </c>
      <c r="HI29" s="15" t="inlineStr">
        <is>
          <t>passed</t>
        </is>
      </c>
    </row>
    <row r="30">
      <c r="A30" t="inlineStr">
        <is>
          <t>incomplete_inference</t>
        </is>
      </c>
      <c r="B30" t="inlineStr">
        <is>
          <t>missing_instrument_technique</t>
        </is>
      </c>
      <c r="C30" t="inlineStr">
        <is>
          <t>prior_constrained_harmonic_fit</t>
        </is>
      </c>
      <c r="D30" t="inlineStr">
        <is>
          <t>IOWA_Trb.T_pp.G#4_SustainStable/G#4/component_amplitude_mass_pie.png</t>
        </is>
      </c>
      <c r="E30" t="inlineStr">
        <is>
          <t>IOWA_Trb.T_pp.G#4_SustainStable/G#4/component_energy_ratio_pie.png</t>
        </is>
      </c>
      <c r="F30" s="15" t="n">
        <v>415.2317141664756</v>
      </c>
      <c r="G30" s="15" t="inlineStr">
        <is>
          <t>prior_constrained_harmonic_fit</t>
        </is>
      </c>
      <c r="H30" s="15" t="inlineStr">
        <is>
          <t>fit_accepted_acoustically_verified</t>
        </is>
      </c>
      <c r="I30" s="16" t="n">
        <v>361.5839563772596</v>
      </c>
      <c r="J30" t="inlineStr">
        <is>
          <t>richness_weighted_body_density_body_ceiling</t>
        </is>
      </c>
      <c r="K30" t="inlineStr">
        <is>
          <t>research_body_ceiling_richness_metric</t>
        </is>
      </c>
      <c r="L30" s="15" t="n">
        <v>44285.38407627111</v>
      </c>
      <c r="M30" s="15" t="n">
        <v>44285.75709899994</v>
      </c>
      <c r="N30" s="15" t="n">
        <v>93.59977118864758</v>
      </c>
      <c r="O30" s="15" t="n">
        <v>7.218265312148134</v>
      </c>
      <c r="P30" s="15" t="n">
        <v>-8.737758746570291</v>
      </c>
      <c r="Q30" s="15" t="n">
        <v>8</v>
      </c>
      <c r="R30" s="15" t="n">
        <v>19</v>
      </c>
      <c r="S30" s="15" t="n">
        <v>11071.4424116184</v>
      </c>
      <c r="T30" s="15" t="n">
        <v>49</v>
      </c>
      <c r="U30" s="15" t="n">
        <v>-1.118751302888564</v>
      </c>
      <c r="V30" s="15" t="n">
        <v>16.65006781972564</v>
      </c>
      <c r="W30" s="15" t="n">
        <v>0.9945371271904417</v>
      </c>
      <c r="X30" s="15" t="n">
        <v>0.1843682848729734</v>
      </c>
      <c r="Y30" s="15" t="n">
        <v>6</v>
      </c>
      <c r="Z30" s="15" t="n">
        <v>48</v>
      </c>
      <c r="AA30" s="15" t="n">
        <v>0.125</v>
      </c>
      <c r="AB30" s="15" t="n">
        <v>48</v>
      </c>
      <c r="AC30" s="15" t="n">
        <v>6</v>
      </c>
      <c r="AD30" s="15" t="n">
        <v>0.125</v>
      </c>
      <c r="AE30" s="15" t="n">
        <v>434.2527508102704</v>
      </c>
      <c r="AF30" s="15" t="n">
        <v>6</v>
      </c>
      <c r="AG30" s="15" t="n">
        <v>48</v>
      </c>
      <c r="AH30" s="15" t="n">
        <v>0.125</v>
      </c>
      <c r="AI30" s="15" t="n">
        <v>434.2527508102704</v>
      </c>
      <c r="AJ30" s="15" t="n">
        <v>3</v>
      </c>
      <c r="AK30" s="15" t="n">
        <v>3</v>
      </c>
      <c r="AL30" s="15" t="n">
        <v>3.508893961572392</v>
      </c>
      <c r="AM30" s="15" t="n">
        <v>26</v>
      </c>
      <c r="AN30" s="15" t="n">
        <v>1</v>
      </c>
      <c r="AO30" s="15" t="n">
        <v>26</v>
      </c>
      <c r="AP30" s="15" t="n">
        <v>1</v>
      </c>
      <c r="AQ30" s="15" t="n">
        <v>14.65395495622872</v>
      </c>
      <c r="AR30" s="15" t="n">
        <v>7.871421227983393</v>
      </c>
      <c r="AS30" s="15" t="n">
        <v>0.05031515851440177</v>
      </c>
      <c r="AT30" s="17" t="n">
        <v>2.495276754182871</v>
      </c>
      <c r="AU30" s="18" t="n">
        <v>6.847389919479371</v>
      </c>
      <c r="AV30" s="15" t="n">
        <v>8.439030441847681</v>
      </c>
      <c r="AW30" s="15" t="b">
        <v>1</v>
      </c>
      <c r="AX30" s="15" t="n">
        <v>4.319023641812767</v>
      </c>
      <c r="AY30" s="15" t="n">
        <v>12.52897011748221</v>
      </c>
      <c r="AZ30" s="15" t="n">
        <v>0.3804786588101453</v>
      </c>
      <c r="BA30" s="15" t="n">
        <v>1</v>
      </c>
      <c r="BB30" s="15" t="n">
        <v>0.5</v>
      </c>
      <c r="BC30" s="15" t="n">
        <v>0.25</v>
      </c>
      <c r="BD30" s="15" t="inlineStr">
        <is>
          <t>his_note_adaptive</t>
        </is>
      </c>
      <c r="BE30" s="15" t="n">
        <v>-90</v>
      </c>
      <c r="BF30" s="15" t="n">
        <v>20000</v>
      </c>
      <c r="BG30" s="15" t="n">
        <v>6</v>
      </c>
      <c r="BH30" s="15" t="n">
        <v>0.125</v>
      </c>
      <c r="BI30" s="15" t="n">
        <v>48</v>
      </c>
      <c r="BJ30" s="15" t="n">
        <v>6</v>
      </c>
      <c r="BK30" s="15" t="n">
        <v>48</v>
      </c>
      <c r="BL30" s="15" t="n">
        <v>44</v>
      </c>
      <c r="BM30" s="15" t="n">
        <v>0.9166666666666666</v>
      </c>
      <c r="BN30" s="15" t="n">
        <v>0.1168735873208869</v>
      </c>
      <c r="BO30" s="15" t="n">
        <v>0.2166666666666667</v>
      </c>
      <c r="BP30" s="19" t="n">
        <v>0.7751563841140321</v>
      </c>
      <c r="BQ30" s="19" t="n">
        <v>0.2248370855578846</v>
      </c>
      <c r="BR30" s="19" t="n">
        <v>6.530328083237613e-06</v>
      </c>
      <c r="BS30" s="15" t="n">
        <v>0.06284446916031187</v>
      </c>
      <c r="BT30" s="19" t="n">
        <v>0.9999915755411392</v>
      </c>
      <c r="BU30" s="19" t="n">
        <v>0</v>
      </c>
      <c r="BV30" s="19" t="n">
        <v>8.424458860931822e-06</v>
      </c>
      <c r="BW30" t="inlineStr">
        <is>
          <t>G#4</t>
        </is>
      </c>
      <c r="BX30" t="n">
        <v>68</v>
      </c>
      <c r="BY30" t="inlineStr">
        <is>
          <t>G#</t>
        </is>
      </c>
      <c r="BZ30" t="n">
        <v>4</v>
      </c>
      <c r="CA30" t="inlineStr">
        <is>
          <t>High</t>
        </is>
      </c>
      <c r="CB30" t="inlineStr">
        <is>
          <t>pp</t>
        </is>
      </c>
      <c r="CC30" s="15" t="n">
        <v>415.3046975799452</v>
      </c>
      <c r="CD30" s="15" t="n">
        <v>415.2317141664756</v>
      </c>
      <c r="CE30" t="inlineStr">
        <is>
          <t>prior_constrained_harmonic_fit</t>
        </is>
      </c>
      <c r="CF30" t="n">
        <v>415.2317141664756</v>
      </c>
      <c r="CG30" s="15" t="n">
        <v>1</v>
      </c>
      <c r="CH30" t="inlineStr">
        <is>
          <t>free_fit_acoustically_verified</t>
        </is>
      </c>
      <c r="CI30" s="15" t="inlineStr">
        <is>
          <t>free_f0_fit</t>
        </is>
      </c>
      <c r="CJ30" s="15" t="n">
        <v>415.3046975799452</v>
      </c>
      <c r="CK30" s="15" t="n">
        <v>415.2317141664756</v>
      </c>
      <c r="CL30" s="15" t="n">
        <v>-0.3042644944975292</v>
      </c>
      <c r="CM30" s="15" t="n">
        <v>20000</v>
      </c>
      <c r="CN30" s="15" t="n">
        <v>-0.3042644944975292</v>
      </c>
      <c r="CO30" s="15" t="n">
        <v>1.931082606184009</v>
      </c>
      <c r="CP30" s="15" t="n">
        <v>44285.38407627111</v>
      </c>
      <c r="CQ30" t="n">
        <v>1.567653101984983</v>
      </c>
      <c r="CR30" t="n">
        <v>0.03265943962468715</v>
      </c>
      <c r="CS30" t="n">
        <v>230.6530417471934</v>
      </c>
      <c r="CT30" t="n">
        <v>230.6549848906247</v>
      </c>
      <c r="CU30" t="n">
        <v>361.5839563772596</v>
      </c>
      <c r="CV30" t="n">
        <v>7.218265312148134</v>
      </c>
      <c r="CW30" s="15" t="n">
        <v>44285.75709899994</v>
      </c>
      <c r="CX30" s="15" t="n">
        <v>93.59977118864758</v>
      </c>
      <c r="CY30" s="15" t="n">
        <v>7.218265312148134</v>
      </c>
      <c r="CZ30" s="15" t="n">
        <v>2.495329638237536</v>
      </c>
      <c r="DA30" s="15" t="n">
        <v>2.495289849725051</v>
      </c>
      <c r="DB30" s="15" t="n">
        <v>1.44366350243605</v>
      </c>
      <c r="DC30" s="15" t="n">
        <v>0</v>
      </c>
      <c r="DD30" s="15" t="n">
        <v>5.634657326082845e-05</v>
      </c>
      <c r="DE30" s="15" t="n">
        <v>0</v>
      </c>
      <c r="DF30" s="15" t="n">
        <v>8</v>
      </c>
      <c r="DG30" s="15" t="inlineStr">
        <is>
          <t>Density_Metrics</t>
        </is>
      </c>
      <c r="DH30" s="15" t="n">
        <v>1.931082606184009</v>
      </c>
      <c r="DI30" t="n">
        <v>0.838026549729035</v>
      </c>
      <c r="DJ30" s="15" t="n">
        <v>0.5434815686527837</v>
      </c>
      <c r="DK30" s="15" t="n">
        <v>4.87977633391354</v>
      </c>
      <c r="DL30" s="15" t="n">
        <v>1.574797154663454</v>
      </c>
      <c r="DM30" s="15" t="n">
        <v>1.008178487439632</v>
      </c>
      <c r="DN30" s="15" t="n">
        <v>9.463869142884041</v>
      </c>
      <c r="DO30" s="15" t="n">
        <v>1.155858856002553</v>
      </c>
      <c r="DP30" s="15" t="n">
        <v>5.25</v>
      </c>
      <c r="DQ30" s="15" t="n">
        <v>25</v>
      </c>
      <c r="DR30" s="15" t="b">
        <v>1</v>
      </c>
      <c r="DS30" s="15" t="n">
        <v>1.567653101984983</v>
      </c>
      <c r="DT30" s="15" t="n">
        <v>8.849677673902722</v>
      </c>
      <c r="DU30" t="n">
        <v>48</v>
      </c>
      <c r="DV30" s="15" t="n">
        <v>0.06284446916031187</v>
      </c>
      <c r="DW30" s="15" t="n">
        <v>1.114023042118987</v>
      </c>
      <c r="DX30" s="15" t="n">
        <v>2.536665005961362</v>
      </c>
      <c r="DY30" s="15" t="n">
        <v>0.1580924688725995</v>
      </c>
      <c r="DZ30" s="15" t="b">
        <v>1</v>
      </c>
      <c r="EA30" s="15" t="n">
        <v>0.3688725566665828</v>
      </c>
      <c r="EB30" s="15" t="n">
        <v>20000</v>
      </c>
      <c r="EC30" s="15" t="n">
        <v>3737.08542749828</v>
      </c>
      <c r="ED30" s="15" t="n">
        <v>9</v>
      </c>
      <c r="EE30" s="15" t="n">
        <v>0</v>
      </c>
      <c r="EF30" s="15" t="n">
        <v>0.02592458410713607</v>
      </c>
      <c r="EG30" s="15" t="b">
        <v>0</v>
      </c>
      <c r="EH30" s="15" t="b">
        <v>1</v>
      </c>
      <c r="EI30" s="15" t="b">
        <v>0</v>
      </c>
      <c r="EJ30" s="15" t="inlineStr">
        <is>
          <t>wf=log|dst=-90.0|ceil=20000.0|fft=adaptive_tier</t>
        </is>
      </c>
      <c r="EK30" s="15" t="inlineStr">
        <is>
          <t>wf=log|dst=runtime_configured|ceil=runtime_configured|fft=fixed</t>
        </is>
      </c>
      <c r="EL30" s="15" t="n">
        <v>0.576493682210673</v>
      </c>
      <c r="EM30" s="15" t="n">
        <v>0.9999013219741533</v>
      </c>
      <c r="EN30" s="15" t="n">
        <v>0.163265306122449</v>
      </c>
      <c r="EO30" s="15" t="n">
        <v>0.3469761508972341</v>
      </c>
      <c r="EP30" s="15" t="inlineStr">
        <is>
          <t>warn:power_outlier_detected</t>
        </is>
      </c>
      <c r="EQ30" s="15" t="n">
        <v>752.1535229910826</v>
      </c>
      <c r="ER30" s="15" t="inlineStr">
        <is>
          <t>winsorize_p95_for_robust_diagnostics</t>
        </is>
      </c>
      <c r="ES30" s="15" t="n">
        <v>0.1011585378096457</v>
      </c>
      <c r="ET30" s="15" t="n">
        <v>0.01286649014851168</v>
      </c>
      <c r="EU30" s="15" t="n">
        <v>0.01352093043533333</v>
      </c>
      <c r="EV30" t="inlineStr">
        <is>
          <t>computed</t>
        </is>
      </c>
      <c r="EW30" s="15" t="inlineStr">
        <is>
          <t>computed</t>
        </is>
      </c>
      <c r="EX30" s="15" t="inlineStr">
        <is>
          <t>computed</t>
        </is>
      </c>
      <c r="EY30" s="15" t="inlineStr">
        <is>
          <t>available_from_curve</t>
        </is>
      </c>
      <c r="EZ30" s="15" t="n">
        <v>20000</v>
      </c>
      <c r="FA30" s="15" t="n">
        <v>20000</v>
      </c>
      <c r="FB30" s="15" t="n">
        <v>0.2248370855578846</v>
      </c>
      <c r="FC30" s="15" t="n">
        <v>0.2851351624439974</v>
      </c>
      <c r="FD30" s="15" t="n">
        <v>2.495289849725051</v>
      </c>
      <c r="FE30" s="15" t="n">
        <v>1.44366350243605</v>
      </c>
      <c r="FF30" s="15" t="n">
        <v>0.9408229817524393</v>
      </c>
      <c r="FG30" s="15" t="n">
        <v>1.233385455823458</v>
      </c>
      <c r="FH30" s="15" t="n">
        <v>0.6371052228931813</v>
      </c>
      <c r="FI30" s="15" t="n">
        <v>0.06059192746736949</v>
      </c>
      <c r="FJ30" s="15" t="n">
        <v>11071.43927474998</v>
      </c>
      <c r="FK30" s="15" t="n">
        <v>23.39994279716189</v>
      </c>
      <c r="FL30" s="15" t="n">
        <v>1.804566328037033</v>
      </c>
      <c r="FM30" s="15" t="n">
        <v>0.005129255442100159</v>
      </c>
      <c r="FN30" t="n">
        <v>0.9999915755411392</v>
      </c>
      <c r="FO30" t="n">
        <v>0</v>
      </c>
      <c r="FP30" t="n">
        <v>8.424458860931822e-06</v>
      </c>
      <c r="FQ30" t="inlineStr">
        <is>
          <t>excellent</t>
        </is>
      </c>
      <c r="FR30" s="19" t="n">
        <v>0.9166666666666666</v>
      </c>
      <c r="FS30" s="15" t="n">
        <v>2.883643662972007</v>
      </c>
      <c r="FT30" s="15" t="n">
        <v>11.25796320480601</v>
      </c>
      <c r="FU30" t="inlineStr">
        <is>
          <t>passed</t>
        </is>
      </c>
      <c r="FV30" t="n">
        <v>155.9083210149428</v>
      </c>
      <c r="FW30" t="n">
        <v>13.38780170203659</v>
      </c>
      <c r="FX30" t="n">
        <v>3.86307809066742</v>
      </c>
      <c r="FY30" t="n">
        <v>0.102439843394307</v>
      </c>
      <c r="FZ30" t="n">
        <v>0.1589144842458263</v>
      </c>
      <c r="GA30" t="n">
        <v>0.09853377068845057</v>
      </c>
      <c r="GB30" t="n">
        <v>0.04996777751022786</v>
      </c>
      <c r="GC30" t="n">
        <v>0.05056910604177259</v>
      </c>
      <c r="GD30" t="n">
        <v>0.03784392062465337</v>
      </c>
      <c r="GE30" t="n">
        <v>0.4490713549524605</v>
      </c>
      <c r="GF30" t="n">
        <v>0.35841862006903</v>
      </c>
      <c r="GG30" t="n">
        <v>0.1685875342690014</v>
      </c>
      <c r="GH30" t="n">
        <v>0.2619866712715131</v>
      </c>
      <c r="GI30" t="n">
        <v>0.3653846153846153</v>
      </c>
      <c r="GJ30" t="n">
        <v>0</v>
      </c>
      <c r="GK30" t="n">
        <v>0.1627906976744188</v>
      </c>
      <c r="GL30" t="n">
        <v>0.7299364886006054</v>
      </c>
      <c r="GM30" t="n">
        <v>0.7299364886006054</v>
      </c>
      <c r="GN30" t="n">
        <v>0.2167263641595019</v>
      </c>
      <c r="GO30" t="n">
        <v>0.09880604355905544</v>
      </c>
      <c r="GP30" t="n">
        <v>361.5839563772596</v>
      </c>
      <c r="GQ30" t="inlineStr">
        <is>
          <t>compiled workbook density_weighted_sum = density_component_ratio_weighted_sum (per-note component ratios); research density_weighted_sum maps body-ceiling richness</t>
        </is>
      </c>
      <c r="GR30" s="15" t="inlineStr">
        <is>
          <t>individual_exact</t>
        </is>
      </c>
      <c r="GS30" s="15" t="inlineStr">
        <is>
          <t>density_weight</t>
        </is>
      </c>
      <c r="GT30" s="15" t="n">
        <v>0.5672838517081564</v>
      </c>
      <c r="GU30" s="15" t="n">
        <v>0.4327014279075177</v>
      </c>
      <c r="GV30" s="15" t="n">
        <v>1.472038432569364e-05</v>
      </c>
      <c r="GW30" s="15" t="inlineStr">
        <is>
          <t>log</t>
        </is>
      </c>
      <c r="GX30" s="15" t="n">
        <v>0.5</v>
      </c>
      <c r="GY30" s="15" t="inlineStr">
        <is>
          <t>EWSD-R v18.1</t>
        </is>
      </c>
      <c r="GZ30" s="15" t="n">
        <v>1.815163644544697</v>
      </c>
      <c r="HA30" s="15" t="n">
        <v>16.05303777065529</v>
      </c>
      <c r="HB30" s="15" t="n">
        <v>0.5643157337263321</v>
      </c>
      <c r="HC30" s="15" t="n">
        <v>3.239083925158435</v>
      </c>
      <c r="HD30" s="15" t="n">
        <v>18.98214384471596</v>
      </c>
      <c r="HE30" s="15" t="n">
        <v>0.5003863972678104</v>
      </c>
      <c r="HF30" s="15" t="inlineStr">
        <is>
          <t>partials+ratios</t>
        </is>
      </c>
      <c r="HG30" s="15" t="inlineStr">
        <is>
          <t>merged_individual_exact</t>
        </is>
      </c>
      <c r="HH30" s="15" t="inlineStr">
        <is>
          <t>passed</t>
        </is>
      </c>
      <c r="HI30" s="15" t="inlineStr">
        <is>
          <t>passed</t>
        </is>
      </c>
    </row>
    <row r="31">
      <c r="A31" t="inlineStr">
        <is>
          <t>incomplete_inference</t>
        </is>
      </c>
      <c r="B31" t="inlineStr">
        <is>
          <t>missing_instrument_technique</t>
        </is>
      </c>
      <c r="C31" t="inlineStr">
        <is>
          <t>prior_constrained_harmonic_fit</t>
        </is>
      </c>
      <c r="D31" t="inlineStr">
        <is>
          <t>IOWA_Trb.T_pp.A4_SustainStable/A4/component_amplitude_mass_pie.png</t>
        </is>
      </c>
      <c r="E31" t="inlineStr">
        <is>
          <t>IOWA_Trb.T_pp.A4_SustainStable/A4/component_energy_ratio_pie.png</t>
        </is>
      </c>
      <c r="F31" s="15" t="n">
        <v>439.6186722182108</v>
      </c>
      <c r="G31" s="15" t="inlineStr">
        <is>
          <t>prior_constrained_harmonic_fit</t>
        </is>
      </c>
      <c r="H31" s="15" t="inlineStr">
        <is>
          <t>fit_accepted_acoustically_verified</t>
        </is>
      </c>
      <c r="I31" s="16" t="n">
        <v>312.074536055743</v>
      </c>
      <c r="J31" t="inlineStr">
        <is>
          <t>richness_weighted_body_density_body_ceiling</t>
        </is>
      </c>
      <c r="K31" t="inlineStr">
        <is>
          <t>research_body_ceiling_richness_metric</t>
        </is>
      </c>
      <c r="L31" s="15" t="n">
        <v>42273.73392319664</v>
      </c>
      <c r="M31" s="15" t="n">
        <v>42274.20744972765</v>
      </c>
      <c r="N31" s="15" t="n">
        <v>153.4137631402153</v>
      </c>
      <c r="O31" s="15" t="n">
        <v>8.548414466345005</v>
      </c>
      <c r="P31" s="15" t="n">
        <v>-7.793564810498625</v>
      </c>
      <c r="Q31" s="15" t="n">
        <v>10</v>
      </c>
      <c r="R31" s="15" t="n">
        <v>14</v>
      </c>
      <c r="S31" s="15" t="n">
        <v>10568.55399722214</v>
      </c>
      <c r="T31" s="15" t="n">
        <v>46</v>
      </c>
      <c r="U31" s="15" t="n">
        <v>-1.220989981613225</v>
      </c>
      <c r="V31" s="15" t="n">
        <v>15.39070856114897</v>
      </c>
      <c r="W31" s="15" t="n">
        <v>0.9944194499589742</v>
      </c>
      <c r="X31" s="15" t="n">
        <v>0.17013778519072</v>
      </c>
      <c r="Y31" s="15" t="n">
        <v>6</v>
      </c>
      <c r="Z31" s="15" t="n">
        <v>45</v>
      </c>
      <c r="AA31" s="15" t="n">
        <v>0.1333333333333333</v>
      </c>
      <c r="AB31" s="15" t="n">
        <v>45</v>
      </c>
      <c r="AC31" s="15" t="n">
        <v>6</v>
      </c>
      <c r="AD31" s="15" t="n">
        <v>0.1333333333333333</v>
      </c>
      <c r="AE31" s="15" t="n">
        <v>404.970813556495</v>
      </c>
      <c r="AF31" s="15" t="n">
        <v>6</v>
      </c>
      <c r="AG31" s="15" t="n">
        <v>45</v>
      </c>
      <c r="AH31" s="15" t="n">
        <v>0.1333333333333333</v>
      </c>
      <c r="AI31" s="15" t="n">
        <v>404.970813556495</v>
      </c>
      <c r="AJ31" s="15" t="n">
        <v>3</v>
      </c>
      <c r="AK31" s="15" t="n">
        <v>3</v>
      </c>
      <c r="AL31" s="15" t="n">
        <v>6.485752594916788</v>
      </c>
      <c r="AM31" s="15" t="n">
        <v>24</v>
      </c>
      <c r="AN31" s="15" t="n">
        <v>1</v>
      </c>
      <c r="AO31" s="15" t="n">
        <v>24</v>
      </c>
      <c r="AP31" s="15" t="n">
        <v>1</v>
      </c>
      <c r="AQ31" s="15" t="n">
        <v>13.79554494251104</v>
      </c>
      <c r="AR31" s="15" t="n">
        <v>7.657190160576958</v>
      </c>
      <c r="AS31" s="15" t="n">
        <v>0.04176876989816199</v>
      </c>
      <c r="AT31" s="17" t="n">
        <v>2.465512427843647</v>
      </c>
      <c r="AU31" s="18" t="n">
        <v>6.371419132047588</v>
      </c>
      <c r="AV31" s="15" t="n">
        <v>8.059306207098194</v>
      </c>
      <c r="AW31" s="15" t="b">
        <v>1</v>
      </c>
      <c r="AX31" s="15" t="n">
        <v>4.242885542538818</v>
      </c>
      <c r="AY31" s="15" t="n">
        <v>12.12661641252177</v>
      </c>
      <c r="AZ31" s="15" t="n">
        <v>0.3875655461362071</v>
      </c>
      <c r="BA31" s="15" t="n">
        <v>1</v>
      </c>
      <c r="BB31" s="15" t="n">
        <v>0.5</v>
      </c>
      <c r="BC31" s="15" t="n">
        <v>0.25</v>
      </c>
      <c r="BD31" s="15" t="inlineStr">
        <is>
          <t>his_note_adaptive</t>
        </is>
      </c>
      <c r="BE31" s="15" t="n">
        <v>-90</v>
      </c>
      <c r="BF31" s="15" t="n">
        <v>20000</v>
      </c>
      <c r="BG31" s="15" t="n">
        <v>6</v>
      </c>
      <c r="BH31" s="15" t="n">
        <v>0.1333333333333333</v>
      </c>
      <c r="BI31" s="15" t="n">
        <v>45</v>
      </c>
      <c r="BJ31" s="15" t="n">
        <v>6</v>
      </c>
      <c r="BK31" s="15" t="n">
        <v>45</v>
      </c>
      <c r="BL31" s="15" t="n">
        <v>42</v>
      </c>
      <c r="BM31" s="15" t="n">
        <v>0.9333333333333333</v>
      </c>
      <c r="BN31" s="15" t="n">
        <v>0.09877618992288578</v>
      </c>
      <c r="BO31" s="15" t="n">
        <v>0.2</v>
      </c>
      <c r="BP31" s="19" t="n">
        <v>0.759848268968166</v>
      </c>
      <c r="BQ31" s="19" t="n">
        <v>0.2401432179184864</v>
      </c>
      <c r="BR31" s="19" t="n">
        <v>8.513113347624861e-06</v>
      </c>
      <c r="BS31" s="15" t="n">
        <v>0.06320749477569972</v>
      </c>
      <c r="BT31" s="19" t="n">
        <v>0.9999887964238151</v>
      </c>
      <c r="BU31" s="19" t="n">
        <v>0</v>
      </c>
      <c r="BV31" s="19" t="n">
        <v>1.120357618484955e-05</v>
      </c>
      <c r="BW31" t="inlineStr">
        <is>
          <t>A4</t>
        </is>
      </c>
      <c r="BX31" t="n">
        <v>69</v>
      </c>
      <c r="BY31" t="inlineStr">
        <is>
          <t>A</t>
        </is>
      </c>
      <c r="BZ31" t="n">
        <v>4</v>
      </c>
      <c r="CA31" t="inlineStr">
        <is>
          <t>High</t>
        </is>
      </c>
      <c r="CB31" t="inlineStr">
        <is>
          <t>pp</t>
        </is>
      </c>
      <c r="CC31" s="15" t="n">
        <v>439.9999999999999</v>
      </c>
      <c r="CD31" s="15" t="n">
        <v>439.6186722182108</v>
      </c>
      <c r="CE31" t="inlineStr">
        <is>
          <t>prior_constrained_harmonic_fit</t>
        </is>
      </c>
      <c r="CF31" t="n">
        <v>439.6186722182108</v>
      </c>
      <c r="CG31" s="15" t="n">
        <v>1</v>
      </c>
      <c r="CH31" t="inlineStr">
        <is>
          <t>free_fit_acoustically_verified</t>
        </is>
      </c>
      <c r="CI31" s="15" t="inlineStr">
        <is>
          <t>free_f0_fit</t>
        </is>
      </c>
      <c r="CJ31" s="15" t="n">
        <v>439.9999999999999</v>
      </c>
      <c r="CK31" s="15" t="n">
        <v>439.6186722182108</v>
      </c>
      <c r="CL31" s="15" t="n">
        <v>-1.501031530810764</v>
      </c>
      <c r="CM31" s="15" t="n">
        <v>20000</v>
      </c>
      <c r="CN31" s="15" t="n">
        <v>-1.501031530810764</v>
      </c>
      <c r="CO31" s="15" t="n">
        <v>1.955287188497473</v>
      </c>
      <c r="CP31" s="15" t="n">
        <v>42273.73392319664</v>
      </c>
      <c r="CQ31" t="n">
        <v>1.328801868303218</v>
      </c>
      <c r="CR31" t="n">
        <v>0.02952893040673818</v>
      </c>
      <c r="CS31" t="n">
        <v>234.8540768190213</v>
      </c>
      <c r="CT31" t="n">
        <v>234.8567080540425</v>
      </c>
      <c r="CU31" t="n">
        <v>312.074536055743</v>
      </c>
      <c r="CV31" t="n">
        <v>8.548414466345005</v>
      </c>
      <c r="CW31" s="15" t="n">
        <v>42274.20744972765</v>
      </c>
      <c r="CX31" s="15" t="n">
        <v>153.4137631402153</v>
      </c>
      <c r="CY31" s="15" t="n">
        <v>8.548414466345005</v>
      </c>
      <c r="CZ31" s="15" t="n">
        <v>2.465597253388363</v>
      </c>
      <c r="DA31" s="15" t="n">
        <v>2.465529103318775</v>
      </c>
      <c r="DB31" s="15" t="n">
        <v>1.526546181646119</v>
      </c>
      <c r="DC31" s="15" t="n">
        <v>0</v>
      </c>
      <c r="DD31" s="15" t="n">
        <v>5.832456763502098e-05</v>
      </c>
      <c r="DE31" s="15" t="n">
        <v>0</v>
      </c>
      <c r="DF31" s="15" t="n">
        <v>10</v>
      </c>
      <c r="DG31" s="15" t="inlineStr">
        <is>
          <t>Density_Metrics</t>
        </is>
      </c>
      <c r="DH31" s="15" t="n">
        <v>1.955287188497473</v>
      </c>
      <c r="DI31" t="n">
        <v>0.8485305450210169</v>
      </c>
      <c r="DJ31" s="15" t="n">
        <v>0.5397674606305921</v>
      </c>
      <c r="DK31" s="15" t="n">
        <v>4.969197931945339</v>
      </c>
      <c r="DL31" s="15" t="n">
        <v>1.338999773800341</v>
      </c>
      <c r="DM31" s="15" t="n">
        <v>1.012226990426311</v>
      </c>
      <c r="DN31" s="15" t="n">
        <v>8.733033508541864</v>
      </c>
      <c r="DO31" s="15" t="n">
        <v>1.307964943244953</v>
      </c>
      <c r="DP31" s="15" t="n">
        <v>7.3125</v>
      </c>
      <c r="DQ31" s="15" t="n">
        <v>26</v>
      </c>
      <c r="DR31" s="15" t="b">
        <v>1</v>
      </c>
      <c r="DS31" s="15" t="n">
        <v>1.328801868303218</v>
      </c>
      <c r="DT31" s="15" t="n">
        <v>7.6562003335824</v>
      </c>
      <c r="DU31" t="n">
        <v>45</v>
      </c>
      <c r="DV31" s="15" t="n">
        <v>0.06320749477569972</v>
      </c>
      <c r="DW31" s="15" t="n">
        <v>1.148338064206246</v>
      </c>
      <c r="DX31" s="15" t="n">
        <v>2.537369640211882</v>
      </c>
      <c r="DY31" s="15" t="n">
        <v>0.1658966810973053</v>
      </c>
      <c r="DZ31" s="15" t="b">
        <v>1</v>
      </c>
      <c r="EA31" s="15" t="n">
        <v>0.1229609723676637</v>
      </c>
      <c r="EB31" s="15" t="n">
        <v>20000</v>
      </c>
      <c r="EC31" s="15" t="n">
        <v>4396.186722182108</v>
      </c>
      <c r="ED31" s="15" t="n">
        <v>10</v>
      </c>
      <c r="EE31" s="15" t="n">
        <v>0</v>
      </c>
      <c r="EF31" s="15" t="n">
        <v>0.02446954900568182</v>
      </c>
      <c r="EG31" s="15" t="b">
        <v>0</v>
      </c>
      <c r="EH31" s="15" t="b">
        <v>1</v>
      </c>
      <c r="EI31" s="15" t="b">
        <v>0</v>
      </c>
      <c r="EJ31" s="15" t="inlineStr">
        <is>
          <t>wf=log|dst=-90.0|ceil=20000.0|fft=adaptive_tier</t>
        </is>
      </c>
      <c r="EK31" s="15" t="inlineStr">
        <is>
          <t>wf=log|dst=runtime_configured|ceil=runtime_configured|fft=fixed</t>
        </is>
      </c>
      <c r="EL31" s="15" t="n">
        <v>0.5936551187526162</v>
      </c>
      <c r="EM31" s="15" t="n">
        <v>0.9980726920704392</v>
      </c>
      <c r="EN31" s="15" t="n">
        <v>0.2173913043478261</v>
      </c>
      <c r="EO31" s="15" t="n">
        <v>0.3421772539958974</v>
      </c>
      <c r="EP31" s="15" t="inlineStr">
        <is>
          <t>warn:power_outlier_detected</t>
        </is>
      </c>
      <c r="EQ31" s="15" t="n">
        <v>826.4922767303932</v>
      </c>
      <c r="ER31" s="15" t="inlineStr">
        <is>
          <t>winsorize_p95_for_robust_diagnostics</t>
        </is>
      </c>
      <c r="ES31" s="15" t="n">
        <v>0.1189919319845098</v>
      </c>
      <c r="ET31" s="15" t="n">
        <v>0.0137720307202801</v>
      </c>
      <c r="EU31" s="15" t="n">
        <v>0.01482052781028249</v>
      </c>
      <c r="EV31" t="inlineStr">
        <is>
          <t>computed</t>
        </is>
      </c>
      <c r="EW31" s="15" t="inlineStr">
        <is>
          <t>computed</t>
        </is>
      </c>
      <c r="EX31" s="15" t="inlineStr">
        <is>
          <t>computed</t>
        </is>
      </c>
      <c r="EY31" s="15" t="inlineStr">
        <is>
          <t>available_from_curve</t>
        </is>
      </c>
      <c r="EZ31" s="15" t="n">
        <v>20000</v>
      </c>
      <c r="FA31" s="15" t="n">
        <v>20000</v>
      </c>
      <c r="FB31" s="15" t="n">
        <v>0.2401432179184864</v>
      </c>
      <c r="FC31" s="15" t="n">
        <v>0.2307810589330247</v>
      </c>
      <c r="FD31" s="15" t="n">
        <v>2.465529103318775</v>
      </c>
      <c r="FE31" s="15" t="n">
        <v>1.526546181646119</v>
      </c>
      <c r="FF31" s="15" t="n">
        <v>0.977122646980445</v>
      </c>
      <c r="FG31" s="15" t="n">
        <v>1.218675152018073</v>
      </c>
      <c r="FH31" s="15" t="n">
        <v>0.6736822976221685</v>
      </c>
      <c r="FI31" s="15" t="n">
        <v>0.06292973885723184</v>
      </c>
      <c r="FJ31" s="15" t="n">
        <v>10568.55186243191</v>
      </c>
      <c r="FK31" s="15" t="n">
        <v>38.35344078505383</v>
      </c>
      <c r="FL31" s="15" t="n">
        <v>2.137103616586251</v>
      </c>
      <c r="FM31" s="15" t="n">
        <v>0.004895742985789695</v>
      </c>
      <c r="FN31" t="n">
        <v>0.9999887964238151</v>
      </c>
      <c r="FO31" t="n">
        <v>0</v>
      </c>
      <c r="FP31" t="n">
        <v>1.120357618484955e-05</v>
      </c>
      <c r="FQ31" t="inlineStr">
        <is>
          <t>excellent</t>
        </is>
      </c>
      <c r="FR31" s="19" t="n">
        <v>0.9333333333333333</v>
      </c>
      <c r="FS31" s="15" t="n">
        <v>2.220149236673543</v>
      </c>
      <c r="FT31" s="15" t="n">
        <v>17.64527479489259</v>
      </c>
      <c r="FU31" t="inlineStr">
        <is>
          <t>passed</t>
        </is>
      </c>
      <c r="FV31" t="n">
        <v>145.5491748565031</v>
      </c>
      <c r="FW31" t="n">
        <v>16.30800567308231</v>
      </c>
      <c r="FX31" t="n">
        <v>4.243431696716423</v>
      </c>
      <c r="FY31" t="n">
        <v>0.1606467139862749</v>
      </c>
      <c r="FZ31" t="n">
        <v>0.1307134562983614</v>
      </c>
      <c r="GA31" t="n">
        <v>0.1701939824644173</v>
      </c>
      <c r="GB31" t="n">
        <v>0.01474777769424448</v>
      </c>
      <c r="GC31" t="n">
        <v>0.01454235288986203</v>
      </c>
      <c r="GD31" t="n">
        <v>0.02285310074765872</v>
      </c>
      <c r="GE31" t="n">
        <v>0.4343642015635649</v>
      </c>
      <c r="GF31" t="n">
        <v>0.2797072181619493</v>
      </c>
      <c r="GG31" t="n">
        <v>0.172298398951504</v>
      </c>
      <c r="GH31" t="n">
        <v>0.2312531604974689</v>
      </c>
      <c r="GI31" t="n">
        <v>0.4547008547008543</v>
      </c>
      <c r="GJ31" t="n">
        <v>0.6400000000000001</v>
      </c>
      <c r="GK31" t="n">
        <v>0.116279069767442</v>
      </c>
      <c r="GL31" t="n">
        <v>0.8721895686501212</v>
      </c>
      <c r="GM31" t="n">
        <v>0.8721895686501212</v>
      </c>
      <c r="GN31" t="n">
        <v>0.1195873490256132</v>
      </c>
      <c r="GO31" t="n">
        <v>0.0762830389401075</v>
      </c>
      <c r="GP31" t="n">
        <v>312.074536055743</v>
      </c>
      <c r="GQ31" t="inlineStr">
        <is>
          <t>compiled workbook density_weighted_sum = density_component_ratio_weighted_sum (per-note component ratios); research density_weighted_sum maps body-ceiling richness</t>
        </is>
      </c>
      <c r="GR31" s="15" t="inlineStr">
        <is>
          <t>individual_exact</t>
        </is>
      </c>
      <c r="GS31" s="15" t="inlineStr">
        <is>
          <t>density_weight</t>
        </is>
      </c>
      <c r="GT31" s="15" t="n">
        <v>0.5668930624573939</v>
      </c>
      <c r="GU31" s="15" t="n">
        <v>0.4330904187053942</v>
      </c>
      <c r="GV31" s="15" t="n">
        <v>1.651883721189222e-05</v>
      </c>
      <c r="GW31" s="15" t="inlineStr">
        <is>
          <t>log</t>
        </is>
      </c>
      <c r="GX31" s="15" t="n">
        <v>0.5</v>
      </c>
      <c r="GY31" s="15" t="inlineStr">
        <is>
          <t>EWSD-R v18.1</t>
        </is>
      </c>
      <c r="GZ31" s="15" t="n">
        <v>1.618356778373717</v>
      </c>
      <c r="HA31" s="15" t="n">
        <v>14.50589680911604</v>
      </c>
      <c r="HB31" s="15" t="n">
        <v>0.5281092591877475</v>
      </c>
      <c r="HC31" s="15" t="n">
        <v>3.128289029883708</v>
      </c>
      <c r="HD31" s="15" t="n">
        <v>18.27621082368858</v>
      </c>
      <c r="HE31" s="15" t="n">
        <v>0.4971543737383941</v>
      </c>
      <c r="HF31" s="15" t="inlineStr">
        <is>
          <t>partials+ratios</t>
        </is>
      </c>
      <c r="HG31" s="15" t="inlineStr">
        <is>
          <t>merged_individual_exact</t>
        </is>
      </c>
      <c r="HH31" s="15" t="inlineStr">
        <is>
          <t>passed</t>
        </is>
      </c>
      <c r="HI31" s="15" t="inlineStr">
        <is>
          <t>passed</t>
        </is>
      </c>
    </row>
    <row r="32">
      <c r="A32" t="inlineStr">
        <is>
          <t>incomplete_inference</t>
        </is>
      </c>
      <c r="B32" t="inlineStr">
        <is>
          <t>missing_instrument_technique</t>
        </is>
      </c>
      <c r="C32" t="inlineStr">
        <is>
          <t>prior_constrained_harmonic_fit</t>
        </is>
      </c>
      <c r="D32" t="inlineStr">
        <is>
          <t>IOWA_Trb.T_pp.A#4_SustainStable/A#4/component_amplitude_mass_pie.png</t>
        </is>
      </c>
      <c r="E32" t="inlineStr">
        <is>
          <t>IOWA_Trb.T_pp.A#4_SustainStable/A#4/component_energy_ratio_pie.png</t>
        </is>
      </c>
      <c r="F32" s="15" t="n">
        <v>466.3046722624817</v>
      </c>
      <c r="G32" s="15" t="inlineStr">
        <is>
          <t>prior_constrained_harmonic_fit</t>
        </is>
      </c>
      <c r="H32" s="15" t="inlineStr">
        <is>
          <t>fit_accepted_acoustically_verified</t>
        </is>
      </c>
      <c r="I32" s="16" t="n">
        <v>310.5536085443335</v>
      </c>
      <c r="J32" t="inlineStr">
        <is>
          <t>richness_weighted_body_density_body_ceiling</t>
        </is>
      </c>
      <c r="K32" t="inlineStr">
        <is>
          <t>research_body_ceiling_richness_metric</t>
        </is>
      </c>
      <c r="L32" s="15" t="n">
        <v>42220.90848910846</v>
      </c>
      <c r="M32" s="15" t="n">
        <v>42221.29019212964</v>
      </c>
      <c r="N32" s="15" t="n">
        <v>71.46988797071126</v>
      </c>
      <c r="O32" s="15" t="n">
        <v>6.179474568375727</v>
      </c>
      <c r="P32" s="15" t="n">
        <v>-8.778381723644067</v>
      </c>
      <c r="Q32" s="15" t="n">
        <v>9</v>
      </c>
      <c r="R32" s="15" t="n">
        <v>13</v>
      </c>
      <c r="S32" s="15" t="n">
        <v>10555.32424242852</v>
      </c>
      <c r="T32" s="15" t="n">
        <v>43</v>
      </c>
      <c r="U32" s="15" t="n">
        <v>-0.8827801987644371</v>
      </c>
      <c r="V32" s="15" t="n">
        <v>13.68959816131867</v>
      </c>
      <c r="W32" s="15" t="n">
        <v>0.9960932651229523</v>
      </c>
      <c r="X32" s="15" t="n">
        <v>0.1909903550106955</v>
      </c>
      <c r="Y32" s="15" t="n">
        <v>5</v>
      </c>
      <c r="Z32" s="15" t="n">
        <v>42</v>
      </c>
      <c r="AA32" s="15" t="n">
        <v>0.119047619047619</v>
      </c>
      <c r="AB32" s="15" t="n">
        <v>42</v>
      </c>
      <c r="AC32" s="15" t="n">
        <v>5</v>
      </c>
      <c r="AD32" s="15" t="n">
        <v>0.119047619047619</v>
      </c>
      <c r="AE32" s="15" t="n">
        <v>388.0022346515217</v>
      </c>
      <c r="AF32" s="15" t="n">
        <v>5</v>
      </c>
      <c r="AG32" s="15" t="n">
        <v>42</v>
      </c>
      <c r="AH32" s="15" t="n">
        <v>0.119047619047619</v>
      </c>
      <c r="AI32" s="15" t="n">
        <v>388.0022346515217</v>
      </c>
      <c r="AJ32" s="15" t="n">
        <v>3</v>
      </c>
      <c r="AK32" s="15" t="n">
        <v>2</v>
      </c>
      <c r="AL32" s="15" t="n">
        <v>8.946433760819353</v>
      </c>
      <c r="AM32" s="15" t="n">
        <v>25</v>
      </c>
      <c r="AN32" s="15" t="n">
        <v>1</v>
      </c>
      <c r="AO32" s="15" t="n">
        <v>25</v>
      </c>
      <c r="AP32" s="15" t="n">
        <v>1</v>
      </c>
      <c r="AQ32" s="15" t="n">
        <v>14.16543999801165</v>
      </c>
      <c r="AR32" s="15" t="n">
        <v>7.275057712892714</v>
      </c>
      <c r="AS32" s="15" t="n">
        <v>0.02652423771932281</v>
      </c>
      <c r="AT32" s="17" t="n">
        <v>2.447101163784274</v>
      </c>
      <c r="AU32" s="18" t="n">
        <v>5.933888088598239</v>
      </c>
      <c r="AV32" s="15" t="n">
        <v>7.477055290362989</v>
      </c>
      <c r="AW32" s="15" t="b">
        <v>1</v>
      </c>
      <c r="AX32" s="15" t="n">
        <v>3.738260597953607</v>
      </c>
      <c r="AY32" s="15" t="n">
        <v>11.45599284275694</v>
      </c>
      <c r="AZ32" s="15" t="n">
        <v>0.3778110970813084</v>
      </c>
      <c r="BA32" s="15" t="n">
        <v>1</v>
      </c>
      <c r="BB32" s="15" t="n">
        <v>0.5</v>
      </c>
      <c r="BC32" s="15" t="n">
        <v>0.25</v>
      </c>
      <c r="BD32" s="15" t="inlineStr">
        <is>
          <t>his_note_adaptive</t>
        </is>
      </c>
      <c r="BE32" s="15" t="n">
        <v>-90</v>
      </c>
      <c r="BF32" s="15" t="n">
        <v>20000</v>
      </c>
      <c r="BG32" s="15" t="n">
        <v>5</v>
      </c>
      <c r="BH32" s="15" t="n">
        <v>0.119047619047619</v>
      </c>
      <c r="BI32" s="15" t="n">
        <v>42</v>
      </c>
      <c r="BJ32" s="15" t="n">
        <v>5</v>
      </c>
      <c r="BK32" s="15" t="n">
        <v>42</v>
      </c>
      <c r="BL32" s="15" t="n">
        <v>39</v>
      </c>
      <c r="BM32" s="15" t="n">
        <v>0.9285714285714286</v>
      </c>
      <c r="BN32" s="15" t="n">
        <v>0.1187308941695231</v>
      </c>
      <c r="BO32" s="15" t="n">
        <v>0.2083333333333333</v>
      </c>
      <c r="BP32" s="19" t="n">
        <v>0.7594734653238071</v>
      </c>
      <c r="BQ32" s="19" t="n">
        <v>0.2405196675631502</v>
      </c>
      <c r="BR32" s="19" t="n">
        <v>6.86711304272667e-06</v>
      </c>
      <c r="BS32" s="15" t="n">
        <v>0.06597703974095043</v>
      </c>
      <c r="BT32" s="19" t="n">
        <v>0.9999909581423647</v>
      </c>
      <c r="BU32" s="19" t="n">
        <v>0</v>
      </c>
      <c r="BV32" s="19" t="n">
        <v>9.041857635329439e-06</v>
      </c>
      <c r="BW32" t="inlineStr">
        <is>
          <t>A#4</t>
        </is>
      </c>
      <c r="BX32" t="n">
        <v>70</v>
      </c>
      <c r="BY32" t="inlineStr">
        <is>
          <t>A#</t>
        </is>
      </c>
      <c r="BZ32" t="n">
        <v>4</v>
      </c>
      <c r="CA32" t="inlineStr">
        <is>
          <t>High</t>
        </is>
      </c>
      <c r="CB32" t="inlineStr">
        <is>
          <t>pp</t>
        </is>
      </c>
      <c r="CC32" s="15" t="n">
        <v>466.1637615180898</v>
      </c>
      <c r="CD32" s="15" t="n">
        <v>466.3046722624817</v>
      </c>
      <c r="CE32" t="inlineStr">
        <is>
          <t>prior_constrained_harmonic_fit</t>
        </is>
      </c>
      <c r="CF32" t="n">
        <v>466.3046722624817</v>
      </c>
      <c r="CG32" s="15" t="n">
        <v>1</v>
      </c>
      <c r="CH32" t="inlineStr">
        <is>
          <t>free_fit_acoustically_verified</t>
        </is>
      </c>
      <c r="CI32" s="15" t="inlineStr">
        <is>
          <t>free_f0_fit</t>
        </is>
      </c>
      <c r="CJ32" s="15" t="n">
        <v>466.1637615180898</v>
      </c>
      <c r="CK32" s="15" t="n">
        <v>466.3046722624817</v>
      </c>
      <c r="CL32" s="15" t="n">
        <v>0.523233755889058</v>
      </c>
      <c r="CM32" s="15" t="n">
        <v>20000</v>
      </c>
      <c r="CN32" s="15" t="n">
        <v>0.523233755889058</v>
      </c>
      <c r="CO32" s="15" t="n">
        <v>1.8884843081412</v>
      </c>
      <c r="CP32" s="15" t="n">
        <v>42220.90848910846</v>
      </c>
      <c r="CQ32" t="n">
        <v>1.235714914044332</v>
      </c>
      <c r="CR32" t="n">
        <v>0.02942178366772219</v>
      </c>
      <c r="CS32" t="n">
        <v>251.3149311502056</v>
      </c>
      <c r="CT32" t="n">
        <v>251.3172035245812</v>
      </c>
      <c r="CU32" t="n">
        <v>310.5536085443335</v>
      </c>
      <c r="CV32" t="n">
        <v>6.179474568375727</v>
      </c>
      <c r="CW32" s="15" t="n">
        <v>42221.29019212964</v>
      </c>
      <c r="CX32" s="15" t="n">
        <v>71.46988797071126</v>
      </c>
      <c r="CY32" s="15" t="n">
        <v>6.179474568375727</v>
      </c>
      <c r="CZ32" s="15" t="n">
        <v>2.447148742648082</v>
      </c>
      <c r="DA32" s="15" t="n">
        <v>2.447114995184177</v>
      </c>
      <c r="DB32" s="15" t="n">
        <v>1.404511739825526</v>
      </c>
      <c r="DC32" s="15" t="n">
        <v>0</v>
      </c>
      <c r="DD32" s="15" t="n">
        <v>5.796058943827231e-05</v>
      </c>
      <c r="DE32" s="15" t="n">
        <v>0</v>
      </c>
      <c r="DF32" s="15" t="n">
        <v>9</v>
      </c>
      <c r="DG32" s="15" t="inlineStr">
        <is>
          <t>Density_Metrics</t>
        </is>
      </c>
      <c r="DH32" s="15" t="n">
        <v>1.8884843081412</v>
      </c>
      <c r="DI32" t="n">
        <v>0.8195402847609675</v>
      </c>
      <c r="DJ32" s="15" t="n">
        <v>0.5374540290501243</v>
      </c>
      <c r="DK32" s="15" t="n">
        <v>4.769033957589734</v>
      </c>
      <c r="DL32" s="15" t="n">
        <v>1.240263619001267</v>
      </c>
      <c r="DM32" s="15" t="n">
        <v>1.004954450055686</v>
      </c>
      <c r="DN32" s="15" t="n">
        <v>9.772437898967222</v>
      </c>
      <c r="DO32" s="15" t="n">
        <v>1.562618967909121</v>
      </c>
      <c r="DP32" s="15" t="n">
        <v>6.8125</v>
      </c>
      <c r="DQ32" s="15" t="n">
        <v>27</v>
      </c>
      <c r="DR32" s="15" t="b">
        <v>1</v>
      </c>
      <c r="DS32" s="15" t="n">
        <v>1.235714914044332</v>
      </c>
      <c r="DT32" s="15" t="n">
        <v>8.021594910449211</v>
      </c>
      <c r="DU32" t="n">
        <v>42</v>
      </c>
      <c r="DV32" s="15" t="n">
        <v>0.06597703974095043</v>
      </c>
      <c r="DW32" s="15" t="n">
        <v>1.033148535082937</v>
      </c>
      <c r="DX32" s="15" t="n">
        <v>2.553392032564295</v>
      </c>
      <c r="DY32" s="15" t="n">
        <v>0.1801880358294522</v>
      </c>
      <c r="DZ32" s="15" t="b">
        <v>1</v>
      </c>
      <c r="EA32" s="15" t="n">
        <v>0.189870539007382</v>
      </c>
      <c r="EB32" s="15" t="n">
        <v>20000</v>
      </c>
      <c r="EC32" s="15" t="n">
        <v>4196.742050362335</v>
      </c>
      <c r="ED32" s="15" t="n">
        <v>9</v>
      </c>
      <c r="EE32" s="15" t="n">
        <v>2</v>
      </c>
      <c r="EF32" s="15" t="n">
        <v>0.02309617874936895</v>
      </c>
      <c r="EG32" s="15" t="b">
        <v>0</v>
      </c>
      <c r="EH32" s="15" t="b">
        <v>1</v>
      </c>
      <c r="EI32" s="15" t="b">
        <v>0</v>
      </c>
      <c r="EJ32" s="15" t="inlineStr">
        <is>
          <t>wf=log|dst=-90.0|ceil=20000.0|fft=adaptive_tier</t>
        </is>
      </c>
      <c r="EK32" s="15" t="inlineStr">
        <is>
          <t>wf=log|dst=runtime_configured|ceil=runtime_configured|fft=fixed</t>
        </is>
      </c>
      <c r="EL32" s="15" t="n">
        <v>0.5910077764621723</v>
      </c>
      <c r="EM32" s="15" t="n">
        <v>0.9993023500631224</v>
      </c>
      <c r="EN32" s="15" t="n">
        <v>0.2093023255813954</v>
      </c>
      <c r="EO32" s="15" t="n">
        <v>0.3403295249013943</v>
      </c>
      <c r="EP32" s="15" t="inlineStr">
        <is>
          <t>warn:power_outlier_detected</t>
        </is>
      </c>
      <c r="EQ32" s="15" t="n">
        <v>857.6182311672684</v>
      </c>
      <c r="ER32" s="15" t="inlineStr">
        <is>
          <t>winsorize_p95_for_robust_diagnostics</t>
        </is>
      </c>
      <c r="ES32" s="15" t="n">
        <v>0.2131673508592308</v>
      </c>
      <c r="ET32" s="15" t="n">
        <v>0.01427139616543079</v>
      </c>
      <c r="EU32" s="15" t="n">
        <v>0.01465636171096521</v>
      </c>
      <c r="EV32" t="inlineStr">
        <is>
          <t>computed</t>
        </is>
      </c>
      <c r="EW32" s="15" t="inlineStr">
        <is>
          <t>computed</t>
        </is>
      </c>
      <c r="EX32" s="15" t="inlineStr">
        <is>
          <t>computed</t>
        </is>
      </c>
      <c r="EY32" s="15" t="inlineStr">
        <is>
          <t>available_from_curve</t>
        </is>
      </c>
      <c r="EZ32" s="15" t="n">
        <v>20000</v>
      </c>
      <c r="FA32" s="15" t="n">
        <v>20000</v>
      </c>
      <c r="FB32" s="15" t="n">
        <v>0.2405196675631502</v>
      </c>
      <c r="FC32" s="15" t="n">
        <v>0.1653164863167477</v>
      </c>
      <c r="FD32" s="15" t="n">
        <v>2.447114995184177</v>
      </c>
      <c r="FE32" s="15" t="n">
        <v>1.404511739825526</v>
      </c>
      <c r="FF32" s="15" t="n">
        <v>0.9174072225800305</v>
      </c>
      <c r="FG32" s="15" t="n">
        <v>1.20957332636937</v>
      </c>
      <c r="FH32" s="15" t="n">
        <v>0.6198271020550854</v>
      </c>
      <c r="FI32" s="15" t="n">
        <v>0.05908387971674458</v>
      </c>
      <c r="FJ32" s="15" t="n">
        <v>10555.32254803241</v>
      </c>
      <c r="FK32" s="15" t="n">
        <v>17.86747199267781</v>
      </c>
      <c r="FL32" s="15" t="n">
        <v>1.544868642093932</v>
      </c>
      <c r="FM32" s="15" t="n">
        <v>0.004889509100904846</v>
      </c>
      <c r="FN32" t="n">
        <v>0.9999909581423647</v>
      </c>
      <c r="FO32" t="n">
        <v>0</v>
      </c>
      <c r="FP32" t="n">
        <v>9.041857635329439e-06</v>
      </c>
      <c r="FQ32" t="inlineStr">
        <is>
          <t>excellent</t>
        </is>
      </c>
      <c r="FR32" s="19" t="n">
        <v>0.9285714285714286</v>
      </c>
      <c r="FS32" s="15" t="n">
        <v>2.26203798097744</v>
      </c>
      <c r="FT32" s="15" t="n">
        <v>12.53422386479693</v>
      </c>
      <c r="FU32" t="inlineStr">
        <is>
          <t>passed</t>
        </is>
      </c>
      <c r="FV32" t="n">
        <v>139.4861274691212</v>
      </c>
      <c r="FW32" t="n">
        <v>12.19058797648703</v>
      </c>
      <c r="FX32" t="n">
        <v>3.63406429700849</v>
      </c>
      <c r="FY32" t="n">
        <v>0</v>
      </c>
      <c r="FZ32" t="n">
        <v>0.1298471217911749</v>
      </c>
      <c r="GA32" t="n">
        <v>0.009787625298432995</v>
      </c>
      <c r="GB32" t="n">
        <v>0</v>
      </c>
      <c r="GC32" t="n">
        <v>0.0005017273881479037</v>
      </c>
      <c r="GD32" t="n">
        <v>0.002603883202254178</v>
      </c>
      <c r="GE32" t="n">
        <v>0.6435555298629905</v>
      </c>
      <c r="GF32" t="n">
        <v>0.3950464571587662</v>
      </c>
      <c r="GG32" t="n">
        <v>0.2006088160750222</v>
      </c>
      <c r="GH32" t="n">
        <v>0.3329208867898192</v>
      </c>
      <c r="GI32" t="n">
        <v>0.301587301587301</v>
      </c>
      <c r="GJ32" t="n">
        <v>0.4571428571428585</v>
      </c>
      <c r="GK32" t="n">
        <v>0.1395348837209302</v>
      </c>
      <c r="GL32" t="n">
        <v>0.8756882396517399</v>
      </c>
      <c r="GM32" t="n">
        <v>0.8756882396517399</v>
      </c>
      <c r="GN32" t="n">
        <v>0.002592242872821265</v>
      </c>
      <c r="GO32" t="n">
        <v>0.08598836379703099</v>
      </c>
      <c r="GP32" t="n">
        <v>310.5536085443335</v>
      </c>
      <c r="GQ32" t="inlineStr">
        <is>
          <t>compiled workbook density_weighted_sum = density_component_ratio_weighted_sum (per-note component ratios); research density_weighted_sum maps body-ceiling richness</t>
        </is>
      </c>
      <c r="GR32" s="15" t="inlineStr">
        <is>
          <t>individual_exact</t>
        </is>
      </c>
      <c r="GS32" s="15" t="inlineStr">
        <is>
          <t>density_weight</t>
        </is>
      </c>
      <c r="GT32" s="15" t="n">
        <v>0.5417124953090422</v>
      </c>
      <c r="GU32" s="15" t="n">
        <v>0.4582745840323117</v>
      </c>
      <c r="GV32" s="15" t="n">
        <v>1.292065864621741e-05</v>
      </c>
      <c r="GW32" s="15" t="inlineStr">
        <is>
          <t>log</t>
        </is>
      </c>
      <c r="GX32" s="15" t="n">
        <v>0.5</v>
      </c>
      <c r="GY32" s="15" t="inlineStr">
        <is>
          <t>EWSD-R v18.1</t>
        </is>
      </c>
      <c r="GZ32" s="15" t="n">
        <v>1.305499836809154</v>
      </c>
      <c r="HA32" s="15" t="n">
        <v>14.38869494889651</v>
      </c>
      <c r="HB32" s="15" t="n">
        <v>0.591357698768248</v>
      </c>
      <c r="HC32" s="15" t="n">
        <v>2.599695702441949</v>
      </c>
      <c r="HD32" s="15" t="n">
        <v>17.58396878931531</v>
      </c>
      <c r="HE32" s="15" t="n">
        <v>0.5485587161113222</v>
      </c>
      <c r="HF32" s="15" t="inlineStr">
        <is>
          <t>partials+ratios</t>
        </is>
      </c>
      <c r="HG32" s="15" t="inlineStr">
        <is>
          <t>merged_individual_exact</t>
        </is>
      </c>
      <c r="HH32" s="15" t="inlineStr">
        <is>
          <t>passed</t>
        </is>
      </c>
      <c r="HI32" s="15" t="inlineStr">
        <is>
          <t>passed</t>
        </is>
      </c>
    </row>
    <row r="33">
      <c r="A33" t="inlineStr">
        <is>
          <t>incomplete_inference</t>
        </is>
      </c>
      <c r="B33" t="inlineStr">
        <is>
          <t>missing_instrument_technique</t>
        </is>
      </c>
      <c r="C33" t="inlineStr">
        <is>
          <t>prior_constrained_harmonic_fit</t>
        </is>
      </c>
      <c r="D33" t="inlineStr">
        <is>
          <t>IOWA_Trb.T_pp.C5_SustainStable/C5/component_amplitude_mass_pie.png</t>
        </is>
      </c>
      <c r="E33" t="inlineStr">
        <is>
          <t>IOWA_Trb.T_pp.C5_SustainStable/C5/component_energy_ratio_pie.png</t>
        </is>
      </c>
      <c r="F33" s="15" t="n">
        <v>523.8268547261894</v>
      </c>
      <c r="G33" s="15" t="inlineStr">
        <is>
          <t>prior_constrained_harmonic_fit</t>
        </is>
      </c>
      <c r="H33" s="15" t="inlineStr">
        <is>
          <t>fit_accepted_acoustically_verified</t>
        </is>
      </c>
      <c r="I33" s="16" t="n">
        <v>82.595402826647</v>
      </c>
      <c r="J33" t="inlineStr">
        <is>
          <t>richness_weighted_body_density_body_ceiling</t>
        </is>
      </c>
      <c r="K33" t="inlineStr">
        <is>
          <t>research_body_ceiling_richness_metric</t>
        </is>
      </c>
      <c r="L33" s="15" t="n">
        <v>40748.51640113071</v>
      </c>
      <c r="M33" s="15" t="n">
        <v>40748.51640113071</v>
      </c>
      <c r="N33" s="15" t="n">
        <v>552.5887814430765</v>
      </c>
      <c r="O33" s="15" t="n">
        <v>11.57188703172343</v>
      </c>
      <c r="P33" s="15" t="n">
        <v>-7.28822761551822</v>
      </c>
      <c r="Q33" s="15" t="n">
        <v>9</v>
      </c>
      <c r="R33" s="15" t="n">
        <v>13</v>
      </c>
      <c r="S33" s="15" t="n">
        <v>2546.782697325898</v>
      </c>
      <c r="T33" s="15" t="n">
        <v>39</v>
      </c>
      <c r="U33" s="15" t="n">
        <v>-1.990281122934144</v>
      </c>
      <c r="V33" s="15" t="n">
        <v>13.47084932396899</v>
      </c>
      <c r="W33" s="15" t="n">
        <v>0.9909439455335439</v>
      </c>
      <c r="X33" s="15" t="n">
        <v>0.1195685743427611</v>
      </c>
      <c r="Y33" s="15" t="n">
        <v>5</v>
      </c>
      <c r="Z33" s="15" t="n">
        <v>38</v>
      </c>
      <c r="AA33" s="15" t="n">
        <v>0.131578947368421</v>
      </c>
      <c r="AB33" s="15" t="n">
        <v>38</v>
      </c>
      <c r="AC33" s="15" t="n">
        <v>5</v>
      </c>
      <c r="AD33" s="15" t="n">
        <v>0.131578947368421</v>
      </c>
      <c r="AE33" s="15" t="n">
        <v>188.5939491538004</v>
      </c>
      <c r="AF33" s="15" t="n">
        <v>5</v>
      </c>
      <c r="AG33" s="15" t="n">
        <v>38</v>
      </c>
      <c r="AH33" s="15" t="n">
        <v>0.131578947368421</v>
      </c>
      <c r="AI33" s="15" t="n">
        <v>188.5939491538004</v>
      </c>
      <c r="AJ33" s="15" t="n">
        <v>3</v>
      </c>
      <c r="AK33" s="15" t="n">
        <v>2</v>
      </c>
      <c r="AL33" s="15" t="n">
        <v>8.933888814710759</v>
      </c>
      <c r="AM33" s="15" t="n">
        <v>27</v>
      </c>
      <c r="AN33" s="15" t="n">
        <v>0</v>
      </c>
      <c r="AO33" s="15" t="n">
        <v>27</v>
      </c>
      <c r="AP33" s="15" t="n">
        <v>0</v>
      </c>
      <c r="AQ33" s="15" t="n">
        <v>15.5689463299935</v>
      </c>
      <c r="AR33" s="15" t="n">
        <v>8.903299688303436</v>
      </c>
      <c r="AS33" s="15" t="n">
        <v>0.09148021656777613</v>
      </c>
      <c r="AT33" s="17" t="n">
        <v>2.434827684665272</v>
      </c>
      <c r="AU33" s="18" t="n">
        <v>6.081549570467785</v>
      </c>
      <c r="AV33" s="15" t="n">
        <v>7.233823069044141</v>
      </c>
      <c r="AW33" s="15" t="b">
        <v>1</v>
      </c>
      <c r="AX33" s="15" t="n">
        <v>3.616162229974248</v>
      </c>
      <c r="AY33" s="15" t="n">
        <v>14.62170814263985</v>
      </c>
      <c r="AZ33" s="15" t="n">
        <v>0</v>
      </c>
      <c r="BA33" s="15" t="n">
        <v>1</v>
      </c>
      <c r="BB33" s="15" t="n">
        <v>0.5</v>
      </c>
      <c r="BC33" s="15" t="n">
        <v>0.25</v>
      </c>
      <c r="BD33" s="15" t="inlineStr">
        <is>
          <t>his_note_adaptive</t>
        </is>
      </c>
      <c r="BE33" s="15" t="n">
        <v>-90</v>
      </c>
      <c r="BF33" s="15" t="n">
        <v>20000</v>
      </c>
      <c r="BG33" s="15" t="n">
        <v>5</v>
      </c>
      <c r="BH33" s="15" t="n">
        <v>0.131578947368421</v>
      </c>
      <c r="BI33" s="15" t="n">
        <v>38</v>
      </c>
      <c r="BJ33" s="15" t="n">
        <v>5</v>
      </c>
      <c r="BK33" s="15" t="n">
        <v>38</v>
      </c>
      <c r="BL33" s="15" t="n">
        <v>35</v>
      </c>
      <c r="BM33" s="15" t="n">
        <v>0.9210526315789473</v>
      </c>
      <c r="BN33" s="15" t="n">
        <v>0.07401762022899043</v>
      </c>
      <c r="BO33" s="15" t="n">
        <v>0.225</v>
      </c>
      <c r="BP33" s="19" t="n">
        <v>0.7541927207861047</v>
      </c>
      <c r="BQ33" s="19" t="n">
        <v>0.2458072792138954</v>
      </c>
      <c r="BR33" s="19" t="n">
        <v>0</v>
      </c>
      <c r="BS33" s="15" t="n">
        <v>0.0733322349829625</v>
      </c>
      <c r="BT33" s="19" t="n">
        <v>1</v>
      </c>
      <c r="BU33" s="19" t="n">
        <v>0</v>
      </c>
      <c r="BV33" s="19" t="n">
        <v>0</v>
      </c>
      <c r="BW33" t="inlineStr">
        <is>
          <t>C5</t>
        </is>
      </c>
      <c r="BX33" t="n">
        <v>72</v>
      </c>
      <c r="BY33" t="inlineStr">
        <is>
          <t>C</t>
        </is>
      </c>
      <c r="BZ33" t="n">
        <v>5</v>
      </c>
      <c r="CA33" t="inlineStr">
        <is>
          <t>Very high</t>
        </is>
      </c>
      <c r="CB33" t="inlineStr">
        <is>
          <t>pp</t>
        </is>
      </c>
      <c r="CC33" s="15" t="n">
        <v>523.2511306011972</v>
      </c>
      <c r="CD33" s="15" t="n">
        <v>523.8268547261894</v>
      </c>
      <c r="CE33" t="inlineStr">
        <is>
          <t>prior_constrained_harmonic_fit</t>
        </is>
      </c>
      <c r="CF33" t="n">
        <v>523.8268547261894</v>
      </c>
      <c r="CG33" s="15" t="n">
        <v>1</v>
      </c>
      <c r="CH33" t="inlineStr">
        <is>
          <t>free_fit_acoustically_verified</t>
        </is>
      </c>
      <c r="CI33" s="15" t="inlineStr">
        <is>
          <t>free_f0_fit</t>
        </is>
      </c>
      <c r="CJ33" s="15" t="n">
        <v>523.2511306011972</v>
      </c>
      <c r="CK33" s="15" t="n">
        <v>523.8268547261894</v>
      </c>
      <c r="CL33" s="15" t="n">
        <v>1.903799568829541</v>
      </c>
      <c r="CM33" s="15" t="n">
        <v>20000</v>
      </c>
      <c r="CN33" s="15" t="n">
        <v>1.903799568829541</v>
      </c>
      <c r="CO33" s="15" t="n">
        <v>2.076289544774465</v>
      </c>
      <c r="CP33" s="15" t="n">
        <v>40748.51640113071</v>
      </c>
      <c r="CQ33" t="n">
        <v>1.232388546965796</v>
      </c>
      <c r="CR33" t="n">
        <v>0.03243127755173147</v>
      </c>
      <c r="CS33" t="n">
        <v>67.02058618607025</v>
      </c>
      <c r="CT33" t="n">
        <v>67.02058618607025</v>
      </c>
      <c r="CU33" t="n">
        <v>82.595402826647</v>
      </c>
      <c r="CV33" t="n">
        <v>11.57188703172343</v>
      </c>
      <c r="CW33" s="15" t="n">
        <v>40748.51640113071</v>
      </c>
      <c r="CX33" s="15" t="n">
        <v>552.5887814430765</v>
      </c>
      <c r="CY33" s="15" t="n">
        <v>11.57188703172343</v>
      </c>
      <c r="CZ33" s="15" t="n">
        <v>2.434827684665272</v>
      </c>
      <c r="DA33" s="15" t="n">
        <v>2.434827684665272</v>
      </c>
      <c r="DB33" s="15" t="n">
        <v>1.845482472938946</v>
      </c>
      <c r="DC33" s="15" t="n">
        <v>0</v>
      </c>
      <c r="DD33" s="15" t="n">
        <v>5.975254806081012e-05</v>
      </c>
      <c r="DE33" s="15" t="n">
        <v>0</v>
      </c>
      <c r="DF33" s="15" t="n">
        <v>9</v>
      </c>
      <c r="DG33" s="15" t="inlineStr">
        <is>
          <t>Density_Metrics</t>
        </is>
      </c>
      <c r="DH33" s="15" t="n">
        <v>2.076289544774465</v>
      </c>
      <c r="DI33" t="n">
        <v>0.9010416011587306</v>
      </c>
      <c r="DJ33" s="15" t="n">
        <v>0.5359049546485152</v>
      </c>
      <c r="DK33" s="15" t="n">
        <v>5.186432910115867</v>
      </c>
      <c r="DL33" s="15" t="n">
        <v>1.266712346865743</v>
      </c>
      <c r="DM33" s="15" t="n">
        <v>1.03310961571924</v>
      </c>
      <c r="DN33" s="15" t="n">
        <v>10.59014701849935</v>
      </c>
      <c r="DO33" s="15" t="n">
        <v>1.991042473929139</v>
      </c>
      <c r="DP33" s="15" t="n">
        <v>15.6875</v>
      </c>
      <c r="DQ33" s="15" t="n">
        <v>23</v>
      </c>
      <c r="DR33" s="15" t="b">
        <v>0</v>
      </c>
      <c r="DS33" s="15" t="n">
        <v>1.232388546965796</v>
      </c>
      <c r="DT33" s="15" t="n">
        <v>4.543605825024922</v>
      </c>
      <c r="DU33" t="n">
        <v>38</v>
      </c>
      <c r="DV33" s="15" t="n">
        <v>0.0733322349829625</v>
      </c>
      <c r="DW33" s="15" t="n">
        <v>1.112568982820072</v>
      </c>
      <c r="DX33" s="15" t="n">
        <v>2.219385502043729</v>
      </c>
      <c r="DY33" s="15" t="n">
        <v>0.1732116656301612</v>
      </c>
      <c r="DZ33" s="15" t="b">
        <v>1</v>
      </c>
      <c r="EA33" s="15" t="n">
        <v>0.1621643733772231</v>
      </c>
      <c r="EB33" s="15" t="n">
        <v>20000</v>
      </c>
      <c r="EC33" s="15" t="n">
        <v>5762.095401988083</v>
      </c>
      <c r="ED33" s="15" t="n">
        <v>11</v>
      </c>
      <c r="EE33" s="15" t="n">
        <v>0</v>
      </c>
      <c r="EF33" s="15" t="n">
        <v>0.04115271208350588</v>
      </c>
      <c r="EG33" s="15" t="b">
        <v>0</v>
      </c>
      <c r="EH33" s="15" t="b">
        <v>1</v>
      </c>
      <c r="EI33" s="15" t="b">
        <v>0</v>
      </c>
      <c r="EJ33" s="15" t="inlineStr">
        <is>
          <t>wf=log|dst=-90.0|ceil=20000.0|fft=adaptive_tier</t>
        </is>
      </c>
      <c r="EK33" s="15" t="inlineStr">
        <is>
          <t>wf=log|dst=runtime_configured|ceil=runtime_configured|fft=fixed</t>
        </is>
      </c>
      <c r="EL33" s="15" t="n">
        <v>0.6043544388019698</v>
      </c>
      <c r="EM33" s="15" t="n">
        <v>0.9957872747561549</v>
      </c>
      <c r="EN33" s="15" t="n">
        <v>0.2307692307692308</v>
      </c>
      <c r="EO33" s="15" t="n">
        <v>0.3774046719623463</v>
      </c>
      <c r="EP33" s="15" t="inlineStr">
        <is>
          <t>warn:power_outlier_detected</t>
        </is>
      </c>
      <c r="EQ33" s="15" t="n">
        <v>436.3501970407706</v>
      </c>
      <c r="ER33" s="15" t="inlineStr">
        <is>
          <t>winsorize_p95_for_robust_diagnostics</t>
        </is>
      </c>
      <c r="ES33" s="15" t="n">
        <v>0.09166194821681473</v>
      </c>
      <c r="ET33" s="15" t="n">
        <v>0.00780943903781992</v>
      </c>
      <c r="EU33" s="15" t="n">
        <v>0.008898894744735753</v>
      </c>
      <c r="EV33" t="inlineStr">
        <is>
          <t>computed</t>
        </is>
      </c>
      <c r="EW33" s="15" t="inlineStr">
        <is>
          <t>computed</t>
        </is>
      </c>
      <c r="EX33" s="15" t="inlineStr">
        <is>
          <t>computed</t>
        </is>
      </c>
      <c r="EY33" s="15" t="inlineStr">
        <is>
          <t>available_from_curve</t>
        </is>
      </c>
      <c r="EZ33" s="15" t="n">
        <v>20000</v>
      </c>
      <c r="FA33" s="15" t="n">
        <v>20000</v>
      </c>
      <c r="FB33" s="15" t="n">
        <v>0.2458072792138954</v>
      </c>
      <c r="FC33" s="15" t="n">
        <v>0.163865997682076</v>
      </c>
      <c r="FD33" s="15" t="n">
        <v>2.434827684665272</v>
      </c>
      <c r="FE33" s="15" t="n">
        <v>1.845482472938946</v>
      </c>
      <c r="FF33" s="15" t="n">
        <v>0.9061227525116496</v>
      </c>
      <c r="FG33" s="15" t="n">
        <v>1.203499887611595</v>
      </c>
      <c r="FH33" s="15" t="n">
        <v>0.8144325324310188</v>
      </c>
      <c r="FI33" s="15" t="n">
        <v>0.05835712473185099</v>
      </c>
      <c r="FJ33" s="15" t="n">
        <v>2546.78227507067</v>
      </c>
      <c r="FK33" s="15" t="n">
        <v>34.53679884019228</v>
      </c>
      <c r="FL33" s="15" t="n">
        <v>0.7232429394827141</v>
      </c>
      <c r="FM33" s="15" t="n">
        <v>0.004721582527257312</v>
      </c>
      <c r="FN33" t="n">
        <v>1</v>
      </c>
      <c r="FO33" t="n">
        <v>0</v>
      </c>
      <c r="FP33" t="n">
        <v>0</v>
      </c>
      <c r="FQ33" t="inlineStr">
        <is>
          <t>excellent</t>
        </is>
      </c>
      <c r="FR33" s="19" t="n">
        <v>0.9210526315789473</v>
      </c>
      <c r="FS33" s="15" t="n">
        <v>3.225834732246231</v>
      </c>
      <c r="FT33" s="15" t="n">
        <v>14.39776867803007</v>
      </c>
      <c r="FU33" t="inlineStr">
        <is>
          <t>passed</t>
        </is>
      </c>
      <c r="FV33" t="n">
        <v>67.79053085504374</v>
      </c>
      <c r="FW33" t="n">
        <v>17.2654976748065</v>
      </c>
      <c r="FX33" t="n">
        <v>1.764015280154714</v>
      </c>
      <c r="FY33" t="n">
        <v>0.4516316358463089</v>
      </c>
      <c r="FZ33" t="n">
        <v>0</v>
      </c>
      <c r="GA33" t="n">
        <v>0.3442806112373875</v>
      </c>
      <c r="GB33" t="n">
        <v>0.003950528148828831</v>
      </c>
      <c r="GC33" t="n">
        <v>0</v>
      </c>
      <c r="GD33" t="n">
        <v>0</v>
      </c>
      <c r="GE33" t="n">
        <v>0</v>
      </c>
      <c r="GF33" t="n">
        <v>0</v>
      </c>
      <c r="GG33" t="n">
        <v>0.2757939630716983</v>
      </c>
      <c r="GH33" t="n">
        <v>0</v>
      </c>
      <c r="GI33" t="n">
        <v>0.4358974358974351</v>
      </c>
      <c r="GJ33" t="n">
        <v>0.168421052631579</v>
      </c>
      <c r="GK33" t="n">
        <v>0.1860465116279071</v>
      </c>
      <c r="GL33" t="n">
        <v>0.9248305719995459</v>
      </c>
      <c r="GM33" t="n">
        <v>0.9248305719995459</v>
      </c>
      <c r="GN33" t="n">
        <v>0</v>
      </c>
      <c r="GO33" t="n">
        <v>0.1228136327160704</v>
      </c>
      <c r="GP33" t="n">
        <v>82.595402826647</v>
      </c>
      <c r="GQ33" t="inlineStr">
        <is>
          <t>compiled workbook density_weighted_sum = density_component_ratio_weighted_sum (per-note component ratios); research density_weighted_sum maps body-ceiling richness</t>
        </is>
      </c>
      <c r="GR33" s="15" t="inlineStr">
        <is>
          <t>individual_exact</t>
        </is>
      </c>
      <c r="GS33" s="15" t="inlineStr">
        <is>
          <t>density_weight</t>
        </is>
      </c>
      <c r="GT33" s="15" t="n">
        <v>0.5195933486366591</v>
      </c>
      <c r="GU33" s="15" t="n">
        <v>0.4804066513633409</v>
      </c>
      <c r="GV33" s="15" t="n">
        <v>0</v>
      </c>
      <c r="GW33" s="15" t="inlineStr">
        <is>
          <t>log</t>
        </is>
      </c>
      <c r="GX33" s="15" t="n">
        <v>0.5</v>
      </c>
      <c r="GY33" s="15" t="inlineStr">
        <is>
          <t>EWSD-R v18.1</t>
        </is>
      </c>
      <c r="GZ33" s="15" t="n">
        <v>1.067443171133344</v>
      </c>
      <c r="HA33" s="15" t="n">
        <v>10.39323934612875</v>
      </c>
      <c r="HB33" s="15" t="n">
        <v>0.4372246791184629</v>
      </c>
      <c r="HC33" s="15" t="n">
        <v>2.170757648008274</v>
      </c>
      <c r="HD33" s="15" t="n">
        <v>13.78485797073714</v>
      </c>
      <c r="HE33" s="15" t="n">
        <v>0.416941121597758</v>
      </c>
      <c r="HF33" s="15" t="inlineStr">
        <is>
          <t>partials+ratios</t>
        </is>
      </c>
      <c r="HG33" s="15" t="inlineStr">
        <is>
          <t>merged_individual_exact</t>
        </is>
      </c>
      <c r="HH33" s="15" t="inlineStr">
        <is>
          <t>passed</t>
        </is>
      </c>
      <c r="HI33" s="15" t="inlineStr">
        <is>
          <t>passed</t>
        </is>
      </c>
    </row>
  </sheetData>
  <autoFilter ref="A1:HI33"/>
  <conditionalFormatting sqref="FN2:FN33">
    <cfRule type="colorScale" priority="1">
      <colorScale>
        <cfvo type="num" val="0"/>
        <cfvo type="num" val="0.85"/>
        <cfvo type="num" val="1"/>
        <color rgb="00F8696B"/>
        <color rgb="00FFEB84"/>
        <color rgb="0063BE7B"/>
      </colorScale>
    </cfRule>
  </conditionalFormatting>
  <conditionalFormatting sqref="FU2:FU33">
    <cfRule type="cellIs" priority="2" operator="equal" dxfId="0" stopIfTrue="0">
      <formula>passed</formula>
    </cfRule>
  </conditionalFormatting>
  <conditionalFormatting sqref="CG2:CG33">
    <cfRule type="cellIs" priority="3" operator="equal" dxfId="0">
      <formula>TRUE</formula>
    </cfRule>
    <cfRule type="cellIs" priority="4" operator="equal" dxfId="1">
      <formula>FALSE</formula>
    </cfRule>
  </conditionalFormatting>
  <conditionalFormatting sqref="AV2:AV33">
    <cfRule type="dataBar" priority="5">
      <dataBar minLength="0" maxLength="100" showValue="1">
        <cfvo type="min"/>
        <cfvo type="max"/>
        <color rgb="FFC00000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2" customWidth="1" min="3" max="3"/>
    <col width="30" customWidth="1" min="4" max="4"/>
    <col width="26" customWidth="1" min="5" max="5"/>
    <col width="17" customWidth="1" min="6" max="6"/>
    <col width="30" customWidth="1" min="7" max="7"/>
    <col width="14" customWidth="1" min="8" max="8"/>
  </cols>
  <sheetData>
    <row r="1">
      <c r="A1" s="11" t="inlineStr">
        <is>
          <t>Note</t>
        </is>
      </c>
      <c r="B1" s="11" t="inlineStr">
        <is>
          <t>ewsd_merge_status</t>
        </is>
      </c>
      <c r="C1" s="11" t="inlineStr">
        <is>
          <t>ewsd_primary_analysis_eligible</t>
        </is>
      </c>
      <c r="D1" s="11" t="inlineStr">
        <is>
          <t>EWSD_score_acoustic_balanced</t>
        </is>
      </c>
      <c r="E1" s="11" t="inlineStr">
        <is>
          <t>ewsd_uncertainty_sources</t>
        </is>
      </c>
      <c r="F1" s="11" t="inlineStr">
        <is>
          <t>density_fragile</t>
        </is>
      </c>
      <c r="G1" s="11" t="inlineStr">
        <is>
          <t>density_effective_ceiling_hz</t>
        </is>
      </c>
      <c r="H1" s="11" t="inlineStr">
        <is>
          <t>stage3_issue</t>
        </is>
      </c>
    </row>
    <row r="2">
      <c r="A2" s="15" t="inlineStr">
        <is>
          <t>E2</t>
        </is>
      </c>
      <c r="B2" s="15" t="inlineStr">
        <is>
          <t>merged_individual_exact</t>
        </is>
      </c>
      <c r="C2" s="15" t="b">
        <v>1</v>
      </c>
      <c r="D2" s="15" t="n">
        <v>38.75622388667201</v>
      </c>
      <c r="E2" s="15" t="inlineStr">
        <is>
          <t>partials+ratios</t>
        </is>
      </c>
      <c r="F2" s="15" t="b">
        <v>1</v>
      </c>
      <c r="G2" s="15" t="n">
        <v>20000</v>
      </c>
      <c r="H2" s="15" t="inlineStr"/>
    </row>
    <row r="3">
      <c r="A3" s="15" t="inlineStr">
        <is>
          <t>F2</t>
        </is>
      </c>
      <c r="B3" s="15" t="inlineStr">
        <is>
          <t>merged_individual_exact</t>
        </is>
      </c>
      <c r="C3" s="15" t="b">
        <v>1</v>
      </c>
      <c r="D3" s="15" t="n">
        <v>41.97887203416389</v>
      </c>
      <c r="E3" s="15" t="inlineStr">
        <is>
          <t>partials+ratios</t>
        </is>
      </c>
      <c r="F3" s="15" t="b">
        <v>1</v>
      </c>
      <c r="G3" s="15" t="n">
        <v>20000</v>
      </c>
      <c r="H3" s="15" t="inlineStr"/>
    </row>
    <row r="4">
      <c r="A4" s="15" t="inlineStr">
        <is>
          <t>F#2</t>
        </is>
      </c>
      <c r="B4" s="15" t="inlineStr">
        <is>
          <t>merged_individual_exact</t>
        </is>
      </c>
      <c r="C4" s="15" t="b">
        <v>1</v>
      </c>
      <c r="D4" s="15" t="n">
        <v>37.05906305051678</v>
      </c>
      <c r="E4" s="15" t="inlineStr">
        <is>
          <t>partials+ratios</t>
        </is>
      </c>
      <c r="F4" s="15" t="b">
        <v>1</v>
      </c>
      <c r="G4" s="15" t="n">
        <v>20000</v>
      </c>
      <c r="H4" s="15" t="inlineStr"/>
    </row>
    <row r="5">
      <c r="A5" s="15" t="inlineStr">
        <is>
          <t>G2</t>
        </is>
      </c>
      <c r="B5" s="15" t="inlineStr">
        <is>
          <t>merged_individual_exact</t>
        </is>
      </c>
      <c r="C5" s="15" t="b">
        <v>1</v>
      </c>
      <c r="D5" s="15" t="n">
        <v>36.17162927316254</v>
      </c>
      <c r="E5" s="15" t="inlineStr">
        <is>
          <t>partials+ratios</t>
        </is>
      </c>
      <c r="F5" s="15" t="b">
        <v>1</v>
      </c>
      <c r="G5" s="15" t="n">
        <v>20000</v>
      </c>
      <c r="H5" s="15" t="inlineStr"/>
    </row>
    <row r="6">
      <c r="A6" s="15" t="inlineStr">
        <is>
          <t>G#2</t>
        </is>
      </c>
      <c r="B6" s="15" t="inlineStr">
        <is>
          <t>merged_individual_exact</t>
        </is>
      </c>
      <c r="C6" s="15" t="b">
        <v>1</v>
      </c>
      <c r="D6" s="15" t="n">
        <v>34.1126455370494</v>
      </c>
      <c r="E6" s="15" t="inlineStr">
        <is>
          <t>partials+ratios</t>
        </is>
      </c>
      <c r="F6" s="15" t="b">
        <v>1</v>
      </c>
      <c r="G6" s="15" t="n">
        <v>20000</v>
      </c>
      <c r="H6" s="15" t="inlineStr"/>
    </row>
    <row r="7">
      <c r="A7" s="15" t="inlineStr">
        <is>
          <t>A2</t>
        </is>
      </c>
      <c r="B7" s="15" t="inlineStr">
        <is>
          <t>merged_individual_exact</t>
        </is>
      </c>
      <c r="C7" s="15" t="b">
        <v>1</v>
      </c>
      <c r="D7" s="15" t="n">
        <v>31.50154905606473</v>
      </c>
      <c r="E7" s="15" t="inlineStr">
        <is>
          <t>partials+ratios</t>
        </is>
      </c>
      <c r="F7" s="15" t="b">
        <v>1</v>
      </c>
      <c r="G7" s="15" t="n">
        <v>20000</v>
      </c>
      <c r="H7" s="15" t="inlineStr"/>
    </row>
    <row r="8">
      <c r="A8" s="15" t="inlineStr">
        <is>
          <t>A#2</t>
        </is>
      </c>
      <c r="B8" s="15" t="inlineStr">
        <is>
          <t>merged_individual_exact</t>
        </is>
      </c>
      <c r="C8" s="15" t="b">
        <v>1</v>
      </c>
      <c r="D8" s="15" t="n">
        <v>32.79581168906282</v>
      </c>
      <c r="E8" s="15" t="inlineStr">
        <is>
          <t>partials+ratios</t>
        </is>
      </c>
      <c r="F8" s="15" t="b">
        <v>1</v>
      </c>
      <c r="G8" s="15" t="n">
        <v>20000</v>
      </c>
      <c r="H8" s="15" t="inlineStr"/>
    </row>
    <row r="9">
      <c r="A9" s="15" t="inlineStr">
        <is>
          <t>B2</t>
        </is>
      </c>
      <c r="B9" s="15" t="inlineStr">
        <is>
          <t>merged_individual_exact</t>
        </is>
      </c>
      <c r="C9" s="15" t="b">
        <v>1</v>
      </c>
      <c r="D9" s="15" t="n">
        <v>33.80172114551365</v>
      </c>
      <c r="E9" s="15" t="inlineStr">
        <is>
          <t>partials+ratios</t>
        </is>
      </c>
      <c r="F9" s="15" t="b">
        <v>1</v>
      </c>
      <c r="G9" s="15" t="n">
        <v>20000</v>
      </c>
      <c r="H9" s="15" t="inlineStr"/>
    </row>
    <row r="10">
      <c r="A10" s="15" t="inlineStr">
        <is>
          <t>C3</t>
        </is>
      </c>
      <c r="B10" s="15" t="inlineStr">
        <is>
          <t>merged_individual_exact</t>
        </is>
      </c>
      <c r="C10" s="15" t="b">
        <v>1</v>
      </c>
      <c r="D10" s="15" t="n">
        <v>28.04344943279142</v>
      </c>
      <c r="E10" s="15" t="inlineStr">
        <is>
          <t>partials+ratios</t>
        </is>
      </c>
      <c r="F10" s="15" t="b">
        <v>1</v>
      </c>
      <c r="G10" s="15" t="n">
        <v>20000</v>
      </c>
      <c r="H10" s="15" t="inlineStr"/>
    </row>
    <row r="11">
      <c r="A11" s="15" t="inlineStr">
        <is>
          <t>C#3</t>
        </is>
      </c>
      <c r="B11" s="15" t="inlineStr">
        <is>
          <t>merged_individual_exact</t>
        </is>
      </c>
      <c r="C11" s="15" t="b">
        <v>1</v>
      </c>
      <c r="D11" s="15" t="n">
        <v>29.24340694738468</v>
      </c>
      <c r="E11" s="15" t="inlineStr">
        <is>
          <t>partials+ratios</t>
        </is>
      </c>
      <c r="F11" s="15" t="b">
        <v>1</v>
      </c>
      <c r="G11" s="15" t="n">
        <v>20000</v>
      </c>
      <c r="H11" s="15" t="inlineStr"/>
    </row>
    <row r="12">
      <c r="A12" s="15" t="inlineStr">
        <is>
          <t>D3</t>
        </is>
      </c>
      <c r="B12" s="15" t="inlineStr">
        <is>
          <t>merged_individual_exact</t>
        </is>
      </c>
      <c r="C12" s="15" t="b">
        <v>1</v>
      </c>
      <c r="D12" s="15" t="n">
        <v>25.67707338482418</v>
      </c>
      <c r="E12" s="15" t="inlineStr">
        <is>
          <t>partials+ratios</t>
        </is>
      </c>
      <c r="F12" s="15" t="b">
        <v>1</v>
      </c>
      <c r="G12" s="15" t="n">
        <v>20000</v>
      </c>
      <c r="H12" s="15" t="inlineStr"/>
    </row>
    <row r="13">
      <c r="A13" s="15" t="inlineStr">
        <is>
          <t>D#3</t>
        </is>
      </c>
      <c r="B13" s="15" t="inlineStr">
        <is>
          <t>merged_individual_exact</t>
        </is>
      </c>
      <c r="C13" s="15" t="b">
        <v>1</v>
      </c>
      <c r="D13" s="15" t="n">
        <v>26.75553283482783</v>
      </c>
      <c r="E13" s="15" t="inlineStr">
        <is>
          <t>partials+ratios</t>
        </is>
      </c>
      <c r="F13" s="15" t="b">
        <v>1</v>
      </c>
      <c r="G13" s="15" t="n">
        <v>20000</v>
      </c>
      <c r="H13" s="15" t="inlineStr"/>
    </row>
    <row r="14">
      <c r="A14" s="15" t="inlineStr">
        <is>
          <t>E3</t>
        </is>
      </c>
      <c r="B14" s="15" t="inlineStr">
        <is>
          <t>merged_individual_exact</t>
        </is>
      </c>
      <c r="C14" s="15" t="b">
        <v>1</v>
      </c>
      <c r="D14" s="15" t="n">
        <v>23.70401322736135</v>
      </c>
      <c r="E14" s="15" t="inlineStr">
        <is>
          <t>partials+ratios</t>
        </is>
      </c>
      <c r="F14" s="15" t="b">
        <v>1</v>
      </c>
      <c r="G14" s="15" t="n">
        <v>20000</v>
      </c>
      <c r="H14" s="15" t="inlineStr"/>
    </row>
    <row r="15">
      <c r="A15" s="15" t="inlineStr">
        <is>
          <t>F3</t>
        </is>
      </c>
      <c r="B15" s="15" t="inlineStr">
        <is>
          <t>merged_individual_exact</t>
        </is>
      </c>
      <c r="C15" s="15" t="b">
        <v>1</v>
      </c>
      <c r="D15" s="15" t="n">
        <v>25.72789418612857</v>
      </c>
      <c r="E15" s="15" t="inlineStr">
        <is>
          <t>partials+ratios</t>
        </is>
      </c>
      <c r="F15" s="15" t="b">
        <v>1</v>
      </c>
      <c r="G15" s="15" t="n">
        <v>20000</v>
      </c>
      <c r="H15" s="15" t="inlineStr"/>
    </row>
    <row r="16">
      <c r="A16" s="15" t="inlineStr">
        <is>
          <t>F#3</t>
        </is>
      </c>
      <c r="B16" s="15" t="inlineStr">
        <is>
          <t>merged_individual_exact</t>
        </is>
      </c>
      <c r="C16" s="15" t="b">
        <v>1</v>
      </c>
      <c r="D16" s="15" t="n">
        <v>23.30457765567579</v>
      </c>
      <c r="E16" s="15" t="inlineStr">
        <is>
          <t>partials+ratios</t>
        </is>
      </c>
      <c r="F16" s="15" t="b">
        <v>1</v>
      </c>
      <c r="G16" s="15" t="n">
        <v>20000</v>
      </c>
      <c r="H16" s="15" t="inlineStr"/>
    </row>
    <row r="17">
      <c r="A17" s="15" t="inlineStr">
        <is>
          <t>G3</t>
        </is>
      </c>
      <c r="B17" s="15" t="inlineStr">
        <is>
          <t>merged_individual_exact</t>
        </is>
      </c>
      <c r="C17" s="15" t="b">
        <v>1</v>
      </c>
      <c r="D17" s="15" t="n">
        <v>19.33939757589167</v>
      </c>
      <c r="E17" s="15" t="inlineStr">
        <is>
          <t>partials+ratios</t>
        </is>
      </c>
      <c r="F17" s="15" t="b">
        <v>1</v>
      </c>
      <c r="G17" s="15" t="n">
        <v>20000</v>
      </c>
      <c r="H17" s="15" t="inlineStr"/>
    </row>
    <row r="18">
      <c r="A18" s="15" t="inlineStr">
        <is>
          <t>G#3</t>
        </is>
      </c>
      <c r="B18" s="15" t="inlineStr">
        <is>
          <t>merged_individual_exact</t>
        </is>
      </c>
      <c r="C18" s="15" t="b">
        <v>1</v>
      </c>
      <c r="D18" s="15" t="n">
        <v>14.54739693520066</v>
      </c>
      <c r="E18" s="15" t="inlineStr">
        <is>
          <t>partials+ratios</t>
        </is>
      </c>
      <c r="F18" s="15" t="b">
        <v>1</v>
      </c>
      <c r="G18" s="15" t="n">
        <v>20000</v>
      </c>
      <c r="H18" s="15" t="inlineStr"/>
    </row>
    <row r="19">
      <c r="A19" s="15" t="inlineStr">
        <is>
          <t>A3</t>
        </is>
      </c>
      <c r="B19" s="15" t="inlineStr">
        <is>
          <t>merged_individual_exact</t>
        </is>
      </c>
      <c r="C19" s="15" t="b">
        <v>1</v>
      </c>
      <c r="D19" s="15" t="n">
        <v>13.78387188887255</v>
      </c>
      <c r="E19" s="15" t="inlineStr">
        <is>
          <t>partials+ratios</t>
        </is>
      </c>
      <c r="F19" s="15" t="b">
        <v>1</v>
      </c>
      <c r="G19" s="15" t="n">
        <v>20000</v>
      </c>
      <c r="H19" s="15" t="inlineStr"/>
    </row>
    <row r="20">
      <c r="A20" s="15" t="inlineStr">
        <is>
          <t>A#3</t>
        </is>
      </c>
      <c r="B20" s="15" t="inlineStr">
        <is>
          <t>merged_individual_exact</t>
        </is>
      </c>
      <c r="C20" s="15" t="b">
        <v>1</v>
      </c>
      <c r="D20" s="15" t="n">
        <v>13.95274933039561</v>
      </c>
      <c r="E20" s="15" t="inlineStr">
        <is>
          <t>partials+ratios</t>
        </is>
      </c>
      <c r="F20" s="15" t="b">
        <v>1</v>
      </c>
      <c r="G20" s="15" t="n">
        <v>20000</v>
      </c>
      <c r="H20" s="15" t="inlineStr"/>
    </row>
    <row r="21">
      <c r="A21" s="15" t="inlineStr">
        <is>
          <t>B3</t>
        </is>
      </c>
      <c r="B21" s="15" t="inlineStr">
        <is>
          <t>merged_individual_exact</t>
        </is>
      </c>
      <c r="C21" s="15" t="b">
        <v>1</v>
      </c>
      <c r="D21" s="15" t="n">
        <v>13.28831898597365</v>
      </c>
      <c r="E21" s="15" t="inlineStr">
        <is>
          <t>partials+ratios</t>
        </is>
      </c>
      <c r="F21" s="15" t="b">
        <v>1</v>
      </c>
      <c r="G21" s="15" t="n">
        <v>20000</v>
      </c>
      <c r="H21" s="15" t="inlineStr"/>
    </row>
    <row r="22">
      <c r="A22" s="15" t="inlineStr">
        <is>
          <t>C4</t>
        </is>
      </c>
      <c r="B22" s="15" t="inlineStr">
        <is>
          <t>merged_individual_exact</t>
        </is>
      </c>
      <c r="C22" s="15" t="b">
        <v>1</v>
      </c>
      <c r="D22" s="15" t="n">
        <v>12.30771031949041</v>
      </c>
      <c r="E22" s="15" t="inlineStr">
        <is>
          <t>partials+ratios</t>
        </is>
      </c>
      <c r="F22" s="15" t="b">
        <v>1</v>
      </c>
      <c r="G22" s="15" t="n">
        <v>20000</v>
      </c>
      <c r="H22" s="15" t="inlineStr"/>
    </row>
    <row r="23">
      <c r="A23" s="15" t="inlineStr">
        <is>
          <t>C#4</t>
        </is>
      </c>
      <c r="B23" s="15" t="inlineStr">
        <is>
          <t>merged_individual_exact</t>
        </is>
      </c>
      <c r="C23" s="15" t="b">
        <v>1</v>
      </c>
      <c r="D23" s="15" t="n">
        <v>11.52433943194815</v>
      </c>
      <c r="E23" s="15" t="inlineStr">
        <is>
          <t>partials+ratios</t>
        </is>
      </c>
      <c r="F23" s="15" t="b">
        <v>1</v>
      </c>
      <c r="G23" s="15" t="n">
        <v>20000</v>
      </c>
      <c r="H23" s="15" t="inlineStr"/>
    </row>
    <row r="24">
      <c r="A24" s="15" t="inlineStr">
        <is>
          <t>D4</t>
        </is>
      </c>
      <c r="B24" s="15" t="inlineStr">
        <is>
          <t>merged_individual_exact</t>
        </is>
      </c>
      <c r="C24" s="15" t="b">
        <v>1</v>
      </c>
      <c r="D24" s="15" t="n">
        <v>11.91119259939983</v>
      </c>
      <c r="E24" s="15" t="inlineStr">
        <is>
          <t>partials+ratios</t>
        </is>
      </c>
      <c r="F24" s="15" t="b">
        <v>1</v>
      </c>
      <c r="G24" s="15" t="n">
        <v>20000</v>
      </c>
      <c r="H24" s="15" t="inlineStr"/>
    </row>
    <row r="25">
      <c r="A25" s="15" t="inlineStr">
        <is>
          <t>D#4</t>
        </is>
      </c>
      <c r="B25" s="15" t="inlineStr">
        <is>
          <t>merged_individual_exact</t>
        </is>
      </c>
      <c r="C25" s="15" t="b">
        <v>1</v>
      </c>
      <c r="D25" s="15" t="n">
        <v>12.25985163534275</v>
      </c>
      <c r="E25" s="15" t="inlineStr">
        <is>
          <t>partials+ratios</t>
        </is>
      </c>
      <c r="F25" s="15" t="b">
        <v>1</v>
      </c>
      <c r="G25" s="15" t="n">
        <v>20000</v>
      </c>
      <c r="H25" s="15" t="inlineStr"/>
    </row>
    <row r="26">
      <c r="A26" s="15" t="inlineStr">
        <is>
          <t>E4</t>
        </is>
      </c>
      <c r="B26" s="15" t="inlineStr">
        <is>
          <t>merged_individual_exact</t>
        </is>
      </c>
      <c r="C26" s="15" t="b">
        <v>1</v>
      </c>
      <c r="D26" s="15" t="n">
        <v>10.30704166394082</v>
      </c>
      <c r="E26" s="15" t="inlineStr">
        <is>
          <t>partials+ratios</t>
        </is>
      </c>
      <c r="F26" s="15" t="b">
        <v>1</v>
      </c>
      <c r="G26" s="15" t="n">
        <v>20000</v>
      </c>
      <c r="H26" s="15" t="inlineStr"/>
    </row>
    <row r="27">
      <c r="A27" s="15" t="inlineStr">
        <is>
          <t>F4</t>
        </is>
      </c>
      <c r="B27" s="15" t="inlineStr">
        <is>
          <t>merged_individual_exact</t>
        </is>
      </c>
      <c r="C27" s="15" t="b">
        <v>1</v>
      </c>
      <c r="D27" s="15" t="n">
        <v>8.798850110480979</v>
      </c>
      <c r="E27" s="15" t="inlineStr">
        <is>
          <t>partials+ratios</t>
        </is>
      </c>
      <c r="F27" s="15" t="b">
        <v>1</v>
      </c>
      <c r="G27" s="15" t="n">
        <v>20000</v>
      </c>
      <c r="H27" s="15" t="inlineStr"/>
    </row>
    <row r="28">
      <c r="A28" s="15" t="inlineStr">
        <is>
          <t>F#4</t>
        </is>
      </c>
      <c r="B28" s="15" t="inlineStr">
        <is>
          <t>merged_individual_exact</t>
        </is>
      </c>
      <c r="C28" s="15" t="b">
        <v>1</v>
      </c>
      <c r="D28" s="15" t="n">
        <v>9.66066239654182</v>
      </c>
      <c r="E28" s="15" t="inlineStr">
        <is>
          <t>partials+ratios</t>
        </is>
      </c>
      <c r="F28" s="15" t="b">
        <v>1</v>
      </c>
      <c r="G28" s="15" t="n">
        <v>20000</v>
      </c>
      <c r="H28" s="15" t="inlineStr"/>
    </row>
    <row r="29">
      <c r="A29" s="15" t="inlineStr">
        <is>
          <t>G4</t>
        </is>
      </c>
      <c r="B29" s="15" t="inlineStr">
        <is>
          <t>merged_individual_exact</t>
        </is>
      </c>
      <c r="C29" s="15" t="b">
        <v>1</v>
      </c>
      <c r="D29" s="15" t="n">
        <v>8.974355992319406</v>
      </c>
      <c r="E29" s="15" t="inlineStr">
        <is>
          <t>partials+ratios</t>
        </is>
      </c>
      <c r="F29" s="15" t="b">
        <v>1</v>
      </c>
      <c r="G29" s="15" t="n">
        <v>20000</v>
      </c>
      <c r="H29" s="15" t="inlineStr"/>
    </row>
    <row r="30">
      <c r="A30" s="15" t="inlineStr">
        <is>
          <t>G#4</t>
        </is>
      </c>
      <c r="B30" s="15" t="inlineStr">
        <is>
          <t>merged_individual_exact</t>
        </is>
      </c>
      <c r="C30" s="15" t="b">
        <v>1</v>
      </c>
      <c r="D30" s="15" t="n">
        <v>8.439030441847681</v>
      </c>
      <c r="E30" s="15" t="inlineStr">
        <is>
          <t>partials+ratios</t>
        </is>
      </c>
      <c r="F30" s="15" t="b">
        <v>1</v>
      </c>
      <c r="G30" s="15" t="n">
        <v>20000</v>
      </c>
      <c r="H30" s="15" t="inlineStr"/>
    </row>
    <row r="31">
      <c r="A31" s="15" t="inlineStr">
        <is>
          <t>A4</t>
        </is>
      </c>
      <c r="B31" s="15" t="inlineStr">
        <is>
          <t>merged_individual_exact</t>
        </is>
      </c>
      <c r="C31" s="15" t="b">
        <v>1</v>
      </c>
      <c r="D31" s="15" t="n">
        <v>8.059306207098194</v>
      </c>
      <c r="E31" s="15" t="inlineStr">
        <is>
          <t>partials+ratios</t>
        </is>
      </c>
      <c r="F31" s="15" t="b">
        <v>1</v>
      </c>
      <c r="G31" s="15" t="n">
        <v>20000</v>
      </c>
      <c r="H31" s="15" t="inlineStr"/>
    </row>
    <row r="32">
      <c r="A32" s="15" t="inlineStr">
        <is>
          <t>A#4</t>
        </is>
      </c>
      <c r="B32" s="15" t="inlineStr">
        <is>
          <t>merged_individual_exact</t>
        </is>
      </c>
      <c r="C32" s="15" t="b">
        <v>1</v>
      </c>
      <c r="D32" s="15" t="n">
        <v>7.477055290362989</v>
      </c>
      <c r="E32" s="15" t="inlineStr">
        <is>
          <t>partials+ratios</t>
        </is>
      </c>
      <c r="F32" s="15" t="b">
        <v>1</v>
      </c>
      <c r="G32" s="15" t="n">
        <v>20000</v>
      </c>
      <c r="H32" s="15" t="inlineStr"/>
    </row>
    <row r="33">
      <c r="A33" s="15" t="inlineStr">
        <is>
          <t>C5</t>
        </is>
      </c>
      <c r="B33" s="15" t="inlineStr">
        <is>
          <t>merged_individual_exact</t>
        </is>
      </c>
      <c r="C33" s="15" t="b">
        <v>1</v>
      </c>
      <c r="D33" s="15" t="n">
        <v>7.233823069044141</v>
      </c>
      <c r="E33" s="15" t="inlineStr">
        <is>
          <t>partials+ratios</t>
        </is>
      </c>
      <c r="F33" s="15" t="b">
        <v>1</v>
      </c>
      <c r="G33" s="15" t="n">
        <v>20000</v>
      </c>
      <c r="H33" s="15" t="inlineStr"/>
    </row>
  </sheetData>
  <autoFilter ref="A1:H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48" customWidth="1" min="3" max="3"/>
    <col width="48" customWidth="1" min="4" max="4"/>
    <col width="44" customWidth="1" min="5" max="5"/>
    <col width="17" customWidth="1" min="6" max="6"/>
    <col width="13" customWidth="1" min="7" max="7"/>
    <col width="12" customWidth="1" min="8" max="8"/>
    <col width="42" customWidth="1" min="9" max="9"/>
    <col width="34" customWidth="1" min="10" max="10"/>
  </cols>
  <sheetData>
    <row r="1">
      <c r="A1" s="11" t="inlineStr">
        <is>
          <t>stage3_status_row</t>
        </is>
      </c>
      <c r="B1" s="11" t="inlineStr">
        <is>
          <t>ewsd_stage3_version</t>
        </is>
      </c>
      <c r="C1" s="11" t="inlineStr">
        <is>
          <t>stage3_issue</t>
        </is>
      </c>
      <c r="D1" s="11" t="inlineStr">
        <is>
          <t>analysis_version</t>
        </is>
      </c>
      <c r="E1" s="11" t="inlineStr">
        <is>
          <t>analysis_version_source</t>
        </is>
      </c>
      <c r="F1" s="11" t="inlineStr">
        <is>
          <t>package_version</t>
        </is>
      </c>
      <c r="G1" s="11" t="inlineStr">
        <is>
          <t>code_commit</t>
        </is>
      </c>
      <c r="H1" s="11" t="inlineStr">
        <is>
          <t>code_dirty</t>
        </is>
      </c>
      <c r="I1" s="11" t="inlineStr">
        <is>
          <t>git_describe</t>
        </is>
      </c>
      <c r="J1" s="11" t="inlineStr">
        <is>
          <t>export_schema_version</t>
        </is>
      </c>
    </row>
    <row r="2">
      <c r="A2" s="15" t="inlineStr">
        <is>
          <t>__STAGE3_SUMMARY__</t>
        </is>
      </c>
      <c r="B2" s="15" t="inlineStr">
        <is>
          <t>EWSD-R v18.1</t>
        </is>
      </c>
      <c r="C2" s="15" t="inlineStr">
        <is>
          <t>analysis_root=D:\METAIS\TROMBONE\IOWA_Trombone - Test\TenorTrombone\IOWA_Trombone_pp\_Sustains_Stable\analysis_results; frequency_ceiling_hz=20000.0; workbooks=32; rows=32</t>
        </is>
      </c>
      <c r="D2" s="15" t="inlineStr">
        <is>
          <t>4.1.0+v0.1.0-validated-2026-05-15-242-g6b0e51a</t>
        </is>
      </c>
      <c r="E2" s="15" t="inlineStr">
        <is>
          <t>pyproject.toml:pyproject.toml+git-describe</t>
        </is>
      </c>
      <c r="F2" s="15" t="inlineStr">
        <is>
          <t>4.1.0</t>
        </is>
      </c>
      <c r="G2" s="15" t="inlineStr">
        <is>
          <t>6b0e51a</t>
        </is>
      </c>
      <c r="H2" s="15" t="b">
        <v>0</v>
      </c>
      <c r="I2" s="15" t="inlineStr">
        <is>
          <t>v0.1.0-validated-2026-05-15-242-g6b0e51a</t>
        </is>
      </c>
      <c r="J2" s="15" t="inlineStr">
        <is>
          <t>spectral_analysis_schema_2026_08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1" customWidth="1" min="3" max="3"/>
    <col width="21" customWidth="1" min="4" max="4"/>
    <col width="18" customWidth="1" min="5" max="5"/>
    <col width="32" customWidth="1" min="6" max="6"/>
    <col width="22" customWidth="1" min="7" max="7"/>
    <col width="24" customWidth="1" min="8" max="8"/>
    <col width="30" customWidth="1" min="9" max="9"/>
  </cols>
  <sheetData>
    <row r="1">
      <c r="A1" s="11" t="inlineStr">
        <is>
          <t>Note</t>
        </is>
      </c>
      <c r="B1" s="11" t="inlineStr">
        <is>
          <t>metric</t>
        </is>
      </c>
      <c r="C1" s="11" t="inlineStr">
        <is>
          <t>rel_uncertainty</t>
        </is>
      </c>
      <c r="D1" s="11" t="inlineStr">
        <is>
          <t>rel_uncertainty_pct</t>
        </is>
      </c>
      <c r="E1" s="11" t="inlineStr">
        <is>
          <t>uncertainty_flag</t>
        </is>
      </c>
      <c r="F1" s="11" t="inlineStr">
        <is>
          <t>uncertainty_flag_threshold_pct</t>
        </is>
      </c>
      <c r="G1" s="11" t="inlineStr">
        <is>
          <t>ci_basis_frame_count</t>
        </is>
      </c>
      <c r="H1" s="11" t="inlineStr">
        <is>
          <t>ci_basis_partial_count</t>
        </is>
      </c>
      <c r="I1" s="11" t="inlineStr">
        <is>
          <t>ci_basis_frames_insufficient</t>
        </is>
      </c>
    </row>
    <row r="2">
      <c r="A2" s="15" t="inlineStr">
        <is>
          <t>E2</t>
        </is>
      </c>
      <c r="B2" s="15" t="inlineStr">
        <is>
          <t>note_density_final</t>
        </is>
      </c>
      <c r="C2" s="15" t="n">
        <v>0.03578362851924707</v>
      </c>
      <c r="D2" s="15" t="n">
        <v>3.578362851924707</v>
      </c>
      <c r="E2" s="15" t="b">
        <v>0</v>
      </c>
      <c r="F2" s="15" t="n">
        <v>25</v>
      </c>
      <c r="G2" s="15" t="n">
        <v>3.625</v>
      </c>
      <c r="H2" s="15" t="n">
        <v>57</v>
      </c>
      <c r="I2" s="15" t="b">
        <v>1</v>
      </c>
    </row>
    <row r="3">
      <c r="A3" s="15" t="inlineStr">
        <is>
          <t>E2</t>
        </is>
      </c>
      <c r="B3" s="15" t="inlineStr">
        <is>
          <t>note_effective_component_density</t>
        </is>
      </c>
      <c r="C3" s="15" t="n">
        <v>0.3335595807181952</v>
      </c>
      <c r="D3" s="15" t="n">
        <v>33.35595807181952</v>
      </c>
      <c r="E3" s="15" t="b">
        <v>1</v>
      </c>
      <c r="F3" s="15" t="n">
        <v>25</v>
      </c>
      <c r="G3" s="15" t="n">
        <v>3.625</v>
      </c>
      <c r="H3" s="15" t="n">
        <v>57</v>
      </c>
      <c r="I3" s="15" t="b">
        <v>1</v>
      </c>
    </row>
    <row r="4">
      <c r="A4" s="15" t="inlineStr">
        <is>
          <t>E2</t>
        </is>
      </c>
      <c r="B4" s="15" t="inlineStr">
        <is>
          <t>EWSD_score_acoustic_balanced</t>
        </is>
      </c>
      <c r="C4" s="15" t="n">
        <v>0.229147488460466</v>
      </c>
      <c r="D4" s="15" t="n">
        <v>22.9147488460466</v>
      </c>
      <c r="E4" s="15" t="b">
        <v>0</v>
      </c>
      <c r="F4" s="15" t="n">
        <v>25</v>
      </c>
      <c r="G4" s="15" t="n">
        <v>3.625</v>
      </c>
      <c r="H4" s="15" t="n">
        <v>57</v>
      </c>
      <c r="I4" s="15" t="b">
        <v>1</v>
      </c>
    </row>
    <row r="5">
      <c r="A5" s="15" t="inlineStr">
        <is>
          <t>F2</t>
        </is>
      </c>
      <c r="B5" s="15" t="inlineStr">
        <is>
          <t>note_density_final</t>
        </is>
      </c>
      <c r="C5" s="15" t="n">
        <v>0.03504361837696729</v>
      </c>
      <c r="D5" s="15" t="n">
        <v>3.504361837696729</v>
      </c>
      <c r="E5" s="15" t="b">
        <v>0</v>
      </c>
      <c r="F5" s="15" t="n">
        <v>25</v>
      </c>
      <c r="G5" s="15" t="n">
        <v>2.3125</v>
      </c>
      <c r="H5" s="15" t="n">
        <v>59</v>
      </c>
      <c r="I5" s="15" t="b">
        <v>1</v>
      </c>
    </row>
    <row r="6">
      <c r="A6" s="15" t="inlineStr">
        <is>
          <t>F2</t>
        </is>
      </c>
      <c r="B6" s="15" t="inlineStr">
        <is>
          <t>note_effective_component_density</t>
        </is>
      </c>
      <c r="C6" s="15" t="n">
        <v>0.2776313879656502</v>
      </c>
      <c r="D6" s="15" t="n">
        <v>27.76313879656502</v>
      </c>
      <c r="E6" s="15" t="b">
        <v>1</v>
      </c>
      <c r="F6" s="15" t="n">
        <v>25</v>
      </c>
      <c r="G6" s="15" t="n">
        <v>2.3125</v>
      </c>
      <c r="H6" s="15" t="n">
        <v>59</v>
      </c>
      <c r="I6" s="15" t="b">
        <v>1</v>
      </c>
    </row>
    <row r="7">
      <c r="A7" s="15" t="inlineStr">
        <is>
          <t>F2</t>
        </is>
      </c>
      <c r="B7" s="15" t="inlineStr">
        <is>
          <t>EWSD_score_acoustic_balanced</t>
        </is>
      </c>
      <c r="C7" s="15" t="n">
        <v>0.2113680247753595</v>
      </c>
      <c r="D7" s="15" t="n">
        <v>21.13680247753594</v>
      </c>
      <c r="E7" s="15" t="b">
        <v>0</v>
      </c>
      <c r="F7" s="15" t="n">
        <v>25</v>
      </c>
      <c r="G7" s="15" t="n">
        <v>2.3125</v>
      </c>
      <c r="H7" s="15" t="n">
        <v>59</v>
      </c>
      <c r="I7" s="15" t="b">
        <v>1</v>
      </c>
    </row>
    <row r="8">
      <c r="A8" s="15" t="inlineStr">
        <is>
          <t>F#2</t>
        </is>
      </c>
      <c r="B8" s="15" t="inlineStr">
        <is>
          <t>note_density_final</t>
        </is>
      </c>
      <c r="C8" s="15" t="n">
        <v>0.03722442203115957</v>
      </c>
      <c r="D8" s="15" t="n">
        <v>3.722442203115957</v>
      </c>
      <c r="E8" s="15" t="b">
        <v>0</v>
      </c>
      <c r="F8" s="15" t="n">
        <v>25</v>
      </c>
      <c r="G8" s="15" t="n">
        <v>2.875</v>
      </c>
      <c r="H8" s="15" t="n">
        <v>52</v>
      </c>
      <c r="I8" s="15" t="b">
        <v>1</v>
      </c>
    </row>
    <row r="9">
      <c r="A9" s="15" t="inlineStr">
        <is>
          <t>F#2</t>
        </is>
      </c>
      <c r="B9" s="15" t="inlineStr">
        <is>
          <t>note_effective_component_density</t>
        </is>
      </c>
      <c r="C9" s="15" t="n">
        <v>0.2836859650067177</v>
      </c>
      <c r="D9" s="15" t="n">
        <v>28.36859650067177</v>
      </c>
      <c r="E9" s="15" t="b">
        <v>1</v>
      </c>
      <c r="F9" s="15" t="n">
        <v>25</v>
      </c>
      <c r="G9" s="15" t="n">
        <v>2.875</v>
      </c>
      <c r="H9" s="15" t="n">
        <v>52</v>
      </c>
      <c r="I9" s="15" t="b">
        <v>1</v>
      </c>
    </row>
    <row r="10">
      <c r="A10" s="15" t="inlineStr">
        <is>
          <t>F#2</t>
        </is>
      </c>
      <c r="B10" s="15" t="inlineStr">
        <is>
          <t>EWSD_score_acoustic_balanced</t>
        </is>
      </c>
      <c r="C10" s="15" t="n">
        <v>0.2333704977965077</v>
      </c>
      <c r="D10" s="15" t="n">
        <v>23.33704977965077</v>
      </c>
      <c r="E10" s="15" t="b">
        <v>0</v>
      </c>
      <c r="F10" s="15" t="n">
        <v>25</v>
      </c>
      <c r="G10" s="15" t="n">
        <v>2.875</v>
      </c>
      <c r="H10" s="15" t="n">
        <v>52</v>
      </c>
      <c r="I10" s="15" t="b">
        <v>1</v>
      </c>
    </row>
    <row r="11">
      <c r="A11" s="15" t="inlineStr">
        <is>
          <t>G2</t>
        </is>
      </c>
      <c r="B11" s="15" t="inlineStr">
        <is>
          <t>note_density_final</t>
        </is>
      </c>
      <c r="C11" s="15" t="n">
        <v>0.04414202476293033</v>
      </c>
      <c r="D11" s="15" t="n">
        <v>4.414202476293033</v>
      </c>
      <c r="E11" s="15" t="b">
        <v>0</v>
      </c>
      <c r="F11" s="15" t="n">
        <v>25</v>
      </c>
      <c r="G11" s="15" t="n">
        <v>3.625</v>
      </c>
      <c r="H11" s="15" t="n">
        <v>63</v>
      </c>
      <c r="I11" s="15" t="b">
        <v>1</v>
      </c>
    </row>
    <row r="12">
      <c r="A12" s="15" t="inlineStr">
        <is>
          <t>G2</t>
        </is>
      </c>
      <c r="B12" s="15" t="inlineStr">
        <is>
          <t>note_effective_component_density</t>
        </is>
      </c>
      <c r="C12" s="15" t="n">
        <v>0.3194371849988409</v>
      </c>
      <c r="D12" s="15" t="n">
        <v>31.94371849988409</v>
      </c>
      <c r="E12" s="15" t="b">
        <v>1</v>
      </c>
      <c r="F12" s="15" t="n">
        <v>25</v>
      </c>
      <c r="G12" s="15" t="n">
        <v>3.625</v>
      </c>
      <c r="H12" s="15" t="n">
        <v>63</v>
      </c>
      <c r="I12" s="15" t="b">
        <v>1</v>
      </c>
    </row>
    <row r="13">
      <c r="A13" s="15" t="inlineStr">
        <is>
          <t>G2</t>
        </is>
      </c>
      <c r="B13" s="15" t="inlineStr">
        <is>
          <t>EWSD_score_acoustic_balanced</t>
        </is>
      </c>
      <c r="C13" s="15" t="n">
        <v>0.2486337829444062</v>
      </c>
      <c r="D13" s="15" t="n">
        <v>24.86337829444062</v>
      </c>
      <c r="E13" s="15" t="b">
        <v>0</v>
      </c>
      <c r="F13" s="15" t="n">
        <v>25</v>
      </c>
      <c r="G13" s="15" t="n">
        <v>3.625</v>
      </c>
      <c r="H13" s="15" t="n">
        <v>63</v>
      </c>
      <c r="I13" s="15" t="b">
        <v>1</v>
      </c>
    </row>
    <row r="14">
      <c r="A14" s="15" t="inlineStr">
        <is>
          <t>G#2</t>
        </is>
      </c>
      <c r="B14" s="15" t="inlineStr">
        <is>
          <t>note_density_final</t>
        </is>
      </c>
      <c r="C14" s="15" t="n">
        <v>0.04374892773339518</v>
      </c>
      <c r="D14" s="15" t="n">
        <v>4.374892773339518</v>
      </c>
      <c r="E14" s="15" t="b">
        <v>0</v>
      </c>
      <c r="F14" s="15" t="n">
        <v>25</v>
      </c>
      <c r="G14" s="15" t="n">
        <v>3.9375</v>
      </c>
      <c r="H14" s="15" t="n">
        <v>56</v>
      </c>
      <c r="I14" s="15" t="b">
        <v>1</v>
      </c>
    </row>
    <row r="15">
      <c r="A15" s="15" t="inlineStr">
        <is>
          <t>G#2</t>
        </is>
      </c>
      <c r="B15" s="15" t="inlineStr">
        <is>
          <t>note_effective_component_density</t>
        </is>
      </c>
      <c r="C15" s="15" t="n">
        <v>0.3099656950882012</v>
      </c>
      <c r="D15" s="15" t="n">
        <v>30.99656950882012</v>
      </c>
      <c r="E15" s="15" t="b">
        <v>1</v>
      </c>
      <c r="F15" s="15" t="n">
        <v>25</v>
      </c>
      <c r="G15" s="15" t="n">
        <v>3.9375</v>
      </c>
      <c r="H15" s="15" t="n">
        <v>56</v>
      </c>
      <c r="I15" s="15" t="b">
        <v>1</v>
      </c>
    </row>
    <row r="16">
      <c r="A16" s="15" t="inlineStr">
        <is>
          <t>G#2</t>
        </is>
      </c>
      <c r="B16" s="15" t="inlineStr">
        <is>
          <t>EWSD_score_acoustic_balanced</t>
        </is>
      </c>
      <c r="C16" s="15" t="n">
        <v>0.2438462968827028</v>
      </c>
      <c r="D16" s="15" t="n">
        <v>24.38462968827028</v>
      </c>
      <c r="E16" s="15" t="b">
        <v>0</v>
      </c>
      <c r="F16" s="15" t="n">
        <v>25</v>
      </c>
      <c r="G16" s="15" t="n">
        <v>3.9375</v>
      </c>
      <c r="H16" s="15" t="n">
        <v>56</v>
      </c>
      <c r="I16" s="15" t="b">
        <v>1</v>
      </c>
    </row>
    <row r="17">
      <c r="A17" s="15" t="inlineStr">
        <is>
          <t>A2</t>
        </is>
      </c>
      <c r="B17" s="15" t="inlineStr">
        <is>
          <t>note_density_final</t>
        </is>
      </c>
      <c r="C17" s="15" t="n">
        <v>0.04704936064861557</v>
      </c>
      <c r="D17" s="15" t="n">
        <v>4.704936064861557</v>
      </c>
      <c r="E17" s="15" t="b">
        <v>0</v>
      </c>
      <c r="F17" s="15" t="n">
        <v>25</v>
      </c>
      <c r="G17" s="15" t="n">
        <v>4</v>
      </c>
      <c r="H17" s="15" t="n">
        <v>53</v>
      </c>
      <c r="I17" s="15" t="b">
        <v>1</v>
      </c>
    </row>
    <row r="18">
      <c r="A18" s="15" t="inlineStr">
        <is>
          <t>A2</t>
        </is>
      </c>
      <c r="B18" s="15" t="inlineStr">
        <is>
          <t>note_effective_component_density</t>
        </is>
      </c>
      <c r="C18" s="15" t="n">
        <v>0.3317177435735765</v>
      </c>
      <c r="D18" s="15" t="n">
        <v>33.17177435735765</v>
      </c>
      <c r="E18" s="15" t="b">
        <v>1</v>
      </c>
      <c r="F18" s="15" t="n">
        <v>25</v>
      </c>
      <c r="G18" s="15" t="n">
        <v>4</v>
      </c>
      <c r="H18" s="15" t="n">
        <v>53</v>
      </c>
      <c r="I18" s="15" t="b">
        <v>1</v>
      </c>
    </row>
    <row r="19">
      <c r="A19" s="15" t="inlineStr">
        <is>
          <t>A2</t>
        </is>
      </c>
      <c r="B19" s="15" t="inlineStr">
        <is>
          <t>EWSD_score_acoustic_balanced</t>
        </is>
      </c>
      <c r="C19" s="15" t="n">
        <v>0.2723821119436649</v>
      </c>
      <c r="D19" s="15" t="n">
        <v>27.23821119436649</v>
      </c>
      <c r="E19" s="15" t="b">
        <v>1</v>
      </c>
      <c r="F19" s="15" t="n">
        <v>25</v>
      </c>
      <c r="G19" s="15" t="n">
        <v>4</v>
      </c>
      <c r="H19" s="15" t="n">
        <v>53</v>
      </c>
      <c r="I19" s="15" t="b">
        <v>1</v>
      </c>
    </row>
    <row r="20">
      <c r="A20" s="15" t="inlineStr">
        <is>
          <t>A#2</t>
        </is>
      </c>
      <c r="B20" s="15" t="inlineStr">
        <is>
          <t>note_density_final</t>
        </is>
      </c>
      <c r="C20" s="15" t="n">
        <v>0.04358569775776434</v>
      </c>
      <c r="D20" s="15" t="n">
        <v>4.358569775776433</v>
      </c>
      <c r="E20" s="15" t="b">
        <v>0</v>
      </c>
      <c r="F20" s="15" t="n">
        <v>25</v>
      </c>
      <c r="G20" s="15" t="n">
        <v>2.375</v>
      </c>
      <c r="H20" s="15" t="n">
        <v>60</v>
      </c>
      <c r="I20" s="15" t="b">
        <v>1</v>
      </c>
    </row>
    <row r="21">
      <c r="A21" s="15" t="inlineStr">
        <is>
          <t>A#2</t>
        </is>
      </c>
      <c r="B21" s="15" t="inlineStr">
        <is>
          <t>note_effective_component_density</t>
        </is>
      </c>
      <c r="C21" s="15" t="n">
        <v>0.3130613706277881</v>
      </c>
      <c r="D21" s="15" t="n">
        <v>31.30613706277881</v>
      </c>
      <c r="E21" s="15" t="b">
        <v>1</v>
      </c>
      <c r="F21" s="15" t="n">
        <v>25</v>
      </c>
      <c r="G21" s="15" t="n">
        <v>2.375</v>
      </c>
      <c r="H21" s="15" t="n">
        <v>60</v>
      </c>
      <c r="I21" s="15" t="b">
        <v>1</v>
      </c>
    </row>
    <row r="22">
      <c r="A22" s="15" t="inlineStr">
        <is>
          <t>A#2</t>
        </is>
      </c>
      <c r="B22" s="15" t="inlineStr">
        <is>
          <t>EWSD_score_acoustic_balanced</t>
        </is>
      </c>
      <c r="C22" s="15" t="n">
        <v>0.2815271476176104</v>
      </c>
      <c r="D22" s="15" t="n">
        <v>28.15271476176104</v>
      </c>
      <c r="E22" s="15" t="b">
        <v>1</v>
      </c>
      <c r="F22" s="15" t="n">
        <v>25</v>
      </c>
      <c r="G22" s="15" t="n">
        <v>2.375</v>
      </c>
      <c r="H22" s="15" t="n">
        <v>60</v>
      </c>
      <c r="I22" s="15" t="b">
        <v>1</v>
      </c>
    </row>
    <row r="23">
      <c r="A23" s="15" t="inlineStr">
        <is>
          <t>B2</t>
        </is>
      </c>
      <c r="B23" s="15" t="inlineStr">
        <is>
          <t>note_density_final</t>
        </is>
      </c>
      <c r="C23" s="15" t="n">
        <v>0.05276564195102544</v>
      </c>
      <c r="D23" s="15" t="n">
        <v>5.276564195102544</v>
      </c>
      <c r="E23" s="15" t="b">
        <v>0</v>
      </c>
      <c r="F23" s="15" t="n">
        <v>25</v>
      </c>
      <c r="G23" s="15" t="n">
        <v>2.6875</v>
      </c>
      <c r="H23" s="15" t="n">
        <v>66</v>
      </c>
      <c r="I23" s="15" t="b">
        <v>1</v>
      </c>
    </row>
    <row r="24">
      <c r="A24" s="15" t="inlineStr">
        <is>
          <t>B2</t>
        </is>
      </c>
      <c r="B24" s="15" t="inlineStr">
        <is>
          <t>note_effective_component_density</t>
        </is>
      </c>
      <c r="C24" s="15" t="n">
        <v>0.3911017190715476</v>
      </c>
      <c r="D24" s="15" t="n">
        <v>39.11017190715476</v>
      </c>
      <c r="E24" s="15" t="b">
        <v>1</v>
      </c>
      <c r="F24" s="15" t="n">
        <v>25</v>
      </c>
      <c r="G24" s="15" t="n">
        <v>2.6875</v>
      </c>
      <c r="H24" s="15" t="n">
        <v>66</v>
      </c>
      <c r="I24" s="15" t="b">
        <v>1</v>
      </c>
    </row>
    <row r="25">
      <c r="A25" s="15" t="inlineStr">
        <is>
          <t>B2</t>
        </is>
      </c>
      <c r="B25" s="15" t="inlineStr">
        <is>
          <t>EWSD_score_acoustic_balanced</t>
        </is>
      </c>
      <c r="C25" s="15" t="n">
        <v>0.26584113162643</v>
      </c>
      <c r="D25" s="15" t="n">
        <v>26.584113162643</v>
      </c>
      <c r="E25" s="15" t="b">
        <v>1</v>
      </c>
      <c r="F25" s="15" t="n">
        <v>25</v>
      </c>
      <c r="G25" s="15" t="n">
        <v>2.6875</v>
      </c>
      <c r="H25" s="15" t="n">
        <v>66</v>
      </c>
      <c r="I25" s="15" t="b">
        <v>1</v>
      </c>
    </row>
    <row r="26">
      <c r="A26" s="15" t="inlineStr">
        <is>
          <t>C3</t>
        </is>
      </c>
      <c r="B26" s="15" t="inlineStr">
        <is>
          <t>note_density_final</t>
        </is>
      </c>
      <c r="C26" s="15" t="n">
        <v>0.04467692931562009</v>
      </c>
      <c r="D26" s="15" t="n">
        <v>4.467692931562009</v>
      </c>
      <c r="E26" s="15" t="b">
        <v>0</v>
      </c>
      <c r="F26" s="15" t="n">
        <v>25</v>
      </c>
      <c r="G26" s="15" t="n">
        <v>3</v>
      </c>
      <c r="H26" s="15" t="n">
        <v>47</v>
      </c>
      <c r="I26" s="15" t="b">
        <v>1</v>
      </c>
    </row>
    <row r="27">
      <c r="A27" s="15" t="inlineStr">
        <is>
          <t>C3</t>
        </is>
      </c>
      <c r="B27" s="15" t="inlineStr">
        <is>
          <t>note_effective_component_density</t>
        </is>
      </c>
      <c r="C27" s="15" t="n">
        <v>0.4461948859191169</v>
      </c>
      <c r="D27" s="15" t="n">
        <v>44.61948859191169</v>
      </c>
      <c r="E27" s="15" t="b">
        <v>1</v>
      </c>
      <c r="F27" s="15" t="n">
        <v>25</v>
      </c>
      <c r="G27" s="15" t="n">
        <v>3</v>
      </c>
      <c r="H27" s="15" t="n">
        <v>47</v>
      </c>
      <c r="I27" s="15" t="b">
        <v>1</v>
      </c>
    </row>
    <row r="28">
      <c r="A28" s="15" t="inlineStr">
        <is>
          <t>C3</t>
        </is>
      </c>
      <c r="B28" s="15" t="inlineStr">
        <is>
          <t>EWSD_score_acoustic_balanced</t>
        </is>
      </c>
      <c r="C28" s="15" t="n">
        <v>0.2763567265187245</v>
      </c>
      <c r="D28" s="15" t="n">
        <v>27.63567265187245</v>
      </c>
      <c r="E28" s="15" t="b">
        <v>1</v>
      </c>
      <c r="F28" s="15" t="n">
        <v>25</v>
      </c>
      <c r="G28" s="15" t="n">
        <v>3</v>
      </c>
      <c r="H28" s="15" t="n">
        <v>47</v>
      </c>
      <c r="I28" s="15" t="b">
        <v>1</v>
      </c>
    </row>
    <row r="29">
      <c r="A29" s="15" t="inlineStr">
        <is>
          <t>C#3</t>
        </is>
      </c>
      <c r="B29" s="15" t="inlineStr">
        <is>
          <t>note_density_final</t>
        </is>
      </c>
      <c r="C29" s="15" t="n">
        <v>0.05188700583508103</v>
      </c>
      <c r="D29" s="15" t="n">
        <v>5.188700583508103</v>
      </c>
      <c r="E29" s="15" t="b">
        <v>0</v>
      </c>
      <c r="F29" s="15" t="n">
        <v>25</v>
      </c>
      <c r="G29" s="15" t="n">
        <v>4.6875</v>
      </c>
      <c r="H29" s="15" t="n">
        <v>56</v>
      </c>
      <c r="I29" s="15" t="b">
        <v>1</v>
      </c>
    </row>
    <row r="30">
      <c r="A30" s="15" t="inlineStr">
        <is>
          <t>C#3</t>
        </is>
      </c>
      <c r="B30" s="15" t="inlineStr">
        <is>
          <t>note_effective_component_density</t>
        </is>
      </c>
      <c r="C30" s="15" t="n">
        <v>0.3929739959184409</v>
      </c>
      <c r="D30" s="15" t="n">
        <v>39.29739959184409</v>
      </c>
      <c r="E30" s="15" t="b">
        <v>1</v>
      </c>
      <c r="F30" s="15" t="n">
        <v>25</v>
      </c>
      <c r="G30" s="15" t="n">
        <v>4.6875</v>
      </c>
      <c r="H30" s="15" t="n">
        <v>56</v>
      </c>
      <c r="I30" s="15" t="b">
        <v>1</v>
      </c>
    </row>
    <row r="31">
      <c r="A31" s="15" t="inlineStr">
        <is>
          <t>C#3</t>
        </is>
      </c>
      <c r="B31" s="15" t="inlineStr">
        <is>
          <t>EWSD_score_acoustic_balanced</t>
        </is>
      </c>
      <c r="C31" s="15" t="n">
        <v>0.2834706366677869</v>
      </c>
      <c r="D31" s="15" t="n">
        <v>28.34706366677869</v>
      </c>
      <c r="E31" s="15" t="b">
        <v>1</v>
      </c>
      <c r="F31" s="15" t="n">
        <v>25</v>
      </c>
      <c r="G31" s="15" t="n">
        <v>4.6875</v>
      </c>
      <c r="H31" s="15" t="n">
        <v>56</v>
      </c>
      <c r="I31" s="15" t="b">
        <v>1</v>
      </c>
    </row>
    <row r="32">
      <c r="A32" s="15" t="inlineStr">
        <is>
          <t>D3</t>
        </is>
      </c>
      <c r="B32" s="15" t="inlineStr">
        <is>
          <t>note_density_final</t>
        </is>
      </c>
      <c r="C32" s="15" t="n">
        <v>0.06034955516646792</v>
      </c>
      <c r="D32" s="15" t="n">
        <v>6.034955516646792</v>
      </c>
      <c r="E32" s="15" t="b">
        <v>0</v>
      </c>
      <c r="F32" s="15" t="n">
        <v>25</v>
      </c>
      <c r="G32" s="15" t="n">
        <v>3.1875</v>
      </c>
      <c r="H32" s="15" t="n">
        <v>63</v>
      </c>
      <c r="I32" s="15" t="b">
        <v>1</v>
      </c>
    </row>
    <row r="33">
      <c r="A33" s="15" t="inlineStr">
        <is>
          <t>D3</t>
        </is>
      </c>
      <c r="B33" s="15" t="inlineStr">
        <is>
          <t>note_effective_component_density</t>
        </is>
      </c>
      <c r="C33" s="15" t="n">
        <v>0.3820332000009429</v>
      </c>
      <c r="D33" s="15" t="n">
        <v>38.20332000009429</v>
      </c>
      <c r="E33" s="15" t="b">
        <v>1</v>
      </c>
      <c r="F33" s="15" t="n">
        <v>25</v>
      </c>
      <c r="G33" s="15" t="n">
        <v>3.1875</v>
      </c>
      <c r="H33" s="15" t="n">
        <v>63</v>
      </c>
      <c r="I33" s="15" t="b">
        <v>1</v>
      </c>
    </row>
    <row r="34">
      <c r="A34" s="15" t="inlineStr">
        <is>
          <t>D3</t>
        </is>
      </c>
      <c r="B34" s="15" t="inlineStr">
        <is>
          <t>EWSD_score_acoustic_balanced</t>
        </is>
      </c>
      <c r="C34" s="15" t="n">
        <v>0.3134629695675253</v>
      </c>
      <c r="D34" s="15" t="n">
        <v>31.34629695675254</v>
      </c>
      <c r="E34" s="15" t="b">
        <v>1</v>
      </c>
      <c r="F34" s="15" t="n">
        <v>25</v>
      </c>
      <c r="G34" s="15" t="n">
        <v>3.1875</v>
      </c>
      <c r="H34" s="15" t="n">
        <v>63</v>
      </c>
      <c r="I34" s="15" t="b">
        <v>1</v>
      </c>
    </row>
    <row r="35">
      <c r="A35" s="15" t="inlineStr">
        <is>
          <t>D#3</t>
        </is>
      </c>
      <c r="B35" s="15" t="inlineStr">
        <is>
          <t>note_density_final</t>
        </is>
      </c>
      <c r="C35" s="15" t="n">
        <v>0.05772392397713198</v>
      </c>
      <c r="D35" s="15" t="n">
        <v>5.772392397713198</v>
      </c>
      <c r="E35" s="15" t="b">
        <v>0</v>
      </c>
      <c r="F35" s="15" t="n">
        <v>25</v>
      </c>
      <c r="G35" s="15" t="n">
        <v>2.875</v>
      </c>
      <c r="H35" s="15" t="n">
        <v>61</v>
      </c>
      <c r="I35" s="15" t="b">
        <v>1</v>
      </c>
    </row>
    <row r="36">
      <c r="A36" s="15" t="inlineStr">
        <is>
          <t>D#3</t>
        </is>
      </c>
      <c r="B36" s="15" t="inlineStr">
        <is>
          <t>note_effective_component_density</t>
        </is>
      </c>
      <c r="C36" s="15" t="n">
        <v>0.387972537543983</v>
      </c>
      <c r="D36" s="15" t="n">
        <v>38.7972537543983</v>
      </c>
      <c r="E36" s="15" t="b">
        <v>1</v>
      </c>
      <c r="F36" s="15" t="n">
        <v>25</v>
      </c>
      <c r="G36" s="15" t="n">
        <v>2.875</v>
      </c>
      <c r="H36" s="15" t="n">
        <v>61</v>
      </c>
      <c r="I36" s="15" t="b">
        <v>1</v>
      </c>
    </row>
    <row r="37">
      <c r="A37" s="15" t="inlineStr">
        <is>
          <t>D#3</t>
        </is>
      </c>
      <c r="B37" s="15" t="inlineStr">
        <is>
          <t>EWSD_score_acoustic_balanced</t>
        </is>
      </c>
      <c r="C37" s="15" t="n">
        <v>0.31051839553398</v>
      </c>
      <c r="D37" s="15" t="n">
        <v>31.051839553398</v>
      </c>
      <c r="E37" s="15" t="b">
        <v>1</v>
      </c>
      <c r="F37" s="15" t="n">
        <v>25</v>
      </c>
      <c r="G37" s="15" t="n">
        <v>2.875</v>
      </c>
      <c r="H37" s="15" t="n">
        <v>61</v>
      </c>
      <c r="I37" s="15" t="b">
        <v>1</v>
      </c>
    </row>
    <row r="38">
      <c r="A38" s="15" t="inlineStr">
        <is>
          <t>E3</t>
        </is>
      </c>
      <c r="B38" s="15" t="inlineStr">
        <is>
          <t>note_density_final</t>
        </is>
      </c>
      <c r="C38" s="15" t="n">
        <v>0.06181950439473666</v>
      </c>
      <c r="D38" s="15" t="n">
        <v>6.181950439473666</v>
      </c>
      <c r="E38" s="15" t="b">
        <v>0</v>
      </c>
      <c r="F38" s="15" t="n">
        <v>25</v>
      </c>
      <c r="G38" s="15" t="n">
        <v>2.9375</v>
      </c>
      <c r="H38" s="15" t="n">
        <v>57</v>
      </c>
      <c r="I38" s="15" t="b">
        <v>1</v>
      </c>
    </row>
    <row r="39">
      <c r="A39" s="15" t="inlineStr">
        <is>
          <t>E3</t>
        </is>
      </c>
      <c r="B39" s="15" t="inlineStr">
        <is>
          <t>note_effective_component_density</t>
        </is>
      </c>
      <c r="C39" s="15" t="n">
        <v>0.396260581539422</v>
      </c>
      <c r="D39" s="15" t="n">
        <v>39.6260581539422</v>
      </c>
      <c r="E39" s="15" t="b">
        <v>1</v>
      </c>
      <c r="F39" s="15" t="n">
        <v>25</v>
      </c>
      <c r="G39" s="15" t="n">
        <v>2.9375</v>
      </c>
      <c r="H39" s="15" t="n">
        <v>57</v>
      </c>
      <c r="I39" s="15" t="b">
        <v>1</v>
      </c>
    </row>
    <row r="40">
      <c r="A40" s="15" t="inlineStr">
        <is>
          <t>E3</t>
        </is>
      </c>
      <c r="B40" s="15" t="inlineStr">
        <is>
          <t>EWSD_score_acoustic_balanced</t>
        </is>
      </c>
      <c r="C40" s="15" t="n">
        <v>0.3259200144245272</v>
      </c>
      <c r="D40" s="15" t="n">
        <v>32.59200144245272</v>
      </c>
      <c r="E40" s="15" t="b">
        <v>1</v>
      </c>
      <c r="F40" s="15" t="n">
        <v>25</v>
      </c>
      <c r="G40" s="15" t="n">
        <v>2.9375</v>
      </c>
      <c r="H40" s="15" t="n">
        <v>57</v>
      </c>
      <c r="I40" s="15" t="b">
        <v>1</v>
      </c>
    </row>
    <row r="41">
      <c r="A41" s="15" t="inlineStr">
        <is>
          <t>F3</t>
        </is>
      </c>
      <c r="B41" s="15" t="inlineStr">
        <is>
          <t>note_density_final</t>
        </is>
      </c>
      <c r="C41" s="15" t="n">
        <v>0.059279610093618</v>
      </c>
      <c r="D41" s="15" t="n">
        <v>5.9279610093618</v>
      </c>
      <c r="E41" s="15" t="b">
        <v>0</v>
      </c>
      <c r="F41" s="15" t="n">
        <v>25</v>
      </c>
      <c r="G41" s="15" t="n">
        <v>3.75</v>
      </c>
      <c r="H41" s="15" t="n">
        <v>60</v>
      </c>
      <c r="I41" s="15" t="b">
        <v>1</v>
      </c>
    </row>
    <row r="42">
      <c r="A42" s="15" t="inlineStr">
        <is>
          <t>F3</t>
        </is>
      </c>
      <c r="B42" s="15" t="inlineStr">
        <is>
          <t>note_effective_component_density</t>
        </is>
      </c>
      <c r="C42" s="15" t="n">
        <v>0.3971951981077744</v>
      </c>
      <c r="D42" s="15" t="n">
        <v>39.71951981077744</v>
      </c>
      <c r="E42" s="15" t="b">
        <v>1</v>
      </c>
      <c r="F42" s="15" t="n">
        <v>25</v>
      </c>
      <c r="G42" s="15" t="n">
        <v>3.75</v>
      </c>
      <c r="H42" s="15" t="n">
        <v>60</v>
      </c>
      <c r="I42" s="15" t="b">
        <v>1</v>
      </c>
    </row>
    <row r="43">
      <c r="A43" s="15" t="inlineStr">
        <is>
          <t>F3</t>
        </is>
      </c>
      <c r="B43" s="15" t="inlineStr">
        <is>
          <t>EWSD_score_acoustic_balanced</t>
        </is>
      </c>
      <c r="C43" s="15" t="n">
        <v>0.281133371711166</v>
      </c>
      <c r="D43" s="15" t="n">
        <v>28.1133371711166</v>
      </c>
      <c r="E43" s="15" t="b">
        <v>1</v>
      </c>
      <c r="F43" s="15" t="n">
        <v>25</v>
      </c>
      <c r="G43" s="15" t="n">
        <v>3.75</v>
      </c>
      <c r="H43" s="15" t="n">
        <v>60</v>
      </c>
      <c r="I43" s="15" t="b">
        <v>1</v>
      </c>
    </row>
    <row r="44">
      <c r="A44" s="15" t="inlineStr">
        <is>
          <t>F#3</t>
        </is>
      </c>
      <c r="B44" s="15" t="inlineStr">
        <is>
          <t>note_density_final</t>
        </is>
      </c>
      <c r="C44" s="15" t="n">
        <v>0.06276665801240817</v>
      </c>
      <c r="D44" s="15" t="n">
        <v>6.276665801240817</v>
      </c>
      <c r="E44" s="15" t="b">
        <v>0</v>
      </c>
      <c r="F44" s="15" t="n">
        <v>25</v>
      </c>
      <c r="G44" s="15" t="n">
        <v>3.5625</v>
      </c>
      <c r="H44" s="15" t="n">
        <v>52</v>
      </c>
      <c r="I44" s="15" t="b">
        <v>1</v>
      </c>
    </row>
    <row r="45">
      <c r="A45" s="15" t="inlineStr">
        <is>
          <t>F#3</t>
        </is>
      </c>
      <c r="B45" s="15" t="inlineStr">
        <is>
          <t>note_effective_component_density</t>
        </is>
      </c>
      <c r="C45" s="15" t="n">
        <v>0.4183810392143921</v>
      </c>
      <c r="D45" s="15" t="n">
        <v>41.83810392143921</v>
      </c>
      <c r="E45" s="15" t="b">
        <v>1</v>
      </c>
      <c r="F45" s="15" t="n">
        <v>25</v>
      </c>
      <c r="G45" s="15" t="n">
        <v>3.5625</v>
      </c>
      <c r="H45" s="15" t="n">
        <v>52</v>
      </c>
      <c r="I45" s="15" t="b">
        <v>1</v>
      </c>
    </row>
    <row r="46">
      <c r="A46" s="15" t="inlineStr">
        <is>
          <t>F#3</t>
        </is>
      </c>
      <c r="B46" s="15" t="inlineStr">
        <is>
          <t>EWSD_score_acoustic_balanced</t>
        </is>
      </c>
      <c r="C46" s="15" t="n">
        <v>0.3187032367932222</v>
      </c>
      <c r="D46" s="15" t="n">
        <v>31.87032367932222</v>
      </c>
      <c r="E46" s="15" t="b">
        <v>1</v>
      </c>
      <c r="F46" s="15" t="n">
        <v>25</v>
      </c>
      <c r="G46" s="15" t="n">
        <v>3.5625</v>
      </c>
      <c r="H46" s="15" t="n">
        <v>52</v>
      </c>
      <c r="I46" s="15" t="b">
        <v>1</v>
      </c>
    </row>
    <row r="47">
      <c r="A47" s="15" t="inlineStr">
        <is>
          <t>G3</t>
        </is>
      </c>
      <c r="B47" s="15" t="inlineStr">
        <is>
          <t>note_density_final</t>
        </is>
      </c>
      <c r="C47" s="15" t="n">
        <v>0.07870755349865223</v>
      </c>
      <c r="D47" s="15" t="n">
        <v>7.870755349865223</v>
      </c>
      <c r="E47" s="15" t="b">
        <v>0</v>
      </c>
      <c r="F47" s="15" t="n">
        <v>25</v>
      </c>
      <c r="G47" s="15" t="n">
        <v>4.4375</v>
      </c>
      <c r="H47" s="15" t="n">
        <v>54</v>
      </c>
      <c r="I47" s="15" t="b">
        <v>1</v>
      </c>
    </row>
    <row r="48">
      <c r="A48" s="15" t="inlineStr">
        <is>
          <t>G3</t>
        </is>
      </c>
      <c r="B48" s="15" t="inlineStr">
        <is>
          <t>note_effective_component_density</t>
        </is>
      </c>
      <c r="C48" s="15" t="n">
        <v>0.6083397686771247</v>
      </c>
      <c r="D48" s="15" t="n">
        <v>60.83397686771247</v>
      </c>
      <c r="E48" s="15" t="b">
        <v>1</v>
      </c>
      <c r="F48" s="15" t="n">
        <v>25</v>
      </c>
      <c r="G48" s="15" t="n">
        <v>4.4375</v>
      </c>
      <c r="H48" s="15" t="n">
        <v>54</v>
      </c>
      <c r="I48" s="15" t="b">
        <v>1</v>
      </c>
    </row>
    <row r="49">
      <c r="A49" s="15" t="inlineStr">
        <is>
          <t>G3</t>
        </is>
      </c>
      <c r="B49" s="15" t="inlineStr">
        <is>
          <t>EWSD_score_acoustic_balanced</t>
        </is>
      </c>
      <c r="C49" s="15" t="n">
        <v>0.3629220097464171</v>
      </c>
      <c r="D49" s="15" t="n">
        <v>36.29220097464172</v>
      </c>
      <c r="E49" s="15" t="b">
        <v>1</v>
      </c>
      <c r="F49" s="15" t="n">
        <v>25</v>
      </c>
      <c r="G49" s="15" t="n">
        <v>4.4375</v>
      </c>
      <c r="H49" s="15" t="n">
        <v>54</v>
      </c>
      <c r="I49" s="15" t="b">
        <v>1</v>
      </c>
    </row>
    <row r="50">
      <c r="A50" s="15" t="inlineStr">
        <is>
          <t>G#3</t>
        </is>
      </c>
      <c r="B50" s="15" t="inlineStr">
        <is>
          <t>note_density_final</t>
        </is>
      </c>
      <c r="C50" s="15" t="n">
        <v>0.084214178971467</v>
      </c>
      <c r="D50" s="15" t="n">
        <v>8.4214178971467</v>
      </c>
      <c r="E50" s="15" t="b">
        <v>0</v>
      </c>
      <c r="F50" s="15" t="n">
        <v>25</v>
      </c>
      <c r="G50" s="15" t="n">
        <v>8.4375</v>
      </c>
      <c r="H50" s="15" t="n">
        <v>39</v>
      </c>
      <c r="I50" s="15" t="b">
        <v>1</v>
      </c>
    </row>
    <row r="51">
      <c r="A51" s="15" t="inlineStr">
        <is>
          <t>G#3</t>
        </is>
      </c>
      <c r="B51" s="15" t="inlineStr">
        <is>
          <t>note_effective_component_density</t>
        </is>
      </c>
      <c r="C51" s="15" t="n">
        <v>0.5098236753133605</v>
      </c>
      <c r="D51" s="15" t="n">
        <v>50.98236753133605</v>
      </c>
      <c r="E51" s="15" t="b">
        <v>1</v>
      </c>
      <c r="F51" s="15" t="n">
        <v>25</v>
      </c>
      <c r="G51" s="15" t="n">
        <v>8.4375</v>
      </c>
      <c r="H51" s="15" t="n">
        <v>39</v>
      </c>
      <c r="I51" s="15" t="b">
        <v>1</v>
      </c>
    </row>
    <row r="52">
      <c r="A52" s="15" t="inlineStr">
        <is>
          <t>G#3</t>
        </is>
      </c>
      <c r="B52" s="15" t="inlineStr">
        <is>
          <t>EWSD_score_acoustic_balanced</t>
        </is>
      </c>
      <c r="C52" s="15" t="n">
        <v>0.4056791982224188</v>
      </c>
      <c r="D52" s="15" t="n">
        <v>40.56791982224188</v>
      </c>
      <c r="E52" s="15" t="b">
        <v>1</v>
      </c>
      <c r="F52" s="15" t="n">
        <v>25</v>
      </c>
      <c r="G52" s="15" t="n">
        <v>8.4375</v>
      </c>
      <c r="H52" s="15" t="n">
        <v>39</v>
      </c>
      <c r="I52" s="15" t="b">
        <v>1</v>
      </c>
    </row>
    <row r="53">
      <c r="A53" s="15" t="inlineStr">
        <is>
          <t>A3</t>
        </is>
      </c>
      <c r="B53" s="15" t="inlineStr">
        <is>
          <t>note_density_final</t>
        </is>
      </c>
      <c r="C53" s="15" t="n">
        <v>0.0938255003332574</v>
      </c>
      <c r="D53" s="15" t="n">
        <v>9.382550033325741</v>
      </c>
      <c r="E53" s="15" t="b">
        <v>0</v>
      </c>
      <c r="F53" s="15" t="n">
        <v>25</v>
      </c>
      <c r="G53" s="15" t="n">
        <v>8.6875</v>
      </c>
      <c r="H53" s="15" t="n">
        <v>41</v>
      </c>
      <c r="I53" s="15" t="b">
        <v>1</v>
      </c>
    </row>
    <row r="54">
      <c r="A54" s="15" t="inlineStr">
        <is>
          <t>A3</t>
        </is>
      </c>
      <c r="B54" s="15" t="inlineStr">
        <is>
          <t>note_effective_component_density</t>
        </is>
      </c>
      <c r="C54" s="15" t="n">
        <v>0.5702784821902884</v>
      </c>
      <c r="D54" s="15" t="n">
        <v>57.02784821902884</v>
      </c>
      <c r="E54" s="15" t="b">
        <v>1</v>
      </c>
      <c r="F54" s="15" t="n">
        <v>25</v>
      </c>
      <c r="G54" s="15" t="n">
        <v>8.6875</v>
      </c>
      <c r="H54" s="15" t="n">
        <v>41</v>
      </c>
      <c r="I54" s="15" t="b">
        <v>1</v>
      </c>
    </row>
    <row r="55">
      <c r="A55" s="15" t="inlineStr">
        <is>
          <t>A3</t>
        </is>
      </c>
      <c r="B55" s="15" t="inlineStr">
        <is>
          <t>EWSD_score_acoustic_balanced</t>
        </is>
      </c>
      <c r="C55" s="15" t="n">
        <v>0.4099309358917814</v>
      </c>
      <c r="D55" s="15" t="n">
        <v>40.99309358917814</v>
      </c>
      <c r="E55" s="15" t="b">
        <v>1</v>
      </c>
      <c r="F55" s="15" t="n">
        <v>25</v>
      </c>
      <c r="G55" s="15" t="n">
        <v>8.6875</v>
      </c>
      <c r="H55" s="15" t="n">
        <v>41</v>
      </c>
      <c r="I55" s="15" t="b">
        <v>1</v>
      </c>
    </row>
    <row r="56">
      <c r="A56" s="15" t="inlineStr">
        <is>
          <t>A#3</t>
        </is>
      </c>
      <c r="B56" s="15" t="inlineStr">
        <is>
          <t>note_density_final</t>
        </is>
      </c>
      <c r="C56" s="15" t="n">
        <v>0.08307819345320031</v>
      </c>
      <c r="D56" s="15" t="n">
        <v>8.307819345320031</v>
      </c>
      <c r="E56" s="15" t="b">
        <v>0</v>
      </c>
      <c r="F56" s="15" t="n">
        <v>25</v>
      </c>
      <c r="G56" s="15" t="n">
        <v>7.875</v>
      </c>
      <c r="H56" s="15" t="n">
        <v>37</v>
      </c>
      <c r="I56" s="15" t="b">
        <v>1</v>
      </c>
    </row>
    <row r="57">
      <c r="A57" s="15" t="inlineStr">
        <is>
          <t>A#3</t>
        </is>
      </c>
      <c r="B57" s="15" t="inlineStr">
        <is>
          <t>note_effective_component_density</t>
        </is>
      </c>
      <c r="C57" s="15" t="n">
        <v>0.5113722064613455</v>
      </c>
      <c r="D57" s="15" t="n">
        <v>51.13722064613455</v>
      </c>
      <c r="E57" s="15" t="b">
        <v>1</v>
      </c>
      <c r="F57" s="15" t="n">
        <v>25</v>
      </c>
      <c r="G57" s="15" t="n">
        <v>7.875</v>
      </c>
      <c r="H57" s="15" t="n">
        <v>37</v>
      </c>
      <c r="I57" s="15" t="b">
        <v>1</v>
      </c>
    </row>
    <row r="58">
      <c r="A58" s="15" t="inlineStr">
        <is>
          <t>A#3</t>
        </is>
      </c>
      <c r="B58" s="15" t="inlineStr">
        <is>
          <t>EWSD_score_acoustic_balanced</t>
        </is>
      </c>
      <c r="C58" s="15" t="n">
        <v>0.4208239440971482</v>
      </c>
      <c r="D58" s="15" t="n">
        <v>42.08239440971482</v>
      </c>
      <c r="E58" s="15" t="b">
        <v>1</v>
      </c>
      <c r="F58" s="15" t="n">
        <v>25</v>
      </c>
      <c r="G58" s="15" t="n">
        <v>7.875</v>
      </c>
      <c r="H58" s="15" t="n">
        <v>37</v>
      </c>
      <c r="I58" s="15" t="b">
        <v>1</v>
      </c>
    </row>
    <row r="59">
      <c r="A59" s="15" t="inlineStr">
        <is>
          <t>B3</t>
        </is>
      </c>
      <c r="B59" s="15" t="inlineStr">
        <is>
          <t>note_density_final</t>
        </is>
      </c>
      <c r="C59" s="15" t="n">
        <v>0.09533997452829594</v>
      </c>
      <c r="D59" s="15" t="n">
        <v>9.533997452829594</v>
      </c>
      <c r="E59" s="15" t="b">
        <v>0</v>
      </c>
      <c r="F59" s="15" t="n">
        <v>25</v>
      </c>
      <c r="G59" s="15" t="n">
        <v>4.875</v>
      </c>
      <c r="H59" s="15" t="n">
        <v>39</v>
      </c>
      <c r="I59" s="15" t="b">
        <v>1</v>
      </c>
    </row>
    <row r="60">
      <c r="A60" s="15" t="inlineStr">
        <is>
          <t>B3</t>
        </is>
      </c>
      <c r="B60" s="15" t="inlineStr">
        <is>
          <t>note_effective_component_density</t>
        </is>
      </c>
      <c r="C60" s="15" t="n">
        <v>0.5331305865464232</v>
      </c>
      <c r="D60" s="15" t="n">
        <v>53.31305865464232</v>
      </c>
      <c r="E60" s="15" t="b">
        <v>1</v>
      </c>
      <c r="F60" s="15" t="n">
        <v>25</v>
      </c>
      <c r="G60" s="15" t="n">
        <v>4.875</v>
      </c>
      <c r="H60" s="15" t="n">
        <v>39</v>
      </c>
      <c r="I60" s="15" t="b">
        <v>1</v>
      </c>
    </row>
    <row r="61">
      <c r="A61" s="15" t="inlineStr">
        <is>
          <t>B3</t>
        </is>
      </c>
      <c r="B61" s="15" t="inlineStr">
        <is>
          <t>EWSD_score_acoustic_balanced</t>
        </is>
      </c>
      <c r="C61" s="15" t="n">
        <v>0.383974471715479</v>
      </c>
      <c r="D61" s="15" t="n">
        <v>38.3974471715479</v>
      </c>
      <c r="E61" s="15" t="b">
        <v>1</v>
      </c>
      <c r="F61" s="15" t="n">
        <v>25</v>
      </c>
      <c r="G61" s="15" t="n">
        <v>4.875</v>
      </c>
      <c r="H61" s="15" t="n">
        <v>39</v>
      </c>
      <c r="I61" s="15" t="b">
        <v>1</v>
      </c>
    </row>
    <row r="62">
      <c r="A62" s="15" t="inlineStr">
        <is>
          <t>C4</t>
        </is>
      </c>
      <c r="B62" s="15" t="inlineStr">
        <is>
          <t>note_density_final</t>
        </is>
      </c>
      <c r="C62" s="15" t="n">
        <v>0.08941574188375323</v>
      </c>
      <c r="D62" s="15" t="n">
        <v>8.941574188375323</v>
      </c>
      <c r="E62" s="15" t="b">
        <v>0</v>
      </c>
      <c r="F62" s="15" t="n">
        <v>25</v>
      </c>
      <c r="G62" s="15" t="n">
        <v>3.6875</v>
      </c>
      <c r="H62" s="15" t="n">
        <v>31</v>
      </c>
      <c r="I62" s="15" t="b">
        <v>1</v>
      </c>
    </row>
    <row r="63">
      <c r="A63" s="15" t="inlineStr">
        <is>
          <t>C4</t>
        </is>
      </c>
      <c r="B63" s="15" t="inlineStr">
        <is>
          <t>note_effective_component_density</t>
        </is>
      </c>
      <c r="C63" s="15" t="n">
        <v>0.5296639666318876</v>
      </c>
      <c r="D63" s="15" t="n">
        <v>52.96639666318876</v>
      </c>
      <c r="E63" s="15" t="b">
        <v>1</v>
      </c>
      <c r="F63" s="15" t="n">
        <v>25</v>
      </c>
      <c r="G63" s="15" t="n">
        <v>3.6875</v>
      </c>
      <c r="H63" s="15" t="n">
        <v>31</v>
      </c>
      <c r="I63" s="15" t="b">
        <v>1</v>
      </c>
    </row>
    <row r="64">
      <c r="A64" s="15" t="inlineStr">
        <is>
          <t>C4</t>
        </is>
      </c>
      <c r="B64" s="15" t="inlineStr">
        <is>
          <t>EWSD_score_acoustic_balanced</t>
        </is>
      </c>
      <c r="C64" s="15" t="n">
        <v>0.4393453557796251</v>
      </c>
      <c r="D64" s="15" t="n">
        <v>43.93453557796251</v>
      </c>
      <c r="E64" s="15" t="b">
        <v>1</v>
      </c>
      <c r="F64" s="15" t="n">
        <v>25</v>
      </c>
      <c r="G64" s="15" t="n">
        <v>3.6875</v>
      </c>
      <c r="H64" s="15" t="n">
        <v>31</v>
      </c>
      <c r="I64" s="15" t="b">
        <v>1</v>
      </c>
    </row>
    <row r="65">
      <c r="A65" s="15" t="inlineStr">
        <is>
          <t>C#4</t>
        </is>
      </c>
      <c r="B65" s="15" t="inlineStr">
        <is>
          <t>note_density_final</t>
        </is>
      </c>
      <c r="C65" s="15" t="n">
        <v>0.09572182834249819</v>
      </c>
      <c r="D65" s="15" t="n">
        <v>9.572182834249819</v>
      </c>
      <c r="E65" s="15" t="b">
        <v>0</v>
      </c>
      <c r="F65" s="15" t="n">
        <v>25</v>
      </c>
      <c r="G65" s="15" t="n">
        <v>7.375</v>
      </c>
      <c r="H65" s="15" t="n">
        <v>33</v>
      </c>
      <c r="I65" s="15" t="b">
        <v>1</v>
      </c>
    </row>
    <row r="66">
      <c r="A66" s="15" t="inlineStr">
        <is>
          <t>C#4</t>
        </is>
      </c>
      <c r="B66" s="15" t="inlineStr">
        <is>
          <t>note_effective_component_density</t>
        </is>
      </c>
      <c r="C66" s="15" t="n">
        <v>0.5434923809018597</v>
      </c>
      <c r="D66" s="15" t="n">
        <v>54.34923809018597</v>
      </c>
      <c r="E66" s="15" t="b">
        <v>1</v>
      </c>
      <c r="F66" s="15" t="n">
        <v>25</v>
      </c>
      <c r="G66" s="15" t="n">
        <v>7.375</v>
      </c>
      <c r="H66" s="15" t="n">
        <v>33</v>
      </c>
      <c r="I66" s="15" t="b">
        <v>1</v>
      </c>
    </row>
    <row r="67">
      <c r="A67" s="15" t="inlineStr">
        <is>
          <t>C#4</t>
        </is>
      </c>
      <c r="B67" s="15" t="inlineStr">
        <is>
          <t>EWSD_score_acoustic_balanced</t>
        </is>
      </c>
      <c r="C67" s="15" t="n">
        <v>0.4820515525752077</v>
      </c>
      <c r="D67" s="15" t="n">
        <v>48.20515525752077</v>
      </c>
      <c r="E67" s="15" t="b">
        <v>1</v>
      </c>
      <c r="F67" s="15" t="n">
        <v>25</v>
      </c>
      <c r="G67" s="15" t="n">
        <v>7.375</v>
      </c>
      <c r="H67" s="15" t="n">
        <v>33</v>
      </c>
      <c r="I67" s="15" t="b">
        <v>1</v>
      </c>
    </row>
    <row r="68">
      <c r="A68" s="15" t="inlineStr">
        <is>
          <t>D4</t>
        </is>
      </c>
      <c r="B68" s="15" t="inlineStr">
        <is>
          <t>note_density_final</t>
        </is>
      </c>
      <c r="C68" s="15" t="n">
        <v>0.1009505276489023</v>
      </c>
      <c r="D68" s="15" t="n">
        <v>10.09505276489023</v>
      </c>
      <c r="E68" s="15" t="b">
        <v>0</v>
      </c>
      <c r="F68" s="15" t="n">
        <v>25</v>
      </c>
      <c r="G68" s="15" t="n">
        <v>9.375</v>
      </c>
      <c r="H68" s="15" t="n">
        <v>33</v>
      </c>
      <c r="I68" s="15" t="b">
        <v>1</v>
      </c>
    </row>
    <row r="69">
      <c r="A69" s="15" t="inlineStr">
        <is>
          <t>D4</t>
        </is>
      </c>
      <c r="B69" s="15" t="inlineStr">
        <is>
          <t>note_effective_component_density</t>
        </is>
      </c>
      <c r="C69" s="15" t="n">
        <v>0.5357064756309091</v>
      </c>
      <c r="D69" s="15" t="n">
        <v>53.57064756309092</v>
      </c>
      <c r="E69" s="15" t="b">
        <v>1</v>
      </c>
      <c r="F69" s="15" t="n">
        <v>25</v>
      </c>
      <c r="G69" s="15" t="n">
        <v>9.375</v>
      </c>
      <c r="H69" s="15" t="n">
        <v>33</v>
      </c>
      <c r="I69" s="15" t="b">
        <v>1</v>
      </c>
    </row>
    <row r="70">
      <c r="A70" s="15" t="inlineStr">
        <is>
          <t>D4</t>
        </is>
      </c>
      <c r="B70" s="15" t="inlineStr">
        <is>
          <t>EWSD_score_acoustic_balanced</t>
        </is>
      </c>
      <c r="C70" s="15" t="n">
        <v>0.4542181057331949</v>
      </c>
      <c r="D70" s="15" t="n">
        <v>45.42181057331949</v>
      </c>
      <c r="E70" s="15" t="b">
        <v>1</v>
      </c>
      <c r="F70" s="15" t="n">
        <v>25</v>
      </c>
      <c r="G70" s="15" t="n">
        <v>9.375</v>
      </c>
      <c r="H70" s="15" t="n">
        <v>33</v>
      </c>
      <c r="I70" s="15" t="b">
        <v>1</v>
      </c>
    </row>
    <row r="71">
      <c r="A71" s="15" t="inlineStr">
        <is>
          <t>D#4</t>
        </is>
      </c>
      <c r="B71" s="15" t="inlineStr">
        <is>
          <t>note_density_final</t>
        </is>
      </c>
      <c r="C71" s="15" t="n">
        <v>0.1057923171982492</v>
      </c>
      <c r="D71" s="15" t="n">
        <v>10.57923171982492</v>
      </c>
      <c r="E71" s="15" t="b">
        <v>0</v>
      </c>
      <c r="F71" s="15" t="n">
        <v>25</v>
      </c>
      <c r="G71" s="15" t="n">
        <v>7.3125</v>
      </c>
      <c r="H71" s="15" t="n">
        <v>33</v>
      </c>
      <c r="I71" s="15" t="b">
        <v>1</v>
      </c>
    </row>
    <row r="72">
      <c r="A72" s="15" t="inlineStr">
        <is>
          <t>D#4</t>
        </is>
      </c>
      <c r="B72" s="15" t="inlineStr">
        <is>
          <t>note_effective_component_density</t>
        </is>
      </c>
      <c r="C72" s="15" t="n">
        <v>0.6471143945522674</v>
      </c>
      <c r="D72" s="15" t="n">
        <v>64.71143945522674</v>
      </c>
      <c r="E72" s="15" t="b">
        <v>1</v>
      </c>
      <c r="F72" s="15" t="n">
        <v>25</v>
      </c>
      <c r="G72" s="15" t="n">
        <v>7.3125</v>
      </c>
      <c r="H72" s="15" t="n">
        <v>33</v>
      </c>
      <c r="I72" s="15" t="b">
        <v>1</v>
      </c>
    </row>
    <row r="73">
      <c r="A73" s="15" t="inlineStr">
        <is>
          <t>D#4</t>
        </is>
      </c>
      <c r="B73" s="15" t="inlineStr">
        <is>
          <t>EWSD_score_acoustic_balanced</t>
        </is>
      </c>
      <c r="C73" s="15" t="n">
        <v>0.4271034671164106</v>
      </c>
      <c r="D73" s="15" t="n">
        <v>42.71034671164106</v>
      </c>
      <c r="E73" s="15" t="b">
        <v>1</v>
      </c>
      <c r="F73" s="15" t="n">
        <v>25</v>
      </c>
      <c r="G73" s="15" t="n">
        <v>7.3125</v>
      </c>
      <c r="H73" s="15" t="n">
        <v>33</v>
      </c>
      <c r="I73" s="15" t="b">
        <v>1</v>
      </c>
    </row>
    <row r="74">
      <c r="A74" s="15" t="inlineStr">
        <is>
          <t>E4</t>
        </is>
      </c>
      <c r="B74" s="15" t="inlineStr">
        <is>
          <t>note_density_final</t>
        </is>
      </c>
      <c r="C74" s="15" t="n">
        <v>0.1200476750265472</v>
      </c>
      <c r="D74" s="15" t="n">
        <v>12.00476750265472</v>
      </c>
      <c r="E74" s="15" t="b">
        <v>0</v>
      </c>
      <c r="F74" s="15" t="n">
        <v>25</v>
      </c>
      <c r="G74" s="15" t="n">
        <v>4.25</v>
      </c>
      <c r="H74" s="15" t="n">
        <v>27</v>
      </c>
      <c r="I74" s="15" t="b">
        <v>1</v>
      </c>
    </row>
    <row r="75">
      <c r="A75" s="15" t="inlineStr">
        <is>
          <t>E4</t>
        </is>
      </c>
      <c r="B75" s="15" t="inlineStr">
        <is>
          <t>note_effective_component_density</t>
        </is>
      </c>
      <c r="C75" s="15" t="n">
        <v>0.8147723042005017</v>
      </c>
      <c r="D75" s="15" t="n">
        <v>81.47723042005018</v>
      </c>
      <c r="E75" s="15" t="b">
        <v>1</v>
      </c>
      <c r="F75" s="15" t="n">
        <v>25</v>
      </c>
      <c r="G75" s="15" t="n">
        <v>4.25</v>
      </c>
      <c r="H75" s="15" t="n">
        <v>27</v>
      </c>
      <c r="I75" s="15" t="b">
        <v>1</v>
      </c>
    </row>
    <row r="76">
      <c r="A76" s="15" t="inlineStr">
        <is>
          <t>E4</t>
        </is>
      </c>
      <c r="B76" s="15" t="inlineStr">
        <is>
          <t>EWSD_score_acoustic_balanced</t>
        </is>
      </c>
      <c r="C76" s="15" t="n">
        <v>0.4677715876144099</v>
      </c>
      <c r="D76" s="15" t="n">
        <v>46.77715876144099</v>
      </c>
      <c r="E76" s="15" t="b">
        <v>1</v>
      </c>
      <c r="F76" s="15" t="n">
        <v>25</v>
      </c>
      <c r="G76" s="15" t="n">
        <v>4.25</v>
      </c>
      <c r="H76" s="15" t="n">
        <v>27</v>
      </c>
      <c r="I76" s="15" t="b">
        <v>1</v>
      </c>
    </row>
    <row r="77">
      <c r="A77" s="15" t="inlineStr">
        <is>
          <t>F4</t>
        </is>
      </c>
      <c r="B77" s="15" t="inlineStr">
        <is>
          <t>note_density_final</t>
        </is>
      </c>
      <c r="C77" s="15" t="n">
        <v>0.1259414490455484</v>
      </c>
      <c r="D77" s="15" t="n">
        <v>12.59414490455484</v>
      </c>
      <c r="E77" s="15" t="b">
        <v>0</v>
      </c>
      <c r="F77" s="15" t="n">
        <v>25</v>
      </c>
      <c r="G77" s="15" t="n">
        <v>5.0625</v>
      </c>
      <c r="H77" s="15" t="n">
        <v>31</v>
      </c>
      <c r="I77" s="15" t="b">
        <v>1</v>
      </c>
    </row>
    <row r="78">
      <c r="A78" s="15" t="inlineStr">
        <is>
          <t>F4</t>
        </is>
      </c>
      <c r="B78" s="15" t="inlineStr">
        <is>
          <t>note_effective_component_density</t>
        </is>
      </c>
      <c r="C78" s="15" t="n">
        <v>0.6656558420388881</v>
      </c>
      <c r="D78" s="15" t="n">
        <v>66.5655842038888</v>
      </c>
      <c r="E78" s="15" t="b">
        <v>1</v>
      </c>
      <c r="F78" s="15" t="n">
        <v>25</v>
      </c>
      <c r="G78" s="15" t="n">
        <v>5.0625</v>
      </c>
      <c r="H78" s="15" t="n">
        <v>31</v>
      </c>
      <c r="I78" s="15" t="b">
        <v>1</v>
      </c>
    </row>
    <row r="79">
      <c r="A79" s="15" t="inlineStr">
        <is>
          <t>F4</t>
        </is>
      </c>
      <c r="B79" s="15" t="inlineStr">
        <is>
          <t>EWSD_score_acoustic_balanced</t>
        </is>
      </c>
      <c r="C79" s="15" t="n">
        <v>0.5837787306153217</v>
      </c>
      <c r="D79" s="15" t="n">
        <v>58.37787306153217</v>
      </c>
      <c r="E79" s="15" t="b">
        <v>1</v>
      </c>
      <c r="F79" s="15" t="n">
        <v>25</v>
      </c>
      <c r="G79" s="15" t="n">
        <v>5.0625</v>
      </c>
      <c r="H79" s="15" t="n">
        <v>31</v>
      </c>
      <c r="I79" s="15" t="b">
        <v>1</v>
      </c>
    </row>
    <row r="80">
      <c r="A80" s="15" t="inlineStr">
        <is>
          <t>F#4</t>
        </is>
      </c>
      <c r="B80" s="15" t="inlineStr">
        <is>
          <t>note_density_final</t>
        </is>
      </c>
      <c r="C80" s="15" t="n">
        <v>0.1374584269711897</v>
      </c>
      <c r="D80" s="15" t="n">
        <v>13.74584269711897</v>
      </c>
      <c r="E80" s="15" t="b">
        <v>0</v>
      </c>
      <c r="F80" s="15" t="n">
        <v>25</v>
      </c>
      <c r="G80" s="15" t="n">
        <v>4.0625</v>
      </c>
      <c r="H80" s="15" t="n">
        <v>34</v>
      </c>
      <c r="I80" s="15" t="b">
        <v>1</v>
      </c>
    </row>
    <row r="81">
      <c r="A81" s="15" t="inlineStr">
        <is>
          <t>F#4</t>
        </is>
      </c>
      <c r="B81" s="15" t="inlineStr">
        <is>
          <t>note_effective_component_density</t>
        </is>
      </c>
      <c r="C81" s="15" t="n">
        <v>0.7750660315392294</v>
      </c>
      <c r="D81" s="15" t="n">
        <v>77.50660315392294</v>
      </c>
      <c r="E81" s="15" t="b">
        <v>1</v>
      </c>
      <c r="F81" s="15" t="n">
        <v>25</v>
      </c>
      <c r="G81" s="15" t="n">
        <v>4.0625</v>
      </c>
      <c r="H81" s="15" t="n">
        <v>34</v>
      </c>
      <c r="I81" s="15" t="b">
        <v>1</v>
      </c>
    </row>
    <row r="82">
      <c r="A82" s="15" t="inlineStr">
        <is>
          <t>F#4</t>
        </is>
      </c>
      <c r="B82" s="15" t="inlineStr">
        <is>
          <t>EWSD_score_acoustic_balanced</t>
        </is>
      </c>
      <c r="C82" s="15" t="n">
        <v>0.4800538446218201</v>
      </c>
      <c r="D82" s="15" t="n">
        <v>48.00538446218201</v>
      </c>
      <c r="E82" s="15" t="b">
        <v>1</v>
      </c>
      <c r="F82" s="15" t="n">
        <v>25</v>
      </c>
      <c r="G82" s="15" t="n">
        <v>4.0625</v>
      </c>
      <c r="H82" s="15" t="n">
        <v>34</v>
      </c>
      <c r="I82" s="15" t="b">
        <v>1</v>
      </c>
    </row>
    <row r="83">
      <c r="A83" s="15" t="inlineStr">
        <is>
          <t>G4</t>
        </is>
      </c>
      <c r="B83" s="15" t="inlineStr">
        <is>
          <t>note_density_final</t>
        </is>
      </c>
      <c r="C83" s="15" t="n">
        <v>0.1411054200577234</v>
      </c>
      <c r="D83" s="15" t="n">
        <v>14.11054200577234</v>
      </c>
      <c r="E83" s="15" t="b">
        <v>0</v>
      </c>
      <c r="F83" s="15" t="n">
        <v>25</v>
      </c>
      <c r="G83" s="15" t="n">
        <v>4.4375</v>
      </c>
      <c r="H83" s="15" t="n">
        <v>27</v>
      </c>
      <c r="I83" s="15" t="b">
        <v>1</v>
      </c>
    </row>
    <row r="84">
      <c r="A84" s="15" t="inlineStr">
        <is>
          <t>G4</t>
        </is>
      </c>
      <c r="B84" s="15" t="inlineStr">
        <is>
          <t>note_effective_component_density</t>
        </is>
      </c>
      <c r="C84" s="15" t="n">
        <v>0.836284117828904</v>
      </c>
      <c r="D84" s="15" t="n">
        <v>83.6284117828904</v>
      </c>
      <c r="E84" s="15" t="b">
        <v>1</v>
      </c>
      <c r="F84" s="15" t="n">
        <v>25</v>
      </c>
      <c r="G84" s="15" t="n">
        <v>4.4375</v>
      </c>
      <c r="H84" s="15" t="n">
        <v>27</v>
      </c>
      <c r="I84" s="15" t="b">
        <v>1</v>
      </c>
    </row>
    <row r="85">
      <c r="A85" s="15" t="inlineStr">
        <is>
          <t>G4</t>
        </is>
      </c>
      <c r="B85" s="15" t="inlineStr">
        <is>
          <t>EWSD_score_acoustic_balanced</t>
        </is>
      </c>
      <c r="C85" s="15" t="n">
        <v>0.4953239323068542</v>
      </c>
      <c r="D85" s="15" t="n">
        <v>49.53239323068541</v>
      </c>
      <c r="E85" s="15" t="b">
        <v>1</v>
      </c>
      <c r="F85" s="15" t="n">
        <v>25</v>
      </c>
      <c r="G85" s="15" t="n">
        <v>4.4375</v>
      </c>
      <c r="H85" s="15" t="n">
        <v>27</v>
      </c>
      <c r="I85" s="15" t="b">
        <v>1</v>
      </c>
    </row>
    <row r="86">
      <c r="A86" s="15" t="inlineStr">
        <is>
          <t>G#4</t>
        </is>
      </c>
      <c r="B86" s="15" t="inlineStr">
        <is>
          <t>note_density_final</t>
        </is>
      </c>
      <c r="C86" s="15" t="n">
        <v>0.1580924688725995</v>
      </c>
      <c r="D86" s="15" t="n">
        <v>15.80924688725995</v>
      </c>
      <c r="E86" s="15" t="b">
        <v>0</v>
      </c>
      <c r="F86" s="15" t="n">
        <v>25</v>
      </c>
      <c r="G86" s="15" t="n">
        <v>5.25</v>
      </c>
      <c r="H86" s="15" t="n">
        <v>25</v>
      </c>
      <c r="I86" s="15" t="b">
        <v>1</v>
      </c>
    </row>
    <row r="87">
      <c r="A87" s="15" t="inlineStr">
        <is>
          <t>G#4</t>
        </is>
      </c>
      <c r="B87" s="15" t="inlineStr">
        <is>
          <t>note_effective_component_density</t>
        </is>
      </c>
      <c r="C87" s="15" t="n">
        <v>1.155858856002553</v>
      </c>
      <c r="D87" s="15" t="n">
        <v>115.5858856002553</v>
      </c>
      <c r="E87" s="15" t="b">
        <v>1</v>
      </c>
      <c r="F87" s="15" t="n">
        <v>25</v>
      </c>
      <c r="G87" s="15" t="n">
        <v>5.25</v>
      </c>
      <c r="H87" s="15" t="n">
        <v>25</v>
      </c>
      <c r="I87" s="15" t="b">
        <v>1</v>
      </c>
    </row>
    <row r="88">
      <c r="A88" s="15" t="inlineStr">
        <is>
          <t>G#4</t>
        </is>
      </c>
      <c r="B88" s="15" t="inlineStr">
        <is>
          <t>EWSD_score_acoustic_balanced</t>
        </is>
      </c>
      <c r="C88" s="15" t="n">
        <v>0.5003863972678104</v>
      </c>
      <c r="D88" s="15" t="n">
        <v>50.03863972678104</v>
      </c>
      <c r="E88" s="15" t="b">
        <v>1</v>
      </c>
      <c r="F88" s="15" t="n">
        <v>25</v>
      </c>
      <c r="G88" s="15" t="n">
        <v>5.25</v>
      </c>
      <c r="H88" s="15" t="n">
        <v>25</v>
      </c>
      <c r="I88" s="15" t="b">
        <v>1</v>
      </c>
    </row>
    <row r="89">
      <c r="A89" s="15" t="inlineStr">
        <is>
          <t>A4</t>
        </is>
      </c>
      <c r="B89" s="15" t="inlineStr">
        <is>
          <t>note_density_final</t>
        </is>
      </c>
      <c r="C89" s="15" t="n">
        <v>0.1658966810973053</v>
      </c>
      <c r="D89" s="15" t="n">
        <v>16.58966810973053</v>
      </c>
      <c r="E89" s="15" t="b">
        <v>0</v>
      </c>
      <c r="F89" s="15" t="n">
        <v>25</v>
      </c>
      <c r="G89" s="15" t="n">
        <v>7.3125</v>
      </c>
      <c r="H89" s="15" t="n">
        <v>26</v>
      </c>
      <c r="I89" s="15" t="b">
        <v>1</v>
      </c>
    </row>
    <row r="90">
      <c r="A90" s="15" t="inlineStr">
        <is>
          <t>A4</t>
        </is>
      </c>
      <c r="B90" s="15" t="inlineStr">
        <is>
          <t>note_effective_component_density</t>
        </is>
      </c>
      <c r="C90" s="15" t="n">
        <v>1.307964943244953</v>
      </c>
      <c r="D90" s="15" t="n">
        <v>130.7964943244953</v>
      </c>
      <c r="E90" s="15" t="b">
        <v>1</v>
      </c>
      <c r="F90" s="15" t="n">
        <v>25</v>
      </c>
      <c r="G90" s="15" t="n">
        <v>7.3125</v>
      </c>
      <c r="H90" s="15" t="n">
        <v>26</v>
      </c>
      <c r="I90" s="15" t="b">
        <v>1</v>
      </c>
    </row>
    <row r="91">
      <c r="A91" s="15" t="inlineStr">
        <is>
          <t>A4</t>
        </is>
      </c>
      <c r="B91" s="15" t="inlineStr">
        <is>
          <t>EWSD_score_acoustic_balanced</t>
        </is>
      </c>
      <c r="C91" s="15" t="n">
        <v>0.4971543737383941</v>
      </c>
      <c r="D91" s="15" t="n">
        <v>49.71543737383941</v>
      </c>
      <c r="E91" s="15" t="b">
        <v>1</v>
      </c>
      <c r="F91" s="15" t="n">
        <v>25</v>
      </c>
      <c r="G91" s="15" t="n">
        <v>7.3125</v>
      </c>
      <c r="H91" s="15" t="n">
        <v>26</v>
      </c>
      <c r="I91" s="15" t="b">
        <v>1</v>
      </c>
    </row>
    <row r="92">
      <c r="A92" s="15" t="inlineStr">
        <is>
          <t>A#4</t>
        </is>
      </c>
      <c r="B92" s="15" t="inlineStr">
        <is>
          <t>note_density_final</t>
        </is>
      </c>
      <c r="C92" s="15" t="n">
        <v>0.1801880358294522</v>
      </c>
      <c r="D92" s="15" t="n">
        <v>18.01880358294522</v>
      </c>
      <c r="E92" s="15" t="b">
        <v>0</v>
      </c>
      <c r="F92" s="15" t="n">
        <v>25</v>
      </c>
      <c r="G92" s="15" t="n">
        <v>6.8125</v>
      </c>
      <c r="H92" s="15" t="n">
        <v>27</v>
      </c>
      <c r="I92" s="15" t="b">
        <v>1</v>
      </c>
    </row>
    <row r="93">
      <c r="A93" s="15" t="inlineStr">
        <is>
          <t>A#4</t>
        </is>
      </c>
      <c r="B93" s="15" t="inlineStr">
        <is>
          <t>note_effective_component_density</t>
        </is>
      </c>
      <c r="C93" s="15" t="n">
        <v>1.562618967909121</v>
      </c>
      <c r="D93" s="15" t="n">
        <v>156.2618967909121</v>
      </c>
      <c r="E93" s="15" t="b">
        <v>1</v>
      </c>
      <c r="F93" s="15" t="n">
        <v>25</v>
      </c>
      <c r="G93" s="15" t="n">
        <v>6.8125</v>
      </c>
      <c r="H93" s="15" t="n">
        <v>27</v>
      </c>
      <c r="I93" s="15" t="b">
        <v>1</v>
      </c>
    </row>
    <row r="94">
      <c r="A94" s="15" t="inlineStr">
        <is>
          <t>A#4</t>
        </is>
      </c>
      <c r="B94" s="15" t="inlineStr">
        <is>
          <t>EWSD_score_acoustic_balanced</t>
        </is>
      </c>
      <c r="C94" s="15" t="n">
        <v>0.5485587161113222</v>
      </c>
      <c r="D94" s="15" t="n">
        <v>54.85587161113222</v>
      </c>
      <c r="E94" s="15" t="b">
        <v>1</v>
      </c>
      <c r="F94" s="15" t="n">
        <v>25</v>
      </c>
      <c r="G94" s="15" t="n">
        <v>6.8125</v>
      </c>
      <c r="H94" s="15" t="n">
        <v>27</v>
      </c>
      <c r="I94" s="15" t="b">
        <v>1</v>
      </c>
    </row>
    <row r="95">
      <c r="A95" s="15" t="inlineStr">
        <is>
          <t>C5</t>
        </is>
      </c>
      <c r="B95" s="15" t="inlineStr">
        <is>
          <t>note_density_final</t>
        </is>
      </c>
      <c r="C95" s="15" t="n">
        <v>0.1732116656301612</v>
      </c>
      <c r="D95" s="15" t="n">
        <v>17.32116656301612</v>
      </c>
      <c r="E95" s="15" t="b">
        <v>0</v>
      </c>
      <c r="F95" s="15" t="n">
        <v>25</v>
      </c>
      <c r="G95" s="15" t="n">
        <v>15.6875</v>
      </c>
      <c r="H95" s="15" t="n">
        <v>23</v>
      </c>
      <c r="I95" s="15" t="b">
        <v>0</v>
      </c>
    </row>
    <row r="96">
      <c r="A96" s="15" t="inlineStr">
        <is>
          <t>C5</t>
        </is>
      </c>
      <c r="B96" s="15" t="inlineStr">
        <is>
          <t>note_effective_component_density</t>
        </is>
      </c>
      <c r="C96" s="15" t="n">
        <v>1.991042473929139</v>
      </c>
      <c r="D96" s="15" t="n">
        <v>199.1042473929139</v>
      </c>
      <c r="E96" s="15" t="b">
        <v>1</v>
      </c>
      <c r="F96" s="15" t="n">
        <v>25</v>
      </c>
      <c r="G96" s="15" t="n">
        <v>15.6875</v>
      </c>
      <c r="H96" s="15" t="n">
        <v>23</v>
      </c>
      <c r="I96" s="15" t="b">
        <v>0</v>
      </c>
    </row>
    <row r="97">
      <c r="A97" s="15" t="inlineStr">
        <is>
          <t>C5</t>
        </is>
      </c>
      <c r="B97" s="15" t="inlineStr">
        <is>
          <t>EWSD_score_acoustic_balanced</t>
        </is>
      </c>
      <c r="C97" s="15" t="n">
        <v>0.416941121597758</v>
      </c>
      <c r="D97" s="15" t="n">
        <v>41.6941121597758</v>
      </c>
      <c r="E97" s="15" t="b">
        <v>1</v>
      </c>
      <c r="F97" s="15" t="n">
        <v>25</v>
      </c>
      <c r="G97" s="15" t="n">
        <v>15.6875</v>
      </c>
      <c r="H97" s="15" t="n">
        <v>23</v>
      </c>
      <c r="I97" s="15" t="b">
        <v>0</v>
      </c>
    </row>
  </sheetData>
  <autoFilter ref="A1:I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1" t="inlineStr">
        <is>
          <t>primary_statistics_status</t>
        </is>
      </c>
    </row>
    <row r="2">
      <c r="A2" s="15" t="inlineStr">
        <is>
          <t>no rows passed valid_for_primary_statistics + is_primary_comparable_profile filters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22" customWidth="1" min="5" max="5"/>
    <col width="24" customWidth="1" min="6" max="6"/>
    <col width="21" customWidth="1" min="7" max="7"/>
    <col width="19" customWidth="1" min="8" max="8"/>
    <col width="33" customWidth="1" min="9" max="9"/>
    <col width="35" customWidth="1" min="10" max="10"/>
    <col width="32" customWidth="1" min="11" max="11"/>
    <col width="28" customWidth="1" min="12" max="12"/>
    <col width="28" customWidth="1" min="13" max="13"/>
    <col width="27" customWidth="1" min="14" max="14"/>
    <col width="40" customWidth="1" min="15" max="15"/>
    <col width="42" customWidth="1" min="16" max="16"/>
    <col width="39" customWidth="1" min="17" max="17"/>
    <col width="20" customWidth="1" min="18" max="18"/>
    <col width="24" customWidth="1" min="19" max="19"/>
    <col width="26" customWidth="1" min="20" max="20"/>
    <col width="23" customWidth="1" min="21" max="21"/>
    <col width="22" customWidth="1" min="22" max="22"/>
    <col width="22" customWidth="1" min="23" max="23"/>
    <col width="48" customWidth="1" min="24" max="24"/>
    <col width="48" customWidth="1" min="25" max="25"/>
    <col width="28" customWidth="1" min="26" max="26"/>
    <col width="23" customWidth="1" min="27" max="27"/>
    <col width="31" customWidth="1" min="28" max="28"/>
    <col width="31" customWidth="1" min="29" max="29"/>
    <col width="22" customWidth="1" min="30" max="30"/>
    <col width="25" customWidth="1" min="31" max="31"/>
    <col width="26" customWidth="1" min="32" max="3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Register</t>
        </is>
      </c>
      <c r="D1" s="11" t="inlineStr">
        <is>
          <t>Dynamic</t>
        </is>
      </c>
      <c r="E1" s="11" t="inlineStr">
        <is>
          <t>harmonic_density_sum</t>
        </is>
      </c>
      <c r="F1" s="11" t="inlineStr">
        <is>
          <t>inharmonic_density_sum</t>
        </is>
      </c>
      <c r="G1" s="11" t="inlineStr">
        <is>
          <t>subbass_density_sum</t>
        </is>
      </c>
      <c r="H1" s="11" t="inlineStr">
        <is>
          <t>Total sum</t>
        </is>
      </c>
      <c r="I1" s="11" t="inlineStr">
        <is>
          <t>component_harmonic_energy_ratio</t>
        </is>
      </c>
      <c r="J1" s="11" t="inlineStr">
        <is>
          <t>component_inharmonic_energy_ratio</t>
        </is>
      </c>
      <c r="K1" s="11" t="inlineStr">
        <is>
          <t>component_subbass_energy_ratio</t>
        </is>
      </c>
      <c r="L1" s="11" t="inlineStr">
        <is>
          <t>core_harmonic_energy_ratio</t>
        </is>
      </c>
      <c r="M1" s="11" t="inlineStr">
        <is>
          <t>core_residual_energy_ratio</t>
        </is>
      </c>
      <c r="N1" s="11" t="inlineStr">
        <is>
          <t>core_subbass_energy_ratio</t>
        </is>
      </c>
      <c r="O1" s="11" t="inlineStr">
        <is>
          <t>weighted_harmonic_density_contribution</t>
        </is>
      </c>
      <c r="P1" s="11" t="inlineStr">
        <is>
          <t>weighted_inharmonic_density_contribution</t>
        </is>
      </c>
      <c r="Q1" s="11" t="inlineStr">
        <is>
          <t>weighted_subbass_density_contribution</t>
        </is>
      </c>
      <c r="R1" s="11" t="inlineStr">
        <is>
          <t>density_metric_raw</t>
        </is>
      </c>
      <c r="S1" s="11" t="inlineStr">
        <is>
          <t>harmonic_amplitude_sum</t>
        </is>
      </c>
      <c r="T1" s="11" t="inlineStr">
        <is>
          <t>inharmonic_amplitude_sum</t>
        </is>
      </c>
      <c r="U1" s="11" t="inlineStr">
        <is>
          <t>subbass_amplitude_sum</t>
        </is>
      </c>
      <c r="V1" s="11" t="inlineStr">
        <is>
          <t>density_weighted_sum</t>
        </is>
      </c>
      <c r="W1" s="11" t="inlineStr">
        <is>
          <t>density_log_weighted</t>
        </is>
      </c>
      <c r="X1" s="11" t="inlineStr">
        <is>
          <t>amplitude_mass_chart_file</t>
        </is>
      </c>
      <c r="Y1" s="11" t="inlineStr">
        <is>
          <t>energy_ratio_chart_file</t>
        </is>
      </c>
      <c r="Z1" s="11" t="inlineStr">
        <is>
          <t>component_energy_ratio_sum</t>
        </is>
      </c>
      <c r="AA1" s="11" t="inlineStr">
        <is>
          <t>core_energy_ratio_sum</t>
        </is>
      </c>
      <c r="AB1" s="11" t="inlineStr">
        <is>
          <t>density_metric_raw_recomputed</t>
        </is>
      </c>
      <c r="AC1" s="11" t="inlineStr">
        <is>
          <t>density_metric_raw_difference</t>
        </is>
      </c>
      <c r="AD1" s="11" t="inlineStr">
        <is>
          <t>total_sum_recomputed</t>
        </is>
      </c>
      <c r="AE1" s="11" t="inlineStr">
        <is>
          <t>total_sum_difference</t>
        </is>
      </c>
      <c r="AF1" s="11" t="inlineStr">
        <is>
          <t>component_balance_status</t>
        </is>
      </c>
    </row>
    <row r="2">
      <c r="A2" t="inlineStr">
        <is>
          <t>E2</t>
        </is>
      </c>
      <c r="B2" t="n">
        <v>40</v>
      </c>
      <c r="C2" t="inlineStr">
        <is>
          <t>Low</t>
        </is>
      </c>
      <c r="D2" t="inlineStr">
        <is>
          <t>pp</t>
        </is>
      </c>
      <c r="E2" s="15" t="n">
        <v>2.851981973033231</v>
      </c>
      <c r="F2" s="15" t="n">
        <v>1.834059864309312</v>
      </c>
      <c r="G2" s="15" t="n">
        <v>0.8903857832374671</v>
      </c>
      <c r="H2" s="15" t="n">
        <v>5.576427620580009</v>
      </c>
      <c r="I2" s="19" t="n">
        <v>0.9999656991657909</v>
      </c>
      <c r="J2" s="19" t="n">
        <v>0</v>
      </c>
      <c r="K2" s="19" t="n">
        <v>3.430083420907089e-05</v>
      </c>
      <c r="L2" s="19" t="n">
        <v>0.7739585713115726</v>
      </c>
      <c r="M2" s="19" t="n">
        <v>0.2260148803531581</v>
      </c>
      <c r="N2" s="19" t="n">
        <v>2.654833526929422e-05</v>
      </c>
      <c r="O2" s="15" t="n">
        <v>1.409693181013609</v>
      </c>
      <c r="P2" s="15" t="n">
        <v>0.8093916045383868</v>
      </c>
      <c r="Q2" s="15" t="n">
        <v>0.05734361494381267</v>
      </c>
      <c r="R2" s="15" t="n">
        <v>2.276428400495808</v>
      </c>
      <c r="S2" s="15" t="n">
        <v>710.1839927710176</v>
      </c>
      <c r="T2" s="15" t="n">
        <v>67.24327560092576</v>
      </c>
      <c r="U2" s="15" t="n">
        <v>6.769369623070523</v>
      </c>
      <c r="V2" s="15" t="n">
        <v>1234.016797346328</v>
      </c>
      <c r="W2" s="15" t="n">
        <v>0.5856766599011197</v>
      </c>
      <c r="X2" t="inlineStr">
        <is>
          <t>IOWA_Trb.T_pp.E2_SustainStable/E2/component_amplitude_mass_pie.png</t>
        </is>
      </c>
      <c r="Y2" t="inlineStr">
        <is>
          <t>IOWA_Trb.T_pp.E2_SustainStable/E2/component_energy_ratio_pie.png</t>
        </is>
      </c>
      <c r="Z2" s="19" t="n">
        <v>1</v>
      </c>
      <c r="AA2" s="19" t="n">
        <v>1</v>
      </c>
      <c r="AB2" s="15" t="n">
        <v>2.276428400495809</v>
      </c>
      <c r="AC2" s="15" t="n">
        <v>-4.440892098500626e-16</v>
      </c>
      <c r="AD2" s="15" t="n">
        <v>5.57642762058001</v>
      </c>
      <c r="AE2" s="15" t="n">
        <v>-8.881784197001252e-16</v>
      </c>
      <c r="AF2" t="inlineStr">
        <is>
          <t>passed</t>
        </is>
      </c>
    </row>
    <row r="3">
      <c r="A3" t="inlineStr">
        <is>
          <t>F2</t>
        </is>
      </c>
      <c r="B3" t="n">
        <v>41</v>
      </c>
      <c r="C3" t="inlineStr">
        <is>
          <t>Low</t>
        </is>
      </c>
      <c r="D3" t="inlineStr">
        <is>
          <t>pp</t>
        </is>
      </c>
      <c r="E3" s="15" t="n">
        <v>2.866829442179552</v>
      </c>
      <c r="F3" s="15" t="n">
        <v>1.853491207508416</v>
      </c>
      <c r="G3" s="15" t="n">
        <v>1.076385329302652</v>
      </c>
      <c r="H3" s="15" t="n">
        <v>5.796705978990619</v>
      </c>
      <c r="I3" s="19" t="n">
        <v>0.9999382681056384</v>
      </c>
      <c r="J3" s="19" t="n">
        <v>0</v>
      </c>
      <c r="K3" s="19" t="n">
        <v>6.173189436165851e-05</v>
      </c>
      <c r="L3" s="19" t="n">
        <v>0.7789912688826267</v>
      </c>
      <c r="M3" s="19" t="n">
        <v>0.22096063954187</v>
      </c>
      <c r="N3" s="19" t="n">
        <v>4.809157550337529e-05</v>
      </c>
      <c r="O3" s="15" t="n">
        <v>1.417032068919909</v>
      </c>
      <c r="P3" s="15" t="n">
        <v>0.8179668786372951</v>
      </c>
      <c r="Q3" s="15" t="n">
        <v>0.06932256446219384</v>
      </c>
      <c r="R3" s="15" t="n">
        <v>2.304321512019397</v>
      </c>
      <c r="S3" s="15" t="n">
        <v>734.9180281419227</v>
      </c>
      <c r="T3" s="15" t="n">
        <v>70.36597566061228</v>
      </c>
      <c r="U3" s="15" t="n">
        <v>10.92299410700836</v>
      </c>
      <c r="V3" s="15" t="n">
        <v>1537.55310110516</v>
      </c>
      <c r="W3" s="15" t="n">
        <v>0.5873426028350354</v>
      </c>
      <c r="X3" t="inlineStr">
        <is>
          <t>IOWA_Trb.T_pp.F2_SustainStable/F2/component_amplitude_mass_pie.png</t>
        </is>
      </c>
      <c r="Y3" t="inlineStr">
        <is>
          <t>IOWA_Trb.T_pp.F2_SustainStable/F2/component_energy_ratio_pie.png</t>
        </is>
      </c>
      <c r="Z3" s="19" t="n">
        <v>1</v>
      </c>
      <c r="AA3" s="19" t="n">
        <v>1</v>
      </c>
      <c r="AB3" s="15" t="n">
        <v>2.304321512019398</v>
      </c>
      <c r="AC3" s="15" t="n">
        <v>-1.332267629550188e-15</v>
      </c>
      <c r="AD3" s="15" t="n">
        <v>5.79670597899062</v>
      </c>
      <c r="AE3" s="15" t="n">
        <v>-1.77635683940025e-15</v>
      </c>
      <c r="AF3" t="inlineStr">
        <is>
          <t>passed</t>
        </is>
      </c>
    </row>
    <row r="4">
      <c r="A4" t="inlineStr">
        <is>
          <t>F#2</t>
        </is>
      </c>
      <c r="B4" t="n">
        <v>42</v>
      </c>
      <c r="C4" t="inlineStr">
        <is>
          <t>Low</t>
        </is>
      </c>
      <c r="D4" t="inlineStr">
        <is>
          <t>pp</t>
        </is>
      </c>
      <c r="E4" s="15" t="n">
        <v>2.837898388309643</v>
      </c>
      <c r="F4" s="15" t="n">
        <v>1.754613919730159</v>
      </c>
      <c r="G4" s="15" t="n">
        <v>1.154050550303121</v>
      </c>
      <c r="H4" s="15" t="n">
        <v>5.746562858342923</v>
      </c>
      <c r="I4" s="19" t="n">
        <v>0.9998939418808237</v>
      </c>
      <c r="J4" s="19" t="n">
        <v>0</v>
      </c>
      <c r="K4" s="19" t="n">
        <v>0.0001060581191762741</v>
      </c>
      <c r="L4" s="19" t="n">
        <v>0.8270579782195383</v>
      </c>
      <c r="M4" s="19" t="n">
        <v>0.1728542962628387</v>
      </c>
      <c r="N4" s="19" t="n">
        <v>8.772551762309897e-05</v>
      </c>
      <c r="O4" s="15" t="n">
        <v>1.402731870059755</v>
      </c>
      <c r="P4" s="15" t="n">
        <v>0.7743312001272123</v>
      </c>
      <c r="Q4" s="15" t="n">
        <v>0.07432444635588668</v>
      </c>
      <c r="R4" s="15" t="n">
        <v>2.251387516542855</v>
      </c>
      <c r="S4" s="15" t="n">
        <v>687.4911915146529</v>
      </c>
      <c r="T4" s="15" t="n">
        <v>55.83474551571</v>
      </c>
      <c r="U4" s="15" t="n">
        <v>13.25773538814941</v>
      </c>
      <c r="V4" s="15" t="n">
        <v>1539.23356554472</v>
      </c>
      <c r="W4" s="15" t="n">
        <v>0.5840732630941523</v>
      </c>
      <c r="X4" t="inlineStr">
        <is>
          <t>IOWA_Trb.T_pp.F#2_SustainStable/F#2/component_amplitude_mass_pie.png</t>
        </is>
      </c>
      <c r="Y4" t="inlineStr">
        <is>
          <t>IOWA_Trb.T_pp.F#2_SustainStable/F#2/component_energy_ratio_pie.png</t>
        </is>
      </c>
      <c r="Z4" s="19" t="n">
        <v>1</v>
      </c>
      <c r="AA4" s="19" t="n">
        <v>1</v>
      </c>
      <c r="AB4" s="15" t="n">
        <v>2.251387516542854</v>
      </c>
      <c r="AC4" s="15" t="n">
        <v>8.881784197001252e-16</v>
      </c>
      <c r="AD4" s="15" t="n">
        <v>5.746562858342923</v>
      </c>
      <c r="AE4" s="15" t="n">
        <v>0</v>
      </c>
      <c r="AF4" t="inlineStr">
        <is>
          <t>passed</t>
        </is>
      </c>
    </row>
    <row r="5">
      <c r="A5" t="inlineStr">
        <is>
          <t>G2</t>
        </is>
      </c>
      <c r="B5" t="n">
        <v>43</v>
      </c>
      <c r="C5" t="inlineStr">
        <is>
          <t>Low</t>
        </is>
      </c>
      <c r="D5" t="inlineStr">
        <is>
          <t>pp</t>
        </is>
      </c>
      <c r="E5" s="15" t="n">
        <v>2.818803780385386</v>
      </c>
      <c r="F5" s="15" t="n">
        <v>1.835424899961098</v>
      </c>
      <c r="G5" s="15" t="n">
        <v>1.098467155778989</v>
      </c>
      <c r="H5" s="15" t="n">
        <v>5.752695836125472</v>
      </c>
      <c r="I5" s="19" t="n">
        <v>0.9999136288948512</v>
      </c>
      <c r="J5" s="19" t="n">
        <v>0</v>
      </c>
      <c r="K5" s="19" t="n">
        <v>8.637110514881164e-05</v>
      </c>
      <c r="L5" s="19" t="n">
        <v>0.8007833933219033</v>
      </c>
      <c r="M5" s="19" t="n">
        <v>0.1991474361570963</v>
      </c>
      <c r="N5" s="19" t="n">
        <v>6.917052100037082e-05</v>
      </c>
      <c r="O5" s="15" t="n">
        <v>1.39329368326914</v>
      </c>
      <c r="P5" s="15" t="n">
        <v>0.809994010391081</v>
      </c>
      <c r="Q5" s="15" t="n">
        <v>0.07074470279655834</v>
      </c>
      <c r="R5" s="15" t="n">
        <v>2.274032396456779</v>
      </c>
      <c r="S5" s="15" t="n">
        <v>657.8761396012532</v>
      </c>
      <c r="T5" s="15" t="n">
        <v>67.45810921968197</v>
      </c>
      <c r="U5" s="15" t="n">
        <v>11.5448986145032</v>
      </c>
      <c r="V5" s="15" t="n">
        <v>1382.730226878318</v>
      </c>
      <c r="W5" s="15" t="n">
        <v>0.5819104453506181</v>
      </c>
      <c r="X5" t="inlineStr">
        <is>
          <t>IOWA_Trb.T_pp.G2_SustainStable/G2/component_amplitude_mass_pie.png</t>
        </is>
      </c>
      <c r="Y5" t="inlineStr">
        <is>
          <t>IOWA_Trb.T_pp.G2_SustainStable/G2/component_energy_ratio_pie.png</t>
        </is>
      </c>
      <c r="Z5" s="19" t="n">
        <v>1</v>
      </c>
      <c r="AA5" s="19" t="n">
        <v>1</v>
      </c>
      <c r="AB5" s="15" t="n">
        <v>2.274032396456779</v>
      </c>
      <c r="AC5" s="15" t="n">
        <v>-4.440892098500626e-16</v>
      </c>
      <c r="AD5" s="15" t="n">
        <v>5.752695836125473</v>
      </c>
      <c r="AE5" s="15" t="n">
        <v>-8.881784197001252e-16</v>
      </c>
      <c r="AF5" t="inlineStr">
        <is>
          <t>passed</t>
        </is>
      </c>
    </row>
    <row r="6">
      <c r="A6" t="inlineStr">
        <is>
          <t>G#2</t>
        </is>
      </c>
      <c r="B6" t="n">
        <v>44</v>
      </c>
      <c r="C6" t="inlineStr">
        <is>
          <t>Low</t>
        </is>
      </c>
      <c r="D6" t="inlineStr">
        <is>
          <t>pp</t>
        </is>
      </c>
      <c r="E6" s="15" t="n">
        <v>2.799556435593439</v>
      </c>
      <c r="F6" s="15" t="n">
        <v>1.805835733789834</v>
      </c>
      <c r="G6" s="15" t="n">
        <v>1.221005493743761</v>
      </c>
      <c r="H6" s="15" t="n">
        <v>5.826397663127034</v>
      </c>
      <c r="I6" s="19" t="n">
        <v>0.9999607583344755</v>
      </c>
      <c r="J6" s="19" t="n">
        <v>0</v>
      </c>
      <c r="K6" s="19" t="n">
        <v>3.924166552454202e-05</v>
      </c>
      <c r="L6" s="19" t="n">
        <v>0.8043603931993758</v>
      </c>
      <c r="M6" s="19" t="n">
        <v>0.1956080411204232</v>
      </c>
      <c r="N6" s="19" t="n">
        <v>3.156568020098351e-05</v>
      </c>
      <c r="O6" s="15" t="n">
        <v>1.383780000867787</v>
      </c>
      <c r="P6" s="15" t="n">
        <v>0.7969359727826241</v>
      </c>
      <c r="Q6" s="15" t="n">
        <v>0.07863655304888051</v>
      </c>
      <c r="R6" s="15" t="n">
        <v>2.259352526699291</v>
      </c>
      <c r="S6" s="15" t="n">
        <v>629.3132484615353</v>
      </c>
      <c r="T6" s="15" t="n">
        <v>62.94929098999798</v>
      </c>
      <c r="U6" s="15" t="n">
        <v>15.63433692361376</v>
      </c>
      <c r="V6" s="15" t="n">
        <v>1394.050308285091</v>
      </c>
      <c r="W6" s="15" t="n">
        <v>0.5797258191073854</v>
      </c>
      <c r="X6" t="inlineStr">
        <is>
          <t>IOWA_Trb.T_pp.G#2_SustainStable/G#2/component_amplitude_mass_pie.png</t>
        </is>
      </c>
      <c r="Y6" t="inlineStr">
        <is>
          <t>IOWA_Trb.T_pp.G#2_SustainStable/G#2/component_energy_ratio_pie.png</t>
        </is>
      </c>
      <c r="Z6" s="19" t="n">
        <v>1</v>
      </c>
      <c r="AA6" s="19" t="n">
        <v>1</v>
      </c>
      <c r="AB6" s="15" t="n">
        <v>2.259352526699292</v>
      </c>
      <c r="AC6" s="15" t="n">
        <v>-4.440892098500626e-16</v>
      </c>
      <c r="AD6" s="15" t="n">
        <v>5.826397663127034</v>
      </c>
      <c r="AE6" s="15" t="n">
        <v>0</v>
      </c>
      <c r="AF6" t="inlineStr">
        <is>
          <t>passed</t>
        </is>
      </c>
    </row>
    <row r="7">
      <c r="A7" t="inlineStr">
        <is>
          <t>A2</t>
        </is>
      </c>
      <c r="B7" t="n">
        <v>45</v>
      </c>
      <c r="C7" t="inlineStr">
        <is>
          <t>Low</t>
        </is>
      </c>
      <c r="D7" t="inlineStr">
        <is>
          <t>pp</t>
        </is>
      </c>
      <c r="E7" s="15" t="n">
        <v>2.783901908234036</v>
      </c>
      <c r="F7" s="15" t="n">
        <v>1.746985468304231</v>
      </c>
      <c r="G7" s="15" t="n">
        <v>1.212486534517459</v>
      </c>
      <c r="H7" s="15" t="n">
        <v>5.743373911055727</v>
      </c>
      <c r="I7" s="19" t="n">
        <v>0.9999096582392695</v>
      </c>
      <c r="J7" s="19" t="n">
        <v>0</v>
      </c>
      <c r="K7" s="19" t="n">
        <v>9.034176073052066e-05</v>
      </c>
      <c r="L7" s="19" t="n">
        <v>0.8093734103124157</v>
      </c>
      <c r="M7" s="19" t="n">
        <v>0.190553462862202</v>
      </c>
      <c r="N7" s="19" t="n">
        <v>7.312682538225146e-05</v>
      </c>
      <c r="O7" s="15" t="n">
        <v>1.37604219583283</v>
      </c>
      <c r="P7" s="15" t="n">
        <v>0.7709646772236103</v>
      </c>
      <c r="Q7" s="15" t="n">
        <v>0.07808790556731487</v>
      </c>
      <c r="R7" s="15" t="n">
        <v>2.225094778623755</v>
      </c>
      <c r="S7" s="15" t="n">
        <v>606.9976605975511</v>
      </c>
      <c r="T7" s="15" t="n">
        <v>54.84515083764673</v>
      </c>
      <c r="U7" s="15" t="n">
        <v>15.31122334811771</v>
      </c>
      <c r="V7" s="15" t="n">
        <v>1403.397823703187</v>
      </c>
      <c r="W7" s="15" t="n">
        <v>0.5779235753013479</v>
      </c>
      <c r="X7" t="inlineStr">
        <is>
          <t>IOWA_Trb.T_pp.A2_SustainStable/A2/component_amplitude_mass_pie.png</t>
        </is>
      </c>
      <c r="Y7" t="inlineStr">
        <is>
          <t>IOWA_Trb.T_pp.A2_SustainStable/A2/component_energy_ratio_pie.png</t>
        </is>
      </c>
      <c r="Z7" s="19" t="n">
        <v>1</v>
      </c>
      <c r="AA7" s="19" t="n">
        <v>1</v>
      </c>
      <c r="AB7" s="15" t="n">
        <v>2.225094778623755</v>
      </c>
      <c r="AC7" s="15" t="n">
        <v>0</v>
      </c>
      <c r="AD7" s="15" t="n">
        <v>5.743373911055726</v>
      </c>
      <c r="AE7" s="15" t="n">
        <v>8.881784197001252e-16</v>
      </c>
      <c r="AF7" t="inlineStr">
        <is>
          <t>passed</t>
        </is>
      </c>
    </row>
    <row r="8">
      <c r="A8" t="inlineStr">
        <is>
          <t>A#2</t>
        </is>
      </c>
      <c r="B8" t="n">
        <v>46</v>
      </c>
      <c r="C8" t="inlineStr">
        <is>
          <t>Low</t>
        </is>
      </c>
      <c r="D8" t="inlineStr">
        <is>
          <t>pp</t>
        </is>
      </c>
      <c r="E8" s="15" t="n">
        <v>2.797779210765635</v>
      </c>
      <c r="F8" s="15" t="n">
        <v>1.786229903467358</v>
      </c>
      <c r="G8" s="15" t="n">
        <v>1.119300428347224</v>
      </c>
      <c r="H8" s="15" t="n">
        <v>5.703309542580218</v>
      </c>
      <c r="I8" s="19" t="n">
        <v>0.9999805651087816</v>
      </c>
      <c r="J8" s="19" t="n">
        <v>0</v>
      </c>
      <c r="K8" s="19" t="n">
        <v>1.943489121832689e-05</v>
      </c>
      <c r="L8" s="19" t="n">
        <v>0.8357676817056439</v>
      </c>
      <c r="M8" s="19" t="n">
        <v>0.1642160749246901</v>
      </c>
      <c r="N8" s="19" t="n">
        <v>1.624336966586492e-05</v>
      </c>
      <c r="O8" s="15" t="n">
        <v>1.382901544501452</v>
      </c>
      <c r="P8" s="15" t="n">
        <v>0.7882836955195851</v>
      </c>
      <c r="Q8" s="15" t="n">
        <v>0.0720864303742703</v>
      </c>
      <c r="R8" s="15" t="n">
        <v>2.243271670395307</v>
      </c>
      <c r="S8" s="15" t="n">
        <v>626.7391438857517</v>
      </c>
      <c r="T8" s="15" t="n">
        <v>60.1265526307273</v>
      </c>
      <c r="U8" s="15" t="n">
        <v>12.16134969296817</v>
      </c>
      <c r="V8" s="15" t="n">
        <v>1724.204961278645</v>
      </c>
      <c r="W8" s="15" t="n">
        <v>0.5795259824228619</v>
      </c>
      <c r="X8" t="inlineStr">
        <is>
          <t>IOWA_Trb.T_pp.A#2_SustainStable/A#2/component_amplitude_mass_pie.png</t>
        </is>
      </c>
      <c r="Y8" t="inlineStr">
        <is>
          <t>IOWA_Trb.T_pp.A#2_SustainStable/A#2/component_energy_ratio_pie.png</t>
        </is>
      </c>
      <c r="Z8" s="19" t="n">
        <v>1</v>
      </c>
      <c r="AA8" s="19" t="n">
        <v>0.9999999999999999</v>
      </c>
      <c r="AB8" s="15" t="n">
        <v>2.243271670395307</v>
      </c>
      <c r="AC8" s="15" t="n">
        <v>-4.440892098500626e-16</v>
      </c>
      <c r="AD8" s="15" t="n">
        <v>5.703309542580217</v>
      </c>
      <c r="AE8" s="15" t="n">
        <v>8.881784197001252e-16</v>
      </c>
      <c r="AF8" t="inlineStr">
        <is>
          <t>passed</t>
        </is>
      </c>
    </row>
    <row r="9">
      <c r="A9" t="inlineStr">
        <is>
          <t>B2</t>
        </is>
      </c>
      <c r="B9" t="n">
        <v>47</v>
      </c>
      <c r="C9" t="inlineStr">
        <is>
          <t>Low</t>
        </is>
      </c>
      <c r="D9" t="inlineStr">
        <is>
          <t>pp</t>
        </is>
      </c>
      <c r="E9" s="15" t="n">
        <v>2.766444004469108</v>
      </c>
      <c r="F9" s="15" t="n">
        <v>1.849031423681455</v>
      </c>
      <c r="G9" s="15" t="n">
        <v>1.2209990224018</v>
      </c>
      <c r="H9" s="15" t="n">
        <v>5.836474450552363</v>
      </c>
      <c r="I9" s="19" t="n">
        <v>0.9999765873539425</v>
      </c>
      <c r="J9" s="19" t="n">
        <v>0</v>
      </c>
      <c r="K9" s="19" t="n">
        <v>2.341264605762617e-05</v>
      </c>
      <c r="L9" s="19" t="n">
        <v>0.8474489093907634</v>
      </c>
      <c r="M9" s="19" t="n">
        <v>0.1525312491233274</v>
      </c>
      <c r="N9" s="19" t="n">
        <v>1.984148590917411e-05</v>
      </c>
      <c r="O9" s="15" t="n">
        <v>1.367413008087286</v>
      </c>
      <c r="P9" s="15" t="n">
        <v>0.8159987250029223</v>
      </c>
      <c r="Q9" s="15" t="n">
        <v>0.07863613627432217</v>
      </c>
      <c r="R9" s="15" t="n">
        <v>2.26204786936453</v>
      </c>
      <c r="S9" s="15" t="n">
        <v>583.0418991025691</v>
      </c>
      <c r="T9" s="15" t="n">
        <v>69.63686622133196</v>
      </c>
      <c r="U9" s="15" t="n">
        <v>15.63408906027449</v>
      </c>
      <c r="V9" s="15" t="n">
        <v>1169.565244480729</v>
      </c>
      <c r="W9" s="15" t="n">
        <v>0.5759273430421366</v>
      </c>
      <c r="X9" t="inlineStr">
        <is>
          <t>IOWA_Trb.T_pp.B2_SustainStable/B2/component_amplitude_mass_pie.png</t>
        </is>
      </c>
      <c r="Y9" t="inlineStr">
        <is>
          <t>IOWA_Trb.T_pp.B2_SustainStable/B2/component_energy_ratio_pie.png</t>
        </is>
      </c>
      <c r="Z9" s="19" t="n">
        <v>1</v>
      </c>
      <c r="AA9" s="19" t="n">
        <v>1</v>
      </c>
      <c r="AB9" s="15" t="n">
        <v>2.26204786936453</v>
      </c>
      <c r="AC9" s="15" t="n">
        <v>0</v>
      </c>
      <c r="AD9" s="15" t="n">
        <v>5.836474450552362</v>
      </c>
      <c r="AE9" s="15" t="n">
        <v>8.881784197001252e-16</v>
      </c>
      <c r="AF9" t="inlineStr">
        <is>
          <t>passed</t>
        </is>
      </c>
    </row>
    <row r="10">
      <c r="A10" t="inlineStr">
        <is>
          <t>C3</t>
        </is>
      </c>
      <c r="B10" t="n">
        <v>48</v>
      </c>
      <c r="C10" t="inlineStr">
        <is>
          <t>Middle</t>
        </is>
      </c>
      <c r="D10" t="inlineStr">
        <is>
          <t>pp</t>
        </is>
      </c>
      <c r="E10" s="15" t="n">
        <v>2.752586694243945</v>
      </c>
      <c r="F10" s="15" t="n">
        <v>1.629300924679987</v>
      </c>
      <c r="G10" s="15" t="n">
        <v>1.346730549991299</v>
      </c>
      <c r="H10" s="15" t="n">
        <v>5.72861816891523</v>
      </c>
      <c r="I10" s="19" t="n">
        <v>0.9995779076237792</v>
      </c>
      <c r="J10" s="19" t="n">
        <v>0.000345070047713698</v>
      </c>
      <c r="K10" s="19" t="n">
        <v>7.702232850704699e-05</v>
      </c>
      <c r="L10" s="19" t="n">
        <v>0.8414122407825461</v>
      </c>
      <c r="M10" s="19" t="n">
        <v>0.158522924321119</v>
      </c>
      <c r="N10" s="19" t="n">
        <v>6.483489633485979e-05</v>
      </c>
      <c r="O10" s="15" t="n">
        <v>1.360563541324764</v>
      </c>
      <c r="P10" s="15" t="n">
        <v>0.7190291415047334</v>
      </c>
      <c r="Q10" s="15" t="n">
        <v>0.08673363787432994</v>
      </c>
      <c r="R10" s="15" t="n">
        <v>2.166326320703827</v>
      </c>
      <c r="S10" s="15" t="n">
        <v>564.700671481069</v>
      </c>
      <c r="T10" s="15" t="n">
        <v>41.58934144590595</v>
      </c>
      <c r="U10" s="15" t="n">
        <v>21.21930906824706</v>
      </c>
      <c r="V10" s="15" t="n">
        <v>1118.5485335353</v>
      </c>
      <c r="W10" s="15" t="n">
        <v>0.5742733396517075</v>
      </c>
      <c r="X10" t="inlineStr">
        <is>
          <t>IOWA_Trb.T_pp.C3_SustainStable/C3/component_amplitude_mass_pie.png</t>
        </is>
      </c>
      <c r="Y10" t="inlineStr">
        <is>
          <t>IOWA_Trb.T_pp.C3_SustainStable/C3/component_energy_ratio_pie.png</t>
        </is>
      </c>
      <c r="Z10" s="19" t="n">
        <v>0.9999999999999999</v>
      </c>
      <c r="AA10" s="19" t="n">
        <v>0.9999999999999999</v>
      </c>
      <c r="AB10" s="15" t="n">
        <v>2.166326320703828</v>
      </c>
      <c r="AC10" s="15" t="n">
        <v>-8.881784197001252e-16</v>
      </c>
      <c r="AD10" s="15" t="n">
        <v>5.72861816891523</v>
      </c>
      <c r="AE10" s="15" t="n">
        <v>0</v>
      </c>
      <c r="AF10" t="inlineStr">
        <is>
          <t>passed</t>
        </is>
      </c>
    </row>
    <row r="11">
      <c r="A11" t="inlineStr">
        <is>
          <t>C#3</t>
        </is>
      </c>
      <c r="B11" t="n">
        <v>49</v>
      </c>
      <c r="C11" t="inlineStr">
        <is>
          <t>Middle</t>
        </is>
      </c>
      <c r="D11" t="inlineStr">
        <is>
          <t>pp</t>
        </is>
      </c>
      <c r="E11" s="15" t="n">
        <v>2.751188362929057</v>
      </c>
      <c r="F11" s="15" t="n">
        <v>1.732499160952997</v>
      </c>
      <c r="G11" s="15" t="n">
        <v>1.214948362156185</v>
      </c>
      <c r="H11" s="15" t="n">
        <v>5.698635886038238</v>
      </c>
      <c r="I11" s="19" t="n">
        <v>0.9999810570629749</v>
      </c>
      <c r="J11" s="19" t="n">
        <v>0</v>
      </c>
      <c r="K11" s="19" t="n">
        <v>1.894293702505951e-05</v>
      </c>
      <c r="L11" s="19" t="n">
        <v>0.8500133194765093</v>
      </c>
      <c r="M11" s="19" t="n">
        <v>0.1499705784696892</v>
      </c>
      <c r="N11" s="19" t="n">
        <v>1.610205380149644e-05</v>
      </c>
      <c r="O11" s="15" t="n">
        <v>1.359872366507379</v>
      </c>
      <c r="P11" s="15" t="n">
        <v>0.7645717040284482</v>
      </c>
      <c r="Q11" s="15" t="n">
        <v>0.07824645492741336</v>
      </c>
      <c r="R11" s="15" t="n">
        <v>2.202690525463241</v>
      </c>
      <c r="S11" s="15" t="n">
        <v>562.8821707146037</v>
      </c>
      <c r="T11" s="15" t="n">
        <v>53.01310712427542</v>
      </c>
      <c r="U11" s="15" t="n">
        <v>15.40394717803296</v>
      </c>
      <c r="V11" s="15" t="n">
        <v>1403.896563774699</v>
      </c>
      <c r="W11" s="15" t="n">
        <v>0.5741655032744569</v>
      </c>
      <c r="X11" t="inlineStr">
        <is>
          <t>IOWA_Trb.T_pp.C#3_SustainStable/C#3/component_amplitude_mass_pie.png</t>
        </is>
      </c>
      <c r="Y11" t="inlineStr">
        <is>
          <t>IOWA_Trb.T_pp.C#3_SustainStable/C#3/component_energy_ratio_pie.png</t>
        </is>
      </c>
      <c r="Z11" s="19" t="n">
        <v>1</v>
      </c>
      <c r="AA11" s="19" t="n">
        <v>1</v>
      </c>
      <c r="AB11" s="15" t="n">
        <v>2.202690525463241</v>
      </c>
      <c r="AC11" s="15" t="n">
        <v>0</v>
      </c>
      <c r="AD11" s="15" t="n">
        <v>5.698635886038239</v>
      </c>
      <c r="AE11" s="15" t="n">
        <v>-8.881784197001252e-16</v>
      </c>
      <c r="AF11" t="inlineStr">
        <is>
          <t>passed</t>
        </is>
      </c>
    </row>
    <row r="12">
      <c r="A12" t="inlineStr">
        <is>
          <t>D3</t>
        </is>
      </c>
      <c r="B12" t="n">
        <v>50</v>
      </c>
      <c r="C12" t="inlineStr">
        <is>
          <t>Middle</t>
        </is>
      </c>
      <c r="D12" t="inlineStr">
        <is>
          <t>pp</t>
        </is>
      </c>
      <c r="E12" s="15" t="n">
        <v>2.735192709012877</v>
      </c>
      <c r="F12" s="15" t="n">
        <v>1.752283256623711</v>
      </c>
      <c r="G12" s="15" t="n">
        <v>1.517200069226117</v>
      </c>
      <c r="H12" s="15" t="n">
        <v>6.004676034862706</v>
      </c>
      <c r="I12" s="19" t="n">
        <v>0.9998579370529505</v>
      </c>
      <c r="J12" s="19" t="n">
        <v>0</v>
      </c>
      <c r="K12" s="19" t="n">
        <v>0.0001420629470495596</v>
      </c>
      <c r="L12" s="19" t="n">
        <v>0.8358711154184798</v>
      </c>
      <c r="M12" s="19" t="n">
        <v>0.164010121395662</v>
      </c>
      <c r="N12" s="19" t="n">
        <v>0.0001187631858581358</v>
      </c>
      <c r="O12" s="15" t="n">
        <v>1.351965947580225</v>
      </c>
      <c r="P12" s="15" t="n">
        <v>0.7733026518294845</v>
      </c>
      <c r="Q12" s="15" t="n">
        <v>0.09771240534197174</v>
      </c>
      <c r="R12" s="15" t="n">
        <v>2.222981004751682</v>
      </c>
      <c r="S12" s="15" t="n">
        <v>542.4914408542741</v>
      </c>
      <c r="T12" s="15" t="n">
        <v>55.53055595932074</v>
      </c>
      <c r="U12" s="15" t="n">
        <v>31.90031599674844</v>
      </c>
      <c r="V12" s="15" t="n">
        <v>1762.12356141741</v>
      </c>
      <c r="W12" s="15" t="n">
        <v>0.5722928941725536</v>
      </c>
      <c r="X12" t="inlineStr">
        <is>
          <t>IOWA_Trb.T_pp.D3_SustainStable/D3/component_amplitude_mass_pie.png</t>
        </is>
      </c>
      <c r="Y12" t="inlineStr">
        <is>
          <t>IOWA_Trb.T_pp.D3_SustainStable/D3/component_energy_ratio_pie.png</t>
        </is>
      </c>
      <c r="Z12" s="19" t="n">
        <v>1</v>
      </c>
      <c r="AA12" s="19" t="n">
        <v>1</v>
      </c>
      <c r="AB12" s="15" t="n">
        <v>2.222981004751681</v>
      </c>
      <c r="AC12" s="15" t="n">
        <v>8.881784197001252e-16</v>
      </c>
      <c r="AD12" s="15" t="n">
        <v>6.004676034862705</v>
      </c>
      <c r="AE12" s="15" t="n">
        <v>1.77635683940025e-15</v>
      </c>
      <c r="AF12" t="inlineStr">
        <is>
          <t>passed</t>
        </is>
      </c>
    </row>
    <row r="13">
      <c r="A13" t="inlineStr">
        <is>
          <t>D#3</t>
        </is>
      </c>
      <c r="B13" t="n">
        <v>51</v>
      </c>
      <c r="C13" t="inlineStr">
        <is>
          <t>Middle</t>
        </is>
      </c>
      <c r="D13" t="inlineStr">
        <is>
          <t>pp</t>
        </is>
      </c>
      <c r="E13" s="15" t="n">
        <v>2.742276746693414</v>
      </c>
      <c r="F13" s="15" t="n">
        <v>1.703986649537462</v>
      </c>
      <c r="G13" s="15" t="n">
        <v>1.386345530777295</v>
      </c>
      <c r="H13" s="15" t="n">
        <v>5.832608927008171</v>
      </c>
      <c r="I13" s="19" t="n">
        <v>0.9999651844792787</v>
      </c>
      <c r="J13" s="19" t="n">
        <v>0</v>
      </c>
      <c r="K13" s="19" t="n">
        <v>3.481552072121337e-05</v>
      </c>
      <c r="L13" s="19" t="n">
        <v>0.8218997334450422</v>
      </c>
      <c r="M13" s="19" t="n">
        <v>0.1780716506914811</v>
      </c>
      <c r="N13" s="19" t="n">
        <v>2.861586347670344e-05</v>
      </c>
      <c r="O13" s="15" t="n">
        <v>1.355467484303361</v>
      </c>
      <c r="P13" s="15" t="n">
        <v>0.7519888064834276</v>
      </c>
      <c r="Q13" s="15" t="n">
        <v>0.08928496590198429</v>
      </c>
      <c r="R13" s="15" t="n">
        <v>2.196741256688773</v>
      </c>
      <c r="S13" s="15" t="n">
        <v>551.4293532528205</v>
      </c>
      <c r="T13" s="15" t="n">
        <v>49.58091129006323</v>
      </c>
      <c r="U13" s="15" t="n">
        <v>23.34139874674354</v>
      </c>
      <c r="V13" s="15" t="n">
        <v>1838.184610913196</v>
      </c>
      <c r="W13" s="15" t="n">
        <v>0.573130422546367</v>
      </c>
      <c r="X13" t="inlineStr">
        <is>
          <t>IOWA_Trb.T_pp.D#3_SustainStable/D#3/component_amplitude_mass_pie.png</t>
        </is>
      </c>
      <c r="Y13" t="inlineStr">
        <is>
          <t>IOWA_Trb.T_pp.D#3_SustainStable/D#3/component_energy_ratio_pie.png</t>
        </is>
      </c>
      <c r="Z13" s="19" t="n">
        <v>1</v>
      </c>
      <c r="AA13" s="19" t="n">
        <v>0.9999999999999999</v>
      </c>
      <c r="AB13" s="15" t="n">
        <v>2.196741256688773</v>
      </c>
      <c r="AC13" s="15" t="n">
        <v>4.440892098500626e-16</v>
      </c>
      <c r="AD13" s="15" t="n">
        <v>5.83260892700817</v>
      </c>
      <c r="AE13" s="15" t="n">
        <v>8.881784197001252e-16</v>
      </c>
      <c r="AF13" t="inlineStr">
        <is>
          <t>passed</t>
        </is>
      </c>
    </row>
    <row r="14">
      <c r="A14" t="inlineStr">
        <is>
          <t>E3</t>
        </is>
      </c>
      <c r="B14" t="n">
        <v>52</v>
      </c>
      <c r="C14" t="inlineStr">
        <is>
          <t>Middle</t>
        </is>
      </c>
      <c r="D14" t="inlineStr">
        <is>
          <t>pp</t>
        </is>
      </c>
      <c r="E14" s="15" t="n">
        <v>2.709741465224281</v>
      </c>
      <c r="F14" s="15" t="n">
        <v>1.641919454018361</v>
      </c>
      <c r="G14" s="15" t="n">
        <v>1.405835253110689</v>
      </c>
      <c r="H14" s="15" t="n">
        <v>5.757496172353332</v>
      </c>
      <c r="I14" s="19" t="n">
        <v>0.9999289221956504</v>
      </c>
      <c r="J14" s="19" t="n">
        <v>0</v>
      </c>
      <c r="K14" s="19" t="n">
        <v>7.107780434945421e-05</v>
      </c>
      <c r="L14" s="19" t="n">
        <v>0.8134534187938108</v>
      </c>
      <c r="M14" s="19" t="n">
        <v>0.1864887586133378</v>
      </c>
      <c r="N14" s="19" t="n">
        <v>5.78225928513628e-05</v>
      </c>
      <c r="O14" s="15" t="n">
        <v>1.339385768197486</v>
      </c>
      <c r="P14" s="15" t="n">
        <v>0.7245978428905782</v>
      </c>
      <c r="Q14" s="15" t="n">
        <v>0.09054016466401339</v>
      </c>
      <c r="R14" s="15" t="n">
        <v>2.154523775752077</v>
      </c>
      <c r="S14" s="15" t="n">
        <v>511.5561693266814</v>
      </c>
      <c r="T14" s="15" t="n">
        <v>42.84493736694849</v>
      </c>
      <c r="U14" s="15" t="n">
        <v>24.45864311717062</v>
      </c>
      <c r="V14" s="15" t="n">
        <v>1612.757456320435</v>
      </c>
      <c r="W14" s="15" t="n">
        <v>0.5693327944306643</v>
      </c>
      <c r="X14" t="inlineStr">
        <is>
          <t>IOWA_Trb.T_pp.E3_SustainStable/E3/component_amplitude_mass_pie.png</t>
        </is>
      </c>
      <c r="Y14" t="inlineStr">
        <is>
          <t>IOWA_Trb.T_pp.E3_SustainStable/E3/component_energy_ratio_pie.png</t>
        </is>
      </c>
      <c r="Z14" s="19" t="n">
        <v>0.9999999999999999</v>
      </c>
      <c r="AA14" s="19" t="n">
        <v>1</v>
      </c>
      <c r="AB14" s="15" t="n">
        <v>2.154523775752077</v>
      </c>
      <c r="AC14" s="15" t="n">
        <v>-4.440892098500626e-16</v>
      </c>
      <c r="AD14" s="15" t="n">
        <v>5.757496172353331</v>
      </c>
      <c r="AE14" s="15" t="n">
        <v>8.881784197001252e-16</v>
      </c>
      <c r="AF14" t="inlineStr">
        <is>
          <t>passed</t>
        </is>
      </c>
    </row>
    <row r="15">
      <c r="A15" t="inlineStr">
        <is>
          <t>F3</t>
        </is>
      </c>
      <c r="B15" t="n">
        <v>53</v>
      </c>
      <c r="C15" t="inlineStr">
        <is>
          <t>Middle</t>
        </is>
      </c>
      <c r="D15" t="inlineStr">
        <is>
          <t>pp</t>
        </is>
      </c>
      <c r="E15" s="15" t="n">
        <v>2.717386298436784</v>
      </c>
      <c r="F15" s="15" t="n">
        <v>1.701100379355065</v>
      </c>
      <c r="G15" s="15" t="n">
        <v>1.369757109217441</v>
      </c>
      <c r="H15" s="15" t="n">
        <v>5.788243787009291</v>
      </c>
      <c r="I15" s="19" t="n">
        <v>0.9999452990637843</v>
      </c>
      <c r="J15" s="19" t="n">
        <v>0</v>
      </c>
      <c r="K15" s="19" t="n">
        <v>5.470093621574624e-05</v>
      </c>
      <c r="L15" s="19" t="n">
        <v>0.825609759723652</v>
      </c>
      <c r="M15" s="19" t="n">
        <v>0.1743450761790238</v>
      </c>
      <c r="N15" s="19" t="n">
        <v>4.516409732414804e-05</v>
      </c>
      <c r="O15" s="15" t="n">
        <v>1.343164497990153</v>
      </c>
      <c r="P15" s="15" t="n">
        <v>0.7507150624254924</v>
      </c>
      <c r="Q15" s="15" t="n">
        <v>0.08821661993738997</v>
      </c>
      <c r="R15" s="15" t="n">
        <v>2.182096180353036</v>
      </c>
      <c r="S15" s="15" t="n">
        <v>520.6585122356471</v>
      </c>
      <c r="T15" s="15" t="n">
        <v>49.2458710392221</v>
      </c>
      <c r="U15" s="15" t="n">
        <v>22.42918109333247</v>
      </c>
      <c r="V15" s="15" t="n">
        <v>1773.257033137203</v>
      </c>
      <c r="W15" s="15" t="n">
        <v>0.570229081641468</v>
      </c>
      <c r="X15" t="inlineStr">
        <is>
          <t>IOWA_Trb.T_pp.F3_SustainStable/F3/component_amplitude_mass_pie.png</t>
        </is>
      </c>
      <c r="Y15" t="inlineStr">
        <is>
          <t>IOWA_Trb.T_pp.F3_SustainStable/F3/component_energy_ratio_pie.png</t>
        </is>
      </c>
      <c r="Z15" s="19" t="n">
        <v>1</v>
      </c>
      <c r="AA15" s="19" t="n">
        <v>1</v>
      </c>
      <c r="AB15" s="15" t="n">
        <v>2.182096180353035</v>
      </c>
      <c r="AC15" s="15" t="n">
        <v>8.881784197001252e-16</v>
      </c>
      <c r="AD15" s="15" t="n">
        <v>5.78824378700929</v>
      </c>
      <c r="AE15" s="15" t="n">
        <v>8.881784197001252e-16</v>
      </c>
      <c r="AF15" t="inlineStr">
        <is>
          <t>passed</t>
        </is>
      </c>
    </row>
    <row r="16">
      <c r="A16" t="inlineStr">
        <is>
          <t>F#3</t>
        </is>
      </c>
      <c r="B16" t="n">
        <v>54</v>
      </c>
      <c r="C16" t="inlineStr">
        <is>
          <t>Middle</t>
        </is>
      </c>
      <c r="D16" t="inlineStr">
        <is>
          <t>pp</t>
        </is>
      </c>
      <c r="E16" s="15" t="n">
        <v>2.700941230984961</v>
      </c>
      <c r="F16" s="15" t="n">
        <v>1.626322983532582</v>
      </c>
      <c r="G16" s="15" t="n">
        <v>1.32439105545801</v>
      </c>
      <c r="H16" s="15" t="n">
        <v>5.651655269975553</v>
      </c>
      <c r="I16" s="19" t="n">
        <v>0.999953241111143</v>
      </c>
      <c r="J16" s="19" t="n">
        <v>0</v>
      </c>
      <c r="K16" s="19" t="n">
        <v>4.675888885703583e-05</v>
      </c>
      <c r="L16" s="19" t="n">
        <v>0.8536626279179885</v>
      </c>
      <c r="M16" s="19" t="n">
        <v>0.1462974538995414</v>
      </c>
      <c r="N16" s="19" t="n">
        <v>3.991818247007984e-05</v>
      </c>
      <c r="O16" s="15" t="n">
        <v>1.335035940493176</v>
      </c>
      <c r="P16" s="15" t="n">
        <v>0.7177149420009854</v>
      </c>
      <c r="Q16" s="15" t="n">
        <v>0.0852949049153439</v>
      </c>
      <c r="R16" s="15" t="n">
        <v>2.138045787409505</v>
      </c>
      <c r="S16" s="15" t="n">
        <v>501.2746167918131</v>
      </c>
      <c r="T16" s="15" t="n">
        <v>41.29830685894023</v>
      </c>
      <c r="U16" s="15" t="n">
        <v>20.10527694917851</v>
      </c>
      <c r="V16" s="15" t="n">
        <v>1740.707716558539</v>
      </c>
      <c r="W16" s="15" t="n">
        <v>0.5683046355602925</v>
      </c>
      <c r="X16" t="inlineStr">
        <is>
          <t>IOWA_Trb.T_pp.F#3_SustainStable/F#3/component_amplitude_mass_pie.png</t>
        </is>
      </c>
      <c r="Y16" t="inlineStr">
        <is>
          <t>IOWA_Trb.T_pp.F#3_SustainStable/F#3/component_energy_ratio_pie.png</t>
        </is>
      </c>
      <c r="Z16" s="19" t="n">
        <v>1</v>
      </c>
      <c r="AA16" s="19" t="n">
        <v>1</v>
      </c>
      <c r="AB16" s="15" t="n">
        <v>2.138045787409505</v>
      </c>
      <c r="AC16" s="15" t="n">
        <v>0</v>
      </c>
      <c r="AD16" s="15" t="n">
        <v>5.651655269975553</v>
      </c>
      <c r="AE16" s="15" t="n">
        <v>0</v>
      </c>
      <c r="AF16" t="inlineStr">
        <is>
          <t>passed</t>
        </is>
      </c>
    </row>
    <row r="17">
      <c r="A17" t="inlineStr">
        <is>
          <t>G3</t>
        </is>
      </c>
      <c r="B17" t="n">
        <v>55</v>
      </c>
      <c r="C17" t="inlineStr">
        <is>
          <t>Middle</t>
        </is>
      </c>
      <c r="D17" t="inlineStr">
        <is>
          <t>pp</t>
        </is>
      </c>
      <c r="E17" s="15" t="n">
        <v>2.648376635948416</v>
      </c>
      <c r="F17" s="15" t="n">
        <v>1.584939103967977</v>
      </c>
      <c r="G17" s="15" t="n">
        <v>1.342155032151616</v>
      </c>
      <c r="H17" s="15" t="n">
        <v>5.575470772068008</v>
      </c>
      <c r="I17" s="19" t="n">
        <v>0.999955294719661</v>
      </c>
      <c r="J17" s="19" t="n">
        <v>0</v>
      </c>
      <c r="K17" s="19" t="n">
        <v>4.470528033898266e-05</v>
      </c>
      <c r="L17" s="19" t="n">
        <v>0.8320181783559011</v>
      </c>
      <c r="M17" s="19" t="n">
        <v>0.167944624375274</v>
      </c>
      <c r="N17" s="19" t="n">
        <v>3.719726882486089e-05</v>
      </c>
      <c r="O17" s="15" t="n">
        <v>1.309054026201147</v>
      </c>
      <c r="P17" s="15" t="n">
        <v>0.6994517624098258</v>
      </c>
      <c r="Q17" s="15" t="n">
        <v>0.08643896028838137</v>
      </c>
      <c r="R17" s="15" t="n">
        <v>2.094944748899354</v>
      </c>
      <c r="S17" s="15" t="n">
        <v>444.0170351050766</v>
      </c>
      <c r="T17" s="15" t="n">
        <v>37.45378590217747</v>
      </c>
      <c r="U17" s="15" t="n">
        <v>20.986445932546</v>
      </c>
      <c r="V17" s="15" t="n">
        <v>1354.342095959969</v>
      </c>
      <c r="W17" s="15" t="n">
        <v>0.5620927145956153</v>
      </c>
      <c r="X17" t="inlineStr">
        <is>
          <t>IOWA_Trb.T_pp.G3_SustainStable/G3/component_amplitude_mass_pie.png</t>
        </is>
      </c>
      <c r="Y17" t="inlineStr">
        <is>
          <t>IOWA_Trb.T_pp.G3_SustainStable/G3/component_energy_ratio_pie.png</t>
        </is>
      </c>
      <c r="Z17" s="19" t="n">
        <v>1</v>
      </c>
      <c r="AA17" s="19" t="n">
        <v>1</v>
      </c>
      <c r="AB17" s="15" t="n">
        <v>2.094944748899354</v>
      </c>
      <c r="AC17" s="15" t="n">
        <v>0</v>
      </c>
      <c r="AD17" s="15" t="n">
        <v>5.575470772068009</v>
      </c>
      <c r="AE17" s="15" t="n">
        <v>-8.881784197001252e-16</v>
      </c>
      <c r="AF17" t="inlineStr">
        <is>
          <t>passed</t>
        </is>
      </c>
    </row>
    <row r="18">
      <c r="A18" t="inlineStr">
        <is>
          <t>G#3</t>
        </is>
      </c>
      <c r="B18" t="n">
        <v>56</v>
      </c>
      <c r="C18" t="inlineStr">
        <is>
          <t>Middle</t>
        </is>
      </c>
      <c r="D18" t="inlineStr">
        <is>
          <t>pp</t>
        </is>
      </c>
      <c r="E18" s="15" t="n">
        <v>2.630143316846428</v>
      </c>
      <c r="F18" s="15" t="n">
        <v>1.684970610373571</v>
      </c>
      <c r="G18" s="15" t="n">
        <v>1.191462974993733</v>
      </c>
      <c r="H18" s="15" t="n">
        <v>5.506576902213731</v>
      </c>
      <c r="I18" s="19" t="n">
        <v>0.9999648431401927</v>
      </c>
      <c r="J18" s="19" t="n">
        <v>0</v>
      </c>
      <c r="K18" s="19" t="n">
        <v>3.515685980733525e-05</v>
      </c>
      <c r="L18" s="19" t="n">
        <v>0.7601894720463305</v>
      </c>
      <c r="M18" s="19" t="n">
        <v>0.2397838011393429</v>
      </c>
      <c r="N18" s="19" t="n">
        <v>2.672681432660941e-05</v>
      </c>
      <c r="O18" s="15" t="n">
        <v>1.300041561940028</v>
      </c>
      <c r="P18" s="15" t="n">
        <v>0.7435968108074179</v>
      </c>
      <c r="Q18" s="15" t="n">
        <v>0.07673392291757687</v>
      </c>
      <c r="R18" s="15" t="n">
        <v>2.120372295665023</v>
      </c>
      <c r="S18" s="15" t="n">
        <v>212.860156472904</v>
      </c>
      <c r="T18" s="15" t="n">
        <v>23.7069801862116</v>
      </c>
      <c r="U18" s="15" t="n">
        <v>7.270213989798735</v>
      </c>
      <c r="V18" s="15" t="n">
        <v>325.1953463694207</v>
      </c>
      <c r="W18" s="15" t="n">
        <v>0.5599177200252883</v>
      </c>
      <c r="X18" t="inlineStr">
        <is>
          <t>IOWA_Trb.T_pp.G#3_SustainStable/G#3/component_amplitude_mass_pie.png</t>
        </is>
      </c>
      <c r="Y18" t="inlineStr">
        <is>
          <t>IOWA_Trb.T_pp.G#3_SustainStable/G#3/component_energy_ratio_pie.png</t>
        </is>
      </c>
      <c r="Z18" s="19" t="n">
        <v>1</v>
      </c>
      <c r="AA18" s="19" t="n">
        <v>1</v>
      </c>
      <c r="AB18" s="15" t="n">
        <v>2.120372295665023</v>
      </c>
      <c r="AC18" s="15" t="n">
        <v>0</v>
      </c>
      <c r="AD18" s="15" t="n">
        <v>5.506576902213732</v>
      </c>
      <c r="AE18" s="15" t="n">
        <v>-8.881784197001252e-16</v>
      </c>
      <c r="AF18" t="inlineStr">
        <is>
          <t>passed</t>
        </is>
      </c>
    </row>
    <row r="19">
      <c r="A19" t="inlineStr">
        <is>
          <t>A3</t>
        </is>
      </c>
      <c r="B19" t="n">
        <v>57</v>
      </c>
      <c r="C19" t="inlineStr">
        <is>
          <t>Middle</t>
        </is>
      </c>
      <c r="D19" t="inlineStr">
        <is>
          <t>pp</t>
        </is>
      </c>
      <c r="E19" s="15" t="n">
        <v>2.616528208321529</v>
      </c>
      <c r="F19" s="15" t="n">
        <v>1.706689276766241</v>
      </c>
      <c r="G19" s="15" t="n">
        <v>1.245067033386057</v>
      </c>
      <c r="H19" s="15" t="n">
        <v>5.568284518473827</v>
      </c>
      <c r="I19" s="19" t="n">
        <v>0.9999564861342977</v>
      </c>
      <c r="J19" s="19" t="n">
        <v>0</v>
      </c>
      <c r="K19" s="19" t="n">
        <v>4.351386570236999e-05</v>
      </c>
      <c r="L19" s="19" t="n">
        <v>0.7571471349399932</v>
      </c>
      <c r="M19" s="19" t="n">
        <v>0.2428199172275726</v>
      </c>
      <c r="N19" s="19" t="n">
        <v>3.29478324342688e-05</v>
      </c>
      <c r="O19" s="15" t="n">
        <v>1.2933118119529</v>
      </c>
      <c r="P19" s="15" t="n">
        <v>0.7531815068045776</v>
      </c>
      <c r="Q19" s="15" t="n">
        <v>0.08018619107116139</v>
      </c>
      <c r="R19" s="15" t="n">
        <v>2.126679509828639</v>
      </c>
      <c r="S19" s="15" t="n">
        <v>206.2750872056492</v>
      </c>
      <c r="T19" s="15" t="n">
        <v>24.94832960585067</v>
      </c>
      <c r="U19" s="15" t="n">
        <v>8.290974852712953</v>
      </c>
      <c r="V19" s="15" t="n">
        <v>352.5058174503295</v>
      </c>
      <c r="W19" s="15" t="n">
        <v>0.5582846903695019</v>
      </c>
      <c r="X19" t="inlineStr">
        <is>
          <t>IOWA_Trb.T_pp.A3_SustainStable/A3/component_amplitude_mass_pie.png</t>
        </is>
      </c>
      <c r="Y19" t="inlineStr">
        <is>
          <t>IOWA_Trb.T_pp.A3_SustainStable/A3/component_energy_ratio_pie.png</t>
        </is>
      </c>
      <c r="Z19" s="19" t="n">
        <v>1</v>
      </c>
      <c r="AA19" s="19" t="n">
        <v>1</v>
      </c>
      <c r="AB19" s="15" t="n">
        <v>2.126679509828639</v>
      </c>
      <c r="AC19" s="15" t="n">
        <v>0</v>
      </c>
      <c r="AD19" s="15" t="n">
        <v>5.568284518473828</v>
      </c>
      <c r="AE19" s="15" t="n">
        <v>-8.881784197001252e-16</v>
      </c>
      <c r="AF19" t="inlineStr">
        <is>
          <t>passed</t>
        </is>
      </c>
    </row>
    <row r="20">
      <c r="A20" t="inlineStr">
        <is>
          <t>A#3</t>
        </is>
      </c>
      <c r="B20" t="n">
        <v>58</v>
      </c>
      <c r="C20" t="inlineStr">
        <is>
          <t>Middle</t>
        </is>
      </c>
      <c r="D20" t="inlineStr">
        <is>
          <t>pp</t>
        </is>
      </c>
      <c r="E20" s="15" t="n">
        <v>2.635146220745072</v>
      </c>
      <c r="F20" s="15" t="n">
        <v>1.635401110336293</v>
      </c>
      <c r="G20" s="15" t="n">
        <v>1.22561232231792</v>
      </c>
      <c r="H20" s="15" t="n">
        <v>5.496159653399285</v>
      </c>
      <c r="I20" s="19" t="n">
        <v>0.9999603543869213</v>
      </c>
      <c r="J20" s="19" t="n">
        <v>0</v>
      </c>
      <c r="K20" s="19" t="n">
        <v>3.964561307869442e-05</v>
      </c>
      <c r="L20" s="19" t="n">
        <v>0.7620111954439226</v>
      </c>
      <c r="M20" s="19" t="n">
        <v>0.2379585929573039</v>
      </c>
      <c r="N20" s="19" t="n">
        <v>3.021159877355861e-05</v>
      </c>
      <c r="O20" s="15" t="n">
        <v>1.302514424523968</v>
      </c>
      <c r="P20" s="15" t="n">
        <v>0.7217212232368633</v>
      </c>
      <c r="Q20" s="15" t="n">
        <v>0.07893324714355507</v>
      </c>
      <c r="R20" s="15" t="n">
        <v>2.103168894904386</v>
      </c>
      <c r="S20" s="15" t="n">
        <v>215.3321937971355</v>
      </c>
      <c r="T20" s="15" t="n">
        <v>21.0958903964808</v>
      </c>
      <c r="U20" s="15" t="n">
        <v>7.905863370122455</v>
      </c>
      <c r="V20" s="15" t="n">
        <v>413.8320723043281</v>
      </c>
      <c r="W20" s="15" t="n">
        <v>0.5605152083731537</v>
      </c>
      <c r="X20" t="inlineStr">
        <is>
          <t>IOWA_Trb.T_pp.A#3_SustainStable/A#3/component_amplitude_mass_pie.png</t>
        </is>
      </c>
      <c r="Y20" t="inlineStr">
        <is>
          <t>IOWA_Trb.T_pp.A#3_SustainStable/A#3/component_energy_ratio_pie.png</t>
        </is>
      </c>
      <c r="Z20" s="19" t="n">
        <v>1</v>
      </c>
      <c r="AA20" s="19" t="n">
        <v>1</v>
      </c>
      <c r="AB20" s="15" t="n">
        <v>2.103168894904386</v>
      </c>
      <c r="AC20" s="15" t="n">
        <v>-4.440892098500626e-16</v>
      </c>
      <c r="AD20" s="15" t="n">
        <v>5.496159653399285</v>
      </c>
      <c r="AE20" s="15" t="n">
        <v>0</v>
      </c>
      <c r="AF20" t="inlineStr">
        <is>
          <t>passed</t>
        </is>
      </c>
    </row>
    <row r="21">
      <c r="A21" t="inlineStr">
        <is>
          <t>B3</t>
        </is>
      </c>
      <c r="B21" t="n">
        <v>59</v>
      </c>
      <c r="C21" t="inlineStr">
        <is>
          <t>Middle</t>
        </is>
      </c>
      <c r="D21" t="inlineStr">
        <is>
          <t>pp</t>
        </is>
      </c>
      <c r="E21" s="15" t="n">
        <v>2.606479672366239</v>
      </c>
      <c r="F21" s="15" t="n">
        <v>1.684124243482959</v>
      </c>
      <c r="G21" s="15" t="n">
        <v>1.216031226714601</v>
      </c>
      <c r="H21" s="15" t="n">
        <v>5.506635142563799</v>
      </c>
      <c r="I21" s="19" t="n">
        <v>0.9999625950171529</v>
      </c>
      <c r="J21" s="19" t="n">
        <v>0</v>
      </c>
      <c r="K21" s="19" t="n">
        <v>3.740498284715642e-05</v>
      </c>
      <c r="L21" s="19" t="n">
        <v>0.7872268879342876</v>
      </c>
      <c r="M21" s="19" t="n">
        <v>0.2127436647559962</v>
      </c>
      <c r="N21" s="19" t="n">
        <v>2.944730971611718e-05</v>
      </c>
      <c r="O21" s="15" t="n">
        <v>1.288344966878393</v>
      </c>
      <c r="P21" s="15" t="n">
        <v>0.7432232994139505</v>
      </c>
      <c r="Q21" s="15" t="n">
        <v>0.07831619477439108</v>
      </c>
      <c r="R21" s="15" t="n">
        <v>2.109884461066735</v>
      </c>
      <c r="S21" s="15" t="n">
        <v>201.5457300614657</v>
      </c>
      <c r="T21" s="15" t="n">
        <v>23.65985079233971</v>
      </c>
      <c r="U21" s="15" t="n">
        <v>7.722449806784078</v>
      </c>
      <c r="V21" s="15" t="n">
        <v>369.8784108846295</v>
      </c>
      <c r="W21" s="15" t="n">
        <v>0.5570772255819383</v>
      </c>
      <c r="X21" t="inlineStr">
        <is>
          <t>IOWA_Trb.T_pp.B3_SustainStable/B3/component_amplitude_mass_pie.png</t>
        </is>
      </c>
      <c r="Y21" t="inlineStr">
        <is>
          <t>IOWA_Trb.T_pp.B3_SustainStable/B3/component_energy_ratio_pie.png</t>
        </is>
      </c>
      <c r="Z21" s="19" t="n">
        <v>1</v>
      </c>
      <c r="AA21" s="19" t="n">
        <v>0.9999999999999999</v>
      </c>
      <c r="AB21" s="15" t="n">
        <v>2.109884461066735</v>
      </c>
      <c r="AC21" s="15" t="n">
        <v>4.440892098500626e-16</v>
      </c>
      <c r="AD21" s="15" t="n">
        <v>5.506635142563799</v>
      </c>
      <c r="AE21" s="15" t="n">
        <v>0</v>
      </c>
      <c r="AF21" t="inlineStr">
        <is>
          <t>passed</t>
        </is>
      </c>
    </row>
    <row r="22">
      <c r="A22" t="inlineStr">
        <is>
          <t>C4</t>
        </is>
      </c>
      <c r="B22" t="n">
        <v>60</v>
      </c>
      <c r="C22" t="inlineStr">
        <is>
          <t>High</t>
        </is>
      </c>
      <c r="D22" t="inlineStr">
        <is>
          <t>pp</t>
        </is>
      </c>
      <c r="E22" s="15" t="n">
        <v>2.604687392915813</v>
      </c>
      <c r="F22" s="15" t="n">
        <v>1.52022146107194</v>
      </c>
      <c r="G22" s="15" t="n">
        <v>1.2003817320239</v>
      </c>
      <c r="H22" s="15" t="n">
        <v>5.325290586011652</v>
      </c>
      <c r="I22" s="19" t="n">
        <v>0.9999642623671647</v>
      </c>
      <c r="J22" s="19" t="n">
        <v>0</v>
      </c>
      <c r="K22" s="19" t="n">
        <v>3.573763283535028e-05</v>
      </c>
      <c r="L22" s="19" t="n">
        <v>0.7937203167837467</v>
      </c>
      <c r="M22" s="19" t="n">
        <v>0.2062513165172395</v>
      </c>
      <c r="N22" s="19" t="n">
        <v>2.836669901384956e-05</v>
      </c>
      <c r="O22" s="15" t="n">
        <v>1.287459069231204</v>
      </c>
      <c r="P22" s="15" t="n">
        <v>0.6708911260615177</v>
      </c>
      <c r="Q22" s="15" t="n">
        <v>0.07730831862171283</v>
      </c>
      <c r="R22" s="15" t="n">
        <v>2.035658513914434</v>
      </c>
      <c r="S22" s="15" t="n">
        <v>200.7136305649413</v>
      </c>
      <c r="T22" s="15" t="n">
        <v>16.06500096080436</v>
      </c>
      <c r="U22" s="15" t="n">
        <v>7.431434395934165</v>
      </c>
      <c r="V22" s="15" t="n">
        <v>397.4942503864692</v>
      </c>
      <c r="W22" s="15" t="n">
        <v>0.5568615610925073</v>
      </c>
      <c r="X22" t="inlineStr">
        <is>
          <t>IOWA_Trb.T_pp.C4_SustainStable/C4/component_amplitude_mass_pie.png</t>
        </is>
      </c>
      <c r="Y22" t="inlineStr">
        <is>
          <t>IOWA_Trb.T_pp.C4_SustainStable/C4/component_energy_ratio_pie.png</t>
        </is>
      </c>
      <c r="Z22" s="19" t="n">
        <v>1</v>
      </c>
      <c r="AA22" s="19" t="n">
        <v>1</v>
      </c>
      <c r="AB22" s="15" t="n">
        <v>2.035658513914435</v>
      </c>
      <c r="AC22" s="15" t="n">
        <v>-8.881784197001252e-16</v>
      </c>
      <c r="AD22" s="15" t="n">
        <v>5.325290586011653</v>
      </c>
      <c r="AE22" s="15" t="n">
        <v>-8.881784197001252e-16</v>
      </c>
      <c r="AF22" t="inlineStr">
        <is>
          <t>passed</t>
        </is>
      </c>
    </row>
    <row r="23">
      <c r="A23" t="inlineStr">
        <is>
          <t>C#4</t>
        </is>
      </c>
      <c r="B23" t="n">
        <v>61</v>
      </c>
      <c r="C23" t="inlineStr">
        <is>
          <t>High</t>
        </is>
      </c>
      <c r="D23" t="inlineStr">
        <is>
          <t>pp</t>
        </is>
      </c>
      <c r="E23" s="15" t="n">
        <v>2.606453004720307</v>
      </c>
      <c r="F23" s="15" t="n">
        <v>1.480311881085248</v>
      </c>
      <c r="G23" s="15" t="n">
        <v>1.143301030198957</v>
      </c>
      <c r="H23" s="15" t="n">
        <v>5.230065916004513</v>
      </c>
      <c r="I23" s="19" t="n">
        <v>0.9999715307060832</v>
      </c>
      <c r="J23" s="19" t="n">
        <v>0</v>
      </c>
      <c r="K23" s="19" t="n">
        <v>2.846929391677458e-05</v>
      </c>
      <c r="L23" s="19" t="n">
        <v>0.7840429900757646</v>
      </c>
      <c r="M23" s="19" t="n">
        <v>0.2159346881384221</v>
      </c>
      <c r="N23" s="19" t="n">
        <v>2.232178581333478e-05</v>
      </c>
      <c r="O23" s="15" t="n">
        <v>1.288331785449135</v>
      </c>
      <c r="P23" s="15" t="n">
        <v>0.6532785717439157</v>
      </c>
      <c r="Q23" s="15" t="n">
        <v>0.0736321438132263</v>
      </c>
      <c r="R23" s="15" t="n">
        <v>2.015242501006277</v>
      </c>
      <c r="S23" s="15" t="n">
        <v>201.533323920488</v>
      </c>
      <c r="T23" s="15" t="n">
        <v>14.61060612750865</v>
      </c>
      <c r="U23" s="15" t="n">
        <v>6.454582037962521</v>
      </c>
      <c r="V23" s="15" t="n">
        <v>453.2737248444937</v>
      </c>
      <c r="W23" s="15" t="n">
        <v>0.5570752611459057</v>
      </c>
      <c r="X23" t="inlineStr">
        <is>
          <t>IOWA_Trb.T_pp.C#4_SustainStable/C#4/component_amplitude_mass_pie.png</t>
        </is>
      </c>
      <c r="Y23" t="inlineStr">
        <is>
          <t>IOWA_Trb.T_pp.C#4_SustainStable/C#4/component_energy_ratio_pie.png</t>
        </is>
      </c>
      <c r="Z23" s="19" t="n">
        <v>1</v>
      </c>
      <c r="AA23" s="19" t="n">
        <v>1</v>
      </c>
      <c r="AB23" s="15" t="n">
        <v>2.015242501006277</v>
      </c>
      <c r="AC23" s="15" t="n">
        <v>4.440892098500626e-16</v>
      </c>
      <c r="AD23" s="15" t="n">
        <v>5.230065916004512</v>
      </c>
      <c r="AE23" s="15" t="n">
        <v>8.881784197001252e-16</v>
      </c>
      <c r="AF23" t="inlineStr">
        <is>
          <t>passed</t>
        </is>
      </c>
    </row>
    <row r="24">
      <c r="A24" t="inlineStr">
        <is>
          <t>D4</t>
        </is>
      </c>
      <c r="B24" t="n">
        <v>62</v>
      </c>
      <c r="C24" t="inlineStr">
        <is>
          <t>High</t>
        </is>
      </c>
      <c r="D24" t="inlineStr">
        <is>
          <t>pp</t>
        </is>
      </c>
      <c r="E24" s="15" t="n">
        <v>2.595712709682811</v>
      </c>
      <c r="F24" s="15" t="n">
        <v>1.574772435790391</v>
      </c>
      <c r="G24" s="15" t="n">
        <v>1.083955862807496</v>
      </c>
      <c r="H24" s="15" t="n">
        <v>5.254441008280698</v>
      </c>
      <c r="I24" s="19" t="n">
        <v>0.9999762083382316</v>
      </c>
      <c r="J24" s="19" t="n">
        <v>0</v>
      </c>
      <c r="K24" s="19" t="n">
        <v>2.37916617683106e-05</v>
      </c>
      <c r="L24" s="19" t="n">
        <v>0.7777500363514954</v>
      </c>
      <c r="M24" s="19" t="n">
        <v>0.222231459242449</v>
      </c>
      <c r="N24" s="19" t="n">
        <v>1.850440605573616e-05</v>
      </c>
      <c r="O24" s="15" t="n">
        <v>1.283023013928279</v>
      </c>
      <c r="P24" s="15" t="n">
        <v>0.6949650954099105</v>
      </c>
      <c r="Q24" s="15" t="n">
        <v>0.0698101303761986</v>
      </c>
      <c r="R24" s="15" t="n">
        <v>2.047798239714388</v>
      </c>
      <c r="S24" s="15" t="n">
        <v>196.5982253771821</v>
      </c>
      <c r="T24" s="15" t="n">
        <v>18.28202611763835</v>
      </c>
      <c r="U24" s="15" t="n">
        <v>5.566327702285894</v>
      </c>
      <c r="V24" s="15" t="n">
        <v>452.7124763551876</v>
      </c>
      <c r="W24" s="15" t="n">
        <v>0.5557806409951025</v>
      </c>
      <c r="X24" t="inlineStr">
        <is>
          <t>IOWA_Trb.T_pp.D4_SustainStable/D4/component_amplitude_mass_pie.png</t>
        </is>
      </c>
      <c r="Y24" t="inlineStr">
        <is>
          <t>IOWA_Trb.T_pp.D4_SustainStable/D4/component_energy_ratio_pie.png</t>
        </is>
      </c>
      <c r="Z24" s="19" t="n">
        <v>1</v>
      </c>
      <c r="AA24" s="19" t="n">
        <v>1</v>
      </c>
      <c r="AB24" s="15" t="n">
        <v>2.047798239714388</v>
      </c>
      <c r="AC24" s="15" t="n">
        <v>0</v>
      </c>
      <c r="AD24" s="15" t="n">
        <v>5.254441008280698</v>
      </c>
      <c r="AE24" s="15" t="n">
        <v>0</v>
      </c>
      <c r="AF24" t="inlineStr">
        <is>
          <t>passed</t>
        </is>
      </c>
    </row>
    <row r="25">
      <c r="A25" t="inlineStr">
        <is>
          <t>D#4</t>
        </is>
      </c>
      <c r="B25" t="n">
        <v>63</v>
      </c>
      <c r="C25" t="inlineStr">
        <is>
          <t>High</t>
        </is>
      </c>
      <c r="D25" t="inlineStr">
        <is>
          <t>pp</t>
        </is>
      </c>
      <c r="E25" s="15" t="n">
        <v>2.583700296370499</v>
      </c>
      <c r="F25" s="15" t="n">
        <v>1.624028845234606</v>
      </c>
      <c r="G25" s="15" t="n">
        <v>1.199606716736803</v>
      </c>
      <c r="H25" s="15" t="n">
        <v>5.407335858341908</v>
      </c>
      <c r="I25" s="19" t="n">
        <v>0.9999649825121651</v>
      </c>
      <c r="J25" s="19" t="n">
        <v>0</v>
      </c>
      <c r="K25" s="19" t="n">
        <v>3.501748783485435e-05</v>
      </c>
      <c r="L25" s="19" t="n">
        <v>0.7719985130336301</v>
      </c>
      <c r="M25" s="19" t="n">
        <v>0.2279744525711544</v>
      </c>
      <c r="N25" s="19" t="n">
        <v>2.703439521528636e-05</v>
      </c>
      <c r="O25" s="15" t="n">
        <v>1.277085452858819</v>
      </c>
      <c r="P25" s="15" t="n">
        <v>0.7167025125191752</v>
      </c>
      <c r="Q25" s="15" t="n">
        <v>0.0772584052257046</v>
      </c>
      <c r="R25" s="15" t="n">
        <v>2.071046370603699</v>
      </c>
      <c r="S25" s="15" t="n">
        <v>191.2212715556044</v>
      </c>
      <c r="T25" s="15" t="n">
        <v>20.53772866945702</v>
      </c>
      <c r="U25" s="15" t="n">
        <v>7.4172930663566</v>
      </c>
      <c r="V25" s="15" t="n">
        <v>429.668284581715</v>
      </c>
      <c r="W25" s="15" t="n">
        <v>0.5543258089876352</v>
      </c>
      <c r="X25" t="inlineStr">
        <is>
          <t>IOWA_Trb.T_pp.D#4_SustainStable/D#4/component_amplitude_mass_pie.png</t>
        </is>
      </c>
      <c r="Y25" t="inlineStr">
        <is>
          <t>IOWA_Trb.T_pp.D#4_SustainStable/D#4/component_energy_ratio_pie.png</t>
        </is>
      </c>
      <c r="Z25" s="19" t="n">
        <v>1</v>
      </c>
      <c r="AA25" s="19" t="n">
        <v>0.9999999999999999</v>
      </c>
      <c r="AB25" s="15" t="n">
        <v>2.071046370603699</v>
      </c>
      <c r="AC25" s="15" t="n">
        <v>0</v>
      </c>
      <c r="AD25" s="15" t="n">
        <v>5.407335858341908</v>
      </c>
      <c r="AE25" s="15" t="n">
        <v>8.881784197001252e-16</v>
      </c>
      <c r="AF25" t="inlineStr">
        <is>
          <t>passed</t>
        </is>
      </c>
    </row>
    <row r="26">
      <c r="A26" t="inlineStr">
        <is>
          <t>E4</t>
        </is>
      </c>
      <c r="B26" t="n">
        <v>64</v>
      </c>
      <c r="C26" t="inlineStr">
        <is>
          <t>High</t>
        </is>
      </c>
      <c r="D26" t="inlineStr">
        <is>
          <t>pp</t>
        </is>
      </c>
      <c r="E26" s="15" t="n">
        <v>2.545817373500943</v>
      </c>
      <c r="F26" s="15" t="n">
        <v>1.557283757000226</v>
      </c>
      <c r="G26" s="15" t="n">
        <v>1.139876019471646</v>
      </c>
      <c r="H26" s="15" t="n">
        <v>5.242977149972815</v>
      </c>
      <c r="I26" s="19" t="n">
        <v>0.999973166307205</v>
      </c>
      <c r="J26" s="19" t="n">
        <v>0</v>
      </c>
      <c r="K26" s="19" t="n">
        <v>2.683369279500879e-05</v>
      </c>
      <c r="L26" s="19" t="n">
        <v>0.7460846276158869</v>
      </c>
      <c r="M26" s="19" t="n">
        <v>0.2538953516411862</v>
      </c>
      <c r="N26" s="19" t="n">
        <v>2.002074292698847e-05</v>
      </c>
      <c r="O26" s="15" t="n">
        <v>1.258360475439246</v>
      </c>
      <c r="P26" s="15" t="n">
        <v>0.6872471413438046</v>
      </c>
      <c r="Q26" s="15" t="n">
        <v>0.07341156246520521</v>
      </c>
      <c r="R26" s="15" t="n">
        <v>2.019019179248256</v>
      </c>
      <c r="S26" s="15" t="n">
        <v>175.2063179263757</v>
      </c>
      <c r="T26" s="15" t="n">
        <v>17.54071564721302</v>
      </c>
      <c r="U26" s="15" t="n">
        <v>6.399951273294191</v>
      </c>
      <c r="V26" s="15" t="n">
        <v>400.5955687360657</v>
      </c>
      <c r="W26" s="15" t="n">
        <v>0.5497117427968181</v>
      </c>
      <c r="X26" t="inlineStr">
        <is>
          <t>IOWA_Trb.T_pp.E4_SustainStable/E4/component_amplitude_mass_pie.png</t>
        </is>
      </c>
      <c r="Y26" t="inlineStr">
        <is>
          <t>IOWA_Trb.T_pp.E4_SustainStable/E4/component_energy_ratio_pie.png</t>
        </is>
      </c>
      <c r="Z26" s="19" t="n">
        <v>1</v>
      </c>
      <c r="AA26" s="19" t="n">
        <v>1</v>
      </c>
      <c r="AB26" s="15" t="n">
        <v>2.019019179248256</v>
      </c>
      <c r="AC26" s="15" t="n">
        <v>0</v>
      </c>
      <c r="AD26" s="15" t="n">
        <v>5.242977149972815</v>
      </c>
      <c r="AE26" s="15" t="n">
        <v>0</v>
      </c>
      <c r="AF26" t="inlineStr">
        <is>
          <t>passed</t>
        </is>
      </c>
    </row>
    <row r="27">
      <c r="A27" t="inlineStr">
        <is>
          <t>F4</t>
        </is>
      </c>
      <c r="B27" t="n">
        <v>65</v>
      </c>
      <c r="C27" t="inlineStr">
        <is>
          <t>High</t>
        </is>
      </c>
      <c r="D27" t="inlineStr">
        <is>
          <t>pp</t>
        </is>
      </c>
      <c r="E27" s="15" t="n">
        <v>2.553142950072086</v>
      </c>
      <c r="F27" s="15" t="n">
        <v>1.35455637361256</v>
      </c>
      <c r="G27" s="15" t="n">
        <v>1.003415144136291</v>
      </c>
      <c r="H27" s="15" t="n">
        <v>4.911114467820937</v>
      </c>
      <c r="I27" s="19" t="n">
        <v>0.9999867536632621</v>
      </c>
      <c r="J27" s="19" t="n">
        <v>0</v>
      </c>
      <c r="K27" s="19" t="n">
        <v>1.324633673796994e-05</v>
      </c>
      <c r="L27" s="19" t="n">
        <v>0.7670483516935681</v>
      </c>
      <c r="M27" s="19" t="n">
        <v>0.2329414875910787</v>
      </c>
      <c r="N27" s="19" t="n">
        <v>1.016071535309486e-05</v>
      </c>
      <c r="O27" s="15" t="n">
        <v>1.261981401320608</v>
      </c>
      <c r="P27" s="15" t="n">
        <v>0.5977812273258862</v>
      </c>
      <c r="Q27" s="15" t="n">
        <v>0.06462305748517992</v>
      </c>
      <c r="R27" s="15" t="n">
        <v>1.924385686131674</v>
      </c>
      <c r="S27" s="15" t="n">
        <v>178.1952277718411</v>
      </c>
      <c r="T27" s="15" t="n">
        <v>10.81166091415168</v>
      </c>
      <c r="U27" s="15" t="n">
        <v>4.539473298783711</v>
      </c>
      <c r="V27" s="15" t="n">
        <v>435.7741168252365</v>
      </c>
      <c r="W27" s="15" t="n">
        <v>0.5506101712440316</v>
      </c>
      <c r="X27" t="inlineStr">
        <is>
          <t>IOWA_Trb.T_pp.F4_SustainStable/F4/component_amplitude_mass_pie.png</t>
        </is>
      </c>
      <c r="Y27" t="inlineStr">
        <is>
          <t>IOWA_Trb.T_pp.F4_SustainStable/F4/component_energy_ratio_pie.png</t>
        </is>
      </c>
      <c r="Z27" s="19" t="n">
        <v>1</v>
      </c>
      <c r="AA27" s="19" t="n">
        <v>1</v>
      </c>
      <c r="AB27" s="15" t="n">
        <v>1.924385686131674</v>
      </c>
      <c r="AC27" s="15" t="n">
        <v>-2.220446049250313e-16</v>
      </c>
      <c r="AD27" s="15" t="n">
        <v>4.911114467820937</v>
      </c>
      <c r="AE27" s="15" t="n">
        <v>0</v>
      </c>
      <c r="AF27" t="inlineStr">
        <is>
          <t>passed</t>
        </is>
      </c>
    </row>
    <row r="28">
      <c r="A28" t="inlineStr">
        <is>
          <t>F#4</t>
        </is>
      </c>
      <c r="B28" t="n">
        <v>66</v>
      </c>
      <c r="C28" t="inlineStr">
        <is>
          <t>High</t>
        </is>
      </c>
      <c r="D28" t="inlineStr">
        <is>
          <t>pp</t>
        </is>
      </c>
      <c r="E28" s="15" t="n">
        <v>2.539572491478548</v>
      </c>
      <c r="F28" s="15" t="n">
        <v>1.526254002099631</v>
      </c>
      <c r="G28" s="15" t="n">
        <v>0.9276113165704045</v>
      </c>
      <c r="H28" s="15" t="n">
        <v>4.993437810148583</v>
      </c>
      <c r="I28" s="19" t="n">
        <v>0.9999921779694927</v>
      </c>
      <c r="J28" s="19" t="n">
        <v>0</v>
      </c>
      <c r="K28" s="19" t="n">
        <v>7.822030507320004e-06</v>
      </c>
      <c r="L28" s="19" t="n">
        <v>0.7896600740710046</v>
      </c>
      <c r="M28" s="19" t="n">
        <v>0.2103337491354905</v>
      </c>
      <c r="N28" s="19" t="n">
        <v>6.176793504863204e-06</v>
      </c>
      <c r="O28" s="15" t="n">
        <v>1.255273721144708</v>
      </c>
      <c r="P28" s="15" t="n">
        <v>0.6735533554450089</v>
      </c>
      <c r="Q28" s="15" t="n">
        <v>0.0597410551205419</v>
      </c>
      <c r="R28" s="15" t="n">
        <v>1.988568131710259</v>
      </c>
      <c r="S28" s="15" t="n">
        <v>172.6978496951613</v>
      </c>
      <c r="T28" s="15" t="n">
        <v>16.29670158315627</v>
      </c>
      <c r="U28" s="15" t="n">
        <v>3.732347522881445</v>
      </c>
      <c r="V28" s="15" t="n">
        <v>434.4333725209962</v>
      </c>
      <c r="W28" s="15" t="n">
        <v>0.5489492641695283</v>
      </c>
      <c r="X28" t="inlineStr">
        <is>
          <t>IOWA_Trb.T_pp.F#4_SustainStable/F#4/component_amplitude_mass_pie.png</t>
        </is>
      </c>
      <c r="Y28" t="inlineStr">
        <is>
          <t>IOWA_Trb.T_pp.F#4_SustainStable/F#4/component_energy_ratio_pie.png</t>
        </is>
      </c>
      <c r="Z28" s="19" t="n">
        <v>1</v>
      </c>
      <c r="AA28" s="19" t="n">
        <v>1</v>
      </c>
      <c r="AB28" s="15" t="n">
        <v>1.988568131710259</v>
      </c>
      <c r="AC28" s="15" t="n">
        <v>2.220446049250313e-16</v>
      </c>
      <c r="AD28" s="15" t="n">
        <v>4.993437810148583</v>
      </c>
      <c r="AE28" s="15" t="n">
        <v>0</v>
      </c>
      <c r="AF28" t="inlineStr">
        <is>
          <t>passed</t>
        </is>
      </c>
    </row>
    <row r="29">
      <c r="A29" t="inlineStr">
        <is>
          <t>G4</t>
        </is>
      </c>
      <c r="B29" t="n">
        <v>67</v>
      </c>
      <c r="C29" t="inlineStr">
        <is>
          <t>High</t>
        </is>
      </c>
      <c r="D29" t="inlineStr">
        <is>
          <t>pp</t>
        </is>
      </c>
      <c r="E29" s="15" t="n">
        <v>2.510539175588555</v>
      </c>
      <c r="F29" s="15" t="n">
        <v>1.430172414098086</v>
      </c>
      <c r="G29" s="15" t="n">
        <v>0.8161088246629666</v>
      </c>
      <c r="H29" s="15" t="n">
        <v>4.756820414349608</v>
      </c>
      <c r="I29" s="19" t="n">
        <v>0.9999953727844225</v>
      </c>
      <c r="J29" s="19" t="n">
        <v>0</v>
      </c>
      <c r="K29" s="19" t="n">
        <v>4.62721557743327e-06</v>
      </c>
      <c r="L29" s="19" t="n">
        <v>0.7735417815244034</v>
      </c>
      <c r="M29" s="19" t="n">
        <v>0.2264546391144528</v>
      </c>
      <c r="N29" s="19" t="n">
        <v>3.579361143740844e-06</v>
      </c>
      <c r="O29" s="15" t="n">
        <v>1.240922975656367</v>
      </c>
      <c r="P29" s="15" t="n">
        <v>0.6311514512364717</v>
      </c>
      <c r="Q29" s="15" t="n">
        <v>0.05255994769318934</v>
      </c>
      <c r="R29" s="15" t="n">
        <v>1.924634374586028</v>
      </c>
      <c r="S29" s="15" t="n">
        <v>161.4978235924807</v>
      </c>
      <c r="T29" s="15" t="n">
        <v>12.9630177517381</v>
      </c>
      <c r="U29" s="15" t="n">
        <v>2.774001160374395</v>
      </c>
      <c r="V29" s="15" t="n">
        <v>381.0836903976673</v>
      </c>
      <c r="W29" s="15" t="n">
        <v>0.5453728539118405</v>
      </c>
      <c r="X29" t="inlineStr">
        <is>
          <t>IOWA_Trb.T_pp.G4_SustainStable/G4/component_amplitude_mass_pie.png</t>
        </is>
      </c>
      <c r="Y29" t="inlineStr">
        <is>
          <t>IOWA_Trb.T_pp.G4_SustainStable/G4/component_energy_ratio_pie.png</t>
        </is>
      </c>
      <c r="Z29" s="19" t="n">
        <v>1</v>
      </c>
      <c r="AA29" s="19" t="n">
        <v>0.9999999999999999</v>
      </c>
      <c r="AB29" s="15" t="n">
        <v>1.924634374586028</v>
      </c>
      <c r="AC29" s="15" t="n">
        <v>-2.220446049250313e-16</v>
      </c>
      <c r="AD29" s="15" t="n">
        <v>4.756820414349608</v>
      </c>
      <c r="AE29" s="15" t="n">
        <v>0</v>
      </c>
      <c r="AF29" t="inlineStr">
        <is>
          <t>passed</t>
        </is>
      </c>
    </row>
    <row r="30">
      <c r="A30" t="inlineStr">
        <is>
          <t>G#4</t>
        </is>
      </c>
      <c r="B30" t="n">
        <v>68</v>
      </c>
      <c r="C30" t="inlineStr">
        <is>
          <t>High</t>
        </is>
      </c>
      <c r="D30" t="inlineStr">
        <is>
          <t>pp</t>
        </is>
      </c>
      <c r="E30" s="15" t="n">
        <v>2.495289849725051</v>
      </c>
      <c r="F30" s="15" t="n">
        <v>1.44366350243605</v>
      </c>
      <c r="G30" s="15" t="n">
        <v>0.9408229817524393</v>
      </c>
      <c r="H30" s="15" t="n">
        <v>4.87977633391354</v>
      </c>
      <c r="I30" s="19" t="n">
        <v>0.9999915755411392</v>
      </c>
      <c r="J30" s="19" t="n">
        <v>0</v>
      </c>
      <c r="K30" s="19" t="n">
        <v>8.424458860931822e-06</v>
      </c>
      <c r="L30" s="19" t="n">
        <v>0.7751563841140321</v>
      </c>
      <c r="M30" s="19" t="n">
        <v>0.2248370855578846</v>
      </c>
      <c r="N30" s="19" t="n">
        <v>6.530328083237613e-06</v>
      </c>
      <c r="O30" s="15" t="n">
        <v>1.233385455823458</v>
      </c>
      <c r="P30" s="15" t="n">
        <v>0.6371052228931813</v>
      </c>
      <c r="Q30" s="15" t="n">
        <v>0.06059192746736949</v>
      </c>
      <c r="R30" s="15" t="n">
        <v>1.931082606184009</v>
      </c>
      <c r="S30" s="15" t="n">
        <v>155.9083210149428</v>
      </c>
      <c r="T30" s="15" t="n">
        <v>13.38780170203659</v>
      </c>
      <c r="U30" s="15" t="n">
        <v>3.86307809066742</v>
      </c>
      <c r="V30" s="15" t="n">
        <v>361.5839563772596</v>
      </c>
      <c r="W30" s="15" t="n">
        <v>0.5434815686527837</v>
      </c>
      <c r="X30" t="inlineStr">
        <is>
          <t>IOWA_Trb.T_pp.G#4_SustainStable/G#4/component_amplitude_mass_pie.png</t>
        </is>
      </c>
      <c r="Y30" t="inlineStr">
        <is>
          <t>IOWA_Trb.T_pp.G#4_SustainStable/G#4/component_energy_ratio_pie.png</t>
        </is>
      </c>
      <c r="Z30" s="19" t="n">
        <v>1</v>
      </c>
      <c r="AA30" s="19" t="n">
        <v>1</v>
      </c>
      <c r="AB30" s="15" t="n">
        <v>1.931082606184009</v>
      </c>
      <c r="AC30" s="15" t="n">
        <v>2.220446049250313e-16</v>
      </c>
      <c r="AD30" s="15" t="n">
        <v>4.87977633391354</v>
      </c>
      <c r="AE30" s="15" t="n">
        <v>0</v>
      </c>
      <c r="AF30" t="inlineStr">
        <is>
          <t>passed</t>
        </is>
      </c>
    </row>
    <row r="31">
      <c r="A31" t="inlineStr">
        <is>
          <t>A4</t>
        </is>
      </c>
      <c r="B31" t="n">
        <v>69</v>
      </c>
      <c r="C31" t="inlineStr">
        <is>
          <t>High</t>
        </is>
      </c>
      <c r="D31" t="inlineStr">
        <is>
          <t>pp</t>
        </is>
      </c>
      <c r="E31" s="15" t="n">
        <v>2.465529103318775</v>
      </c>
      <c r="F31" s="15" t="n">
        <v>1.526546181646119</v>
      </c>
      <c r="G31" s="15" t="n">
        <v>0.977122646980445</v>
      </c>
      <c r="H31" s="15" t="n">
        <v>4.969197931945339</v>
      </c>
      <c r="I31" s="19" t="n">
        <v>0.9999887964238151</v>
      </c>
      <c r="J31" s="19" t="n">
        <v>0</v>
      </c>
      <c r="K31" s="19" t="n">
        <v>1.120357618484955e-05</v>
      </c>
      <c r="L31" s="19" t="n">
        <v>0.759848268968166</v>
      </c>
      <c r="M31" s="19" t="n">
        <v>0.2401432179184864</v>
      </c>
      <c r="N31" s="19" t="n">
        <v>8.513113347624861e-06</v>
      </c>
      <c r="O31" s="15" t="n">
        <v>1.218675152018073</v>
      </c>
      <c r="P31" s="15" t="n">
        <v>0.6736822976221685</v>
      </c>
      <c r="Q31" s="15" t="n">
        <v>0.06292973885723184</v>
      </c>
      <c r="R31" s="15" t="n">
        <v>1.955287188497473</v>
      </c>
      <c r="S31" s="15" t="n">
        <v>145.5491748565031</v>
      </c>
      <c r="T31" s="15" t="n">
        <v>16.30800567308231</v>
      </c>
      <c r="U31" s="15" t="n">
        <v>4.243431696716423</v>
      </c>
      <c r="V31" s="15" t="n">
        <v>312.074536055743</v>
      </c>
      <c r="W31" s="15" t="n">
        <v>0.5397674606305921</v>
      </c>
      <c r="X31" t="inlineStr">
        <is>
          <t>IOWA_Trb.T_pp.A4_SustainStable/A4/component_amplitude_mass_pie.png</t>
        </is>
      </c>
      <c r="Y31" t="inlineStr">
        <is>
          <t>IOWA_Trb.T_pp.A4_SustainStable/A4/component_energy_ratio_pie.png</t>
        </is>
      </c>
      <c r="Z31" s="19" t="n">
        <v>1</v>
      </c>
      <c r="AA31" s="19" t="n">
        <v>1</v>
      </c>
      <c r="AB31" s="15" t="n">
        <v>1.955287188497473</v>
      </c>
      <c r="AC31" s="15" t="n">
        <v>-4.440892098500626e-16</v>
      </c>
      <c r="AD31" s="15" t="n">
        <v>4.969197931945339</v>
      </c>
      <c r="AE31" s="15" t="n">
        <v>0</v>
      </c>
      <c r="AF31" t="inlineStr">
        <is>
          <t>passed</t>
        </is>
      </c>
    </row>
    <row r="32">
      <c r="A32" t="inlineStr">
        <is>
          <t>A#4</t>
        </is>
      </c>
      <c r="B32" t="n">
        <v>70</v>
      </c>
      <c r="C32" t="inlineStr">
        <is>
          <t>High</t>
        </is>
      </c>
      <c r="D32" t="inlineStr">
        <is>
          <t>pp</t>
        </is>
      </c>
      <c r="E32" s="15" t="n">
        <v>2.447114995184177</v>
      </c>
      <c r="F32" s="15" t="n">
        <v>1.404511739825526</v>
      </c>
      <c r="G32" s="15" t="n">
        <v>0.9174072225800305</v>
      </c>
      <c r="H32" s="15" t="n">
        <v>4.769033957589734</v>
      </c>
      <c r="I32" s="19" t="n">
        <v>0.9999909581423647</v>
      </c>
      <c r="J32" s="19" t="n">
        <v>0</v>
      </c>
      <c r="K32" s="19" t="n">
        <v>9.041857635329439e-06</v>
      </c>
      <c r="L32" s="19" t="n">
        <v>0.7594734653238071</v>
      </c>
      <c r="M32" s="19" t="n">
        <v>0.2405196675631502</v>
      </c>
      <c r="N32" s="19" t="n">
        <v>6.86711304272667e-06</v>
      </c>
      <c r="O32" s="15" t="n">
        <v>1.20957332636937</v>
      </c>
      <c r="P32" s="15" t="n">
        <v>0.6198271020550854</v>
      </c>
      <c r="Q32" s="15" t="n">
        <v>0.05908387971674458</v>
      </c>
      <c r="R32" s="15" t="n">
        <v>1.8884843081412</v>
      </c>
      <c r="S32" s="15" t="n">
        <v>139.4861274691212</v>
      </c>
      <c r="T32" s="15" t="n">
        <v>12.19058797648703</v>
      </c>
      <c r="U32" s="15" t="n">
        <v>3.63406429700849</v>
      </c>
      <c r="V32" s="15" t="n">
        <v>310.5536085443335</v>
      </c>
      <c r="W32" s="15" t="n">
        <v>0.5374540290501243</v>
      </c>
      <c r="X32" t="inlineStr">
        <is>
          <t>IOWA_Trb.T_pp.A#4_SustainStable/A#4/component_amplitude_mass_pie.png</t>
        </is>
      </c>
      <c r="Y32" t="inlineStr">
        <is>
          <t>IOWA_Trb.T_pp.A#4_SustainStable/A#4/component_energy_ratio_pie.png</t>
        </is>
      </c>
      <c r="Z32" s="19" t="n">
        <v>1</v>
      </c>
      <c r="AA32" s="19" t="n">
        <v>1</v>
      </c>
      <c r="AB32" s="15" t="n">
        <v>1.8884843081412</v>
      </c>
      <c r="AC32" s="15" t="n">
        <v>0</v>
      </c>
      <c r="AD32" s="15" t="n">
        <v>4.769033957589733</v>
      </c>
      <c r="AE32" s="15" t="n">
        <v>8.881784197001252e-16</v>
      </c>
      <c r="AF32" t="inlineStr">
        <is>
          <t>passed</t>
        </is>
      </c>
    </row>
    <row r="33">
      <c r="A33" t="inlineStr">
        <is>
          <t>C5</t>
        </is>
      </c>
      <c r="B33" t="n">
        <v>72</v>
      </c>
      <c r="C33" t="inlineStr">
        <is>
          <t>Very high</t>
        </is>
      </c>
      <c r="D33" t="inlineStr">
        <is>
          <t>pp</t>
        </is>
      </c>
      <c r="E33" s="15" t="n">
        <v>2.434827684665272</v>
      </c>
      <c r="F33" s="15" t="n">
        <v>1.845482472938946</v>
      </c>
      <c r="G33" s="15" t="n">
        <v>0.9061227525116496</v>
      </c>
      <c r="H33" s="15" t="n">
        <v>5.186432910115867</v>
      </c>
      <c r="I33" s="19" t="n">
        <v>1</v>
      </c>
      <c r="J33" s="19" t="n">
        <v>0</v>
      </c>
      <c r="K33" s="19" t="n">
        <v>0</v>
      </c>
      <c r="L33" s="19" t="n">
        <v>0.7541927207861047</v>
      </c>
      <c r="M33" s="19" t="n">
        <v>0.2458072792138954</v>
      </c>
      <c r="N33" s="19" t="n">
        <v>0</v>
      </c>
      <c r="O33" s="15" t="n">
        <v>1.203499887611595</v>
      </c>
      <c r="P33" s="15" t="n">
        <v>0.8144325324310188</v>
      </c>
      <c r="Q33" s="15" t="n">
        <v>0.05835712473185099</v>
      </c>
      <c r="R33" s="15" t="n">
        <v>2.076289544774465</v>
      </c>
      <c r="S33" s="15" t="n">
        <v>67.79053085504374</v>
      </c>
      <c r="T33" s="15" t="n">
        <v>17.2654976748065</v>
      </c>
      <c r="U33" s="15" t="n">
        <v>1.764015280154714</v>
      </c>
      <c r="V33" s="15" t="n">
        <v>82.595402826647</v>
      </c>
      <c r="W33" s="15" t="n">
        <v>0.5359049546485152</v>
      </c>
      <c r="X33" t="inlineStr">
        <is>
          <t>IOWA_Trb.T_pp.C5_SustainStable/C5/component_amplitude_mass_pie.png</t>
        </is>
      </c>
      <c r="Y33" t="inlineStr">
        <is>
          <t>IOWA_Trb.T_pp.C5_SustainStable/C5/component_energy_ratio_pie.png</t>
        </is>
      </c>
      <c r="Z33" s="19" t="n">
        <v>1</v>
      </c>
      <c r="AA33" s="19" t="n">
        <v>1</v>
      </c>
      <c r="AB33" s="15" t="n">
        <v>2.076289544774465</v>
      </c>
      <c r="AC33" s="15" t="n">
        <v>4.440892098500626e-16</v>
      </c>
      <c r="AD33" s="15" t="n">
        <v>5.186432910115867</v>
      </c>
      <c r="AE33" s="15" t="n">
        <v>0</v>
      </c>
      <c r="AF33" t="inlineStr">
        <is>
          <t>passed</t>
        </is>
      </c>
    </row>
  </sheetData>
  <autoFilter ref="A1:AF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9" customWidth="1" min="4" max="4"/>
    <col width="19" customWidth="1" min="5" max="5"/>
    <col width="32" customWidth="1" min="6" max="6"/>
    <col width="32" customWidth="1" min="7" max="7"/>
    <col width="17" customWidth="1" min="8" max="8"/>
    <col width="36" customWidth="1" min="9" max="9"/>
    <col width="23" customWidth="1" min="10" max="10"/>
    <col width="24" customWidth="1" min="11" max="11"/>
    <col width="32" customWidth="1" min="12" max="12"/>
    <col width="27" customWidth="1" min="13" max="13"/>
    <col width="35" customWidth="1" min="14" max="14"/>
    <col width="42" customWidth="1" min="15" max="15"/>
    <col width="35" customWidth="1" min="16" max="16"/>
    <col width="34" customWidth="1" min="17" max="17"/>
    <col width="30" customWidth="1" min="18" max="18"/>
    <col width="31" customWidth="1" min="19" max="19"/>
    <col width="30" customWidth="1" min="20" max="20"/>
    <col width="28" customWidth="1" min="21" max="21"/>
    <col width="27" customWidth="1" min="22" max="2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Register</t>
        </is>
      </c>
      <c r="D1" s="11" t="inlineStr">
        <is>
          <t>f0_nominal_hz</t>
        </is>
      </c>
      <c r="E1" s="11" t="inlineStr">
        <is>
          <t>f0_final_hz</t>
        </is>
      </c>
      <c r="F1" s="11" t="inlineStr">
        <is>
          <t>f0_source</t>
        </is>
      </c>
      <c r="G1" s="11" t="inlineStr">
        <is>
          <t>f0_final_source</t>
        </is>
      </c>
      <c r="H1" s="11" t="inlineStr">
        <is>
          <t>f0_fit_accepted</t>
        </is>
      </c>
      <c r="I1" s="11" t="inlineStr">
        <is>
          <t>acoustic_f0_status</t>
        </is>
      </c>
      <c r="J1" s="11" t="inlineStr">
        <is>
          <t>f0_fit_quality</t>
        </is>
      </c>
      <c r="K1" s="11" t="inlineStr">
        <is>
          <t>f0_fit_residual_std_hz</t>
        </is>
      </c>
      <c r="L1" s="11" t="inlineStr">
        <is>
          <t>f0_detuning_cents_from_nominal</t>
        </is>
      </c>
      <c r="M1" s="11" t="inlineStr">
        <is>
          <t>harmonic_alignment_status</t>
        </is>
      </c>
      <c r="N1" s="11" t="inlineStr">
        <is>
          <t>harmonic_alignment_coverage_ratio</t>
        </is>
      </c>
      <c r="O1" s="11" t="inlineStr">
        <is>
          <t>harmonic_alignment_energy_coverage_ratio</t>
        </is>
      </c>
      <c r="P1" s="11" t="inlineStr">
        <is>
          <t>mean_abs_harmonic_deviation_cents</t>
        </is>
      </c>
      <c r="Q1" s="11" t="inlineStr">
        <is>
          <t>max_abs_harmonic_deviation_cents</t>
        </is>
      </c>
      <c r="R1" s="11" t="inlineStr">
        <is>
          <t>rms_harmonic_deviation_cents</t>
        </is>
      </c>
      <c r="S1" s="11" t="inlineStr">
        <is>
          <t>debug_counts_invariant_status</t>
        </is>
      </c>
      <c r="T1" s="11" t="inlineStr">
        <is>
          <t>arithmetic_validation_status</t>
        </is>
      </c>
      <c r="U1" s="11" t="inlineStr">
        <is>
          <t>acoustic_validation_status</t>
        </is>
      </c>
      <c r="V1" s="11" t="inlineStr">
        <is>
          <t>validation_summary_status</t>
        </is>
      </c>
    </row>
    <row r="2">
      <c r="A2" t="inlineStr">
        <is>
          <t>E2</t>
        </is>
      </c>
      <c r="B2" t="n">
        <v>40</v>
      </c>
      <c r="C2" t="inlineStr">
        <is>
          <t>Low</t>
        </is>
      </c>
      <c r="D2" s="15" t="n">
        <v>82.40688922821748</v>
      </c>
      <c r="E2" s="15" t="n">
        <v>82.54233153503833</v>
      </c>
      <c r="F2" t="inlineStr">
        <is>
          <t>prior_constrained_harmonic_fit</t>
        </is>
      </c>
      <c r="G2" t="inlineStr">
        <is>
          <t>prior_constrained_harmonic_fit</t>
        </is>
      </c>
      <c r="H2" t="n">
        <v>1</v>
      </c>
      <c r="I2" t="inlineStr">
        <is>
          <t>fit_accepted_acoustically_verified</t>
        </is>
      </c>
      <c r="J2" t="n">
        <v>0.001317807652827164</v>
      </c>
      <c r="K2" s="15" t="n">
        <v>0.1087749161790704</v>
      </c>
      <c r="L2" s="15" t="n">
        <v>2.843085706810632</v>
      </c>
      <c r="M2" t="inlineStr">
        <is>
          <t>excellent</t>
        </is>
      </c>
      <c r="N2" s="19" t="n">
        <v>0.9380165289256198</v>
      </c>
      <c r="O2" s="19" t="n">
        <v>0.05028018307572524</v>
      </c>
      <c r="P2" s="15" t="n">
        <v>1.945386915740601</v>
      </c>
      <c r="Q2" s="15" t="n">
        <v>16.51049521077061</v>
      </c>
      <c r="R2" s="15" t="n">
        <v>4.954381669684329</v>
      </c>
      <c r="S2" t="inlineStr">
        <is>
          <t>passed</t>
        </is>
      </c>
      <c r="T2" t="inlineStr">
        <is>
          <t>passed</t>
        </is>
      </c>
      <c r="U2" t="inlineStr">
        <is>
          <t>passed</t>
        </is>
      </c>
      <c r="V2" t="inlineStr">
        <is>
          <t>passed</t>
        </is>
      </c>
    </row>
    <row r="3">
      <c r="A3" t="inlineStr">
        <is>
          <t>F2</t>
        </is>
      </c>
      <c r="B3" t="n">
        <v>41</v>
      </c>
      <c r="C3" t="inlineStr">
        <is>
          <t>Low</t>
        </is>
      </c>
      <c r="D3" s="15" t="n">
        <v>87.30705785825096</v>
      </c>
      <c r="E3" s="15" t="n">
        <v>87.31945401308352</v>
      </c>
      <c r="F3" t="inlineStr">
        <is>
          <t>prior_constrained_harmonic_fit</t>
        </is>
      </c>
      <c r="G3" t="inlineStr">
        <is>
          <t>prior_constrained_harmonic_fit</t>
        </is>
      </c>
      <c r="H3" t="n">
        <v>1</v>
      </c>
      <c r="I3" t="inlineStr">
        <is>
          <t>fit_accepted_acoustically_verified</t>
        </is>
      </c>
      <c r="J3" t="n">
        <v>0.0009481573337976722</v>
      </c>
      <c r="K3" s="15" t="n">
        <v>0.08279258070571371</v>
      </c>
      <c r="L3" s="15" t="n">
        <v>0.2457890858577096</v>
      </c>
      <c r="M3" t="inlineStr">
        <is>
          <t>excellent</t>
        </is>
      </c>
      <c r="N3" s="19" t="n">
        <v>0.9301310043668122</v>
      </c>
      <c r="O3" s="19" t="n">
        <v>0.05581563054854183</v>
      </c>
      <c r="P3" s="15" t="n">
        <v>1.997372257522838</v>
      </c>
      <c r="Q3" s="15" t="n">
        <v>14.16718506609393</v>
      </c>
      <c r="R3" s="15" t="n">
        <v>4.727473025505892</v>
      </c>
      <c r="S3" t="inlineStr">
        <is>
          <t>passed</t>
        </is>
      </c>
      <c r="T3" t="inlineStr">
        <is>
          <t>passed</t>
        </is>
      </c>
      <c r="U3" t="inlineStr">
        <is>
          <t>passed</t>
        </is>
      </c>
      <c r="V3" t="inlineStr">
        <is>
          <t>passed</t>
        </is>
      </c>
    </row>
    <row r="4">
      <c r="A4" t="inlineStr">
        <is>
          <t>F#2</t>
        </is>
      </c>
      <c r="B4" t="n">
        <v>42</v>
      </c>
      <c r="C4" t="inlineStr">
        <is>
          <t>Low</t>
        </is>
      </c>
      <c r="D4" s="15" t="n">
        <v>92.4986056779086</v>
      </c>
      <c r="E4" s="15" t="n">
        <v>92.35360484377048</v>
      </c>
      <c r="F4" t="inlineStr">
        <is>
          <t>prior_constrained_harmonic_fit</t>
        </is>
      </c>
      <c r="G4" t="inlineStr">
        <is>
          <t>prior_constrained_harmonic_fit</t>
        </is>
      </c>
      <c r="H4" t="n">
        <v>1</v>
      </c>
      <c r="I4" t="inlineStr">
        <is>
          <t>fit_accepted_acoustically_verified</t>
        </is>
      </c>
      <c r="J4" t="n">
        <v>0.001971231796867039</v>
      </c>
      <c r="K4" s="15" t="n">
        <v>0.1820503624233342</v>
      </c>
      <c r="L4" s="15" t="n">
        <v>-2.716012234654493</v>
      </c>
      <c r="M4" t="inlineStr">
        <is>
          <t>excellent</t>
        </is>
      </c>
      <c r="N4" s="19" t="n">
        <v>0.9259259259259259</v>
      </c>
      <c r="O4" s="19" t="n">
        <v>0.03304752418947141</v>
      </c>
      <c r="P4" s="15" t="n">
        <v>2.415660267416244</v>
      </c>
      <c r="Q4" s="15" t="n">
        <v>15.77099209583528</v>
      </c>
      <c r="R4" s="15" t="n">
        <v>5.92314686580224</v>
      </c>
      <c r="S4" t="inlineStr">
        <is>
          <t>passed</t>
        </is>
      </c>
      <c r="T4" t="inlineStr">
        <is>
          <t>passed</t>
        </is>
      </c>
      <c r="U4" t="inlineStr">
        <is>
          <t>passed</t>
        </is>
      </c>
      <c r="V4" t="inlineStr">
        <is>
          <t>passed</t>
        </is>
      </c>
    </row>
    <row r="5">
      <c r="A5" t="inlineStr">
        <is>
          <t>G2</t>
        </is>
      </c>
      <c r="B5" t="n">
        <v>43</v>
      </c>
      <c r="C5" t="inlineStr">
        <is>
          <t>Low</t>
        </is>
      </c>
      <c r="D5" s="15" t="n">
        <v>97.99885899543733</v>
      </c>
      <c r="E5" s="15" t="n">
        <v>98.0605589907512</v>
      </c>
      <c r="F5" t="inlineStr">
        <is>
          <t>prior_constrained_harmonic_fit</t>
        </is>
      </c>
      <c r="G5" t="inlineStr">
        <is>
          <t>prior_constrained_harmonic_fit</t>
        </is>
      </c>
      <c r="H5" t="n">
        <v>1</v>
      </c>
      <c r="I5" t="inlineStr">
        <is>
          <t>fit_accepted_acoustically_verified</t>
        </is>
      </c>
      <c r="J5" t="n">
        <v>0.0009530196570047407</v>
      </c>
      <c r="K5" s="15" t="n">
        <v>0.09345364029505886</v>
      </c>
      <c r="L5" s="15" t="n">
        <v>1.089640450207153</v>
      </c>
      <c r="M5" t="inlineStr">
        <is>
          <t>excellent</t>
        </is>
      </c>
      <c r="N5" s="19" t="n">
        <v>0.9408866995073891</v>
      </c>
      <c r="O5" s="19" t="n">
        <v>0.04097084783680037</v>
      </c>
      <c r="P5" s="15" t="n">
        <v>2.033685936857568</v>
      </c>
      <c r="Q5" s="15" t="n">
        <v>16.9267810319631</v>
      </c>
      <c r="R5" s="15" t="n">
        <v>4.404807378788641</v>
      </c>
      <c r="S5" t="inlineStr">
        <is>
          <t>passed</t>
        </is>
      </c>
      <c r="T5" t="inlineStr">
        <is>
          <t>passed</t>
        </is>
      </c>
      <c r="U5" t="inlineStr">
        <is>
          <t>passed</t>
        </is>
      </c>
      <c r="V5" t="inlineStr">
        <is>
          <t>passed</t>
        </is>
      </c>
    </row>
    <row r="6">
      <c r="A6" t="inlineStr">
        <is>
          <t>G#2</t>
        </is>
      </c>
      <c r="B6" t="n">
        <v>44</v>
      </c>
      <c r="C6" t="inlineStr">
        <is>
          <t>Low</t>
        </is>
      </c>
      <c r="D6" s="15" t="n">
        <v>103.8261743949863</v>
      </c>
      <c r="E6" s="15" t="n">
        <v>103.9748222794643</v>
      </c>
      <c r="F6" t="inlineStr">
        <is>
          <t>prior_constrained_harmonic_fit</t>
        </is>
      </c>
      <c r="G6" t="inlineStr">
        <is>
          <t>prior_constrained_harmonic_fit</t>
        </is>
      </c>
      <c r="H6" t="n">
        <v>1</v>
      </c>
      <c r="I6" t="inlineStr">
        <is>
          <t>fit_accepted_acoustically_verified</t>
        </is>
      </c>
      <c r="J6" t="n">
        <v>0.0008662426399511958</v>
      </c>
      <c r="K6" s="15" t="n">
        <v>0.09006742453981953</v>
      </c>
      <c r="L6" s="15" t="n">
        <v>2.476834345778276</v>
      </c>
      <c r="M6" t="inlineStr">
        <is>
          <t>excellent</t>
        </is>
      </c>
      <c r="N6" s="19" t="n">
        <v>0.9427083333333334</v>
      </c>
      <c r="O6" s="19" t="n">
        <v>0.05107914705115415</v>
      </c>
      <c r="P6" s="15" t="n">
        <v>2.133371331726625</v>
      </c>
      <c r="Q6" s="15" t="n">
        <v>16.56341445802287</v>
      </c>
      <c r="R6" s="15" t="n">
        <v>4.729678551688676</v>
      </c>
      <c r="S6" t="inlineStr">
        <is>
          <t>passed</t>
        </is>
      </c>
      <c r="T6" t="inlineStr">
        <is>
          <t>passed</t>
        </is>
      </c>
      <c r="U6" t="inlineStr">
        <is>
          <t>passed</t>
        </is>
      </c>
      <c r="V6" t="inlineStr">
        <is>
          <t>passed</t>
        </is>
      </c>
    </row>
    <row r="7">
      <c r="A7" t="inlineStr">
        <is>
          <t>A2</t>
        </is>
      </c>
      <c r="B7" t="n">
        <v>45</v>
      </c>
      <c r="C7" t="inlineStr">
        <is>
          <t>Low</t>
        </is>
      </c>
      <c r="D7" s="15" t="n">
        <v>110</v>
      </c>
      <c r="E7" s="15" t="n">
        <v>110.1096751087339</v>
      </c>
      <c r="F7" t="inlineStr">
        <is>
          <t>prior_constrained_harmonic_fit</t>
        </is>
      </c>
      <c r="G7" t="inlineStr">
        <is>
          <t>prior_constrained_harmonic_fit</t>
        </is>
      </c>
      <c r="H7" t="n">
        <v>1</v>
      </c>
      <c r="I7" t="inlineStr">
        <is>
          <t>fit_accepted_acoustically_verified</t>
        </is>
      </c>
      <c r="J7" t="n">
        <v>0.0007552709107604078</v>
      </c>
      <c r="K7" s="15" t="n">
        <v>0.08316263460290607</v>
      </c>
      <c r="L7" s="15" t="n">
        <v>1.725260810959502</v>
      </c>
      <c r="M7" t="inlineStr">
        <is>
          <t>excellent</t>
        </is>
      </c>
      <c r="N7" s="19" t="n">
        <v>0.9392265193370166</v>
      </c>
      <c r="O7" s="19" t="n">
        <v>0.03832714736812715</v>
      </c>
      <c r="P7" s="15" t="n">
        <v>2.03942300576909</v>
      </c>
      <c r="Q7" s="15" t="n">
        <v>17.34767118030683</v>
      </c>
      <c r="R7" s="15" t="n">
        <v>4.613903356606299</v>
      </c>
      <c r="S7" t="inlineStr">
        <is>
          <t>passed</t>
        </is>
      </c>
      <c r="T7" t="inlineStr">
        <is>
          <t>passed</t>
        </is>
      </c>
      <c r="U7" t="inlineStr">
        <is>
          <t>passed</t>
        </is>
      </c>
      <c r="V7" t="inlineStr">
        <is>
          <t>passed</t>
        </is>
      </c>
    </row>
    <row r="8">
      <c r="A8" t="inlineStr">
        <is>
          <t>A#2</t>
        </is>
      </c>
      <c r="B8" t="n">
        <v>46</v>
      </c>
      <c r="C8" t="inlineStr">
        <is>
          <t>Low</t>
        </is>
      </c>
      <c r="D8" s="15" t="n">
        <v>116.5409403795225</v>
      </c>
      <c r="E8" s="15" t="n">
        <v>116.3377034265882</v>
      </c>
      <c r="F8" t="inlineStr">
        <is>
          <t>prior_constrained_harmonic_fit</t>
        </is>
      </c>
      <c r="G8" t="inlineStr">
        <is>
          <t>prior_constrained_harmonic_fit</t>
        </is>
      </c>
      <c r="H8" t="n">
        <v>1</v>
      </c>
      <c r="I8" t="inlineStr">
        <is>
          <t>fit_accepted_acoustically_verified</t>
        </is>
      </c>
      <c r="J8" t="n">
        <v>0.0009540098876052007</v>
      </c>
      <c r="K8" s="15" t="n">
        <v>0.1109873193702466</v>
      </c>
      <c r="L8" s="15" t="n">
        <v>-3.021752587742081</v>
      </c>
      <c r="M8" t="inlineStr">
        <is>
          <t>excellent</t>
        </is>
      </c>
      <c r="N8" s="19" t="n">
        <v>0.935672514619883</v>
      </c>
      <c r="O8" s="19" t="n">
        <v>0.03857573393726366</v>
      </c>
      <c r="P8" s="15" t="n">
        <v>1.67393624279925</v>
      </c>
      <c r="Q8" s="15" t="n">
        <v>17.73193973639781</v>
      </c>
      <c r="R8" s="15" t="n">
        <v>3.299373011669171</v>
      </c>
      <c r="S8" t="inlineStr">
        <is>
          <t>passed</t>
        </is>
      </c>
      <c r="T8" t="inlineStr">
        <is>
          <t>passed</t>
        </is>
      </c>
      <c r="U8" t="inlineStr">
        <is>
          <t>passed</t>
        </is>
      </c>
      <c r="V8" t="inlineStr">
        <is>
          <t>passed</t>
        </is>
      </c>
    </row>
    <row r="9">
      <c r="A9" t="inlineStr">
        <is>
          <t>B2</t>
        </is>
      </c>
      <c r="B9" t="n">
        <v>47</v>
      </c>
      <c r="C9" t="inlineStr">
        <is>
          <t>Low</t>
        </is>
      </c>
      <c r="D9" s="15" t="n">
        <v>123.470825314031</v>
      </c>
      <c r="E9" s="15" t="n">
        <v>123.419330122081</v>
      </c>
      <c r="F9" t="inlineStr">
        <is>
          <t>prior_constrained_harmonic_fit</t>
        </is>
      </c>
      <c r="G9" t="inlineStr">
        <is>
          <t>prior_constrained_harmonic_fit</t>
        </is>
      </c>
      <c r="H9" t="n">
        <v>1</v>
      </c>
      <c r="I9" t="inlineStr">
        <is>
          <t>fit_accepted_acoustically_verified</t>
        </is>
      </c>
      <c r="J9" t="n">
        <v>0.0008565011304873657</v>
      </c>
      <c r="K9" s="15" t="n">
        <v>0.1057087957735557</v>
      </c>
      <c r="L9" s="15" t="n">
        <v>-0.7221853848525996</v>
      </c>
      <c r="M9" t="inlineStr">
        <is>
          <t>excellent</t>
        </is>
      </c>
      <c r="N9" s="19" t="n">
        <v>0.9320987654320988</v>
      </c>
      <c r="O9" s="19" t="n">
        <v>0.03129375152849883</v>
      </c>
      <c r="P9" s="15" t="n">
        <v>2.172671640504352</v>
      </c>
      <c r="Q9" s="15" t="n">
        <v>16.54032571428528</v>
      </c>
      <c r="R9" s="15" t="n">
        <v>4.002359710644616</v>
      </c>
      <c r="S9" t="inlineStr">
        <is>
          <t>passed</t>
        </is>
      </c>
      <c r="T9" t="inlineStr">
        <is>
          <t>passed</t>
        </is>
      </c>
      <c r="U9" t="inlineStr">
        <is>
          <t>passed</t>
        </is>
      </c>
      <c r="V9" t="inlineStr">
        <is>
          <t>passed</t>
        </is>
      </c>
    </row>
    <row r="10">
      <c r="A10" t="inlineStr">
        <is>
          <t>C3</t>
        </is>
      </c>
      <c r="B10" t="n">
        <v>48</v>
      </c>
      <c r="C10" t="inlineStr">
        <is>
          <t>Middle</t>
        </is>
      </c>
      <c r="D10" s="15" t="n">
        <v>130.8127826502993</v>
      </c>
      <c r="E10" s="15" t="n">
        <v>130.6777076146884</v>
      </c>
      <c r="F10" t="inlineStr">
        <is>
          <t>prior_constrained_harmonic_fit</t>
        </is>
      </c>
      <c r="G10" t="inlineStr">
        <is>
          <t>prior_constrained_harmonic_fit</t>
        </is>
      </c>
      <c r="H10" t="n">
        <v>1</v>
      </c>
      <c r="I10" t="inlineStr">
        <is>
          <t>fit_accepted_acoustically_verified</t>
        </is>
      </c>
      <c r="J10" t="n">
        <v>0.001164402281741024</v>
      </c>
      <c r="K10" s="15" t="n">
        <v>0.1521614209192295</v>
      </c>
      <c r="L10" s="15" t="n">
        <v>-1.788566164611887</v>
      </c>
      <c r="M10" t="inlineStr">
        <is>
          <t>excellent</t>
        </is>
      </c>
      <c r="N10" s="19" t="n">
        <v>0.934640522875817</v>
      </c>
      <c r="O10" s="19" t="n">
        <v>0.03507636690084345</v>
      </c>
      <c r="P10" s="15" t="n">
        <v>2.623314386977621</v>
      </c>
      <c r="Q10" s="15" t="n">
        <v>15.99796527196468</v>
      </c>
      <c r="R10" s="15" t="n">
        <v>5.550125255759968</v>
      </c>
      <c r="S10" t="inlineStr">
        <is>
          <t>passed</t>
        </is>
      </c>
      <c r="T10" t="inlineStr">
        <is>
          <t>passed</t>
        </is>
      </c>
      <c r="U10" t="inlineStr">
        <is>
          <t>passed</t>
        </is>
      </c>
      <c r="V10" t="inlineStr">
        <is>
          <t>passed</t>
        </is>
      </c>
    </row>
    <row r="11">
      <c r="A11" t="inlineStr">
        <is>
          <t>C#3</t>
        </is>
      </c>
      <c r="B11" t="n">
        <v>49</v>
      </c>
      <c r="C11" t="inlineStr">
        <is>
          <t>Middle</t>
        </is>
      </c>
      <c r="D11" s="15" t="n">
        <v>138.591315488436</v>
      </c>
      <c r="E11" s="15" t="n">
        <v>138.5789745280078</v>
      </c>
      <c r="F11" t="inlineStr">
        <is>
          <t>prior_constrained_harmonic_fit</t>
        </is>
      </c>
      <c r="G11" t="inlineStr">
        <is>
          <t>prior_constrained_harmonic_fit</t>
        </is>
      </c>
      <c r="H11" t="n">
        <v>1</v>
      </c>
      <c r="I11" t="inlineStr">
        <is>
          <t>fit_accepted_acoustically_verified</t>
        </is>
      </c>
      <c r="J11" t="n">
        <v>0.0008332130199927379</v>
      </c>
      <c r="K11" s="15" t="n">
        <v>0.115465805873978</v>
      </c>
      <c r="L11" s="15" t="n">
        <v>-0.1541658083517366</v>
      </c>
      <c r="M11" t="inlineStr">
        <is>
          <t>excellent</t>
        </is>
      </c>
      <c r="N11" s="19" t="n">
        <v>0.9375</v>
      </c>
      <c r="O11" s="19" t="n">
        <v>0.04412367032048276</v>
      </c>
      <c r="P11" s="15" t="n">
        <v>2.458358477759076</v>
      </c>
      <c r="Q11" s="15" t="n">
        <v>17.23941374676516</v>
      </c>
      <c r="R11" s="15" t="n">
        <v>4.438696142090344</v>
      </c>
      <c r="S11" t="inlineStr">
        <is>
          <t>passed</t>
        </is>
      </c>
      <c r="T11" t="inlineStr">
        <is>
          <t>passed</t>
        </is>
      </c>
      <c r="U11" t="inlineStr">
        <is>
          <t>passed</t>
        </is>
      </c>
      <c r="V11" t="inlineStr">
        <is>
          <t>passed</t>
        </is>
      </c>
    </row>
    <row r="12">
      <c r="A12" t="inlineStr">
        <is>
          <t>D3</t>
        </is>
      </c>
      <c r="B12" t="n">
        <v>50</v>
      </c>
      <c r="C12" t="inlineStr">
        <is>
          <t>Middle</t>
        </is>
      </c>
      <c r="D12" s="15" t="n">
        <v>146.8323839587038</v>
      </c>
      <c r="E12" s="15" t="n">
        <v>146.6000044613016</v>
      </c>
      <c r="F12" t="inlineStr">
        <is>
          <t>prior_constrained_harmonic_fit</t>
        </is>
      </c>
      <c r="G12" t="inlineStr">
        <is>
          <t>prior_constrained_harmonic_fit</t>
        </is>
      </c>
      <c r="H12" t="n">
        <v>1</v>
      </c>
      <c r="I12" t="inlineStr">
        <is>
          <t>fit_accepted_acoustically_verified</t>
        </is>
      </c>
      <c r="J12" t="n">
        <v>0.0003211417347428175</v>
      </c>
      <c r="K12" s="15" t="n">
        <v>0.04707937974600718</v>
      </c>
      <c r="L12" s="15" t="n">
        <v>-2.742051649287836</v>
      </c>
      <c r="M12" t="inlineStr">
        <is>
          <t>excellent</t>
        </is>
      </c>
      <c r="N12" s="19" t="n">
        <v>0.9411764705882353</v>
      </c>
      <c r="O12" s="19" t="n">
        <v>0.03044015487640062</v>
      </c>
      <c r="P12" s="15" t="n">
        <v>2.297483999597431</v>
      </c>
      <c r="Q12" s="15" t="n">
        <v>14.83535958544673</v>
      </c>
      <c r="R12" s="15" t="n">
        <v>4.226739199009274</v>
      </c>
      <c r="S12" t="inlineStr">
        <is>
          <t>passed</t>
        </is>
      </c>
      <c r="T12" t="inlineStr">
        <is>
          <t>passed</t>
        </is>
      </c>
      <c r="U12" t="inlineStr">
        <is>
          <t>passed</t>
        </is>
      </c>
      <c r="V12" t="inlineStr">
        <is>
          <t>passed</t>
        </is>
      </c>
    </row>
    <row r="13">
      <c r="A13" t="inlineStr">
        <is>
          <t>D#3</t>
        </is>
      </c>
      <c r="B13" t="n">
        <v>51</v>
      </c>
      <c r="C13" t="inlineStr">
        <is>
          <t>Middle</t>
        </is>
      </c>
      <c r="D13" s="15" t="n">
        <v>155.5634918610404</v>
      </c>
      <c r="E13" s="15" t="n">
        <v>155.4286522567423</v>
      </c>
      <c r="F13" t="inlineStr">
        <is>
          <t>prior_constrained_harmonic_fit</t>
        </is>
      </c>
      <c r="G13" t="inlineStr">
        <is>
          <t>prior_constrained_harmonic_fit</t>
        </is>
      </c>
      <c r="H13" t="n">
        <v>1</v>
      </c>
      <c r="I13" t="inlineStr">
        <is>
          <t>fit_accepted_acoustically_verified</t>
        </is>
      </c>
      <c r="J13" t="n">
        <v>0.0002830903024312008</v>
      </c>
      <c r="K13" s="15" t="n">
        <v>0.04400034417383513</v>
      </c>
      <c r="L13" s="15" t="n">
        <v>-1.501252897650268</v>
      </c>
      <c r="M13" t="inlineStr">
        <is>
          <t>excellent</t>
        </is>
      </c>
      <c r="N13" s="19" t="n">
        <v>0.9375</v>
      </c>
      <c r="O13" s="19" t="n">
        <v>0.04179908431439296</v>
      </c>
      <c r="P13" s="15" t="n">
        <v>2.033639565674657</v>
      </c>
      <c r="Q13" s="15" t="n">
        <v>16.69754542099792</v>
      </c>
      <c r="R13" s="15" t="n">
        <v>4.744979887030684</v>
      </c>
      <c r="S13" t="inlineStr">
        <is>
          <t>passed</t>
        </is>
      </c>
      <c r="T13" t="inlineStr">
        <is>
          <t>passed</t>
        </is>
      </c>
      <c r="U13" t="inlineStr">
        <is>
          <t>passed</t>
        </is>
      </c>
      <c r="V13" t="inlineStr">
        <is>
          <t>passed</t>
        </is>
      </c>
    </row>
    <row r="14">
      <c r="A14" t="inlineStr">
        <is>
          <t>E3</t>
        </is>
      </c>
      <c r="B14" t="n">
        <v>52</v>
      </c>
      <c r="C14" t="inlineStr">
        <is>
          <t>Middle</t>
        </is>
      </c>
      <c r="D14" s="15" t="n">
        <v>164.813778456435</v>
      </c>
      <c r="E14" s="15" t="n">
        <v>165.0367448081035</v>
      </c>
      <c r="F14" t="inlineStr">
        <is>
          <t>prior_constrained_harmonic_fit</t>
        </is>
      </c>
      <c r="G14" t="inlineStr">
        <is>
          <t>prior_constrained_harmonic_fit</t>
        </is>
      </c>
      <c r="H14" t="n">
        <v>1</v>
      </c>
      <c r="I14" t="inlineStr">
        <is>
          <t>fit_accepted_acoustically_verified</t>
        </is>
      </c>
      <c r="J14" t="n">
        <v>0.0003311976712696965</v>
      </c>
      <c r="K14" s="15" t="n">
        <v>0.05465978555437506</v>
      </c>
      <c r="L14" s="15" t="n">
        <v>2.340496505971323</v>
      </c>
      <c r="M14" t="inlineStr">
        <is>
          <t>excellent</t>
        </is>
      </c>
      <c r="N14" s="19" t="n">
        <v>0.9338842975206612</v>
      </c>
      <c r="O14" s="19" t="n">
        <v>0.05085051250263291</v>
      </c>
      <c r="P14" s="15" t="n">
        <v>2.092728176669793</v>
      </c>
      <c r="Q14" s="15" t="n">
        <v>9.919841417318503</v>
      </c>
      <c r="R14" s="15" t="n">
        <v>3.063355741531771</v>
      </c>
      <c r="S14" t="inlineStr">
        <is>
          <t>passed</t>
        </is>
      </c>
      <c r="T14" t="inlineStr">
        <is>
          <t>passed</t>
        </is>
      </c>
      <c r="U14" t="inlineStr">
        <is>
          <t>passed</t>
        </is>
      </c>
      <c r="V14" t="inlineStr">
        <is>
          <t>passed</t>
        </is>
      </c>
    </row>
    <row r="15">
      <c r="A15" t="inlineStr">
        <is>
          <t>F3</t>
        </is>
      </c>
      <c r="B15" t="n">
        <v>53</v>
      </c>
      <c r="C15" t="inlineStr">
        <is>
          <t>Middle</t>
        </is>
      </c>
      <c r="D15" s="15" t="n">
        <v>174.6141157165019</v>
      </c>
      <c r="E15" s="15" t="n">
        <v>174.6330422195815</v>
      </c>
      <c r="F15" t="inlineStr">
        <is>
          <t>prior_constrained_harmonic_fit</t>
        </is>
      </c>
      <c r="G15" t="inlineStr">
        <is>
          <t>prior_constrained_harmonic_fit</t>
        </is>
      </c>
      <c r="H15" t="n">
        <v>1</v>
      </c>
      <c r="I15" t="inlineStr">
        <is>
          <t>fit_accepted_acoustically_verified</t>
        </is>
      </c>
      <c r="J15" t="n">
        <v>0.0001188772720891742</v>
      </c>
      <c r="K15" s="15" t="n">
        <v>0.02075989967569743</v>
      </c>
      <c r="L15" s="15" t="n">
        <v>0.1876390736397508</v>
      </c>
      <c r="M15" t="inlineStr">
        <is>
          <t>excellent</t>
        </is>
      </c>
      <c r="N15" s="19" t="n">
        <v>0.9385964912280702</v>
      </c>
      <c r="O15" s="19" t="n">
        <v>0.04725165317446178</v>
      </c>
      <c r="P15" s="15" t="n">
        <v>2.046130275192398</v>
      </c>
      <c r="Q15" s="15" t="n">
        <v>16.88059387188284</v>
      </c>
      <c r="R15" s="15" t="n">
        <v>3.877236933028082</v>
      </c>
      <c r="S15" t="inlineStr">
        <is>
          <t>passed</t>
        </is>
      </c>
      <c r="T15" t="inlineStr">
        <is>
          <t>passed</t>
        </is>
      </c>
      <c r="U15" t="inlineStr">
        <is>
          <t>passed</t>
        </is>
      </c>
      <c r="V15" t="inlineStr">
        <is>
          <t>passed</t>
        </is>
      </c>
    </row>
    <row r="16">
      <c r="A16" t="inlineStr">
        <is>
          <t>F#3</t>
        </is>
      </c>
      <c r="B16" t="n">
        <v>54</v>
      </c>
      <c r="C16" t="inlineStr">
        <is>
          <t>Middle</t>
        </is>
      </c>
      <c r="D16" s="15" t="n">
        <v>184.9972113558172</v>
      </c>
      <c r="E16" s="15" t="n">
        <v>185.2126705744269</v>
      </c>
      <c r="F16" t="inlineStr">
        <is>
          <t>prior_constrained_harmonic_fit</t>
        </is>
      </c>
      <c r="G16" t="inlineStr">
        <is>
          <t>prior_constrained_harmonic_fit</t>
        </is>
      </c>
      <c r="H16" t="n">
        <v>1</v>
      </c>
      <c r="I16" t="inlineStr">
        <is>
          <t>fit_accepted_acoustically_verified</t>
        </is>
      </c>
      <c r="J16" t="n">
        <v>0.0003231036288697841</v>
      </c>
      <c r="K16" s="15" t="n">
        <v>0.05984288597526122</v>
      </c>
      <c r="L16" s="15" t="n">
        <v>2.015129232166093</v>
      </c>
      <c r="M16" t="inlineStr">
        <is>
          <t>excellent</t>
        </is>
      </c>
      <c r="N16" s="19" t="n">
        <v>0.9345794392523364</v>
      </c>
      <c r="O16" s="19" t="n">
        <v>0.04195170738298219</v>
      </c>
      <c r="P16" s="15" t="n">
        <v>3.099354360272842</v>
      </c>
      <c r="Q16" s="15" t="n">
        <v>14.15521042189879</v>
      </c>
      <c r="R16" s="15" t="n">
        <v>4.286859696943183</v>
      </c>
      <c r="S16" t="inlineStr">
        <is>
          <t>passed</t>
        </is>
      </c>
      <c r="T16" t="inlineStr">
        <is>
          <t>passed</t>
        </is>
      </c>
      <c r="U16" t="inlineStr">
        <is>
          <t>passed</t>
        </is>
      </c>
      <c r="V16" t="inlineStr">
        <is>
          <t>passed</t>
        </is>
      </c>
    </row>
    <row r="17">
      <c r="A17" t="inlineStr">
        <is>
          <t>G3</t>
        </is>
      </c>
      <c r="B17" t="n">
        <v>55</v>
      </c>
      <c r="C17" t="inlineStr">
        <is>
          <t>Middle</t>
        </is>
      </c>
      <c r="D17" s="15" t="n">
        <v>195.9977179908747</v>
      </c>
      <c r="E17" s="15" t="n">
        <v>195.8123104750567</v>
      </c>
      <c r="F17" t="inlineStr">
        <is>
          <t>prior_constrained_harmonic_fit</t>
        </is>
      </c>
      <c r="G17" t="inlineStr">
        <is>
          <t>prior_constrained_harmonic_fit</t>
        </is>
      </c>
      <c r="H17" t="n">
        <v>1</v>
      </c>
      <c r="I17" t="inlineStr">
        <is>
          <t>fit_accepted_acoustically_verified</t>
        </is>
      </c>
      <c r="J17" t="n">
        <v>0.0001305831666200413</v>
      </c>
      <c r="K17" s="15" t="n">
        <v>0.02556788550376379</v>
      </c>
      <c r="L17" s="15" t="n">
        <v>-1.638466629108513</v>
      </c>
      <c r="M17" t="inlineStr">
        <is>
          <t>excellent</t>
        </is>
      </c>
      <c r="N17" s="19" t="n">
        <v>0.9411764705882353</v>
      </c>
      <c r="O17" s="19" t="n">
        <v>0.04502648924421707</v>
      </c>
      <c r="P17" s="15" t="n">
        <v>2.224570532150342</v>
      </c>
      <c r="Q17" s="15" t="n">
        <v>12.74816505755124</v>
      </c>
      <c r="R17" s="15" t="n">
        <v>3.298810984622548</v>
      </c>
      <c r="S17" t="inlineStr">
        <is>
          <t>passed</t>
        </is>
      </c>
      <c r="T17" t="inlineStr">
        <is>
          <t>passed</t>
        </is>
      </c>
      <c r="U17" t="inlineStr">
        <is>
          <t>passed</t>
        </is>
      </c>
      <c r="V17" t="inlineStr">
        <is>
          <t>passed</t>
        </is>
      </c>
    </row>
    <row r="18">
      <c r="A18" t="inlineStr">
        <is>
          <t>G#3</t>
        </is>
      </c>
      <c r="B18" t="n">
        <v>56</v>
      </c>
      <c r="C18" t="inlineStr">
        <is>
          <t>Middle</t>
        </is>
      </c>
      <c r="D18" s="15" t="n">
        <v>207.6523487899725</v>
      </c>
      <c r="E18" s="15" t="n">
        <v>207.4353714857505</v>
      </c>
      <c r="F18" t="inlineStr">
        <is>
          <t>prior_constrained_harmonic_fit</t>
        </is>
      </c>
      <c r="G18" t="inlineStr">
        <is>
          <t>prior_constrained_harmonic_fit</t>
        </is>
      </c>
      <c r="H18" t="n">
        <v>1</v>
      </c>
      <c r="I18" t="inlineStr">
        <is>
          <t>fit_accepted_acoustically_verified</t>
        </is>
      </c>
      <c r="J18" t="n">
        <v>0.001450025934330835</v>
      </c>
      <c r="K18" s="15" t="n">
        <v>0.3007866683518892</v>
      </c>
      <c r="L18" s="15" t="n">
        <v>-1.809923603174399</v>
      </c>
      <c r="M18" t="inlineStr">
        <is>
          <t>excellent</t>
        </is>
      </c>
      <c r="N18" s="19" t="n">
        <v>0.9375</v>
      </c>
      <c r="O18" s="19" t="n">
        <v>0.098641295008892</v>
      </c>
      <c r="P18" s="15" t="n">
        <v>2.572647576891029</v>
      </c>
      <c r="Q18" s="15" t="n">
        <v>14.49701280355961</v>
      </c>
      <c r="R18" s="15" t="n">
        <v>3.810092082616056</v>
      </c>
      <c r="S18" t="inlineStr">
        <is>
          <t>passed</t>
        </is>
      </c>
      <c r="T18" t="inlineStr">
        <is>
          <t>passed</t>
        </is>
      </c>
      <c r="U18" t="inlineStr">
        <is>
          <t>passed</t>
        </is>
      </c>
      <c r="V18" t="inlineStr">
        <is>
          <t>passed</t>
        </is>
      </c>
    </row>
    <row r="19">
      <c r="A19" t="inlineStr">
        <is>
          <t>A3</t>
        </is>
      </c>
      <c r="B19" t="n">
        <v>57</v>
      </c>
      <c r="C19" t="inlineStr">
        <is>
          <t>Middle</t>
        </is>
      </c>
      <c r="D19" s="15" t="n">
        <v>220</v>
      </c>
      <c r="E19" s="15" t="n">
        <v>219.7248507174623</v>
      </c>
      <c r="F19" t="inlineStr">
        <is>
          <t>prior_constrained_harmonic_fit</t>
        </is>
      </c>
      <c r="G19" t="inlineStr">
        <is>
          <t>prior_constrained_harmonic_fit</t>
        </is>
      </c>
      <c r="H19" t="n">
        <v>1</v>
      </c>
      <c r="I19" t="inlineStr">
        <is>
          <t>fit_accepted_acoustically_verified</t>
        </is>
      </c>
      <c r="J19" t="n">
        <v>0.0002543092300114565</v>
      </c>
      <c r="K19" s="15" t="n">
        <v>0.05587805760034008</v>
      </c>
      <c r="L19" s="15" t="n">
        <v>-2.166572427725289</v>
      </c>
      <c r="M19" t="inlineStr">
        <is>
          <t>excellent</t>
        </is>
      </c>
      <c r="N19" s="19" t="n">
        <v>0.9340659340659341</v>
      </c>
      <c r="O19" s="19" t="n">
        <v>0.06329839331350533</v>
      </c>
      <c r="P19" s="15" t="n">
        <v>2.431083553979299</v>
      </c>
      <c r="Q19" s="15" t="n">
        <v>11.0826586130911</v>
      </c>
      <c r="R19" s="15" t="n">
        <v>2.996056671761743</v>
      </c>
      <c r="S19" t="inlineStr">
        <is>
          <t>passed</t>
        </is>
      </c>
      <c r="T19" t="inlineStr">
        <is>
          <t>passed</t>
        </is>
      </c>
      <c r="U19" t="inlineStr">
        <is>
          <t>passed</t>
        </is>
      </c>
      <c r="V19" t="inlineStr">
        <is>
          <t>passed</t>
        </is>
      </c>
    </row>
    <row r="20">
      <c r="A20" t="inlineStr">
        <is>
          <t>A#3</t>
        </is>
      </c>
      <c r="B20" t="n">
        <v>58</v>
      </c>
      <c r="C20" t="inlineStr">
        <is>
          <t>Middle</t>
        </is>
      </c>
      <c r="D20" s="15" t="n">
        <v>233.081880759045</v>
      </c>
      <c r="E20" s="15" t="n">
        <v>233.4665702364799</v>
      </c>
      <c r="F20" t="inlineStr">
        <is>
          <t>prior_constrained_harmonic_fit</t>
        </is>
      </c>
      <c r="G20" t="inlineStr">
        <is>
          <t>prior_constrained_harmonic_fit</t>
        </is>
      </c>
      <c r="H20" t="n">
        <v>1</v>
      </c>
      <c r="I20" t="inlineStr">
        <is>
          <t>fit_accepted_acoustically_verified</t>
        </is>
      </c>
      <c r="J20" t="n">
        <v>0.00049661436507509</v>
      </c>
      <c r="K20" s="15" t="n">
        <v>0.1159428525442484</v>
      </c>
      <c r="L20" s="15" t="n">
        <v>2.854956097960643</v>
      </c>
      <c r="M20" t="inlineStr">
        <is>
          <t>excellent</t>
        </is>
      </c>
      <c r="N20" s="19" t="n">
        <v>0.9176470588235294</v>
      </c>
      <c r="O20" s="19" t="n">
        <v>0.0496664605286982</v>
      </c>
      <c r="P20" s="15" t="n">
        <v>2.712272627133436</v>
      </c>
      <c r="Q20" s="15" t="n">
        <v>13.96842514775785</v>
      </c>
      <c r="R20" s="15" t="n">
        <v>3.697570504536944</v>
      </c>
      <c r="S20" t="inlineStr">
        <is>
          <t>passed</t>
        </is>
      </c>
      <c r="T20" t="inlineStr">
        <is>
          <t>passed</t>
        </is>
      </c>
      <c r="U20" t="inlineStr">
        <is>
          <t>passed</t>
        </is>
      </c>
      <c r="V20" t="inlineStr">
        <is>
          <t>passed</t>
        </is>
      </c>
    </row>
    <row r="21">
      <c r="A21" t="inlineStr">
        <is>
          <t>B3</t>
        </is>
      </c>
      <c r="B21" t="n">
        <v>59</v>
      </c>
      <c r="C21" t="inlineStr">
        <is>
          <t>Middle</t>
        </is>
      </c>
      <c r="D21" s="15" t="n">
        <v>246.941650628062</v>
      </c>
      <c r="E21" s="15" t="n">
        <v>246.6857847256978</v>
      </c>
      <c r="F21" t="inlineStr">
        <is>
          <t>prior_constrained_harmonic_fit</t>
        </is>
      </c>
      <c r="G21" t="inlineStr">
        <is>
          <t>prior_constrained_harmonic_fit</t>
        </is>
      </c>
      <c r="H21" t="n">
        <v>1</v>
      </c>
      <c r="I21" t="inlineStr">
        <is>
          <t>fit_accepted_acoustically_verified</t>
        </is>
      </c>
      <c r="J21" t="n">
        <v>0.0007386243882426355</v>
      </c>
      <c r="K21" s="15" t="n">
        <v>0.182208136831173</v>
      </c>
      <c r="L21" s="15" t="n">
        <v>-1.794729263869803</v>
      </c>
      <c r="M21" t="inlineStr">
        <is>
          <t>excellent</t>
        </is>
      </c>
      <c r="N21" s="19" t="n">
        <v>0.9259259259259259</v>
      </c>
      <c r="O21" s="19" t="n">
        <v>0.07020364025360726</v>
      </c>
      <c r="P21" s="15" t="n">
        <v>2.531621533191793</v>
      </c>
      <c r="Q21" s="15" t="n">
        <v>11.99483459655793</v>
      </c>
      <c r="R21" s="15" t="n">
        <v>3.158445714168117</v>
      </c>
      <c r="S21" t="inlineStr">
        <is>
          <t>passed</t>
        </is>
      </c>
      <c r="T21" t="inlineStr">
        <is>
          <t>passed</t>
        </is>
      </c>
      <c r="U21" t="inlineStr">
        <is>
          <t>passed</t>
        </is>
      </c>
      <c r="V21" t="inlineStr">
        <is>
          <t>passed</t>
        </is>
      </c>
    </row>
    <row r="22">
      <c r="A22" t="inlineStr">
        <is>
          <t>C4</t>
        </is>
      </c>
      <c r="B22" t="n">
        <v>60</v>
      </c>
      <c r="C22" t="inlineStr">
        <is>
          <t>High</t>
        </is>
      </c>
      <c r="D22" s="15" t="n">
        <v>261.6255653005986</v>
      </c>
      <c r="E22" s="15" t="n">
        <v>261.3103015177074</v>
      </c>
      <c r="F22" t="inlineStr">
        <is>
          <t>prior_constrained_harmonic_fit</t>
        </is>
      </c>
      <c r="G22" t="inlineStr">
        <is>
          <t>prior_constrained_harmonic_fit</t>
        </is>
      </c>
      <c r="H22" t="n">
        <v>1</v>
      </c>
      <c r="I22" t="inlineStr">
        <is>
          <t>fit_accepted_acoustically_verified</t>
        </is>
      </c>
      <c r="J22" t="n">
        <v>0.0002877020929537809</v>
      </c>
      <c r="K22" s="15" t="n">
        <v>0.07517952065702797</v>
      </c>
      <c r="L22" s="15" t="n">
        <v>-2.087427908985471</v>
      </c>
      <c r="M22" t="inlineStr">
        <is>
          <t>excellent</t>
        </is>
      </c>
      <c r="N22" s="19" t="n">
        <v>0.9342105263157895</v>
      </c>
      <c r="O22" s="19" t="n">
        <v>0.1096835585403108</v>
      </c>
      <c r="P22" s="15" t="n">
        <v>2.980453073737004</v>
      </c>
      <c r="Q22" s="15" t="n">
        <v>16.29682701633829</v>
      </c>
      <c r="R22" s="15" t="n">
        <v>4.868066477891276</v>
      </c>
      <c r="S22" t="inlineStr">
        <is>
          <t>passed</t>
        </is>
      </c>
      <c r="T22" t="inlineStr">
        <is>
          <t>passed</t>
        </is>
      </c>
      <c r="U22" t="inlineStr">
        <is>
          <t>passed</t>
        </is>
      </c>
      <c r="V22" t="inlineStr">
        <is>
          <t>passed</t>
        </is>
      </c>
    </row>
    <row r="23">
      <c r="A23" t="inlineStr">
        <is>
          <t>C#4</t>
        </is>
      </c>
      <c r="B23" t="n">
        <v>61</v>
      </c>
      <c r="C23" t="inlineStr">
        <is>
          <t>High</t>
        </is>
      </c>
      <c r="D23" s="15" t="n">
        <v>277.182630976872</v>
      </c>
      <c r="E23" s="15" t="n">
        <v>276.7191881480906</v>
      </c>
      <c r="F23" t="inlineStr">
        <is>
          <t>prior_constrained_harmonic_fit</t>
        </is>
      </c>
      <c r="G23" t="inlineStr">
        <is>
          <t>prior_constrained_harmonic_fit</t>
        </is>
      </c>
      <c r="H23" t="n">
        <v>1</v>
      </c>
      <c r="I23" t="inlineStr">
        <is>
          <t>fit_accepted_acoustically_verified</t>
        </is>
      </c>
      <c r="J23" t="n">
        <v>0.0002653552757689172</v>
      </c>
      <c r="K23" s="15" t="n">
        <v>0.07342889648158744</v>
      </c>
      <c r="L23" s="15" t="n">
        <v>-2.897005081052564</v>
      </c>
      <c r="M23" t="inlineStr">
        <is>
          <t>excellent</t>
        </is>
      </c>
      <c r="N23" s="19" t="n">
        <v>0.9305555555555556</v>
      </c>
      <c r="O23" s="19" t="n">
        <v>0.1164773639778523</v>
      </c>
      <c r="P23" s="15" t="n">
        <v>3.793905550807497</v>
      </c>
      <c r="Q23" s="15" t="n">
        <v>15.21957037593174</v>
      </c>
      <c r="R23" s="15" t="n">
        <v>5.409746417038467</v>
      </c>
      <c r="S23" t="inlineStr">
        <is>
          <t>passed</t>
        </is>
      </c>
      <c r="T23" t="inlineStr">
        <is>
          <t>passed</t>
        </is>
      </c>
      <c r="U23" t="inlineStr">
        <is>
          <t>passed</t>
        </is>
      </c>
      <c r="V23" t="inlineStr">
        <is>
          <t>passed</t>
        </is>
      </c>
    </row>
    <row r="24">
      <c r="A24" t="inlineStr">
        <is>
          <t>D4</t>
        </is>
      </c>
      <c r="B24" t="n">
        <v>62</v>
      </c>
      <c r="C24" t="inlineStr">
        <is>
          <t>High</t>
        </is>
      </c>
      <c r="D24" s="15" t="n">
        <v>293.6647679174076</v>
      </c>
      <c r="E24" s="15" t="n">
        <v>293.899956856537</v>
      </c>
      <c r="F24" t="inlineStr">
        <is>
          <t>prior_constrained_harmonic_fit</t>
        </is>
      </c>
      <c r="G24" t="inlineStr">
        <is>
          <t>prior_constrained_harmonic_fit</t>
        </is>
      </c>
      <c r="H24" t="n">
        <v>1</v>
      </c>
      <c r="I24" t="inlineStr">
        <is>
          <t>fit_accepted_acoustically_verified</t>
        </is>
      </c>
      <c r="J24" t="n">
        <v>0.0002390959291701278</v>
      </c>
      <c r="K24" s="15" t="n">
        <v>0.07027028326767419</v>
      </c>
      <c r="L24" s="15" t="n">
        <v>1.385948148221613</v>
      </c>
      <c r="M24" t="inlineStr">
        <is>
          <t>excellent</t>
        </is>
      </c>
      <c r="N24" s="19" t="n">
        <v>0.9264705882352942</v>
      </c>
      <c r="O24" s="19" t="n">
        <v>0.1042088332451518</v>
      </c>
      <c r="P24" s="15" t="n">
        <v>3.715366151441353</v>
      </c>
      <c r="Q24" s="15" t="n">
        <v>12.80329425047221</v>
      </c>
      <c r="R24" s="15" t="n">
        <v>5.067268021436655</v>
      </c>
      <c r="S24" t="inlineStr">
        <is>
          <t>passed</t>
        </is>
      </c>
      <c r="T24" t="inlineStr">
        <is>
          <t>passed</t>
        </is>
      </c>
      <c r="U24" t="inlineStr">
        <is>
          <t>passed</t>
        </is>
      </c>
      <c r="V24" t="inlineStr">
        <is>
          <t>passed</t>
        </is>
      </c>
    </row>
    <row r="25">
      <c r="A25" t="inlineStr">
        <is>
          <t>D#4</t>
        </is>
      </c>
      <c r="B25" t="n">
        <v>63</v>
      </c>
      <c r="C25" t="inlineStr">
        <is>
          <t>High</t>
        </is>
      </c>
      <c r="D25" s="15" t="n">
        <v>311.1269837220809</v>
      </c>
      <c r="E25" s="15" t="n">
        <v>311.4886326945447</v>
      </c>
      <c r="F25" t="inlineStr">
        <is>
          <t>prior_constrained_harmonic_fit</t>
        </is>
      </c>
      <c r="G25" t="inlineStr">
        <is>
          <t>prior_constrained_harmonic_fit</t>
        </is>
      </c>
      <c r="H25" t="n">
        <v>1</v>
      </c>
      <c r="I25" t="inlineStr">
        <is>
          <t>fit_accepted_acoustically_verified</t>
        </is>
      </c>
      <c r="J25" t="n">
        <v>0.0002057376822135512</v>
      </c>
      <c r="K25" s="15" t="n">
        <v>0.06408494932644382</v>
      </c>
      <c r="L25" s="15" t="n">
        <v>2.011189789798246</v>
      </c>
      <c r="M25" t="inlineStr">
        <is>
          <t>excellent</t>
        </is>
      </c>
      <c r="N25" s="19" t="n">
        <v>0.921875</v>
      </c>
      <c r="O25" s="19" t="n">
        <v>0.05664864936230664</v>
      </c>
      <c r="P25" s="15" t="n">
        <v>3.755562781349243</v>
      </c>
      <c r="Q25" s="15" t="n">
        <v>16.37087591294637</v>
      </c>
      <c r="R25" s="15" t="n">
        <v>5.876938049241113</v>
      </c>
      <c r="S25" t="inlineStr">
        <is>
          <t>passed</t>
        </is>
      </c>
      <c r="T25" t="inlineStr">
        <is>
          <t>passed</t>
        </is>
      </c>
      <c r="U25" t="inlineStr">
        <is>
          <t>passed</t>
        </is>
      </c>
      <c r="V25" t="inlineStr">
        <is>
          <t>passed</t>
        </is>
      </c>
    </row>
    <row r="26">
      <c r="A26" t="inlineStr">
        <is>
          <t>E4</t>
        </is>
      </c>
      <c r="B26" t="n">
        <v>64</v>
      </c>
      <c r="C26" t="inlineStr">
        <is>
          <t>High</t>
        </is>
      </c>
      <c r="D26" s="15" t="n">
        <v>329.6275569128699</v>
      </c>
      <c r="E26" s="15" t="n">
        <v>329.743428106592</v>
      </c>
      <c r="F26" t="inlineStr">
        <is>
          <t>prior_constrained_harmonic_fit</t>
        </is>
      </c>
      <c r="G26" t="inlineStr">
        <is>
          <t>prior_constrained_harmonic_fit</t>
        </is>
      </c>
      <c r="H26" t="n">
        <v>1</v>
      </c>
      <c r="I26" t="inlineStr">
        <is>
          <t>fit_accepted_acoustically_verified</t>
        </is>
      </c>
      <c r="J26" t="n">
        <v>0.0003205692226579697</v>
      </c>
      <c r="K26" s="15" t="n">
        <v>0.1057055944247043</v>
      </c>
      <c r="L26" s="15" t="n">
        <v>0.608459160321428</v>
      </c>
      <c r="M26" t="inlineStr">
        <is>
          <t>excellent</t>
        </is>
      </c>
      <c r="N26" s="19" t="n">
        <v>0.9333333333333333</v>
      </c>
      <c r="O26" s="19" t="n">
        <v>0.04261429142855214</v>
      </c>
      <c r="P26" s="15" t="n">
        <v>4.252245651867662</v>
      </c>
      <c r="Q26" s="15" t="n">
        <v>15.74117991971455</v>
      </c>
      <c r="R26" s="15" t="n">
        <v>6.033350781180809</v>
      </c>
      <c r="S26" t="inlineStr">
        <is>
          <t>passed</t>
        </is>
      </c>
      <c r="T26" t="inlineStr">
        <is>
          <t>passed</t>
        </is>
      </c>
      <c r="U26" t="inlineStr">
        <is>
          <t>passed</t>
        </is>
      </c>
      <c r="V26" t="inlineStr">
        <is>
          <t>passed</t>
        </is>
      </c>
    </row>
    <row r="27">
      <c r="A27" t="inlineStr">
        <is>
          <t>F4</t>
        </is>
      </c>
      <c r="B27" t="n">
        <v>65</v>
      </c>
      <c r="C27" t="inlineStr">
        <is>
          <t>High</t>
        </is>
      </c>
      <c r="D27" s="15" t="n">
        <v>349.2282314330039</v>
      </c>
      <c r="E27" s="15" t="n">
        <v>349.8026842042775</v>
      </c>
      <c r="F27" t="inlineStr">
        <is>
          <t>prior_constrained_harmonic_fit</t>
        </is>
      </c>
      <c r="G27" t="inlineStr">
        <is>
          <t>prior_constrained_harmonic_fit</t>
        </is>
      </c>
      <c r="H27" t="n">
        <v>1</v>
      </c>
      <c r="I27" t="inlineStr">
        <is>
          <t>fit_accepted_acoustically_verified</t>
        </is>
      </c>
      <c r="J27" t="n">
        <v>0.0002305123717223337</v>
      </c>
      <c r="K27" s="15" t="n">
        <v>0.0806338463707665</v>
      </c>
      <c r="L27" s="15" t="n">
        <v>2.845403254239196</v>
      </c>
      <c r="M27" t="inlineStr">
        <is>
          <t>excellent</t>
        </is>
      </c>
      <c r="N27" s="19" t="n">
        <v>0.9298245614035088</v>
      </c>
      <c r="O27" s="19" t="n">
        <v>0.1506951459992018</v>
      </c>
      <c r="P27" s="15" t="n">
        <v>3.48666934475043</v>
      </c>
      <c r="Q27" s="15" t="n">
        <v>16.84592508512948</v>
      </c>
      <c r="R27" s="15" t="n">
        <v>5.636934729584166</v>
      </c>
      <c r="S27" t="inlineStr">
        <is>
          <t>passed</t>
        </is>
      </c>
      <c r="T27" t="inlineStr">
        <is>
          <t>passed</t>
        </is>
      </c>
      <c r="U27" t="inlineStr">
        <is>
          <t>passed</t>
        </is>
      </c>
      <c r="V27" t="inlineStr">
        <is>
          <t>passed</t>
        </is>
      </c>
    </row>
    <row r="28">
      <c r="A28" t="inlineStr">
        <is>
          <t>F#4</t>
        </is>
      </c>
      <c r="B28" t="n">
        <v>66</v>
      </c>
      <c r="C28" t="inlineStr">
        <is>
          <t>High</t>
        </is>
      </c>
      <c r="D28" s="15" t="n">
        <v>369.9944227116344</v>
      </c>
      <c r="E28" s="15" t="n">
        <v>369.9823482967305</v>
      </c>
      <c r="F28" t="inlineStr">
        <is>
          <t>prior_constrained_harmonic_fit</t>
        </is>
      </c>
      <c r="G28" t="inlineStr">
        <is>
          <t>prior_constrained_harmonic_fit</t>
        </is>
      </c>
      <c r="H28" t="n">
        <v>1</v>
      </c>
      <c r="I28" t="inlineStr">
        <is>
          <t>fit_accepted_acoustically_verified</t>
        </is>
      </c>
      <c r="J28" t="n">
        <v>0.0002848716758852154</v>
      </c>
      <c r="K28" s="15" t="n">
        <v>0.1053974916072371</v>
      </c>
      <c r="L28" s="15" t="n">
        <v>-0.05649809298066008</v>
      </c>
      <c r="M28" t="inlineStr">
        <is>
          <t>excellent</t>
        </is>
      </c>
      <c r="N28" s="19" t="n">
        <v>0.9259259259259259</v>
      </c>
      <c r="O28" s="19" t="n">
        <v>0.132572792741714</v>
      </c>
      <c r="P28" s="15" t="n">
        <v>2.289033378581648</v>
      </c>
      <c r="Q28" s="15" t="n">
        <v>13.34611477374443</v>
      </c>
      <c r="R28" s="15" t="n">
        <v>3.187249334333975</v>
      </c>
      <c r="S28" t="inlineStr">
        <is>
          <t>passed</t>
        </is>
      </c>
      <c r="T28" t="inlineStr">
        <is>
          <t>passed</t>
        </is>
      </c>
      <c r="U28" t="inlineStr">
        <is>
          <t>passed</t>
        </is>
      </c>
      <c r="V28" t="inlineStr">
        <is>
          <t>passed</t>
        </is>
      </c>
    </row>
    <row r="29">
      <c r="A29" t="inlineStr">
        <is>
          <t>G4</t>
        </is>
      </c>
      <c r="B29" t="n">
        <v>67</v>
      </c>
      <c r="C29" t="inlineStr">
        <is>
          <t>High</t>
        </is>
      </c>
      <c r="D29" s="15" t="n">
        <v>391.9954359817492</v>
      </c>
      <c r="E29" s="15" t="n">
        <v>391.2839173079032</v>
      </c>
      <c r="F29" t="inlineStr">
        <is>
          <t>prior_constrained_harmonic_fit</t>
        </is>
      </c>
      <c r="G29" t="inlineStr">
        <is>
          <t>prior_constrained_harmonic_fit</t>
        </is>
      </c>
      <c r="H29" t="n">
        <v>1</v>
      </c>
      <c r="I29" t="inlineStr">
        <is>
          <t>fit_accepted_acoustically_verified</t>
        </is>
      </c>
      <c r="J29" t="n">
        <v>0.0005823853734221436</v>
      </c>
      <c r="K29" s="15" t="n">
        <v>0.2278780302954423</v>
      </c>
      <c r="L29" s="15" t="n">
        <v>-3.145252554784877</v>
      </c>
      <c r="M29" t="inlineStr">
        <is>
          <t>excellent</t>
        </is>
      </c>
      <c r="N29" s="19" t="n">
        <v>0.9215686274509803</v>
      </c>
      <c r="O29" s="19" t="n">
        <v>0.1245122492635189</v>
      </c>
      <c r="P29" s="15" t="n">
        <v>2.943450297740715</v>
      </c>
      <c r="Q29" s="15" t="n">
        <v>11.58484287634152</v>
      </c>
      <c r="R29" s="15" t="n">
        <v>3.632052626423568</v>
      </c>
      <c r="S29" t="inlineStr">
        <is>
          <t>passed</t>
        </is>
      </c>
      <c r="T29" t="inlineStr">
        <is>
          <t>passed</t>
        </is>
      </c>
      <c r="U29" t="inlineStr">
        <is>
          <t>passed</t>
        </is>
      </c>
      <c r="V29" t="inlineStr">
        <is>
          <t>passed</t>
        </is>
      </c>
    </row>
    <row r="30">
      <c r="A30" t="inlineStr">
        <is>
          <t>G#4</t>
        </is>
      </c>
      <c r="B30" t="n">
        <v>68</v>
      </c>
      <c r="C30" t="inlineStr">
        <is>
          <t>High</t>
        </is>
      </c>
      <c r="D30" s="15" t="n">
        <v>415.3046975799452</v>
      </c>
      <c r="E30" s="15" t="n">
        <v>415.2317141664756</v>
      </c>
      <c r="F30" t="inlineStr">
        <is>
          <t>prior_constrained_harmonic_fit</t>
        </is>
      </c>
      <c r="G30" t="inlineStr">
        <is>
          <t>prior_constrained_harmonic_fit</t>
        </is>
      </c>
      <c r="H30" t="n">
        <v>1</v>
      </c>
      <c r="I30" t="inlineStr">
        <is>
          <t>fit_accepted_acoustically_verified</t>
        </is>
      </c>
      <c r="J30" t="n">
        <v>9.867802584674024e-06</v>
      </c>
      <c r="K30" s="15" t="n">
        <v>0.004097424582290573</v>
      </c>
      <c r="L30" s="15" t="n">
        <v>-0.3042644944975292</v>
      </c>
      <c r="M30" t="inlineStr">
        <is>
          <t>excellent</t>
        </is>
      </c>
      <c r="N30" s="19" t="n">
        <v>0.9166666666666666</v>
      </c>
      <c r="O30" s="19" t="n">
        <v>0.03961978852085519</v>
      </c>
      <c r="P30" s="15" t="n">
        <v>2.883643662972007</v>
      </c>
      <c r="Q30" s="15" t="n">
        <v>11.25796320480601</v>
      </c>
      <c r="R30" s="15" t="n">
        <v>4.213047037824026</v>
      </c>
      <c r="S30" t="inlineStr">
        <is>
          <t>passed</t>
        </is>
      </c>
      <c r="T30" t="inlineStr">
        <is>
          <t>passed</t>
        </is>
      </c>
      <c r="U30" t="inlineStr">
        <is>
          <t>passed</t>
        </is>
      </c>
      <c r="V30" t="inlineStr">
        <is>
          <t>passed</t>
        </is>
      </c>
    </row>
    <row r="31">
      <c r="A31" t="inlineStr">
        <is>
          <t>A4</t>
        </is>
      </c>
      <c r="B31" t="n">
        <v>69</v>
      </c>
      <c r="C31" t="inlineStr">
        <is>
          <t>High</t>
        </is>
      </c>
      <c r="D31" s="15" t="n">
        <v>439.9999999999999</v>
      </c>
      <c r="E31" s="15" t="n">
        <v>439.6186722182108</v>
      </c>
      <c r="F31" t="inlineStr">
        <is>
          <t>prior_constrained_harmonic_fit</t>
        </is>
      </c>
      <c r="G31" t="inlineStr">
        <is>
          <t>prior_constrained_harmonic_fit</t>
        </is>
      </c>
      <c r="H31" t="n">
        <v>1</v>
      </c>
      <c r="I31" t="inlineStr">
        <is>
          <t>fit_accepted_acoustically_verified</t>
        </is>
      </c>
      <c r="J31" t="n">
        <v>0.0001927307929560719</v>
      </c>
      <c r="K31" s="15" t="n">
        <v>0.08472805529491123</v>
      </c>
      <c r="L31" s="15" t="n">
        <v>-1.501031530810764</v>
      </c>
      <c r="M31" t="inlineStr">
        <is>
          <t>excellent</t>
        </is>
      </c>
      <c r="N31" s="19" t="n">
        <v>0.9333333333333333</v>
      </c>
      <c r="O31" s="19" t="n">
        <v>0.04551131829262967</v>
      </c>
      <c r="P31" s="15" t="n">
        <v>2.220149236673543</v>
      </c>
      <c r="Q31" s="15" t="n">
        <v>17.64527479489259</v>
      </c>
      <c r="R31" s="15" t="n">
        <v>3.828258643422547</v>
      </c>
      <c r="S31" t="inlineStr">
        <is>
          <t>passed</t>
        </is>
      </c>
      <c r="T31" t="inlineStr">
        <is>
          <t>passed</t>
        </is>
      </c>
      <c r="U31" t="inlineStr">
        <is>
          <t>passed</t>
        </is>
      </c>
      <c r="V31" t="inlineStr">
        <is>
          <t>passed</t>
        </is>
      </c>
    </row>
    <row r="32">
      <c r="A32" t="inlineStr">
        <is>
          <t>A#4</t>
        </is>
      </c>
      <c r="B32" t="n">
        <v>70</v>
      </c>
      <c r="C32" t="inlineStr">
        <is>
          <t>High</t>
        </is>
      </c>
      <c r="D32" s="15" t="n">
        <v>466.1637615180898</v>
      </c>
      <c r="E32" s="15" t="n">
        <v>466.3046722624817</v>
      </c>
      <c r="F32" t="inlineStr">
        <is>
          <t>prior_constrained_harmonic_fit</t>
        </is>
      </c>
      <c r="G32" t="inlineStr">
        <is>
          <t>prior_constrained_harmonic_fit</t>
        </is>
      </c>
      <c r="H32" t="n">
        <v>1</v>
      </c>
      <c r="I32" t="inlineStr">
        <is>
          <t>fit_accepted_acoustically_verified</t>
        </is>
      </c>
      <c r="J32" t="n">
        <v>6.976499368776287e-05</v>
      </c>
      <c r="K32" s="15" t="n">
        <v>0.03253174251696637</v>
      </c>
      <c r="L32" s="15" t="n">
        <v>0.523233755889058</v>
      </c>
      <c r="M32" t="inlineStr">
        <is>
          <t>excellent</t>
        </is>
      </c>
      <c r="N32" s="19" t="n">
        <v>0.9285714285714286</v>
      </c>
      <c r="O32" s="19" t="n">
        <v>0.08560057728065476</v>
      </c>
      <c r="P32" s="15" t="n">
        <v>2.26203798097744</v>
      </c>
      <c r="Q32" s="15" t="n">
        <v>12.53422386479693</v>
      </c>
      <c r="R32" s="15" t="n">
        <v>3.834536746751873</v>
      </c>
      <c r="S32" t="inlineStr">
        <is>
          <t>passed</t>
        </is>
      </c>
      <c r="T32" t="inlineStr">
        <is>
          <t>passed</t>
        </is>
      </c>
      <c r="U32" t="inlineStr">
        <is>
          <t>passed</t>
        </is>
      </c>
      <c r="V32" t="inlineStr">
        <is>
          <t>passed</t>
        </is>
      </c>
    </row>
    <row r="33">
      <c r="A33" t="inlineStr">
        <is>
          <t>C5</t>
        </is>
      </c>
      <c r="B33" t="n">
        <v>72</v>
      </c>
      <c r="C33" t="inlineStr">
        <is>
          <t>Very high</t>
        </is>
      </c>
      <c r="D33" s="15" t="n">
        <v>523.2511306011972</v>
      </c>
      <c r="E33" s="15" t="n">
        <v>523.8268547261894</v>
      </c>
      <c r="F33" t="inlineStr">
        <is>
          <t>prior_constrained_harmonic_fit</t>
        </is>
      </c>
      <c r="G33" t="inlineStr">
        <is>
          <t>prior_constrained_harmonic_fit</t>
        </is>
      </c>
      <c r="H33" t="n">
        <v>1</v>
      </c>
      <c r="I33" t="inlineStr">
        <is>
          <t>fit_accepted_acoustically_verified</t>
        </is>
      </c>
      <c r="J33" t="n">
        <v>0.0004212725243845106</v>
      </c>
      <c r="K33" s="15" t="n">
        <v>0.2206738614309001</v>
      </c>
      <c r="L33" s="15" t="n">
        <v>1.903799568829541</v>
      </c>
      <c r="M33" t="inlineStr">
        <is>
          <t>excellent</t>
        </is>
      </c>
      <c r="N33" s="19" t="n">
        <v>0.9210526315789473</v>
      </c>
      <c r="O33" s="19" t="n">
        <v>0.04316836478784131</v>
      </c>
      <c r="P33" s="15" t="n">
        <v>3.225834732246231</v>
      </c>
      <c r="Q33" s="15" t="n">
        <v>14.39776867803007</v>
      </c>
      <c r="R33" s="15" t="n">
        <v>4.941387171015449</v>
      </c>
      <c r="S33" t="inlineStr">
        <is>
          <t>passed</t>
        </is>
      </c>
      <c r="T33" t="inlineStr">
        <is>
          <t>passed</t>
        </is>
      </c>
      <c r="U33" t="inlineStr">
        <is>
          <t>passed</t>
        </is>
      </c>
      <c r="V33" t="inlineStr">
        <is>
          <t>passed</t>
        </is>
      </c>
    </row>
  </sheetData>
  <autoFilter ref="A1:V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33" customWidth="1" min="4" max="4"/>
    <col width="22" customWidth="1" min="5" max="5"/>
    <col width="34" customWidth="1" min="6" max="6"/>
    <col width="28" customWidth="1" min="7" max="7"/>
    <col width="20" customWidth="1" min="8" max="8"/>
    <col width="48" customWidth="1" min="9" max="9"/>
    <col width="48" customWidth="1" min="10" max="10"/>
    <col width="46" customWidth="1" min="11" max="11"/>
    <col width="48" customWidth="1" min="12" max="12"/>
    <col width="48" customWidth="1" min="13" max="13"/>
    <col width="48" customWidth="1" min="14" max="14"/>
    <col width="48" customWidth="1" min="15" max="15"/>
    <col width="32" customWidth="1" min="16" max="16"/>
    <col width="32" customWidth="1" min="17" max="17"/>
    <col width="38" customWidth="1" min="18" max="18"/>
    <col width="48" customWidth="1" min="19" max="19"/>
    <col width="28" customWidth="1" min="20" max="20"/>
    <col width="30" customWidth="1" min="21" max="21"/>
    <col width="27" customWidth="1" min="22" max="22"/>
    <col width="25" customWidth="1" min="23" max="23"/>
    <col width="27" customWidth="1" min="24" max="24"/>
    <col width="24" customWidth="1" min="25" max="25"/>
    <col width="24" customWidth="1" min="26" max="26"/>
    <col width="31" customWidth="1" min="27" max="27"/>
    <col width="30" customWidth="1" min="28" max="28"/>
    <col width="26" customWidth="1" min="29" max="29"/>
    <col width="34" customWidth="1" min="30" max="30"/>
    <col width="34" customWidth="1" min="31" max="31"/>
    <col width="27" customWidth="1" min="32" max="32"/>
    <col width="46" customWidth="1" min="33" max="33"/>
    <col width="48" customWidth="1" min="34" max="34"/>
    <col width="37" customWidth="1" min="35" max="35"/>
    <col width="48" customWidth="1" min="36" max="36"/>
    <col width="43" customWidth="1" min="37" max="37"/>
    <col width="33" customWidth="1" min="38" max="38"/>
    <col width="41" customWidth="1" min="39" max="39"/>
    <col width="48" customWidth="1" min="40" max="40"/>
    <col width="42" customWidth="1" min="41" max="41"/>
    <col width="20" customWidth="1" min="42" max="42"/>
    <col width="35" customWidth="1" min="43" max="43"/>
    <col width="22" customWidth="1" min="44" max="44"/>
    <col width="37" customWidth="1" min="45" max="45"/>
    <col width="40" customWidth="1" min="46" max="46"/>
    <col width="42" customWidth="1" min="47" max="47"/>
    <col width="39" customWidth="1" min="48" max="48"/>
    <col width="28" customWidth="1" min="49" max="49"/>
    <col width="27" customWidth="1" min="50" max="50"/>
    <col width="33" customWidth="1" min="51" max="51"/>
    <col width="35" customWidth="1" min="52" max="52"/>
    <col width="32" customWidth="1" min="53" max="53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spectral_body_thickness_index</t>
        </is>
      </c>
      <c r="D1" s="11" t="inlineStr">
        <is>
          <t>body_weighted_effective_density</t>
        </is>
      </c>
      <c r="E1" s="11" t="inlineStr">
        <is>
          <t>low_mid_energy_ratio</t>
        </is>
      </c>
      <c r="F1" s="11" t="inlineStr">
        <is>
          <t>harmonic_body_density_normalized</t>
        </is>
      </c>
      <c r="G1" s="11" t="inlineStr">
        <is>
          <t>core_residual_energy_ratio</t>
        </is>
      </c>
      <c r="H1" s="11" t="inlineStr">
        <is>
          <t>spectral_entropy</t>
        </is>
      </c>
      <c r="I1" s="11" t="inlineStr">
        <is>
          <t>salient_harmonic_order_count_up_to_body_ceiling</t>
        </is>
      </c>
      <c r="J1" s="11" t="inlineStr">
        <is>
          <t>expected_harmonic_order_count_up_to_body_ceiling</t>
        </is>
      </c>
      <c r="K1" s="11" t="inlineStr">
        <is>
          <t>salient_harmonic_coverage_up_to_body_ceiling</t>
        </is>
      </c>
      <c r="L1" s="11" t="inlineStr">
        <is>
          <t>salient_harmonic_order_count_up_to_density_ceiling_hz</t>
        </is>
      </c>
      <c r="M1" s="11" t="inlineStr">
        <is>
          <t>expected_harmonic_order_count_up_to_density_ceiling_hz</t>
        </is>
      </c>
      <c r="N1" s="11" t="inlineStr">
        <is>
          <t>salient_harmonic_coverage_up_to_density_ceiling_hz</t>
        </is>
      </c>
      <c r="O1" s="11" t="inlineStr">
        <is>
          <t>salient_inharmonic_log_bin_count_up_to_body_ceiling</t>
        </is>
      </c>
      <c r="P1" s="11" t="inlineStr">
        <is>
          <t>salient_subbass_particle_count</t>
        </is>
      </c>
      <c r="Q1" s="11" t="inlineStr">
        <is>
          <t>final_note_density_count_based</t>
        </is>
      </c>
      <c r="R1" s="11" t="inlineStr">
        <is>
          <t>final_note_density_salience_weighted</t>
        </is>
      </c>
      <c r="S1" s="11" t="inlineStr">
        <is>
          <t>final_note_density_salience_weighted_norm_for_chart</t>
        </is>
      </c>
      <c r="T1" s="11" t="inlineStr">
        <is>
          <t>harmonic_density_component</t>
        </is>
      </c>
      <c r="U1" s="11" t="inlineStr">
        <is>
          <t>inharmonic_density_component</t>
        </is>
      </c>
      <c r="V1" s="11" t="inlineStr">
        <is>
          <t>subbass_density_component</t>
        </is>
      </c>
      <c r="W1" s="11" t="inlineStr">
        <is>
          <t>harmonic_density_weight</t>
        </is>
      </c>
      <c r="X1" s="11" t="inlineStr">
        <is>
          <t>inharmonic_density_weight</t>
        </is>
      </c>
      <c r="Y1" s="11" t="inlineStr">
        <is>
          <t>subbass_density_weight</t>
        </is>
      </c>
      <c r="Z1" s="11" t="inlineStr">
        <is>
          <t>density_summation_mode</t>
        </is>
      </c>
      <c r="AA1" s="11" t="inlineStr">
        <is>
          <t>density_salience_threshold_db</t>
        </is>
      </c>
      <c r="AB1" s="11" t="inlineStr">
        <is>
          <t>density_frequency_ceiling_hz</t>
        </is>
      </c>
      <c r="AC1" s="11" t="inlineStr">
        <is>
          <t>harmonic_occupancy_ratio</t>
        </is>
      </c>
      <c r="AD1" s="11" t="inlineStr">
        <is>
          <t>residual_log_frequency_occupancy</t>
        </is>
      </c>
      <c r="AE1" s="11" t="inlineStr">
        <is>
          <t>note_effective_component_density</t>
        </is>
      </c>
      <c r="AF1" s="11" t="inlineStr">
        <is>
          <t>effective_partial_density</t>
        </is>
      </c>
      <c r="AG1" s="11" t="inlineStr">
        <is>
          <t>spectral_body_thickness_index_norm_for_chart</t>
        </is>
      </c>
      <c r="AH1" s="11" t="inlineStr">
        <is>
          <t>body_weighted_effective_density_norm_for_chart</t>
        </is>
      </c>
      <c r="AI1" s="11" t="inlineStr">
        <is>
          <t>low_mid_energy_ratio_norm_for_chart</t>
        </is>
      </c>
      <c r="AJ1" s="11" t="inlineStr">
        <is>
          <t>harmonic_body_density_normalized_norm_for_chart</t>
        </is>
      </c>
      <c r="AK1" s="11" t="inlineStr">
        <is>
          <t>core_residual_energy_ratio_norm_for_chart</t>
        </is>
      </c>
      <c r="AL1" s="11" t="inlineStr">
        <is>
          <t>spectral_entropy_norm_for_chart</t>
        </is>
      </c>
      <c r="AM1" s="11" t="inlineStr">
        <is>
          <t>harmonic_occupancy_ratio_norm_for_chart</t>
        </is>
      </c>
      <c r="AN1" s="11" t="inlineStr">
        <is>
          <t>residual_log_frequency_occupancy_norm_for_chart</t>
        </is>
      </c>
      <c r="AO1" s="11" t="inlineStr">
        <is>
          <t>effective_partial_density_norm_for_chart</t>
        </is>
      </c>
      <c r="AP1" s="11" t="inlineStr">
        <is>
          <t>density_metric_raw</t>
        </is>
      </c>
      <c r="AQ1" s="11" t="inlineStr">
        <is>
          <t>density_metric_raw_norm_for_chart</t>
        </is>
      </c>
      <c r="AR1" s="11" t="inlineStr">
        <is>
          <t>density_weighted_sum</t>
        </is>
      </c>
      <c r="AS1" s="11" t="inlineStr">
        <is>
          <t>density_weighted_sum_norm_for_chart</t>
        </is>
      </c>
      <c r="AT1" s="11" t="inlineStr">
        <is>
          <t>weighted_harmonic_density_contribution</t>
        </is>
      </c>
      <c r="AU1" s="11" t="inlineStr">
        <is>
          <t>weighted_inharmonic_density_contribution</t>
        </is>
      </c>
      <c r="AV1" s="11" t="inlineStr">
        <is>
          <t>weighted_subbass_density_contribution</t>
        </is>
      </c>
      <c r="AW1" s="11" t="inlineStr">
        <is>
          <t>core_harmonic_energy_ratio</t>
        </is>
      </c>
      <c r="AX1" s="11" t="inlineStr">
        <is>
          <t>core_subbass_energy_ratio</t>
        </is>
      </c>
      <c r="AY1" s="11" t="inlineStr">
        <is>
          <t>component_harmonic_energy_ratio</t>
        </is>
      </c>
      <c r="AZ1" s="11" t="inlineStr">
        <is>
          <t>component_inharmonic_energy_ratio</t>
        </is>
      </c>
      <c r="BA1" s="11" t="inlineStr">
        <is>
          <t>component_subbass_energy_ratio</t>
        </is>
      </c>
    </row>
    <row r="2">
      <c r="A2" t="inlineStr">
        <is>
          <t>E2</t>
        </is>
      </c>
      <c r="B2" t="n">
        <v>40</v>
      </c>
      <c r="C2" s="15" t="n">
        <v>1.188920688379501</v>
      </c>
      <c r="D2" s="15" t="n">
        <v>90.15721279801554</v>
      </c>
      <c r="E2" s="15" t="n">
        <v>0.9985676489322277</v>
      </c>
      <c r="F2" s="15" t="n">
        <v>0.1832095787083635</v>
      </c>
      <c r="G2" s="19" t="n">
        <v>0.2260148803531581</v>
      </c>
      <c r="H2" s="15" t="n">
        <v>0.6677924212803314</v>
      </c>
      <c r="I2" s="15" t="n">
        <v>22</v>
      </c>
      <c r="J2" s="15" t="n">
        <v>242</v>
      </c>
      <c r="K2" s="15" t="n">
        <v>0.09090909090909091</v>
      </c>
      <c r="L2" t="n">
        <v>22</v>
      </c>
      <c r="M2" t="n">
        <v>242</v>
      </c>
      <c r="N2" t="n">
        <v>0.09090909090909091</v>
      </c>
      <c r="O2" t="n">
        <v>59</v>
      </c>
      <c r="P2" t="n">
        <v>0</v>
      </c>
      <c r="Q2" s="15" t="n">
        <v>47.92276494615492</v>
      </c>
      <c r="R2" s="15" t="n">
        <v>30.29080335578444</v>
      </c>
      <c r="S2" s="15" t="n">
        <v>0.9446987533861004</v>
      </c>
      <c r="T2" s="15" t="n">
        <v>15.72687432672971</v>
      </c>
      <c r="U2" s="15" t="n">
        <v>36.51421607805605</v>
      </c>
      <c r="V2" s="15" t="n">
        <v>0</v>
      </c>
      <c r="W2" t="n">
        <v>1</v>
      </c>
      <c r="X2" t="n">
        <v>0.5</v>
      </c>
      <c r="Y2" t="n">
        <v>0.25</v>
      </c>
      <c r="Z2" t="inlineStr">
        <is>
          <t>his_note_adaptive</t>
        </is>
      </c>
      <c r="AA2" t="n">
        <v>-90</v>
      </c>
      <c r="AB2" t="n">
        <v>20000</v>
      </c>
      <c r="AC2" s="15" t="n">
        <v>0.09090909090909091</v>
      </c>
      <c r="AD2" s="15" t="n">
        <v>0.4916666666666666</v>
      </c>
      <c r="AE2" t="n">
        <v>6.737505867395866</v>
      </c>
      <c r="AF2" s="15" t="n">
        <v>6.681867992356405</v>
      </c>
      <c r="AG2" s="15" t="n">
        <v>0.9556856009847915</v>
      </c>
      <c r="AH2" s="15" t="n">
        <v>0.9128383771604969</v>
      </c>
      <c r="AI2" s="15" t="n">
        <v>0.952800927398247</v>
      </c>
      <c r="AJ2" s="15" t="n">
        <v>0.3520096120474381</v>
      </c>
      <c r="AK2" s="15" t="n">
        <v>0.7408827507487888</v>
      </c>
      <c r="AL2" s="15" t="n">
        <v>0.9005928407667589</v>
      </c>
      <c r="AM2" s="15" t="n">
        <v>0</v>
      </c>
      <c r="AN2" s="15" t="n">
        <v>0.9302325581395345</v>
      </c>
      <c r="AO2" s="15" t="n">
        <v>0.8219637293022124</v>
      </c>
      <c r="AP2" s="15" t="n">
        <v>2.276428400495808</v>
      </c>
      <c r="AQ2" s="15" t="n">
        <v>0.9329230014451546</v>
      </c>
      <c r="AR2" s="15" t="n">
        <v>1234.016797346328</v>
      </c>
      <c r="AS2" s="15" t="n">
        <v>0.6558603739508275</v>
      </c>
      <c r="AT2" s="15" t="n">
        <v>1.409693181013609</v>
      </c>
      <c r="AU2" s="15" t="n">
        <v>0.8093916045383868</v>
      </c>
      <c r="AV2" s="15" t="n">
        <v>0.05734361494381267</v>
      </c>
      <c r="AW2" s="19" t="n">
        <v>0.7739585713115726</v>
      </c>
      <c r="AX2" s="19" t="n">
        <v>2.654833526929422e-05</v>
      </c>
      <c r="AY2" s="19" t="n">
        <v>0.9999656991657909</v>
      </c>
      <c r="AZ2" s="19" t="n">
        <v>0</v>
      </c>
      <c r="BA2" s="19" t="n">
        <v>3.430083420907089e-05</v>
      </c>
    </row>
    <row r="3">
      <c r="A3" t="inlineStr">
        <is>
          <t>F2</t>
        </is>
      </c>
      <c r="B3" t="n">
        <v>41</v>
      </c>
      <c r="C3" s="15" t="n">
        <v>1.083695010016807</v>
      </c>
      <c r="D3" s="15" t="n">
        <v>96.49403637034067</v>
      </c>
      <c r="E3" s="15" t="n">
        <v>0.9960158595680458</v>
      </c>
      <c r="F3" s="15" t="n">
        <v>0.2255506593429849</v>
      </c>
      <c r="G3" s="19" t="n">
        <v>0.22096063954187</v>
      </c>
      <c r="H3" s="15" t="n">
        <v>0.6884033943964001</v>
      </c>
      <c r="I3" s="15" t="n">
        <v>26</v>
      </c>
      <c r="J3" s="15" t="n">
        <v>229</v>
      </c>
      <c r="K3" s="15" t="n">
        <v>0.1135371179039301</v>
      </c>
      <c r="L3" t="n">
        <v>26</v>
      </c>
      <c r="M3" t="n">
        <v>229</v>
      </c>
      <c r="N3" t="n">
        <v>0.1135371179039301</v>
      </c>
      <c r="O3" t="n">
        <v>61</v>
      </c>
      <c r="P3" t="n">
        <v>0</v>
      </c>
      <c r="Q3" s="15" t="n">
        <v>49.00078965251787</v>
      </c>
      <c r="R3" s="15" t="n">
        <v>31.67703157719836</v>
      </c>
      <c r="S3" s="15" t="n">
        <v>1</v>
      </c>
      <c r="T3" s="15" t="n">
        <v>18.10929897638514</v>
      </c>
      <c r="U3" s="15" t="n">
        <v>38.75513975848538</v>
      </c>
      <c r="V3" s="15" t="n">
        <v>0</v>
      </c>
      <c r="W3" t="n">
        <v>1</v>
      </c>
      <c r="X3" t="n">
        <v>0.5</v>
      </c>
      <c r="Y3" t="n">
        <v>0.25</v>
      </c>
      <c r="Z3" t="inlineStr">
        <is>
          <t>his_note_adaptive</t>
        </is>
      </c>
      <c r="AA3" t="n">
        <v>-90</v>
      </c>
      <c r="AB3" t="n">
        <v>20000</v>
      </c>
      <c r="AC3" s="15" t="n">
        <v>0.1135371179039301</v>
      </c>
      <c r="AD3" s="15" t="n">
        <v>0.5083333333333333</v>
      </c>
      <c r="AE3" t="n">
        <v>7.935248914148957</v>
      </c>
      <c r="AF3" s="15" t="n">
        <v>7.862218125962939</v>
      </c>
      <c r="AG3" s="15" t="n">
        <v>0.9240541816432397</v>
      </c>
      <c r="AH3" s="15" t="n">
        <v>0.9882689424404809</v>
      </c>
      <c r="AI3" s="15" t="n">
        <v>0.6338814803041691</v>
      </c>
      <c r="AJ3" s="15" t="n">
        <v>0.5862055917689359</v>
      </c>
      <c r="AK3" s="15" t="n">
        <v>0.6939093347493062</v>
      </c>
      <c r="AL3" s="15" t="n">
        <v>0.9374277713445724</v>
      </c>
      <c r="AM3" s="15" t="n">
        <v>0.2425260329190457</v>
      </c>
      <c r="AN3" s="15" t="n">
        <v>0.9767441860465114</v>
      </c>
      <c r="AO3" s="15" t="n">
        <v>1</v>
      </c>
      <c r="AP3" s="15" t="n">
        <v>2.304321512019397</v>
      </c>
      <c r="AQ3" s="15" t="n">
        <v>1</v>
      </c>
      <c r="AR3" s="15" t="n">
        <v>1537.55310110516</v>
      </c>
      <c r="AS3" s="15" t="n">
        <v>0.8287574858496083</v>
      </c>
      <c r="AT3" s="15" t="n">
        <v>1.417032068919909</v>
      </c>
      <c r="AU3" s="15" t="n">
        <v>0.8179668786372951</v>
      </c>
      <c r="AV3" s="15" t="n">
        <v>0.06932256446219384</v>
      </c>
      <c r="AW3" s="19" t="n">
        <v>0.7789912688826267</v>
      </c>
      <c r="AX3" s="19" t="n">
        <v>4.809157550337529e-05</v>
      </c>
      <c r="AY3" s="19" t="n">
        <v>0.9999382681056384</v>
      </c>
      <c r="AZ3" s="19" t="n">
        <v>0</v>
      </c>
      <c r="BA3" s="19" t="n">
        <v>6.173189436165851e-05</v>
      </c>
    </row>
    <row r="4">
      <c r="A4" t="inlineStr">
        <is>
          <t>F#2</t>
        </is>
      </c>
      <c r="B4" t="n">
        <v>42</v>
      </c>
      <c r="C4" s="15" t="n">
        <v>1.336337807012712</v>
      </c>
      <c r="D4" s="15" t="n">
        <v>97.47954724110686</v>
      </c>
      <c r="E4" s="15" t="n">
        <v>0.9966109685602527</v>
      </c>
      <c r="F4" s="15" t="n">
        <v>0.2912816581454443</v>
      </c>
      <c r="G4" s="19" t="n">
        <v>0.1728542962628387</v>
      </c>
      <c r="H4" s="15" t="n">
        <v>0.723415664065406</v>
      </c>
      <c r="I4" s="15" t="n">
        <v>26</v>
      </c>
      <c r="J4" s="15" t="n">
        <v>216</v>
      </c>
      <c r="K4" s="15" t="n">
        <v>0.1203703703703704</v>
      </c>
      <c r="L4" t="n">
        <v>26</v>
      </c>
      <c r="M4" t="n">
        <v>216</v>
      </c>
      <c r="N4" t="n">
        <v>0.1203703703703704</v>
      </c>
      <c r="O4" t="n">
        <v>62</v>
      </c>
      <c r="P4" t="n">
        <v>1</v>
      </c>
      <c r="Q4" s="15" t="n">
        <v>45.90454669917062</v>
      </c>
      <c r="R4" s="15" t="n">
        <v>29.66679959267747</v>
      </c>
      <c r="S4" s="15" t="n">
        <v>0.9198051713203836</v>
      </c>
      <c r="T4" s="15" t="n">
        <v>18.00294483474229</v>
      </c>
      <c r="U4" s="15" t="n">
        <v>39.09898576467728</v>
      </c>
      <c r="V4" s="15" t="n">
        <v>0.5189999859918526</v>
      </c>
      <c r="W4" t="n">
        <v>1</v>
      </c>
      <c r="X4" t="n">
        <v>0.5</v>
      </c>
      <c r="Y4" t="n">
        <v>0.25</v>
      </c>
      <c r="Z4" t="inlineStr">
        <is>
          <t>his_note_adaptive</t>
        </is>
      </c>
      <c r="AA4" t="n">
        <v>-90</v>
      </c>
      <c r="AB4" t="n">
        <v>20000</v>
      </c>
      <c r="AC4" s="15" t="n">
        <v>0.1203703703703704</v>
      </c>
      <c r="AD4" s="15" t="n">
        <v>0.5166666666666667</v>
      </c>
      <c r="AE4" t="n">
        <v>7.824686002268549</v>
      </c>
      <c r="AF4" s="15" t="n">
        <v>7.760113020084405</v>
      </c>
      <c r="AG4" s="15" t="n">
        <v>1</v>
      </c>
      <c r="AH4" s="15" t="n">
        <v>1</v>
      </c>
      <c r="AI4" s="15" t="n">
        <v>0.7082574587525956</v>
      </c>
      <c r="AJ4" s="15" t="n">
        <v>0.9497753314138729</v>
      </c>
      <c r="AK4" s="15" t="n">
        <v>0.2468156248467174</v>
      </c>
      <c r="AL4" s="15" t="n">
        <v>1</v>
      </c>
      <c r="AM4" s="15" t="n">
        <v>0.3157644824311494</v>
      </c>
      <c r="AN4" s="15" t="n">
        <v>1</v>
      </c>
      <c r="AO4" s="15" t="n">
        <v>0.9845991356697921</v>
      </c>
      <c r="AP4" s="15" t="n">
        <v>2.251387516542855</v>
      </c>
      <c r="AQ4" s="15" t="n">
        <v>0.8727050033453791</v>
      </c>
      <c r="AR4" s="15" t="n">
        <v>1539.23356554472</v>
      </c>
      <c r="AS4" s="15" t="n">
        <v>0.8297146940802237</v>
      </c>
      <c r="AT4" s="15" t="n">
        <v>1.402731870059755</v>
      </c>
      <c r="AU4" s="15" t="n">
        <v>0.7743312001272123</v>
      </c>
      <c r="AV4" s="15" t="n">
        <v>0.07432444635588668</v>
      </c>
      <c r="AW4" s="19" t="n">
        <v>0.8270579782195383</v>
      </c>
      <c r="AX4" s="19" t="n">
        <v>8.772551762309897e-05</v>
      </c>
      <c r="AY4" s="19" t="n">
        <v>0.9998939418808237</v>
      </c>
      <c r="AZ4" s="19" t="n">
        <v>0</v>
      </c>
      <c r="BA4" s="19" t="n">
        <v>0.0001060581191762741</v>
      </c>
    </row>
    <row r="5">
      <c r="A5" t="inlineStr">
        <is>
          <t>G2</t>
        </is>
      </c>
      <c r="B5" t="n">
        <v>43</v>
      </c>
      <c r="C5" s="15" t="n">
        <v>0.7793136924863745</v>
      </c>
      <c r="D5" s="15" t="n">
        <v>76.61041363217225</v>
      </c>
      <c r="E5" s="15" t="n">
        <v>0.9963406345586415</v>
      </c>
      <c r="F5" s="15" t="n">
        <v>0.2417260208043143</v>
      </c>
      <c r="G5" s="19" t="n">
        <v>0.1991474361570963</v>
      </c>
      <c r="H5" s="15" t="n">
        <v>0.6100643363063559</v>
      </c>
      <c r="I5" s="15" t="n">
        <v>21</v>
      </c>
      <c r="J5" s="15" t="n">
        <v>203</v>
      </c>
      <c r="K5" s="15" t="n">
        <v>0.103448275862069</v>
      </c>
      <c r="L5" t="n">
        <v>21</v>
      </c>
      <c r="M5" t="n">
        <v>203</v>
      </c>
      <c r="N5" t="n">
        <v>0.103448275862069</v>
      </c>
      <c r="O5" t="n">
        <v>62</v>
      </c>
      <c r="P5" t="n">
        <v>1</v>
      </c>
      <c r="Q5" s="15" t="n">
        <v>47.04319821957836</v>
      </c>
      <c r="R5" s="15" t="n">
        <v>28.29239580719225</v>
      </c>
      <c r="S5" s="15" t="n">
        <v>0.8649756407177884</v>
      </c>
      <c r="T5" s="15" t="n">
        <v>14.98761563901126</v>
      </c>
      <c r="U5" s="15" t="n">
        <v>35.93369871461964</v>
      </c>
      <c r="V5" s="15" t="n">
        <v>0.4777697417641203</v>
      </c>
      <c r="W5" t="n">
        <v>1</v>
      </c>
      <c r="X5" t="n">
        <v>0.5</v>
      </c>
      <c r="Y5" t="n">
        <v>0.25</v>
      </c>
      <c r="Z5" t="inlineStr">
        <is>
          <t>his_note_adaptive</t>
        </is>
      </c>
      <c r="AA5" t="n">
        <v>-90</v>
      </c>
      <c r="AB5" t="n">
        <v>20000</v>
      </c>
      <c r="AC5" s="15" t="n">
        <v>0.103448275862069</v>
      </c>
      <c r="AD5" s="15" t="n">
        <v>0.5166666666666667</v>
      </c>
      <c r="AE5" t="n">
        <v>6.148598881689512</v>
      </c>
      <c r="AF5" s="15" t="n">
        <v>6.100216705240773</v>
      </c>
      <c r="AG5" s="15" t="n">
        <v>0.832555478623686</v>
      </c>
      <c r="AH5" s="15" t="n">
        <v>0.7515836559028815</v>
      </c>
      <c r="AI5" s="15" t="n">
        <v>0.6744714529267601</v>
      </c>
      <c r="AJ5" s="15" t="n">
        <v>0.6756743669633003</v>
      </c>
      <c r="AK5" s="15" t="n">
        <v>0.4911804353692298</v>
      </c>
      <c r="AL5" s="15" t="n">
        <v>0.7974240097546647</v>
      </c>
      <c r="AM5" s="15" t="n">
        <v>0.1343943412908934</v>
      </c>
      <c r="AN5" s="15" t="n">
        <v>1</v>
      </c>
      <c r="AO5" s="15" t="n">
        <v>0.7342312649628177</v>
      </c>
      <c r="AP5" s="15" t="n">
        <v>2.274032396456779</v>
      </c>
      <c r="AQ5" s="15" t="n">
        <v>0.9271611215155008</v>
      </c>
      <c r="AR5" s="15" t="n">
        <v>1382.730226878318</v>
      </c>
      <c r="AS5" s="15" t="n">
        <v>0.7405689315376422</v>
      </c>
      <c r="AT5" s="15" t="n">
        <v>1.39329368326914</v>
      </c>
      <c r="AU5" s="15" t="n">
        <v>0.809994010391081</v>
      </c>
      <c r="AV5" s="15" t="n">
        <v>0.07074470279655834</v>
      </c>
      <c r="AW5" s="19" t="n">
        <v>0.8007833933219033</v>
      </c>
      <c r="AX5" s="19" t="n">
        <v>6.917052100037082e-05</v>
      </c>
      <c r="AY5" s="19" t="n">
        <v>0.9999136288948512</v>
      </c>
      <c r="AZ5" s="19" t="n">
        <v>0</v>
      </c>
      <c r="BA5" s="19" t="n">
        <v>8.637110514881164e-05</v>
      </c>
    </row>
    <row r="6">
      <c r="A6" t="inlineStr">
        <is>
          <t>G#2</t>
        </is>
      </c>
      <c r="B6" t="n">
        <v>44</v>
      </c>
      <c r="C6" s="15" t="n">
        <v>0.7390876834975193</v>
      </c>
      <c r="D6" s="15" t="n">
        <v>72.6658381987436</v>
      </c>
      <c r="E6" s="15" t="n">
        <v>0.9972193062908189</v>
      </c>
      <c r="F6" s="15" t="n">
        <v>0.2231810196549871</v>
      </c>
      <c r="G6" s="19" t="n">
        <v>0.1956080411204232</v>
      </c>
      <c r="H6" s="15" t="n">
        <v>0.6257703136265347</v>
      </c>
      <c r="I6" s="15" t="n">
        <v>20</v>
      </c>
      <c r="J6" s="15" t="n">
        <v>192</v>
      </c>
      <c r="K6" s="15" t="n">
        <v>0.1041666666666667</v>
      </c>
      <c r="L6" t="n">
        <v>20</v>
      </c>
      <c r="M6" t="n">
        <v>192</v>
      </c>
      <c r="N6" t="n">
        <v>0.1041666666666667</v>
      </c>
      <c r="O6" t="n">
        <v>60</v>
      </c>
      <c r="P6" t="n">
        <v>0</v>
      </c>
      <c r="Q6" s="15" t="n">
        <v>45.12585276414823</v>
      </c>
      <c r="R6" s="15" t="n">
        <v>28.24732029040108</v>
      </c>
      <c r="S6" s="15" t="n">
        <v>0.8631774286832831</v>
      </c>
      <c r="T6" s="15" t="n">
        <v>13.96471945975892</v>
      </c>
      <c r="U6" s="15" t="n">
        <v>36.70241670683</v>
      </c>
      <c r="V6" s="15" t="n">
        <v>0</v>
      </c>
      <c r="W6" t="n">
        <v>1</v>
      </c>
      <c r="X6" t="n">
        <v>0.5</v>
      </c>
      <c r="Y6" t="n">
        <v>0.25</v>
      </c>
      <c r="Z6" t="inlineStr">
        <is>
          <t>his_note_adaptive</t>
        </is>
      </c>
      <c r="AA6" t="n">
        <v>-90</v>
      </c>
      <c r="AB6" t="n">
        <v>20000</v>
      </c>
      <c r="AC6" s="15" t="n">
        <v>0.1041666666666667</v>
      </c>
      <c r="AD6" s="15" t="n">
        <v>0.5</v>
      </c>
      <c r="AE6" t="n">
        <v>6.108448920555806</v>
      </c>
      <c r="AF6" s="15" t="n">
        <v>6.054501669320342</v>
      </c>
      <c r="AG6" s="15" t="n">
        <v>0.8204633184346324</v>
      </c>
      <c r="AH6" s="15" t="n">
        <v>0.7046292865193756</v>
      </c>
      <c r="AI6" s="15" t="n">
        <v>0.78428674839612</v>
      </c>
      <c r="AJ6" s="15" t="n">
        <v>0.5730986969991362</v>
      </c>
      <c r="AK6" s="15" t="n">
        <v>0.4582857867658559</v>
      </c>
      <c r="AL6" s="15" t="n">
        <v>0.8254929699627815</v>
      </c>
      <c r="AM6" s="15" t="n">
        <v>0.1420940170940174</v>
      </c>
      <c r="AN6" s="15" t="n">
        <v>0.9534883720930232</v>
      </c>
      <c r="AO6" s="15" t="n">
        <v>0.7273359088491019</v>
      </c>
      <c r="AP6" s="15" t="n">
        <v>2.259352526699291</v>
      </c>
      <c r="AQ6" s="15" t="n">
        <v>0.8918591581015014</v>
      </c>
      <c r="AR6" s="15" t="n">
        <v>1394.050308285091</v>
      </c>
      <c r="AS6" s="15" t="n">
        <v>0.7470169555711865</v>
      </c>
      <c r="AT6" s="15" t="n">
        <v>1.383780000867787</v>
      </c>
      <c r="AU6" s="15" t="n">
        <v>0.7969359727826241</v>
      </c>
      <c r="AV6" s="15" t="n">
        <v>0.07863655304888051</v>
      </c>
      <c r="AW6" s="19" t="n">
        <v>0.8043603931993758</v>
      </c>
      <c r="AX6" s="19" t="n">
        <v>3.156568020098351e-05</v>
      </c>
      <c r="AY6" s="19" t="n">
        <v>0.9999607583344755</v>
      </c>
      <c r="AZ6" s="19" t="n">
        <v>0</v>
      </c>
      <c r="BA6" s="19" t="n">
        <v>3.924166552454202e-05</v>
      </c>
    </row>
    <row r="7">
      <c r="A7" t="inlineStr">
        <is>
          <t>A2</t>
        </is>
      </c>
      <c r="B7" t="n">
        <v>45</v>
      </c>
      <c r="C7" s="15" t="n">
        <v>0.6445560822318352</v>
      </c>
      <c r="D7" s="15" t="n">
        <v>67.92957092539413</v>
      </c>
      <c r="E7" s="15" t="n">
        <v>0.9972001436658572</v>
      </c>
      <c r="F7" s="15" t="n">
        <v>0.2347607679897167</v>
      </c>
      <c r="G7" s="19" t="n">
        <v>0.190553462862202</v>
      </c>
      <c r="H7" s="15" t="n">
        <v>0.6176425919584847</v>
      </c>
      <c r="I7" s="15" t="n">
        <v>19</v>
      </c>
      <c r="J7" s="15" t="n">
        <v>181</v>
      </c>
      <c r="K7" s="15" t="n">
        <v>0.1049723756906077</v>
      </c>
      <c r="L7" t="n">
        <v>19</v>
      </c>
      <c r="M7" t="n">
        <v>181</v>
      </c>
      <c r="N7" t="n">
        <v>0.1049723756906077</v>
      </c>
      <c r="O7" t="n">
        <v>55</v>
      </c>
      <c r="P7" t="n">
        <v>1</v>
      </c>
      <c r="Q7" s="15" t="n">
        <v>40.39467600223885</v>
      </c>
      <c r="R7" s="15" t="n">
        <v>25.42086736636113</v>
      </c>
      <c r="S7" s="15" t="n">
        <v>0.7504208365288667</v>
      </c>
      <c r="T7" s="15" t="n">
        <v>13.66728612357182</v>
      </c>
      <c r="U7" s="15" t="n">
        <v>33.4448373865147</v>
      </c>
      <c r="V7" s="15" t="n">
        <v>0.4971705690967985</v>
      </c>
      <c r="W7" t="n">
        <v>1</v>
      </c>
      <c r="X7" t="n">
        <v>0.5</v>
      </c>
      <c r="Y7" t="n">
        <v>0.25</v>
      </c>
      <c r="Z7" t="inlineStr">
        <is>
          <t>his_note_adaptive</t>
        </is>
      </c>
      <c r="AA7" t="n">
        <v>-90</v>
      </c>
      <c r="AB7" t="n">
        <v>20000</v>
      </c>
      <c r="AC7" s="15" t="n">
        <v>0.1049723756906077</v>
      </c>
      <c r="AD7" s="15" t="n">
        <v>0.4583333333333333</v>
      </c>
      <c r="AE7" t="n">
        <v>5.701960409199163</v>
      </c>
      <c r="AF7" s="15" t="n">
        <v>5.660742229044571</v>
      </c>
      <c r="AG7" s="15" t="n">
        <v>0.7920465976570608</v>
      </c>
      <c r="AH7" s="15" t="n">
        <v>0.6482509900955803</v>
      </c>
      <c r="AI7" s="15" t="n">
        <v>0.7818918274659518</v>
      </c>
      <c r="AJ7" s="15" t="n">
        <v>0.6371483260008791</v>
      </c>
      <c r="AK7" s="15" t="n">
        <v>0.4113092345811856</v>
      </c>
      <c r="AL7" s="15" t="n">
        <v>0.8109675003640169</v>
      </c>
      <c r="AM7" s="15" t="n">
        <v>0.1507295650942056</v>
      </c>
      <c r="AN7" s="15" t="n">
        <v>0.8372093023255813</v>
      </c>
      <c r="AO7" s="15" t="n">
        <v>0.6679438180594421</v>
      </c>
      <c r="AP7" s="15" t="n">
        <v>2.225094778623755</v>
      </c>
      <c r="AQ7" s="15" t="n">
        <v>0.8094765628069005</v>
      </c>
      <c r="AR7" s="15" t="n">
        <v>1403.397823703187</v>
      </c>
      <c r="AS7" s="15" t="n">
        <v>0.7523413876051952</v>
      </c>
      <c r="AT7" s="15" t="n">
        <v>1.37604219583283</v>
      </c>
      <c r="AU7" s="15" t="n">
        <v>0.7709646772236103</v>
      </c>
      <c r="AV7" s="15" t="n">
        <v>0.07808790556731487</v>
      </c>
      <c r="AW7" s="19" t="n">
        <v>0.8093734103124157</v>
      </c>
      <c r="AX7" s="19" t="n">
        <v>7.312682538225146e-05</v>
      </c>
      <c r="AY7" s="19" t="n">
        <v>0.9999096582392695</v>
      </c>
      <c r="AZ7" s="19" t="n">
        <v>0</v>
      </c>
      <c r="BA7" s="19" t="n">
        <v>9.034176073052066e-05</v>
      </c>
    </row>
    <row r="8">
      <c r="A8" t="inlineStr">
        <is>
          <t>A#2</t>
        </is>
      </c>
      <c r="B8" t="n">
        <v>46</v>
      </c>
      <c r="C8" s="15" t="n">
        <v>1.080538644285438</v>
      </c>
      <c r="D8" s="15" t="n">
        <v>72.73760930008193</v>
      </c>
      <c r="E8" s="15" t="n">
        <v>0.9979373991459404</v>
      </c>
      <c r="F8" s="15" t="n">
        <v>0.2997382001581758</v>
      </c>
      <c r="G8" s="19" t="n">
        <v>0.1642160749246901</v>
      </c>
      <c r="H8" s="15" t="n">
        <v>0.6314335731144382</v>
      </c>
      <c r="I8" s="15" t="n">
        <v>18</v>
      </c>
      <c r="J8" s="15" t="n">
        <v>171</v>
      </c>
      <c r="K8" s="15" t="n">
        <v>0.1052631578947368</v>
      </c>
      <c r="L8" t="n">
        <v>18</v>
      </c>
      <c r="M8" t="n">
        <v>171</v>
      </c>
      <c r="N8" t="n">
        <v>0.1052631578947368</v>
      </c>
      <c r="O8" t="n">
        <v>58</v>
      </c>
      <c r="P8" t="n">
        <v>0</v>
      </c>
      <c r="Q8" s="15" t="n">
        <v>39.65052058845156</v>
      </c>
      <c r="R8" s="15" t="n">
        <v>24.34266029330881</v>
      </c>
      <c r="S8" s="15" t="n">
        <v>0.7074075762830898</v>
      </c>
      <c r="T8" s="15" t="n">
        <v>13.73589614929181</v>
      </c>
      <c r="U8" s="15" t="n">
        <v>33.33221781866483</v>
      </c>
      <c r="V8" s="15" t="n">
        <v>0</v>
      </c>
      <c r="W8" t="n">
        <v>1</v>
      </c>
      <c r="X8" t="n">
        <v>0.5</v>
      </c>
      <c r="Y8" t="n">
        <v>0.25</v>
      </c>
      <c r="Z8" t="inlineStr">
        <is>
          <t>his_note_adaptive</t>
        </is>
      </c>
      <c r="AA8" t="n">
        <v>-90</v>
      </c>
      <c r="AB8" t="n">
        <v>20000</v>
      </c>
      <c r="AC8" s="15" t="n">
        <v>0.1052631578947368</v>
      </c>
      <c r="AD8" s="15" t="n">
        <v>0.4833333333333333</v>
      </c>
      <c r="AE8" t="n">
        <v>6.768083172560247</v>
      </c>
      <c r="AF8" s="15" t="n">
        <v>6.718803414508761</v>
      </c>
      <c r="AG8" s="15" t="n">
        <v>0.9231053606938501</v>
      </c>
      <c r="AH8" s="15" t="n">
        <v>0.7054836159295174</v>
      </c>
      <c r="AI8" s="15" t="n">
        <v>0.8740330964027756</v>
      </c>
      <c r="AJ8" s="15" t="n">
        <v>0.9965499557749776</v>
      </c>
      <c r="AK8" s="15" t="n">
        <v>0.1665331888562866</v>
      </c>
      <c r="AL8" s="15" t="n">
        <v>0.8356140723923624</v>
      </c>
      <c r="AM8" s="15" t="n">
        <v>0.1538461538461533</v>
      </c>
      <c r="AN8" s="15" t="n">
        <v>0.9069767441860462</v>
      </c>
      <c r="AO8" s="15" t="n">
        <v>0.8275348260720851</v>
      </c>
      <c r="AP8" s="15" t="n">
        <v>2.243271670395307</v>
      </c>
      <c r="AQ8" s="15" t="n">
        <v>0.8531881201231523</v>
      </c>
      <c r="AR8" s="15" t="n">
        <v>1724.204961278645</v>
      </c>
      <c r="AS8" s="15" t="n">
        <v>0.9350761276558657</v>
      </c>
      <c r="AT8" s="15" t="n">
        <v>1.382901544501452</v>
      </c>
      <c r="AU8" s="15" t="n">
        <v>0.7882836955195851</v>
      </c>
      <c r="AV8" s="15" t="n">
        <v>0.0720864303742703</v>
      </c>
      <c r="AW8" s="19" t="n">
        <v>0.8357676817056439</v>
      </c>
      <c r="AX8" s="19" t="n">
        <v>1.624336966586492e-05</v>
      </c>
      <c r="AY8" s="19" t="n">
        <v>0.9999805651087816</v>
      </c>
      <c r="AZ8" s="19" t="n">
        <v>0</v>
      </c>
      <c r="BA8" s="19" t="n">
        <v>1.943489121832689e-05</v>
      </c>
    </row>
    <row r="9">
      <c r="A9" t="inlineStr">
        <is>
          <t>B2</t>
        </is>
      </c>
      <c r="B9" t="n">
        <v>47</v>
      </c>
      <c r="C9" s="15" t="n">
        <v>0.4441175576592644</v>
      </c>
      <c r="D9" s="15" t="n">
        <v>63.86538560645677</v>
      </c>
      <c r="E9" s="15" t="n">
        <v>0.996279729333978</v>
      </c>
      <c r="F9" s="15" t="n">
        <v>0.272907240460761</v>
      </c>
      <c r="G9" s="19" t="n">
        <v>0.1525312491233274</v>
      </c>
      <c r="H9" s="15" t="n">
        <v>0.5379048351930975</v>
      </c>
      <c r="I9" s="15" t="n">
        <v>26</v>
      </c>
      <c r="J9" s="15" t="n">
        <v>162</v>
      </c>
      <c r="K9" s="15" t="n">
        <v>0.1604938271604938</v>
      </c>
      <c r="L9" t="n">
        <v>26</v>
      </c>
      <c r="M9" t="n">
        <v>162</v>
      </c>
      <c r="N9" t="n">
        <v>0.1604938271604938</v>
      </c>
      <c r="O9" t="n">
        <v>48</v>
      </c>
      <c r="P9" t="n">
        <v>1</v>
      </c>
      <c r="Q9" s="15" t="n">
        <v>34.43055050279921</v>
      </c>
      <c r="R9" s="15" t="n">
        <v>20.25459087742519</v>
      </c>
      <c r="S9" s="15" t="n">
        <v>0.5443209131707707</v>
      </c>
      <c r="T9" s="15" t="n">
        <v>16.2898997345132</v>
      </c>
      <c r="U9" s="15" t="n">
        <v>26.63636033745546</v>
      </c>
      <c r="V9" s="15" t="n">
        <v>0.4498717096323312</v>
      </c>
      <c r="W9" t="n">
        <v>1</v>
      </c>
      <c r="X9" t="n">
        <v>0.5</v>
      </c>
      <c r="Y9" t="n">
        <v>0.25</v>
      </c>
      <c r="Z9" t="inlineStr">
        <is>
          <t>his_note_adaptive</t>
        </is>
      </c>
      <c r="AA9" t="n">
        <v>-90</v>
      </c>
      <c r="AB9" t="n">
        <v>20000</v>
      </c>
      <c r="AC9" s="15" t="n">
        <v>0.1604938271604938</v>
      </c>
      <c r="AD9" s="15" t="n">
        <v>0.4</v>
      </c>
      <c r="AE9" t="n">
        <v>4.378662936891548</v>
      </c>
      <c r="AF9" s="15" t="n">
        <v>4.338289951272674</v>
      </c>
      <c r="AG9" s="15" t="n">
        <v>0.7317936715499599</v>
      </c>
      <c r="AH9" s="15" t="n">
        <v>0.5998728409312393</v>
      </c>
      <c r="AI9" s="15" t="n">
        <v>0.6668595940298349</v>
      </c>
      <c r="AJ9" s="15" t="n">
        <v>0.8481431886584567</v>
      </c>
      <c r="AK9" s="15" t="n">
        <v>0.05793603178710872</v>
      </c>
      <c r="AL9" s="15" t="n">
        <v>0.6684640524024175</v>
      </c>
      <c r="AM9" s="15" t="n">
        <v>0.745805634694523</v>
      </c>
      <c r="AN9" s="15" t="n">
        <v>0.6744186046511629</v>
      </c>
      <c r="AO9" s="15" t="n">
        <v>0.4684737921689821</v>
      </c>
      <c r="AP9" s="15" t="n">
        <v>2.26204786936453</v>
      </c>
      <c r="AQ9" s="15" t="n">
        <v>0.8983408837386054</v>
      </c>
      <c r="AR9" s="15" t="n">
        <v>1169.565244480729</v>
      </c>
      <c r="AS9" s="15" t="n">
        <v>0.6191481678329476</v>
      </c>
      <c r="AT9" s="15" t="n">
        <v>1.367413008087286</v>
      </c>
      <c r="AU9" s="15" t="n">
        <v>0.8159987250029223</v>
      </c>
      <c r="AV9" s="15" t="n">
        <v>0.07863613627432217</v>
      </c>
      <c r="AW9" s="19" t="n">
        <v>0.8474489093907634</v>
      </c>
      <c r="AX9" s="19" t="n">
        <v>1.984148590917411e-05</v>
      </c>
      <c r="AY9" s="19" t="n">
        <v>0.9999765873539425</v>
      </c>
      <c r="AZ9" s="19" t="n">
        <v>0</v>
      </c>
      <c r="BA9" s="19" t="n">
        <v>2.341264605762617e-05</v>
      </c>
    </row>
    <row r="10">
      <c r="A10" t="inlineStr">
        <is>
          <t>C3</t>
        </is>
      </c>
      <c r="B10" t="n">
        <v>48</v>
      </c>
      <c r="C10" s="15" t="n">
        <v>0.8137092248697317</v>
      </c>
      <c r="D10" s="15" t="n">
        <v>64.12144228799113</v>
      </c>
      <c r="E10" s="15" t="n">
        <v>0.9981055429542416</v>
      </c>
      <c r="F10" s="15" t="n">
        <v>0.2822755144023721</v>
      </c>
      <c r="G10" s="19" t="n">
        <v>0.158522924321119</v>
      </c>
      <c r="H10" s="15" t="n">
        <v>0.6296295348894356</v>
      </c>
      <c r="I10" s="15" t="n">
        <v>15</v>
      </c>
      <c r="J10" s="15" t="n">
        <v>153</v>
      </c>
      <c r="K10" s="15" t="n">
        <v>0.09803921568627451</v>
      </c>
      <c r="L10" t="n">
        <v>15</v>
      </c>
      <c r="M10" t="n">
        <v>153</v>
      </c>
      <c r="N10" t="n">
        <v>0.09803921568627451</v>
      </c>
      <c r="O10" t="n">
        <v>51</v>
      </c>
      <c r="P10" t="n">
        <v>2</v>
      </c>
      <c r="Q10" s="15" t="n">
        <v>33.54299068543824</v>
      </c>
      <c r="R10" s="15" t="n">
        <v>20.25058969767785</v>
      </c>
      <c r="S10" s="15" t="n">
        <v>0.5441612928250469</v>
      </c>
      <c r="T10" s="15" t="n">
        <v>11.54672461686902</v>
      </c>
      <c r="U10" s="15" t="n">
        <v>28.44548553520614</v>
      </c>
      <c r="V10" s="15" t="n">
        <v>0.9410268740072363</v>
      </c>
      <c r="W10" t="n">
        <v>1</v>
      </c>
      <c r="X10" t="n">
        <v>0.5</v>
      </c>
      <c r="Y10" t="n">
        <v>0.25</v>
      </c>
      <c r="Z10" t="inlineStr">
        <is>
          <t>his_note_adaptive</t>
        </is>
      </c>
      <c r="AA10" t="n">
        <v>-90</v>
      </c>
      <c r="AB10" t="n">
        <v>20000</v>
      </c>
      <c r="AC10" s="15" t="n">
        <v>0.09803921568627451</v>
      </c>
      <c r="AD10" s="15" t="n">
        <v>0.425</v>
      </c>
      <c r="AE10" t="n">
        <v>4.092270186006913</v>
      </c>
      <c r="AF10" s="15" t="n">
        <v>4.064577827402366</v>
      </c>
      <c r="AG10" s="15" t="n">
        <v>0.8428949653841687</v>
      </c>
      <c r="AH10" s="15" t="n">
        <v>0.6029208191511484</v>
      </c>
      <c r="AI10" s="15" t="n">
        <v>0.8950474995225676</v>
      </c>
      <c r="AJ10" s="15" t="n">
        <v>0.8999607630134436</v>
      </c>
      <c r="AK10" s="15" t="n">
        <v>0.1136218334946689</v>
      </c>
      <c r="AL10" s="15" t="n">
        <v>0.8323899828550332</v>
      </c>
      <c r="AM10" s="15" t="n">
        <v>0.07642031171442931</v>
      </c>
      <c r="AN10" s="15" t="n">
        <v>0.7441860465116279</v>
      </c>
      <c r="AO10" s="15" t="n">
        <v>0.4271888510390608</v>
      </c>
      <c r="AP10" s="15" t="n">
        <v>2.166326320703827</v>
      </c>
      <c r="AQ10" s="15" t="n">
        <v>0.66815092534147</v>
      </c>
      <c r="AR10" s="15" t="n">
        <v>1118.5485335353</v>
      </c>
      <c r="AS10" s="15" t="n">
        <v>0.5900885730767044</v>
      </c>
      <c r="AT10" s="15" t="n">
        <v>1.360563541324764</v>
      </c>
      <c r="AU10" s="15" t="n">
        <v>0.7190291415047334</v>
      </c>
      <c r="AV10" s="15" t="n">
        <v>0.08673363787432994</v>
      </c>
      <c r="AW10" s="19" t="n">
        <v>0.8414122407825461</v>
      </c>
      <c r="AX10" s="19" t="n">
        <v>6.483489633485979e-05</v>
      </c>
      <c r="AY10" s="19" t="n">
        <v>0.9995779076237792</v>
      </c>
      <c r="AZ10" s="19" t="n">
        <v>0.000345070047713698</v>
      </c>
      <c r="BA10" s="19" t="n">
        <v>7.702232850704699e-05</v>
      </c>
    </row>
    <row r="11">
      <c r="A11" t="inlineStr">
        <is>
          <t>C#3</t>
        </is>
      </c>
      <c r="B11" t="n">
        <v>49</v>
      </c>
      <c r="C11" s="15" t="n">
        <v>0.7825595668642553</v>
      </c>
      <c r="D11" s="15" t="n">
        <v>61.51469961450357</v>
      </c>
      <c r="E11" s="15" t="n">
        <v>0.9979555358596834</v>
      </c>
      <c r="F11" s="15" t="n">
        <v>0.3003619452835123</v>
      </c>
      <c r="G11" s="19" t="n">
        <v>0.1499705784696892</v>
      </c>
      <c r="H11" s="15" t="n">
        <v>0.5871837974940896</v>
      </c>
      <c r="I11" s="15" t="n">
        <v>16</v>
      </c>
      <c r="J11" s="15" t="n">
        <v>144</v>
      </c>
      <c r="K11" s="15" t="n">
        <v>0.1111111111111111</v>
      </c>
      <c r="L11" t="n">
        <v>16</v>
      </c>
      <c r="M11" t="n">
        <v>144</v>
      </c>
      <c r="N11" t="n">
        <v>0.1111111111111111</v>
      </c>
      <c r="O11" t="n">
        <v>48</v>
      </c>
      <c r="P11" t="n">
        <v>1</v>
      </c>
      <c r="Q11" s="15" t="n">
        <v>30.49661598866805</v>
      </c>
      <c r="R11" s="15" t="n">
        <v>18.46401913698605</v>
      </c>
      <c r="S11" s="15" t="n">
        <v>0.472889060992126</v>
      </c>
      <c r="T11" s="15" t="n">
        <v>11.96068905815718</v>
      </c>
      <c r="U11" s="15" t="n">
        <v>26.31643855928474</v>
      </c>
      <c r="V11" s="15" t="n">
        <v>0.4410528287993578</v>
      </c>
      <c r="W11" t="n">
        <v>1</v>
      </c>
      <c r="X11" t="n">
        <v>0.5</v>
      </c>
      <c r="Y11" t="n">
        <v>0.25</v>
      </c>
      <c r="Z11" t="inlineStr">
        <is>
          <t>his_note_adaptive</t>
        </is>
      </c>
      <c r="AA11" t="n">
        <v>-90</v>
      </c>
      <c r="AB11" t="n">
        <v>20000</v>
      </c>
      <c r="AC11" s="15" t="n">
        <v>0.1111111111111111</v>
      </c>
      <c r="AD11" s="15" t="n">
        <v>0.4</v>
      </c>
      <c r="AE11" t="n">
        <v>4.706381737501154</v>
      </c>
      <c r="AF11" s="15" t="n">
        <v>4.673541684036456</v>
      </c>
      <c r="AG11" s="15" t="n">
        <v>0.8335312063659474</v>
      </c>
      <c r="AH11" s="15" t="n">
        <v>0.5718913812701004</v>
      </c>
      <c r="AI11" s="15" t="n">
        <v>0.8762998002303843</v>
      </c>
      <c r="AJ11" s="15" t="n">
        <v>1</v>
      </c>
      <c r="AK11" s="15" t="n">
        <v>0.03413751241652876</v>
      </c>
      <c r="AL11" s="15" t="n">
        <v>0.7565330215423839</v>
      </c>
      <c r="AM11" s="15" t="n">
        <v>0.2165242165242164</v>
      </c>
      <c r="AN11" s="15" t="n">
        <v>0.6744186046511629</v>
      </c>
      <c r="AO11" s="15" t="n">
        <v>0.5190409641858673</v>
      </c>
      <c r="AP11" s="15" t="n">
        <v>2.202690525463241</v>
      </c>
      <c r="AQ11" s="15" t="n">
        <v>0.7555991007819378</v>
      </c>
      <c r="AR11" s="15" t="n">
        <v>1403.896563774699</v>
      </c>
      <c r="AS11" s="15" t="n">
        <v>0.7526254746052831</v>
      </c>
      <c r="AT11" s="15" t="n">
        <v>1.359872366507379</v>
      </c>
      <c r="AU11" s="15" t="n">
        <v>0.7645717040284482</v>
      </c>
      <c r="AV11" s="15" t="n">
        <v>0.07824645492741336</v>
      </c>
      <c r="AW11" s="19" t="n">
        <v>0.8500133194765093</v>
      </c>
      <c r="AX11" s="19" t="n">
        <v>1.610205380149644e-05</v>
      </c>
      <c r="AY11" s="19" t="n">
        <v>0.9999810570629749</v>
      </c>
      <c r="AZ11" s="19" t="n">
        <v>0</v>
      </c>
      <c r="BA11" s="19" t="n">
        <v>1.894293702505951e-05</v>
      </c>
    </row>
    <row r="12">
      <c r="A12" t="inlineStr">
        <is>
          <t>D3</t>
        </is>
      </c>
      <c r="B12" t="n">
        <v>50</v>
      </c>
      <c r="C12" s="15" t="n">
        <v>0.4653328892217012</v>
      </c>
      <c r="D12" s="15" t="n">
        <v>54.86630599456202</v>
      </c>
      <c r="E12" s="15" t="n">
        <v>0.9975052268661563</v>
      </c>
      <c r="F12" s="15" t="n">
        <v>0.2766987376677066</v>
      </c>
      <c r="G12" s="19" t="n">
        <v>0.164010121395662</v>
      </c>
      <c r="H12" s="15" t="n">
        <v>0.5643835862429681</v>
      </c>
      <c r="I12" s="15" t="n">
        <v>23</v>
      </c>
      <c r="J12" s="15" t="n">
        <v>136</v>
      </c>
      <c r="K12" s="15" t="n">
        <v>0.1691176470588235</v>
      </c>
      <c r="L12" t="n">
        <v>23</v>
      </c>
      <c r="M12" t="n">
        <v>136</v>
      </c>
      <c r="N12" t="n">
        <v>0.1691176470588235</v>
      </c>
      <c r="O12" t="n">
        <v>40</v>
      </c>
      <c r="P12" t="n">
        <v>2</v>
      </c>
      <c r="Q12" s="15" t="n">
        <v>29.21247538641845</v>
      </c>
      <c r="R12" s="15" t="n">
        <v>17.05316431874557</v>
      </c>
      <c r="S12" s="15" t="n">
        <v>0.4166053776601383</v>
      </c>
      <c r="T12" s="15" t="n">
        <v>13.82952265273711</v>
      </c>
      <c r="U12" s="15" t="n">
        <v>22.65142143800965</v>
      </c>
      <c r="V12" s="15" t="n">
        <v>1.055009824353693</v>
      </c>
      <c r="W12" t="n">
        <v>1</v>
      </c>
      <c r="X12" t="n">
        <v>0.5</v>
      </c>
      <c r="Y12" t="n">
        <v>0.25</v>
      </c>
      <c r="Z12" t="inlineStr">
        <is>
          <t>his_note_adaptive</t>
        </is>
      </c>
      <c r="AA12" t="n">
        <v>-90</v>
      </c>
      <c r="AB12" t="n">
        <v>20000</v>
      </c>
      <c r="AC12" s="15" t="n">
        <v>0.1691176470588235</v>
      </c>
      <c r="AD12" s="15" t="n">
        <v>0.3333333333333333</v>
      </c>
      <c r="AE12" t="n">
        <v>5.436031159084131</v>
      </c>
      <c r="AF12" s="15" t="n">
        <v>5.386777042434508</v>
      </c>
      <c r="AG12" s="15" t="n">
        <v>0.7381711172415756</v>
      </c>
      <c r="AH12" s="15" t="n">
        <v>0.492752032788599</v>
      </c>
      <c r="AI12" s="15" t="n">
        <v>0.820020744735843</v>
      </c>
      <c r="AJ12" s="15" t="n">
        <v>0.869114627971838</v>
      </c>
      <c r="AK12" s="15" t="n">
        <v>0.1646190852041627</v>
      </c>
      <c r="AL12" s="15" t="n">
        <v>0.7157855908478195</v>
      </c>
      <c r="AM12" s="15" t="n">
        <v>0.8382352941176467</v>
      </c>
      <c r="AN12" s="15" t="n">
        <v>0.4883720930232558</v>
      </c>
      <c r="AO12" s="15" t="n">
        <v>0.6266207066060246</v>
      </c>
      <c r="AP12" s="15" t="n">
        <v>2.222981004751682</v>
      </c>
      <c r="AQ12" s="15" t="n">
        <v>0.8043933863802615</v>
      </c>
      <c r="AR12" s="15" t="n">
        <v>1762.12356141741</v>
      </c>
      <c r="AS12" s="15" t="n">
        <v>0.9566749162358509</v>
      </c>
      <c r="AT12" s="15" t="n">
        <v>1.351965947580225</v>
      </c>
      <c r="AU12" s="15" t="n">
        <v>0.7733026518294845</v>
      </c>
      <c r="AV12" s="15" t="n">
        <v>0.09771240534197174</v>
      </c>
      <c r="AW12" s="19" t="n">
        <v>0.8358711154184798</v>
      </c>
      <c r="AX12" s="19" t="n">
        <v>0.0001187631858581358</v>
      </c>
      <c r="AY12" s="19" t="n">
        <v>0.9998579370529505</v>
      </c>
      <c r="AZ12" s="19" t="n">
        <v>0</v>
      </c>
      <c r="BA12" s="19" t="n">
        <v>0.0001420629470495596</v>
      </c>
    </row>
    <row r="13">
      <c r="A13" t="inlineStr">
        <is>
          <t>D#3</t>
        </is>
      </c>
      <c r="B13" t="n">
        <v>51</v>
      </c>
      <c r="C13" s="15" t="n">
        <v>0.2187287055456821</v>
      </c>
      <c r="D13" s="15" t="n">
        <v>52.68298251781204</v>
      </c>
      <c r="E13" s="15" t="n">
        <v>0.9961195003512774</v>
      </c>
      <c r="F13" s="15" t="n">
        <v>0.2787541575916573</v>
      </c>
      <c r="G13" s="19" t="n">
        <v>0.1780716506914811</v>
      </c>
      <c r="H13" s="15" t="n">
        <v>0.5584805510032278</v>
      </c>
      <c r="I13" s="15" t="n">
        <v>22</v>
      </c>
      <c r="J13" s="15" t="n">
        <v>128</v>
      </c>
      <c r="K13" s="15" t="n">
        <v>0.171875</v>
      </c>
      <c r="L13" t="n">
        <v>22</v>
      </c>
      <c r="M13" t="n">
        <v>128</v>
      </c>
      <c r="N13" t="n">
        <v>0.171875</v>
      </c>
      <c r="O13" t="n">
        <v>37</v>
      </c>
      <c r="P13" t="n">
        <v>1</v>
      </c>
      <c r="Q13" s="15" t="n">
        <v>27.56510706917228</v>
      </c>
      <c r="R13" s="15" t="n">
        <v>16.5561588517947</v>
      </c>
      <c r="S13" s="15" t="n">
        <v>0.3967781793159347</v>
      </c>
      <c r="T13" s="15" t="n">
        <v>13.91102891263329</v>
      </c>
      <c r="U13" s="15" t="n">
        <v>21.04089753908177</v>
      </c>
      <c r="V13" s="15" t="n">
        <v>0.4994911563318187</v>
      </c>
      <c r="W13" t="n">
        <v>1</v>
      </c>
      <c r="X13" t="n">
        <v>0.5</v>
      </c>
      <c r="Y13" t="n">
        <v>0.25</v>
      </c>
      <c r="Z13" t="inlineStr">
        <is>
          <t>his_note_adaptive</t>
        </is>
      </c>
      <c r="AA13" t="n">
        <v>-90</v>
      </c>
      <c r="AB13" t="n">
        <v>20000</v>
      </c>
      <c r="AC13" s="15" t="n">
        <v>0.171875</v>
      </c>
      <c r="AD13" s="15" t="n">
        <v>0.3083333333333333</v>
      </c>
      <c r="AE13" t="n">
        <v>5.125981581563789</v>
      </c>
      <c r="AF13" s="15" t="n">
        <v>5.093556470243316</v>
      </c>
      <c r="AG13" s="15" t="n">
        <v>0.6640405393578146</v>
      </c>
      <c r="AH13" s="15" t="n">
        <v>0.4667627777366578</v>
      </c>
      <c r="AI13" s="15" t="n">
        <v>0.6468343759265711</v>
      </c>
      <c r="AJ13" s="15" t="n">
        <v>0.8804835178445994</v>
      </c>
      <c r="AK13" s="15" t="n">
        <v>0.2953049962763515</v>
      </c>
      <c r="AL13" s="15" t="n">
        <v>0.7052359728346503</v>
      </c>
      <c r="AM13" s="15" t="n">
        <v>0.8677884615384613</v>
      </c>
      <c r="AN13" s="15" t="n">
        <v>0.4186046511627906</v>
      </c>
      <c r="AO13" s="15" t="n">
        <v>0.582393239112728</v>
      </c>
      <c r="AP13" s="15" t="n">
        <v>2.196741256688773</v>
      </c>
      <c r="AQ13" s="15" t="n">
        <v>0.7412923751715704</v>
      </c>
      <c r="AR13" s="15" t="n">
        <v>1838.184610913196</v>
      </c>
      <c r="AS13" s="15" t="n">
        <v>1</v>
      </c>
      <c r="AT13" s="15" t="n">
        <v>1.355467484303361</v>
      </c>
      <c r="AU13" s="15" t="n">
        <v>0.7519888064834276</v>
      </c>
      <c r="AV13" s="15" t="n">
        <v>0.08928496590198429</v>
      </c>
      <c r="AW13" s="19" t="n">
        <v>0.8218997334450422</v>
      </c>
      <c r="AX13" s="19" t="n">
        <v>2.861586347670344e-05</v>
      </c>
      <c r="AY13" s="19" t="n">
        <v>0.9999651844792787</v>
      </c>
      <c r="AZ13" s="19" t="n">
        <v>0</v>
      </c>
      <c r="BA13" s="19" t="n">
        <v>3.481552072121337e-05</v>
      </c>
    </row>
    <row r="14">
      <c r="A14" t="inlineStr">
        <is>
          <t>E3</t>
        </is>
      </c>
      <c r="B14" t="n">
        <v>52</v>
      </c>
      <c r="C14" s="15" t="n">
        <v>0.2026556184305351</v>
      </c>
      <c r="D14" s="15" t="n">
        <v>47.99327595579734</v>
      </c>
      <c r="E14" s="15" t="n">
        <v>0.9963494653851905</v>
      </c>
      <c r="F14" s="15" t="n">
        <v>0.2667219544239845</v>
      </c>
      <c r="G14" s="19" t="n">
        <v>0.1864887586133378</v>
      </c>
      <c r="H14" s="15" t="n">
        <v>0.5463542441263268</v>
      </c>
      <c r="I14" s="15" t="n">
        <v>14</v>
      </c>
      <c r="J14" s="15" t="n">
        <v>121</v>
      </c>
      <c r="K14" s="15" t="n">
        <v>0.115702479338843</v>
      </c>
      <c r="L14" t="n">
        <v>14</v>
      </c>
      <c r="M14" t="n">
        <v>121</v>
      </c>
      <c r="N14" t="n">
        <v>0.115702479338843</v>
      </c>
      <c r="O14" t="n">
        <v>46</v>
      </c>
      <c r="P14" t="n">
        <v>2</v>
      </c>
      <c r="Q14" s="15" t="n">
        <v>30.59416005892306</v>
      </c>
      <c r="R14" s="15" t="n">
        <v>17.41237312714431</v>
      </c>
      <c r="S14" s="15" t="n">
        <v>0.4309354097517389</v>
      </c>
      <c r="T14" s="15" t="n">
        <v>10.35063256304444</v>
      </c>
      <c r="U14" s="15" t="n">
        <v>23.9688669318626</v>
      </c>
      <c r="V14" s="15" t="n">
        <v>0.9799579992129607</v>
      </c>
      <c r="W14" t="n">
        <v>1</v>
      </c>
      <c r="X14" t="n">
        <v>0.5</v>
      </c>
      <c r="Y14" t="n">
        <v>0.25</v>
      </c>
      <c r="Z14" t="inlineStr">
        <is>
          <t>his_note_adaptive</t>
        </is>
      </c>
      <c r="AA14" t="n">
        <v>-90</v>
      </c>
      <c r="AB14" t="n">
        <v>20000</v>
      </c>
      <c r="AC14" s="15" t="n">
        <v>0.115702479338843</v>
      </c>
      <c r="AD14" s="15" t="n">
        <v>0.3833333333333334</v>
      </c>
      <c r="AE14" t="n">
        <v>4.428526199870485</v>
      </c>
      <c r="AF14" s="15" t="n">
        <v>4.401954573780207</v>
      </c>
      <c r="AG14" s="15" t="n">
        <v>0.6592088807117178</v>
      </c>
      <c r="AH14" s="15" t="n">
        <v>0.4109387181060657</v>
      </c>
      <c r="AI14" s="15" t="n">
        <v>0.6755751185975736</v>
      </c>
      <c r="AJ14" s="15" t="n">
        <v>0.8139312814154445</v>
      </c>
      <c r="AK14" s="15" t="n">
        <v>0.3735324347163405</v>
      </c>
      <c r="AL14" s="15" t="n">
        <v>0.6835644258649599</v>
      </c>
      <c r="AM14" s="15" t="n">
        <v>0.265734265734266</v>
      </c>
      <c r="AN14" s="15" t="n">
        <v>0.6279069767441863</v>
      </c>
      <c r="AO14" s="15" t="n">
        <v>0.4780765461687559</v>
      </c>
      <c r="AP14" s="15" t="n">
        <v>2.154523775752077</v>
      </c>
      <c r="AQ14" s="15" t="n">
        <v>0.6397683158931656</v>
      </c>
      <c r="AR14" s="15" t="n">
        <v>1612.757456320435</v>
      </c>
      <c r="AS14" s="15" t="n">
        <v>0.8715945885549967</v>
      </c>
      <c r="AT14" s="15" t="n">
        <v>1.339385768197486</v>
      </c>
      <c r="AU14" s="15" t="n">
        <v>0.7245978428905782</v>
      </c>
      <c r="AV14" s="15" t="n">
        <v>0.09054016466401339</v>
      </c>
      <c r="AW14" s="19" t="n">
        <v>0.8134534187938108</v>
      </c>
      <c r="AX14" s="19" t="n">
        <v>5.78225928513628e-05</v>
      </c>
      <c r="AY14" s="19" t="n">
        <v>0.9999289221956504</v>
      </c>
      <c r="AZ14" s="19" t="n">
        <v>0</v>
      </c>
      <c r="BA14" s="19" t="n">
        <v>7.107780434945421e-05</v>
      </c>
    </row>
    <row r="15">
      <c r="A15" t="inlineStr">
        <is>
          <t>F3</t>
        </is>
      </c>
      <c r="B15" t="n">
        <v>53</v>
      </c>
      <c r="C15" s="15" t="n">
        <v>0.1030027132192868</v>
      </c>
      <c r="D15" s="15" t="n">
        <v>47.9140730041735</v>
      </c>
      <c r="E15" s="15" t="n">
        <v>0.9954591313521191</v>
      </c>
      <c r="F15" s="15" t="n">
        <v>0.2996298460828559</v>
      </c>
      <c r="G15" s="19" t="n">
        <v>0.1743450761790238</v>
      </c>
      <c r="H15" s="15" t="n">
        <v>0.5335502439969516</v>
      </c>
      <c r="I15" s="15" t="n">
        <v>21</v>
      </c>
      <c r="J15" s="15" t="n">
        <v>114</v>
      </c>
      <c r="K15" s="15" t="n">
        <v>0.1842105263157895</v>
      </c>
      <c r="L15" t="n">
        <v>21</v>
      </c>
      <c r="M15" t="n">
        <v>114</v>
      </c>
      <c r="N15" t="n">
        <v>0.1842105263157895</v>
      </c>
      <c r="O15" t="n">
        <v>36</v>
      </c>
      <c r="P15" t="n">
        <v>2</v>
      </c>
      <c r="Q15" s="15" t="n">
        <v>26.10457511600968</v>
      </c>
      <c r="R15" s="15" t="n">
        <v>15.16052795254452</v>
      </c>
      <c r="S15" s="15" t="n">
        <v>0.3411018286622949</v>
      </c>
      <c r="T15" s="15" t="n">
        <v>13.045770673</v>
      </c>
      <c r="U15" s="15" t="n">
        <v>19.26073047694112</v>
      </c>
      <c r="V15" s="15" t="n">
        <v>0.9529996587827072</v>
      </c>
      <c r="W15" t="n">
        <v>1</v>
      </c>
      <c r="X15" t="n">
        <v>0.5</v>
      </c>
      <c r="Y15" t="n">
        <v>0.25</v>
      </c>
      <c r="Z15" t="inlineStr">
        <is>
          <t>his_note_adaptive</t>
        </is>
      </c>
      <c r="AA15" t="n">
        <v>-90</v>
      </c>
      <c r="AB15" t="n">
        <v>20000</v>
      </c>
      <c r="AC15" s="15" t="n">
        <v>0.1842105263157895</v>
      </c>
      <c r="AD15" s="15" t="n">
        <v>0.3</v>
      </c>
      <c r="AE15" t="n">
        <v>4.52472966120046</v>
      </c>
      <c r="AF15" s="15" t="n">
        <v>4.495251095501518</v>
      </c>
      <c r="AG15" s="15" t="n">
        <v>0.6292526677189538</v>
      </c>
      <c r="AH15" s="15" t="n">
        <v>0.4099959234480416</v>
      </c>
      <c r="AI15" s="15" t="n">
        <v>0.5643022833307676</v>
      </c>
      <c r="AJ15" s="15" t="n">
        <v>0.9959506302866807</v>
      </c>
      <c r="AK15" s="15" t="n">
        <v>0.2606707274785989</v>
      </c>
      <c r="AL15" s="15" t="n">
        <v>0.6606817384135771</v>
      </c>
      <c r="AM15" s="15" t="n">
        <v>1</v>
      </c>
      <c r="AN15" s="15" t="n">
        <v>0.3953488372093023</v>
      </c>
      <c r="AO15" s="15" t="n">
        <v>0.4921487814516761</v>
      </c>
      <c r="AP15" s="15" t="n">
        <v>2.182096180353036</v>
      </c>
      <c r="AQ15" s="15" t="n">
        <v>0.7060740825340824</v>
      </c>
      <c r="AR15" s="15" t="n">
        <v>1773.257033137203</v>
      </c>
      <c r="AS15" s="15" t="n">
        <v>0.9630166456498336</v>
      </c>
      <c r="AT15" s="15" t="n">
        <v>1.343164497990153</v>
      </c>
      <c r="AU15" s="15" t="n">
        <v>0.7507150624254924</v>
      </c>
      <c r="AV15" s="15" t="n">
        <v>0.08821661993738997</v>
      </c>
      <c r="AW15" s="19" t="n">
        <v>0.825609759723652</v>
      </c>
      <c r="AX15" s="19" t="n">
        <v>4.516409732414804e-05</v>
      </c>
      <c r="AY15" s="19" t="n">
        <v>0.9999452990637843</v>
      </c>
      <c r="AZ15" s="19" t="n">
        <v>0</v>
      </c>
      <c r="BA15" s="19" t="n">
        <v>5.470093621574624e-05</v>
      </c>
    </row>
    <row r="16">
      <c r="A16" t="inlineStr">
        <is>
          <t>F#3</t>
        </is>
      </c>
      <c r="B16" t="n">
        <v>54</v>
      </c>
      <c r="C16" s="15" t="n">
        <v>0.1819005944804651</v>
      </c>
      <c r="D16" s="15" t="n">
        <v>45.13568704710594</v>
      </c>
      <c r="E16" s="15" t="n">
        <v>0.9964495951182072</v>
      </c>
      <c r="F16" s="15" t="n">
        <v>0.3001743415625641</v>
      </c>
      <c r="G16" s="19" t="n">
        <v>0.1462974538995414</v>
      </c>
      <c r="H16" s="15" t="n">
        <v>0.5457762397146269</v>
      </c>
      <c r="I16" s="15" t="n">
        <v>12</v>
      </c>
      <c r="J16" s="15" t="n">
        <v>107</v>
      </c>
      <c r="K16" s="15" t="n">
        <v>0.1121495327102804</v>
      </c>
      <c r="L16" t="n">
        <v>12</v>
      </c>
      <c r="M16" t="n">
        <v>107</v>
      </c>
      <c r="N16" t="n">
        <v>0.1121495327102804</v>
      </c>
      <c r="O16" t="n">
        <v>39</v>
      </c>
      <c r="P16" t="n">
        <v>2</v>
      </c>
      <c r="Q16" s="15" t="n">
        <v>22.5737574672693</v>
      </c>
      <c r="R16" s="15" t="n">
        <v>13.66045321138673</v>
      </c>
      <c r="S16" s="15" t="n">
        <v>0.2812588663574043</v>
      </c>
      <c r="T16" s="15" t="n">
        <v>9.288605818201734</v>
      </c>
      <c r="U16" s="15" t="n">
        <v>20.4526309035652</v>
      </c>
      <c r="V16" s="15" t="n">
        <v>0.9256754936765483</v>
      </c>
      <c r="W16" t="n">
        <v>1</v>
      </c>
      <c r="X16" t="n">
        <v>0.5</v>
      </c>
      <c r="Y16" t="n">
        <v>0.25</v>
      </c>
      <c r="Z16" t="inlineStr">
        <is>
          <t>his_note_adaptive</t>
        </is>
      </c>
      <c r="AA16" t="n">
        <v>-90</v>
      </c>
      <c r="AB16" t="n">
        <v>20000</v>
      </c>
      <c r="AC16" s="15" t="n">
        <v>0.1121495327102804</v>
      </c>
      <c r="AD16" s="15" t="n">
        <v>0.325</v>
      </c>
      <c r="AE16" t="n">
        <v>4.132647090131949</v>
      </c>
      <c r="AF16" s="15" t="n">
        <v>4.109781548413761</v>
      </c>
      <c r="AG16" s="15" t="n">
        <v>0.6529698060274401</v>
      </c>
      <c r="AH16" s="15" t="n">
        <v>0.3769233247058492</v>
      </c>
      <c r="AI16" s="15" t="n">
        <v>0.6880892075500472</v>
      </c>
      <c r="AJ16" s="15" t="n">
        <v>0.9989623307537662</v>
      </c>
      <c r="AK16" s="15" t="n">
        <v>0</v>
      </c>
      <c r="AL16" s="15" t="n">
        <v>0.6825314444400294</v>
      </c>
      <c r="AM16" s="15" t="n">
        <v>0.2276539659717232</v>
      </c>
      <c r="AN16" s="15" t="n">
        <v>0.4651162790697675</v>
      </c>
      <c r="AO16" s="15" t="n">
        <v>0.4340070837662787</v>
      </c>
      <c r="AP16" s="15" t="n">
        <v>2.138045787409505</v>
      </c>
      <c r="AQ16" s="15" t="n">
        <v>0.6001422598575483</v>
      </c>
      <c r="AR16" s="15" t="n">
        <v>1740.707716558539</v>
      </c>
      <c r="AS16" s="15" t="n">
        <v>0.9444762511038109</v>
      </c>
      <c r="AT16" s="15" t="n">
        <v>1.335035940493176</v>
      </c>
      <c r="AU16" s="15" t="n">
        <v>0.7177149420009854</v>
      </c>
      <c r="AV16" s="15" t="n">
        <v>0.0852949049153439</v>
      </c>
      <c r="AW16" s="19" t="n">
        <v>0.8536626279179885</v>
      </c>
      <c r="AX16" s="19" t="n">
        <v>3.991818247007984e-05</v>
      </c>
      <c r="AY16" s="19" t="n">
        <v>0.999953241111143</v>
      </c>
      <c r="AZ16" s="19" t="n">
        <v>0</v>
      </c>
      <c r="BA16" s="19" t="n">
        <v>4.675888885703583e-05</v>
      </c>
    </row>
    <row r="17">
      <c r="A17" t="inlineStr">
        <is>
          <t>G3</t>
        </is>
      </c>
      <c r="B17" t="n">
        <v>55</v>
      </c>
      <c r="C17" s="15" t="n">
        <v>0.07273841220213134</v>
      </c>
      <c r="D17" s="15" t="n">
        <v>36.12120022973996</v>
      </c>
      <c r="E17" s="15" t="n">
        <v>0.9981881170340172</v>
      </c>
      <c r="F17" s="15" t="n">
        <v>0.2414524575385838</v>
      </c>
      <c r="G17" s="19" t="n">
        <v>0.167944624375274</v>
      </c>
      <c r="H17" s="15" t="n">
        <v>0.4562864722709666</v>
      </c>
      <c r="I17" s="15" t="n">
        <v>11</v>
      </c>
      <c r="J17" s="15" t="n">
        <v>102</v>
      </c>
      <c r="K17" s="15" t="n">
        <v>0.107843137254902</v>
      </c>
      <c r="L17" t="n">
        <v>11</v>
      </c>
      <c r="M17" t="n">
        <v>102</v>
      </c>
      <c r="N17" t="n">
        <v>0.107843137254902</v>
      </c>
      <c r="O17" t="n">
        <v>38</v>
      </c>
      <c r="P17" t="n">
        <v>2</v>
      </c>
      <c r="Q17" s="15" t="n">
        <v>23.08735751644524</v>
      </c>
      <c r="R17" s="15" t="n">
        <v>12.83070034871128</v>
      </c>
      <c r="S17" s="15" t="n">
        <v>0.2481572695362103</v>
      </c>
      <c r="T17" s="15" t="n">
        <v>7.876028810881147</v>
      </c>
      <c r="U17" s="15" t="n">
        <v>18.94397324261384</v>
      </c>
      <c r="V17" s="15" t="n">
        <v>0.9005749551236617</v>
      </c>
      <c r="W17" t="n">
        <v>1</v>
      </c>
      <c r="X17" t="n">
        <v>0.5</v>
      </c>
      <c r="Y17" t="n">
        <v>0.25</v>
      </c>
      <c r="Z17" t="inlineStr">
        <is>
          <t>his_note_adaptive</t>
        </is>
      </c>
      <c r="AA17" t="n">
        <v>-90</v>
      </c>
      <c r="AB17" t="n">
        <v>20000</v>
      </c>
      <c r="AC17" s="15" t="n">
        <v>0.107843137254902</v>
      </c>
      <c r="AD17" s="15" t="n">
        <v>0.3166666666666667</v>
      </c>
      <c r="AE17" t="n">
        <v>3.169403347342753</v>
      </c>
      <c r="AF17" s="15" t="n">
        <v>3.154120277527706</v>
      </c>
      <c r="AG17" s="15" t="n">
        <v>0.6201550518950582</v>
      </c>
      <c r="AH17" s="15" t="n">
        <v>0.2696191164409212</v>
      </c>
      <c r="AI17" s="15" t="n">
        <v>0.9053675048631299</v>
      </c>
      <c r="AJ17" s="15" t="n">
        <v>0.6741612403242702</v>
      </c>
      <c r="AK17" s="15" t="n">
        <v>0.2011858124562061</v>
      </c>
      <c r="AL17" s="15" t="n">
        <v>0.5225996764129289</v>
      </c>
      <c r="AM17" s="15" t="n">
        <v>0.18149824032177</v>
      </c>
      <c r="AN17" s="15" t="n">
        <v>0.4418604651162792</v>
      </c>
      <c r="AO17" s="15" t="n">
        <v>0.2898614070940568</v>
      </c>
      <c r="AP17" s="15" t="n">
        <v>2.094944748899354</v>
      </c>
      <c r="AQ17" s="15" t="n">
        <v>0.4964934326045258</v>
      </c>
      <c r="AR17" s="15" t="n">
        <v>1354.342095959969</v>
      </c>
      <c r="AS17" s="15" t="n">
        <v>0.7243987871852001</v>
      </c>
      <c r="AT17" s="15" t="n">
        <v>1.309054026201147</v>
      </c>
      <c r="AU17" s="15" t="n">
        <v>0.6994517624098258</v>
      </c>
      <c r="AV17" s="15" t="n">
        <v>0.08643896028838137</v>
      </c>
      <c r="AW17" s="19" t="n">
        <v>0.8320181783559011</v>
      </c>
      <c r="AX17" s="19" t="n">
        <v>3.719726882486089e-05</v>
      </c>
      <c r="AY17" s="19" t="n">
        <v>0.999955294719661</v>
      </c>
      <c r="AZ17" s="19" t="n">
        <v>0</v>
      </c>
      <c r="BA17" s="19" t="n">
        <v>4.470528033898266e-05</v>
      </c>
    </row>
    <row r="18">
      <c r="A18" t="inlineStr">
        <is>
          <t>G#3</t>
        </is>
      </c>
      <c r="B18" t="n">
        <v>56</v>
      </c>
      <c r="C18" s="15" t="n">
        <v>-0.3356094799846509</v>
      </c>
      <c r="D18" s="15" t="n">
        <v>33.67785849823469</v>
      </c>
      <c r="E18" s="15" t="n">
        <v>0.9972898620105463</v>
      </c>
      <c r="F18" s="15" t="n">
        <v>0.1647352186024335</v>
      </c>
      <c r="G18" s="19" t="n">
        <v>0.2397838011393429</v>
      </c>
      <c r="H18" s="15" t="n">
        <v>0.4781209971902812</v>
      </c>
      <c r="I18" s="15" t="n">
        <v>13</v>
      </c>
      <c r="J18" s="15" t="n">
        <v>96</v>
      </c>
      <c r="K18" s="15" t="n">
        <v>0.1354166666666667</v>
      </c>
      <c r="L18" t="n">
        <v>13</v>
      </c>
      <c r="M18" t="n">
        <v>96</v>
      </c>
      <c r="N18" t="n">
        <v>0.1354166666666667</v>
      </c>
      <c r="O18" t="n">
        <v>35</v>
      </c>
      <c r="P18" t="n">
        <v>1</v>
      </c>
      <c r="Q18" s="15" t="n">
        <v>24.8533043000132</v>
      </c>
      <c r="R18" s="15" t="n">
        <v>14.88790749719699</v>
      </c>
      <c r="S18" s="15" t="n">
        <v>0.330226093483718</v>
      </c>
      <c r="T18" s="15" t="n">
        <v>8.748492845281152</v>
      </c>
      <c r="U18" s="15" t="n">
        <v>20.14353784181716</v>
      </c>
      <c r="V18" s="15" t="n">
        <v>0.4708926755472874</v>
      </c>
      <c r="W18" t="n">
        <v>1</v>
      </c>
      <c r="X18" t="n">
        <v>0.5</v>
      </c>
      <c r="Y18" t="n">
        <v>0.25</v>
      </c>
      <c r="Z18" t="inlineStr">
        <is>
          <t>his_note_adaptive</t>
        </is>
      </c>
      <c r="AA18" t="n">
        <v>-90</v>
      </c>
      <c r="AB18" t="n">
        <v>20000</v>
      </c>
      <c r="AC18" s="15" t="n">
        <v>0.1354166666666667</v>
      </c>
      <c r="AD18" s="15" t="n">
        <v>0.2916666666666667</v>
      </c>
      <c r="AE18" t="n">
        <v>3.070152727883642</v>
      </c>
      <c r="AF18" s="15" t="n">
        <v>3.042582194644048</v>
      </c>
      <c r="AG18" s="15" t="n">
        <v>0.4974034230533063</v>
      </c>
      <c r="AH18" s="15" t="n">
        <v>0.2405347264660252</v>
      </c>
      <c r="AI18" s="15" t="n">
        <v>0.7931047141109309</v>
      </c>
      <c r="AJ18" s="15" t="n">
        <v>0.2498246701449813</v>
      </c>
      <c r="AK18" s="15" t="n">
        <v>0.8688491987480391</v>
      </c>
      <c r="AL18" s="15" t="n">
        <v>0.5616212793752591</v>
      </c>
      <c r="AM18" s="15" t="n">
        <v>0.4770299145299149</v>
      </c>
      <c r="AN18" s="15" t="n">
        <v>0.3720930232558141</v>
      </c>
      <c r="AO18" s="15" t="n">
        <v>0.2730377343955906</v>
      </c>
      <c r="AP18" s="15" t="n">
        <v>2.120372295665023</v>
      </c>
      <c r="AQ18" s="15" t="n">
        <v>0.5576412725008253</v>
      </c>
      <c r="AR18" s="15" t="n">
        <v>325.1953463694207</v>
      </c>
      <c r="AS18" s="15" t="n">
        <v>0.1381871923256968</v>
      </c>
      <c r="AT18" s="15" t="n">
        <v>1.300041561940028</v>
      </c>
      <c r="AU18" s="15" t="n">
        <v>0.7435968108074179</v>
      </c>
      <c r="AV18" s="15" t="n">
        <v>0.07673392291757687</v>
      </c>
      <c r="AW18" s="19" t="n">
        <v>0.7601894720463305</v>
      </c>
      <c r="AX18" s="19" t="n">
        <v>2.672681432660941e-05</v>
      </c>
      <c r="AY18" s="19" t="n">
        <v>0.9999648431401927</v>
      </c>
      <c r="AZ18" s="19" t="n">
        <v>0</v>
      </c>
      <c r="BA18" s="19" t="n">
        <v>3.515685980733525e-05</v>
      </c>
    </row>
    <row r="19">
      <c r="A19" t="inlineStr">
        <is>
          <t>A3</t>
        </is>
      </c>
      <c r="B19" t="n">
        <v>57</v>
      </c>
      <c r="C19" s="15" t="n">
        <v>-0.2342176331127205</v>
      </c>
      <c r="D19" s="15" t="n">
        <v>31.29533296021839</v>
      </c>
      <c r="E19" s="15" t="n">
        <v>0.9980175704540131</v>
      </c>
      <c r="F19" s="15" t="n">
        <v>0.1773448651045983</v>
      </c>
      <c r="G19" s="19" t="n">
        <v>0.2428199172275726</v>
      </c>
      <c r="H19" s="15" t="n">
        <v>0.4507061243560174</v>
      </c>
      <c r="I19" s="15" t="n">
        <v>15</v>
      </c>
      <c r="J19" s="15" t="n">
        <v>91</v>
      </c>
      <c r="K19" s="15" t="n">
        <v>0.1648351648351648</v>
      </c>
      <c r="L19" t="n">
        <v>15</v>
      </c>
      <c r="M19" t="n">
        <v>91</v>
      </c>
      <c r="N19" t="n">
        <v>0.1648351648351648</v>
      </c>
      <c r="O19" t="n">
        <v>32</v>
      </c>
      <c r="P19" t="n">
        <v>1</v>
      </c>
      <c r="Q19" s="15" t="n">
        <v>23.23992104102203</v>
      </c>
      <c r="R19" s="15" t="n">
        <v>13.75820581837619</v>
      </c>
      <c r="S19" s="15" t="n">
        <v>0.2851585424300511</v>
      </c>
      <c r="T19" s="15" t="n">
        <v>9.115808032534503</v>
      </c>
      <c r="U19" s="15" t="n">
        <v>18.6937420044522</v>
      </c>
      <c r="V19" s="15" t="n">
        <v>0.486995986886024</v>
      </c>
      <c r="W19" t="n">
        <v>1</v>
      </c>
      <c r="X19" t="n">
        <v>0.5</v>
      </c>
      <c r="Y19" t="n">
        <v>0.25</v>
      </c>
      <c r="Z19" t="inlineStr">
        <is>
          <t>his_note_adaptive</t>
        </is>
      </c>
      <c r="AA19" t="n">
        <v>-90</v>
      </c>
      <c r="AB19" t="n">
        <v>20000</v>
      </c>
      <c r="AC19" s="15" t="n">
        <v>0.1648351648351648</v>
      </c>
      <c r="AD19" s="15" t="n">
        <v>0.2666666666666667</v>
      </c>
      <c r="AE19" t="n">
        <v>3.140518824118645</v>
      </c>
      <c r="AF19" s="15" t="n">
        <v>3.109239518174916</v>
      </c>
      <c r="AG19" s="15" t="n">
        <v>0.527882371501288</v>
      </c>
      <c r="AH19" s="15" t="n">
        <v>0.2121742638343307</v>
      </c>
      <c r="AI19" s="15" t="n">
        <v>0.8840528063373966</v>
      </c>
      <c r="AJ19" s="15" t="n">
        <v>0.3195708474331804</v>
      </c>
      <c r="AK19" s="15" t="n">
        <v>0.8970664423183526</v>
      </c>
      <c r="AL19" s="15" t="n">
        <v>0.5126267495215272</v>
      </c>
      <c r="AM19" s="15" t="n">
        <v>0.7923358692589457</v>
      </c>
      <c r="AN19" s="15" t="n">
        <v>0.302325581395349</v>
      </c>
      <c r="AO19" s="15" t="n">
        <v>0.2830918877846963</v>
      </c>
      <c r="AP19" s="15" t="n">
        <v>2.126679509828639</v>
      </c>
      <c r="AQ19" s="15" t="n">
        <v>0.5728087806140812</v>
      </c>
      <c r="AR19" s="15" t="n">
        <v>352.5058174503295</v>
      </c>
      <c r="AS19" s="15" t="n">
        <v>0.1537434915756079</v>
      </c>
      <c r="AT19" s="15" t="n">
        <v>1.2933118119529</v>
      </c>
      <c r="AU19" s="15" t="n">
        <v>0.7531815068045776</v>
      </c>
      <c r="AV19" s="15" t="n">
        <v>0.08018619107116139</v>
      </c>
      <c r="AW19" s="19" t="n">
        <v>0.7571471349399932</v>
      </c>
      <c r="AX19" s="19" t="n">
        <v>3.29478324342688e-05</v>
      </c>
      <c r="AY19" s="19" t="n">
        <v>0.9999564861342977</v>
      </c>
      <c r="AZ19" s="19" t="n">
        <v>0</v>
      </c>
      <c r="BA19" s="19" t="n">
        <v>4.351386570236999e-05</v>
      </c>
    </row>
    <row r="20">
      <c r="A20" t="inlineStr">
        <is>
          <t>A#3</t>
        </is>
      </c>
      <c r="B20" t="n">
        <v>58</v>
      </c>
      <c r="C20" s="15" t="n">
        <v>-0.3082871300506904</v>
      </c>
      <c r="D20" s="15" t="n">
        <v>33.62381992783342</v>
      </c>
      <c r="E20" s="15" t="n">
        <v>0.9966320705156678</v>
      </c>
      <c r="F20" s="15" t="n">
        <v>0.1962491111880088</v>
      </c>
      <c r="G20" s="19" t="n">
        <v>0.2379585929573039</v>
      </c>
      <c r="H20" s="15" t="n">
        <v>0.4939141723576376</v>
      </c>
      <c r="I20" s="15" t="n">
        <v>13</v>
      </c>
      <c r="J20" s="15" t="n">
        <v>85</v>
      </c>
      <c r="K20" s="15" t="n">
        <v>0.1529411764705882</v>
      </c>
      <c r="L20" t="n">
        <v>13</v>
      </c>
      <c r="M20" t="n">
        <v>85</v>
      </c>
      <c r="N20" t="n">
        <v>0.1529411764705882</v>
      </c>
      <c r="O20" t="n">
        <v>35</v>
      </c>
      <c r="P20" t="n">
        <v>1</v>
      </c>
      <c r="Q20" s="15" t="n">
        <v>24.06785052483887</v>
      </c>
      <c r="R20" s="15" t="n">
        <v>14.3435886051024</v>
      </c>
      <c r="S20" s="15" t="n">
        <v>0.3085114055100273</v>
      </c>
      <c r="T20" s="15" t="n">
        <v>8.777249593038343</v>
      </c>
      <c r="U20" s="15" t="n">
        <v>19.84187943868674</v>
      </c>
      <c r="V20" s="15" t="n">
        <v>0.4887255932305357</v>
      </c>
      <c r="W20" t="n">
        <v>1</v>
      </c>
      <c r="X20" t="n">
        <v>0.5</v>
      </c>
      <c r="Y20" t="n">
        <v>0.25</v>
      </c>
      <c r="Z20" t="inlineStr">
        <is>
          <t>his_note_adaptive</t>
        </is>
      </c>
      <c r="AA20" t="n">
        <v>-90</v>
      </c>
      <c r="AB20" t="n">
        <v>20000</v>
      </c>
      <c r="AC20" s="15" t="n">
        <v>0.1529411764705882</v>
      </c>
      <c r="AD20" s="15" t="n">
        <v>0.2916666666666667</v>
      </c>
      <c r="AE20" t="n">
        <v>3.343215858055407</v>
      </c>
      <c r="AF20" s="15" t="n">
        <v>3.31680292671046</v>
      </c>
      <c r="AG20" s="15" t="n">
        <v>0.5056166721537667</v>
      </c>
      <c r="AH20" s="15" t="n">
        <v>0.2398914767580656</v>
      </c>
      <c r="AI20" s="15" t="n">
        <v>0.7108947547802652</v>
      </c>
      <c r="AJ20" s="15" t="n">
        <v>0.4241335644456627</v>
      </c>
      <c r="AK20" s="15" t="n">
        <v>0.8518859660051322</v>
      </c>
      <c r="AL20" s="15" t="n">
        <v>0.5898460753427667</v>
      </c>
      <c r="AM20" s="15" t="n">
        <v>0.6648567119155349</v>
      </c>
      <c r="AN20" s="15" t="n">
        <v>0.3720930232558141</v>
      </c>
      <c r="AO20" s="15" t="n">
        <v>0.3143993906491879</v>
      </c>
      <c r="AP20" s="15" t="n">
        <v>2.103168894904386</v>
      </c>
      <c r="AQ20" s="15" t="n">
        <v>0.5162707539416537</v>
      </c>
      <c r="AR20" s="15" t="n">
        <v>413.8320723043281</v>
      </c>
      <c r="AS20" s="15" t="n">
        <v>0.188675498773829</v>
      </c>
      <c r="AT20" s="15" t="n">
        <v>1.302514424523968</v>
      </c>
      <c r="AU20" s="15" t="n">
        <v>0.7217212232368633</v>
      </c>
      <c r="AV20" s="15" t="n">
        <v>0.07893324714355507</v>
      </c>
      <c r="AW20" s="19" t="n">
        <v>0.7620111954439226</v>
      </c>
      <c r="AX20" s="19" t="n">
        <v>3.021159877355861e-05</v>
      </c>
      <c r="AY20" s="19" t="n">
        <v>0.9999603543869213</v>
      </c>
      <c r="AZ20" s="19" t="n">
        <v>0</v>
      </c>
      <c r="BA20" s="19" t="n">
        <v>3.964561307869442e-05</v>
      </c>
    </row>
    <row r="21">
      <c r="A21" t="inlineStr">
        <is>
          <t>B3</t>
        </is>
      </c>
      <c r="B21" t="n">
        <v>59</v>
      </c>
      <c r="C21" s="15" t="n">
        <v>-0.4146944927745769</v>
      </c>
      <c r="D21" s="15" t="n">
        <v>30.05808243042104</v>
      </c>
      <c r="E21" s="15" t="n">
        <v>0.9967862359622595</v>
      </c>
      <c r="F21" s="15" t="n">
        <v>0.2029531672893126</v>
      </c>
      <c r="G21" s="19" t="n">
        <v>0.2127436647559962</v>
      </c>
      <c r="H21" s="15" t="n">
        <v>0.4563136118890977</v>
      </c>
      <c r="I21" s="15" t="n">
        <v>12</v>
      </c>
      <c r="J21" s="15" t="n">
        <v>81</v>
      </c>
      <c r="K21" s="15" t="n">
        <v>0.1481481481481481</v>
      </c>
      <c r="L21" t="n">
        <v>12</v>
      </c>
      <c r="M21" t="n">
        <v>81</v>
      </c>
      <c r="N21" t="n">
        <v>0.1481481481481481</v>
      </c>
      <c r="O21" t="n">
        <v>30</v>
      </c>
      <c r="P21" t="n">
        <v>1</v>
      </c>
      <c r="Q21" s="15" t="n">
        <v>19.64338682098575</v>
      </c>
      <c r="R21" s="15" t="n">
        <v>11.99509193082221</v>
      </c>
      <c r="S21" s="15" t="n">
        <v>0.2148220751746348</v>
      </c>
      <c r="T21" s="15" t="n">
        <v>8.04430720967258</v>
      </c>
      <c r="U21" s="15" t="n">
        <v>17.34856775124099</v>
      </c>
      <c r="V21" s="15" t="n">
        <v>0.4772107226011512</v>
      </c>
      <c r="W21" t="n">
        <v>1</v>
      </c>
      <c r="X21" t="n">
        <v>0.5</v>
      </c>
      <c r="Y21" t="n">
        <v>0.25</v>
      </c>
      <c r="Z21" t="inlineStr">
        <is>
          <t>his_note_adaptive</t>
        </is>
      </c>
      <c r="AA21" t="n">
        <v>-90</v>
      </c>
      <c r="AB21" t="n">
        <v>20000</v>
      </c>
      <c r="AC21" s="15" t="n">
        <v>0.1481481481481481</v>
      </c>
      <c r="AD21" s="15" t="n">
        <v>0.25</v>
      </c>
      <c r="AE21" t="n">
        <v>2.874747907796141</v>
      </c>
      <c r="AF21" s="15" t="n">
        <v>2.8515145838603</v>
      </c>
      <c r="AG21" s="15" t="n">
        <v>0.4736300319750594</v>
      </c>
      <c r="AH21" s="15" t="n">
        <v>0.1974466158589067</v>
      </c>
      <c r="AI21" s="15" t="n">
        <v>0.7301621597150685</v>
      </c>
      <c r="AJ21" s="15" t="n">
        <v>0.46121488035022</v>
      </c>
      <c r="AK21" s="15" t="n">
        <v>0.6175419060324022</v>
      </c>
      <c r="AL21" s="15" t="n">
        <v>0.5226481790209396</v>
      </c>
      <c r="AM21" s="15" t="n">
        <v>0.6134852801519463</v>
      </c>
      <c r="AN21" s="15" t="n">
        <v>0.2558139534883722</v>
      </c>
      <c r="AO21" s="15" t="n">
        <v>0.2442183494465359</v>
      </c>
      <c r="AP21" s="15" t="n">
        <v>2.109884461066735</v>
      </c>
      <c r="AQ21" s="15" t="n">
        <v>0.5324202617291202</v>
      </c>
      <c r="AR21" s="15" t="n">
        <v>369.8784108846295</v>
      </c>
      <c r="AS21" s="15" t="n">
        <v>0.1636390829555724</v>
      </c>
      <c r="AT21" s="15" t="n">
        <v>1.288344966878393</v>
      </c>
      <c r="AU21" s="15" t="n">
        <v>0.7432232994139505</v>
      </c>
      <c r="AV21" s="15" t="n">
        <v>0.07831619477439108</v>
      </c>
      <c r="AW21" s="19" t="n">
        <v>0.7872268879342876</v>
      </c>
      <c r="AX21" s="19" t="n">
        <v>2.944730971611718e-05</v>
      </c>
      <c r="AY21" s="19" t="n">
        <v>0.9999625950171529</v>
      </c>
      <c r="AZ21" s="19" t="n">
        <v>0</v>
      </c>
      <c r="BA21" s="19" t="n">
        <v>3.740498284715642e-05</v>
      </c>
    </row>
    <row r="22">
      <c r="A22" t="inlineStr">
        <is>
          <t>C4</t>
        </is>
      </c>
      <c r="B22" t="n">
        <v>60</v>
      </c>
      <c r="C22" s="15" t="n">
        <v>-0.2820137198006404</v>
      </c>
      <c r="D22" s="15" t="n">
        <v>30.23137836840081</v>
      </c>
      <c r="E22" s="15" t="n">
        <v>0.9971194157262039</v>
      </c>
      <c r="F22" s="15" t="n">
        <v>0.216868085898854</v>
      </c>
      <c r="G22" s="19" t="n">
        <v>0.2062513165172395</v>
      </c>
      <c r="H22" s="15" t="n">
        <v>0.4953667179275014</v>
      </c>
      <c r="I22" s="15" t="n">
        <v>11</v>
      </c>
      <c r="J22" s="15" t="n">
        <v>76</v>
      </c>
      <c r="K22" s="15" t="n">
        <v>0.1447368421052632</v>
      </c>
      <c r="L22" t="n">
        <v>11</v>
      </c>
      <c r="M22" t="n">
        <v>76</v>
      </c>
      <c r="N22" t="n">
        <v>0.1447368421052632</v>
      </c>
      <c r="O22" t="n">
        <v>33</v>
      </c>
      <c r="P22" t="n">
        <v>1</v>
      </c>
      <c r="Q22" s="15" t="n">
        <v>20.5744953930955</v>
      </c>
      <c r="R22" s="15" t="n">
        <v>12.20912125066851</v>
      </c>
      <c r="S22" s="15" t="n">
        <v>0.2233604154108139</v>
      </c>
      <c r="T22" s="15" t="n">
        <v>7.507254438200508</v>
      </c>
      <c r="U22" s="15" t="n">
        <v>18.31128905750852</v>
      </c>
      <c r="V22" s="15" t="n">
        <v>0.4757089415019223</v>
      </c>
      <c r="W22" t="n">
        <v>1</v>
      </c>
      <c r="X22" t="n">
        <v>0.5</v>
      </c>
      <c r="Y22" t="n">
        <v>0.25</v>
      </c>
      <c r="Z22" t="inlineStr">
        <is>
          <t>his_note_adaptive</t>
        </is>
      </c>
      <c r="AA22" t="n">
        <v>-90</v>
      </c>
      <c r="AB22" t="n">
        <v>20000</v>
      </c>
      <c r="AC22" s="15" t="n">
        <v>0.1447368421052632</v>
      </c>
      <c r="AD22" s="15" t="n">
        <v>0.275</v>
      </c>
      <c r="AE22" t="n">
        <v>2.912664416289131</v>
      </c>
      <c r="AF22" s="15" t="n">
        <v>2.894905551546939</v>
      </c>
      <c r="AG22" s="15" t="n">
        <v>0.5135146041992834</v>
      </c>
      <c r="AH22" s="15" t="n">
        <v>0.1995094491401783</v>
      </c>
      <c r="AI22" s="15" t="n">
        <v>0.7718025504117191</v>
      </c>
      <c r="AJ22" s="15" t="n">
        <v>0.5381807477221024</v>
      </c>
      <c r="AK22" s="15" t="n">
        <v>0.557202918235953</v>
      </c>
      <c r="AL22" s="15" t="n">
        <v>0.5924419942703077</v>
      </c>
      <c r="AM22" s="15" t="n">
        <v>0.5769230769230772</v>
      </c>
      <c r="AN22" s="15" t="n">
        <v>0.3255813953488373</v>
      </c>
      <c r="AO22" s="15" t="n">
        <v>0.2507631583544599</v>
      </c>
      <c r="AP22" s="15" t="n">
        <v>2.035658513914434</v>
      </c>
      <c r="AQ22" s="15" t="n">
        <v>0.3539226514622842</v>
      </c>
      <c r="AR22" s="15" t="n">
        <v>397.4942503864692</v>
      </c>
      <c r="AS22" s="15" t="n">
        <v>0.1793693229084249</v>
      </c>
      <c r="AT22" s="15" t="n">
        <v>1.287459069231204</v>
      </c>
      <c r="AU22" s="15" t="n">
        <v>0.6708911260615177</v>
      </c>
      <c r="AV22" s="15" t="n">
        <v>0.07730831862171283</v>
      </c>
      <c r="AW22" s="19" t="n">
        <v>0.7937203167837467</v>
      </c>
      <c r="AX22" s="19" t="n">
        <v>2.836669901384956e-05</v>
      </c>
      <c r="AY22" s="19" t="n">
        <v>0.9999642623671647</v>
      </c>
      <c r="AZ22" s="19" t="n">
        <v>0</v>
      </c>
      <c r="BA22" s="19" t="n">
        <v>3.573763283535028e-05</v>
      </c>
    </row>
    <row r="23">
      <c r="A23" t="inlineStr">
        <is>
          <t>C#4</t>
        </is>
      </c>
      <c r="B23" t="n">
        <v>61</v>
      </c>
      <c r="C23" s="15" t="n">
        <v>0.0782382583216277</v>
      </c>
      <c r="D23" s="15" t="n">
        <v>30.39808050272624</v>
      </c>
      <c r="E23" s="15" t="n">
        <v>0.9989453057122135</v>
      </c>
      <c r="F23" s="15" t="n">
        <v>0.2236942297923409</v>
      </c>
      <c r="G23" s="19" t="n">
        <v>0.2159346881384221</v>
      </c>
      <c r="H23" s="15" t="n">
        <v>0.4902130437398116</v>
      </c>
      <c r="I23" s="15" t="n">
        <v>11</v>
      </c>
      <c r="J23" s="15" t="n">
        <v>72</v>
      </c>
      <c r="K23" s="15" t="n">
        <v>0.1527777777777778</v>
      </c>
      <c r="L23" t="n">
        <v>11</v>
      </c>
      <c r="M23" t="n">
        <v>72</v>
      </c>
      <c r="N23" t="n">
        <v>0.1527777777777778</v>
      </c>
      <c r="O23" t="n">
        <v>35</v>
      </c>
      <c r="P23" t="n">
        <v>1</v>
      </c>
      <c r="Q23" s="15" t="n">
        <v>22.02678530476464</v>
      </c>
      <c r="R23" s="15" t="n">
        <v>12.96418012388981</v>
      </c>
      <c r="S23" s="15" t="n">
        <v>0.253482220977169</v>
      </c>
      <c r="T23" s="15" t="n">
        <v>7.315267164884825</v>
      </c>
      <c r="U23" s="15" t="n">
        <v>19.61034617853889</v>
      </c>
      <c r="V23" s="15" t="n">
        <v>0.4722952640458474</v>
      </c>
      <c r="W23" t="n">
        <v>1</v>
      </c>
      <c r="X23" t="n">
        <v>0.5</v>
      </c>
      <c r="Y23" t="n">
        <v>0.25</v>
      </c>
      <c r="Z23" t="inlineStr">
        <is>
          <t>his_note_adaptive</t>
        </is>
      </c>
      <c r="AA23" t="n">
        <v>-90</v>
      </c>
      <c r="AB23" t="n">
        <v>20000</v>
      </c>
      <c r="AC23" s="15" t="n">
        <v>0.1527777777777778</v>
      </c>
      <c r="AD23" s="15" t="n">
        <v>0.2916666666666667</v>
      </c>
      <c r="AE23" t="n">
        <v>3.110974606085887</v>
      </c>
      <c r="AF23" s="15" t="n">
        <v>3.097489380355604</v>
      </c>
      <c r="AG23" s="15" t="n">
        <v>0.6218083359757762</v>
      </c>
      <c r="AH23" s="15" t="n">
        <v>0.2014937928862254</v>
      </c>
      <c r="AI23" s="15" t="n">
        <v>1</v>
      </c>
      <c r="AJ23" s="15" t="n">
        <v>0.5759373527235322</v>
      </c>
      <c r="AK23" s="15" t="n">
        <v>0.647198836598908</v>
      </c>
      <c r="AL23" s="15" t="n">
        <v>0.5832315979510663</v>
      </c>
      <c r="AM23" s="15" t="n">
        <v>0.6631054131054132</v>
      </c>
      <c r="AN23" s="15" t="n">
        <v>0.3720930232558141</v>
      </c>
      <c r="AO23" s="15" t="n">
        <v>0.2813195740805047</v>
      </c>
      <c r="AP23" s="15" t="n">
        <v>2.015242501006277</v>
      </c>
      <c r="AQ23" s="15" t="n">
        <v>0.3048264842176217</v>
      </c>
      <c r="AR23" s="15" t="n">
        <v>453.2737248444937</v>
      </c>
      <c r="AS23" s="15" t="n">
        <v>0.2111418322181738</v>
      </c>
      <c r="AT23" s="15" t="n">
        <v>1.288331785449135</v>
      </c>
      <c r="AU23" s="15" t="n">
        <v>0.6532785717439157</v>
      </c>
      <c r="AV23" s="15" t="n">
        <v>0.0736321438132263</v>
      </c>
      <c r="AW23" s="19" t="n">
        <v>0.7840429900757646</v>
      </c>
      <c r="AX23" s="19" t="n">
        <v>2.232178581333478e-05</v>
      </c>
      <c r="AY23" s="19" t="n">
        <v>0.9999715307060832</v>
      </c>
      <c r="AZ23" s="19" t="n">
        <v>0</v>
      </c>
      <c r="BA23" s="19" t="n">
        <v>2.846929391677458e-05</v>
      </c>
    </row>
    <row r="24">
      <c r="A24" t="inlineStr">
        <is>
          <t>D4</t>
        </is>
      </c>
      <c r="B24" t="n">
        <v>62</v>
      </c>
      <c r="C24" s="15" t="n">
        <v>-0.7915731539486188</v>
      </c>
      <c r="D24" s="15" t="n">
        <v>27.65971603619524</v>
      </c>
      <c r="E24" s="15" t="n">
        <v>0.9940944490596305</v>
      </c>
      <c r="F24" s="15" t="n">
        <v>0.2149897732102144</v>
      </c>
      <c r="G24" s="19" t="n">
        <v>0.222231459242449</v>
      </c>
      <c r="H24" s="15" t="n">
        <v>0.4644169137713423</v>
      </c>
      <c r="I24" s="15" t="n">
        <v>11</v>
      </c>
      <c r="J24" s="15" t="n">
        <v>68</v>
      </c>
      <c r="K24" s="15" t="n">
        <v>0.1617647058823529</v>
      </c>
      <c r="L24" t="n">
        <v>11</v>
      </c>
      <c r="M24" t="n">
        <v>68</v>
      </c>
      <c r="N24" t="n">
        <v>0.1617647058823529</v>
      </c>
      <c r="O24" t="n">
        <v>33</v>
      </c>
      <c r="P24" t="n">
        <v>1</v>
      </c>
      <c r="Q24" s="15" t="n">
        <v>20.71120904806821</v>
      </c>
      <c r="R24" s="15" t="n">
        <v>12.07475656193882</v>
      </c>
      <c r="S24" s="15" t="n">
        <v>0.2180001618300136</v>
      </c>
      <c r="T24" s="15" t="n">
        <v>7.319816002056086</v>
      </c>
      <c r="U24" s="15" t="n">
        <v>18.09187207298852</v>
      </c>
      <c r="V24" s="15" t="n">
        <v>0.4614090192058527</v>
      </c>
      <c r="W24" t="n">
        <v>1</v>
      </c>
      <c r="X24" t="n">
        <v>0.5</v>
      </c>
      <c r="Y24" t="n">
        <v>0.25</v>
      </c>
      <c r="Z24" t="inlineStr">
        <is>
          <t>his_note_adaptive</t>
        </is>
      </c>
      <c r="AA24" t="n">
        <v>-90</v>
      </c>
      <c r="AB24" t="n">
        <v>20000</v>
      </c>
      <c r="AC24" s="15" t="n">
        <v>0.1617647058823529</v>
      </c>
      <c r="AD24" s="15" t="n">
        <v>0.275</v>
      </c>
      <c r="AE24" t="n">
        <v>2.930601356749574</v>
      </c>
      <c r="AF24" s="15" t="n">
        <v>2.911360438440885</v>
      </c>
      <c r="AG24" s="15" t="n">
        <v>0.3603382275602799</v>
      </c>
      <c r="AH24" s="15" t="n">
        <v>0.1688975911306406</v>
      </c>
      <c r="AI24" s="15" t="n">
        <v>0.3937459951478441</v>
      </c>
      <c r="AJ24" s="15" t="n">
        <v>0.5277914691834819</v>
      </c>
      <c r="AK24" s="15" t="n">
        <v>0.7057201575186357</v>
      </c>
      <c r="AL24" s="15" t="n">
        <v>0.5371300067639898</v>
      </c>
      <c r="AM24" s="15" t="n">
        <v>0.7594268476621411</v>
      </c>
      <c r="AN24" s="15" t="n">
        <v>0.3255813953488373</v>
      </c>
      <c r="AO24" s="15" t="n">
        <v>0.2532451055444864</v>
      </c>
      <c r="AP24" s="15" t="n">
        <v>2.047798239714388</v>
      </c>
      <c r="AQ24" s="15" t="n">
        <v>0.3831161091104606</v>
      </c>
      <c r="AR24" s="15" t="n">
        <v>452.7124763551876</v>
      </c>
      <c r="AS24" s="15" t="n">
        <v>0.2108221398398424</v>
      </c>
      <c r="AT24" s="15" t="n">
        <v>1.283023013928279</v>
      </c>
      <c r="AU24" s="15" t="n">
        <v>0.6949650954099105</v>
      </c>
      <c r="AV24" s="15" t="n">
        <v>0.0698101303761986</v>
      </c>
      <c r="AW24" s="19" t="n">
        <v>0.7777500363514954</v>
      </c>
      <c r="AX24" s="19" t="n">
        <v>1.850440605573616e-05</v>
      </c>
      <c r="AY24" s="19" t="n">
        <v>0.9999762083382316</v>
      </c>
      <c r="AZ24" s="19" t="n">
        <v>0</v>
      </c>
      <c r="BA24" s="19" t="n">
        <v>2.37916617683106e-05</v>
      </c>
    </row>
    <row r="25">
      <c r="A25" t="inlineStr">
        <is>
          <t>D#4</t>
        </is>
      </c>
      <c r="B25" t="n">
        <v>63</v>
      </c>
      <c r="C25" s="15" t="n">
        <v>-0.498482938974761</v>
      </c>
      <c r="D25" s="15" t="n">
        <v>26.53215997676854</v>
      </c>
      <c r="E25" s="15" t="n">
        <v>0.9953485620758155</v>
      </c>
      <c r="F25" s="15" t="n">
        <v>0.2363163040192613</v>
      </c>
      <c r="G25" s="19" t="n">
        <v>0.2279744525711544</v>
      </c>
      <c r="H25" s="15" t="n">
        <v>0.4277251831547605</v>
      </c>
      <c r="I25" s="15" t="n">
        <v>9</v>
      </c>
      <c r="J25" s="15" t="n">
        <v>64</v>
      </c>
      <c r="K25" s="15" t="n">
        <v>0.140625</v>
      </c>
      <c r="L25" t="n">
        <v>9</v>
      </c>
      <c r="M25" t="n">
        <v>64</v>
      </c>
      <c r="N25" t="n">
        <v>0.140625</v>
      </c>
      <c r="O25" t="n">
        <v>34</v>
      </c>
      <c r="P25" t="n">
        <v>1</v>
      </c>
      <c r="Q25" s="15" t="n">
        <v>21.16818867318025</v>
      </c>
      <c r="R25" s="15" t="n">
        <v>12.39549759411693</v>
      </c>
      <c r="S25" s="15" t="n">
        <v>0.2307955865989501</v>
      </c>
      <c r="T25" s="15" t="n">
        <v>6.499679371853233</v>
      </c>
      <c r="U25" s="15" t="n">
        <v>18.61305552266981</v>
      </c>
      <c r="V25" s="15" t="n">
        <v>0.4718160484005797</v>
      </c>
      <c r="W25" t="n">
        <v>1</v>
      </c>
      <c r="X25" t="n">
        <v>0.5</v>
      </c>
      <c r="Y25" t="n">
        <v>0.25</v>
      </c>
      <c r="Z25" t="inlineStr">
        <is>
          <t>his_note_adaptive</t>
        </is>
      </c>
      <c r="AA25" t="n">
        <v>-90</v>
      </c>
      <c r="AB25" t="n">
        <v>20000</v>
      </c>
      <c r="AC25" s="15" t="n">
        <v>0.140625</v>
      </c>
      <c r="AD25" s="15" t="n">
        <v>0.2833333333333333</v>
      </c>
      <c r="AE25" t="n">
        <v>2.616889444770525</v>
      </c>
      <c r="AF25" s="15" t="n">
        <v>2.596243408302695</v>
      </c>
      <c r="AG25" s="15" t="n">
        <v>0.4484427628695106</v>
      </c>
      <c r="AH25" s="15" t="n">
        <v>0.1554756945010932</v>
      </c>
      <c r="AI25" s="15" t="n">
        <v>0.5504834732991486</v>
      </c>
      <c r="AJ25" s="15" t="n">
        <v>0.645752269947775</v>
      </c>
      <c r="AK25" s="15" t="n">
        <v>0.7590947442832864</v>
      </c>
      <c r="AL25" s="15" t="n">
        <v>0.4715563270337522</v>
      </c>
      <c r="AM25" s="15" t="n">
        <v>0.532852564102564</v>
      </c>
      <c r="AN25" s="15" t="n">
        <v>0.3488372093023256</v>
      </c>
      <c r="AO25" s="15" t="n">
        <v>0.2057149199818801</v>
      </c>
      <c r="AP25" s="15" t="n">
        <v>2.071046370603699</v>
      </c>
      <c r="AQ25" s="15" t="n">
        <v>0.4390229175260931</v>
      </c>
      <c r="AR25" s="15" t="n">
        <v>429.668284581715</v>
      </c>
      <c r="AS25" s="15" t="n">
        <v>0.1976959531058803</v>
      </c>
      <c r="AT25" s="15" t="n">
        <v>1.277085452858819</v>
      </c>
      <c r="AU25" s="15" t="n">
        <v>0.7167025125191752</v>
      </c>
      <c r="AV25" s="15" t="n">
        <v>0.0772584052257046</v>
      </c>
      <c r="AW25" s="19" t="n">
        <v>0.7719985130336301</v>
      </c>
      <c r="AX25" s="19" t="n">
        <v>2.703439521528636e-05</v>
      </c>
      <c r="AY25" s="19" t="n">
        <v>0.9999649825121651</v>
      </c>
      <c r="AZ25" s="19" t="n">
        <v>0</v>
      </c>
      <c r="BA25" s="19" t="n">
        <v>3.501748783485435e-05</v>
      </c>
    </row>
    <row r="26">
      <c r="A26" t="inlineStr">
        <is>
          <t>E4</t>
        </is>
      </c>
      <c r="B26" t="n">
        <v>64</v>
      </c>
      <c r="C26" s="15" t="n">
        <v>-0.2218670784459565</v>
      </c>
      <c r="D26" s="15" t="n">
        <v>23.60804111706247</v>
      </c>
      <c r="E26" s="15" t="n">
        <v>0.9982374884285115</v>
      </c>
      <c r="F26" s="15" t="n">
        <v>0.1889845678387196</v>
      </c>
      <c r="G26" s="19" t="n">
        <v>0.2538953516411862</v>
      </c>
      <c r="H26" s="15" t="n">
        <v>0.418408490449885</v>
      </c>
      <c r="I26" s="15" t="n">
        <v>7</v>
      </c>
      <c r="J26" s="15" t="n">
        <v>60</v>
      </c>
      <c r="K26" s="15" t="n">
        <v>0.1166666666666667</v>
      </c>
      <c r="L26" t="n">
        <v>7</v>
      </c>
      <c r="M26" t="n">
        <v>60</v>
      </c>
      <c r="N26" t="n">
        <v>0.1166666666666667</v>
      </c>
      <c r="O26" t="n">
        <v>36</v>
      </c>
      <c r="P26" t="n">
        <v>1</v>
      </c>
      <c r="Q26" s="15" t="n">
        <v>24.21604042940176</v>
      </c>
      <c r="R26" s="15" t="n">
        <v>13.83042160849916</v>
      </c>
      <c r="S26" s="15" t="n">
        <v>0.2880394700849034</v>
      </c>
      <c r="T26" s="15" t="n">
        <v>5.286889419085267</v>
      </c>
      <c r="U26" s="15" t="n">
        <v>19.6783685419309</v>
      </c>
      <c r="V26" s="15" t="n">
        <v>0.4553381310786397</v>
      </c>
      <c r="W26" t="n">
        <v>1</v>
      </c>
      <c r="X26" t="n">
        <v>0.5</v>
      </c>
      <c r="Y26" t="n">
        <v>0.25</v>
      </c>
      <c r="Z26" t="inlineStr">
        <is>
          <t>his_note_adaptive</t>
        </is>
      </c>
      <c r="AA26" t="n">
        <v>-90</v>
      </c>
      <c r="AB26" t="n">
        <v>20000</v>
      </c>
      <c r="AC26" s="15" t="n">
        <v>0.1166666666666667</v>
      </c>
      <c r="AD26" s="15" t="n">
        <v>0.3</v>
      </c>
      <c r="AE26" t="n">
        <v>2.303165918135365</v>
      </c>
      <c r="AF26" s="15" t="n">
        <v>2.286059267016831</v>
      </c>
      <c r="AG26" s="15" t="n">
        <v>0.5315950163598807</v>
      </c>
      <c r="AH26" s="15" t="n">
        <v>0.1206683598773584</v>
      </c>
      <c r="AI26" s="15" t="n">
        <v>0.9115378800733163</v>
      </c>
      <c r="AJ26" s="15" t="n">
        <v>0.383952094785086</v>
      </c>
      <c r="AK26" s="15" t="n">
        <v>1</v>
      </c>
      <c r="AL26" s="15" t="n">
        <v>0.454905986117468</v>
      </c>
      <c r="AM26" s="15" t="n">
        <v>0.2760683760683763</v>
      </c>
      <c r="AN26" s="15" t="n">
        <v>0.3953488372093023</v>
      </c>
      <c r="AO26" s="15" t="n">
        <v>0.1589287790125094</v>
      </c>
      <c r="AP26" s="15" t="n">
        <v>2.019019179248256</v>
      </c>
      <c r="AQ26" s="15" t="n">
        <v>0.3139085918471378</v>
      </c>
      <c r="AR26" s="15" t="n">
        <v>400.5955687360657</v>
      </c>
      <c r="AS26" s="15" t="n">
        <v>0.1811358627887746</v>
      </c>
      <c r="AT26" s="15" t="n">
        <v>1.258360475439246</v>
      </c>
      <c r="AU26" s="15" t="n">
        <v>0.6872471413438046</v>
      </c>
      <c r="AV26" s="15" t="n">
        <v>0.07341156246520521</v>
      </c>
      <c r="AW26" s="19" t="n">
        <v>0.7460846276158869</v>
      </c>
      <c r="AX26" s="19" t="n">
        <v>2.002074292698847e-05</v>
      </c>
      <c r="AY26" s="19" t="n">
        <v>0.999973166307205</v>
      </c>
      <c r="AZ26" s="19" t="n">
        <v>0</v>
      </c>
      <c r="BA26" s="19" t="n">
        <v>2.683369279500879e-05</v>
      </c>
    </row>
    <row r="27">
      <c r="A27" t="inlineStr">
        <is>
          <t>F4</t>
        </is>
      </c>
      <c r="B27" t="n">
        <v>65</v>
      </c>
      <c r="C27" s="15" t="n">
        <v>-0.6963404193337124</v>
      </c>
      <c r="D27" s="15" t="n">
        <v>21.61675054708287</v>
      </c>
      <c r="E27" s="15" t="n">
        <v>0.9959031162960552</v>
      </c>
      <c r="F27" s="15" t="n">
        <v>0.2100658239915347</v>
      </c>
      <c r="G27" s="19" t="n">
        <v>0.2329414875910787</v>
      </c>
      <c r="H27" s="15" t="n">
        <v>0.3719772214773072</v>
      </c>
      <c r="I27" s="15" t="n">
        <v>7</v>
      </c>
      <c r="J27" s="15" t="n">
        <v>57</v>
      </c>
      <c r="K27" s="15" t="n">
        <v>0.1228070175438596</v>
      </c>
      <c r="L27" t="n">
        <v>7</v>
      </c>
      <c r="M27" t="n">
        <v>57</v>
      </c>
      <c r="N27" t="n">
        <v>0.1228070175438596</v>
      </c>
      <c r="O27" t="n">
        <v>25</v>
      </c>
      <c r="P27" t="n">
        <v>1</v>
      </c>
      <c r="Q27" s="15" t="n">
        <v>15.05101017675165</v>
      </c>
      <c r="R27" s="15" t="n">
        <v>8.764018665130811</v>
      </c>
      <c r="S27" s="15" t="n">
        <v>0.08592383408174555</v>
      </c>
      <c r="T27" s="15" t="n">
        <v>5.209810260566273</v>
      </c>
      <c r="U27" s="15" t="n">
        <v>13.15621209975651</v>
      </c>
      <c r="V27" s="15" t="n">
        <v>0.4234023550225379</v>
      </c>
      <c r="W27" t="n">
        <v>1</v>
      </c>
      <c r="X27" t="n">
        <v>0.5</v>
      </c>
      <c r="Y27" t="n">
        <v>0.25</v>
      </c>
      <c r="Z27" t="inlineStr">
        <is>
          <t>his_note_adaptive</t>
        </is>
      </c>
      <c r="AA27" t="n">
        <v>-90</v>
      </c>
      <c r="AB27" t="n">
        <v>20000</v>
      </c>
      <c r="AC27" s="15" t="n">
        <v>0.1228070175438596</v>
      </c>
      <c r="AD27" s="15" t="n">
        <v>0.2083333333333333</v>
      </c>
      <c r="AE27" t="n">
        <v>2.243017923067483</v>
      </c>
      <c r="AF27" s="15" t="n">
        <v>2.237248815149926</v>
      </c>
      <c r="AG27" s="15" t="n">
        <v>0.3889657128900853</v>
      </c>
      <c r="AH27" s="15" t="n">
        <v>0.09696497416432527</v>
      </c>
      <c r="AI27" s="15" t="n">
        <v>0.619790967007295</v>
      </c>
      <c r="AJ27" s="15" t="n">
        <v>0.5005562381954312</v>
      </c>
      <c r="AK27" s="15" t="n">
        <v>0.8052576817028516</v>
      </c>
      <c r="AL27" s="15" t="n">
        <v>0.3719262762506246</v>
      </c>
      <c r="AM27" s="15" t="n">
        <v>0.3418803418803413</v>
      </c>
      <c r="AN27" s="15" t="n">
        <v>0.1395348837209302</v>
      </c>
      <c r="AO27" s="15" t="n">
        <v>0.1515665306642964</v>
      </c>
      <c r="AP27" s="15" t="n">
        <v>1.924385686131674</v>
      </c>
      <c r="AQ27" s="15" t="n">
        <v>0.08633517553419745</v>
      </c>
      <c r="AR27" s="15" t="n">
        <v>435.7741168252365</v>
      </c>
      <c r="AS27" s="15" t="n">
        <v>0.2011738921450343</v>
      </c>
      <c r="AT27" s="15" t="n">
        <v>1.261981401320608</v>
      </c>
      <c r="AU27" s="15" t="n">
        <v>0.5977812273258862</v>
      </c>
      <c r="AV27" s="15" t="n">
        <v>0.06462305748517992</v>
      </c>
      <c r="AW27" s="19" t="n">
        <v>0.7670483516935681</v>
      </c>
      <c r="AX27" s="19" t="n">
        <v>1.016071535309486e-05</v>
      </c>
      <c r="AY27" s="19" t="n">
        <v>0.9999867536632621</v>
      </c>
      <c r="AZ27" s="19" t="n">
        <v>0</v>
      </c>
      <c r="BA27" s="19" t="n">
        <v>1.324633673796994e-05</v>
      </c>
    </row>
    <row r="28">
      <c r="A28" t="inlineStr">
        <is>
          <t>F#4</t>
        </is>
      </c>
      <c r="B28" t="n">
        <v>66</v>
      </c>
      <c r="C28" s="15" t="n">
        <v>-0.6973011144941137</v>
      </c>
      <c r="D28" s="15" t="n">
        <v>20.83427287138558</v>
      </c>
      <c r="E28" s="15" t="n">
        <v>0.9958682397463862</v>
      </c>
      <c r="F28" s="15" t="n">
        <v>0.225761180833415</v>
      </c>
      <c r="G28" s="19" t="n">
        <v>0.2103337491354905</v>
      </c>
      <c r="H28" s="15" t="n">
        <v>0.3434767360066698</v>
      </c>
      <c r="I28" s="15" t="n">
        <v>8</v>
      </c>
      <c r="J28" s="15" t="n">
        <v>54</v>
      </c>
      <c r="K28" s="15" t="n">
        <v>0.1481481481481481</v>
      </c>
      <c r="L28" t="n">
        <v>8</v>
      </c>
      <c r="M28" t="n">
        <v>54</v>
      </c>
      <c r="N28" t="n">
        <v>0.1481481481481481</v>
      </c>
      <c r="O28" t="n">
        <v>23</v>
      </c>
      <c r="P28" t="n">
        <v>1</v>
      </c>
      <c r="Q28" s="15" t="n">
        <v>13.20174725509093</v>
      </c>
      <c r="R28" s="15" t="n">
        <v>7.800422671704419</v>
      </c>
      <c r="S28" s="15" t="n">
        <v>0.04748279035931573</v>
      </c>
      <c r="T28" s="15" t="n">
        <v>5.50885486683305</v>
      </c>
      <c r="U28" s="15" t="n">
        <v>12.11702177438737</v>
      </c>
      <c r="V28" s="15" t="n">
        <v>0.3964424172569004</v>
      </c>
      <c r="W28" t="n">
        <v>1</v>
      </c>
      <c r="X28" t="n">
        <v>0.5</v>
      </c>
      <c r="Y28" t="n">
        <v>0.25</v>
      </c>
      <c r="Z28" t="inlineStr">
        <is>
          <t>his_note_adaptive</t>
        </is>
      </c>
      <c r="AA28" t="n">
        <v>-90</v>
      </c>
      <c r="AB28" t="n">
        <v>20000</v>
      </c>
      <c r="AC28" s="15" t="n">
        <v>0.1481481481481481</v>
      </c>
      <c r="AD28" s="15" t="n">
        <v>0.1916666666666667</v>
      </c>
      <c r="AE28" t="n">
        <v>2.17526338722217</v>
      </c>
      <c r="AF28" s="15" t="n">
        <v>2.167378387644195</v>
      </c>
      <c r="AG28" s="15" t="n">
        <v>0.3886769226256661</v>
      </c>
      <c r="AH28" s="15" t="n">
        <v>0.08765072819816248</v>
      </c>
      <c r="AI28" s="15" t="n">
        <v>0.6154321393967064</v>
      </c>
      <c r="AJ28" s="15" t="n">
        <v>0.587370023237494</v>
      </c>
      <c r="AK28" s="15" t="n">
        <v>0.5951444831172055</v>
      </c>
      <c r="AL28" s="15" t="n">
        <v>0.3209915921950494</v>
      </c>
      <c r="AM28" s="15" t="n">
        <v>0.6134852801519463</v>
      </c>
      <c r="AN28" s="15" t="n">
        <v>0.09302325581395368</v>
      </c>
      <c r="AO28" s="15" t="n">
        <v>0.1410277337505604</v>
      </c>
      <c r="AP28" s="15" t="n">
        <v>1.988568131710259</v>
      </c>
      <c r="AQ28" s="15" t="n">
        <v>0.2406803014152016</v>
      </c>
      <c r="AR28" s="15" t="n">
        <v>434.4333725209962</v>
      </c>
      <c r="AS28" s="15" t="n">
        <v>0.200410191674523</v>
      </c>
      <c r="AT28" s="15" t="n">
        <v>1.255273721144708</v>
      </c>
      <c r="AU28" s="15" t="n">
        <v>0.6735533554450089</v>
      </c>
      <c r="AV28" s="15" t="n">
        <v>0.0597410551205419</v>
      </c>
      <c r="AW28" s="19" t="n">
        <v>0.7896600740710046</v>
      </c>
      <c r="AX28" s="19" t="n">
        <v>6.176793504863204e-06</v>
      </c>
      <c r="AY28" s="19" t="n">
        <v>0.9999921779694927</v>
      </c>
      <c r="AZ28" s="19" t="n">
        <v>0</v>
      </c>
      <c r="BA28" s="19" t="n">
        <v>7.822030507320004e-06</v>
      </c>
    </row>
    <row r="29">
      <c r="A29" t="inlineStr">
        <is>
          <t>G4</t>
        </is>
      </c>
      <c r="B29" t="n">
        <v>67</v>
      </c>
      <c r="C29" s="15" t="n">
        <v>-0.5222433816042884</v>
      </c>
      <c r="D29" s="15" t="n">
        <v>18.74313246785012</v>
      </c>
      <c r="E29" s="15" t="n">
        <v>0.9977555091875183</v>
      </c>
      <c r="F29" s="15" t="n">
        <v>0.2098513381782912</v>
      </c>
      <c r="G29" s="19" t="n">
        <v>0.2264546391144528</v>
      </c>
      <c r="H29" s="15" t="n">
        <v>0.3365265534558373</v>
      </c>
      <c r="I29" s="15" t="n">
        <v>6</v>
      </c>
      <c r="J29" s="15" t="n">
        <v>51</v>
      </c>
      <c r="K29" s="15" t="n">
        <v>0.1176470588235294</v>
      </c>
      <c r="L29" t="n">
        <v>6</v>
      </c>
      <c r="M29" t="n">
        <v>51</v>
      </c>
      <c r="N29" t="n">
        <v>0.1176470588235294</v>
      </c>
      <c r="O29" t="n">
        <v>19</v>
      </c>
      <c r="P29" t="n">
        <v>1</v>
      </c>
      <c r="Q29" s="15" t="n">
        <v>10.88820084651437</v>
      </c>
      <c r="R29" s="15" t="n">
        <v>6.610178544169324</v>
      </c>
      <c r="S29" s="15" t="n">
        <v>0</v>
      </c>
      <c r="T29" s="15" t="n">
        <v>4.576799043954653</v>
      </c>
      <c r="U29" s="15" t="n">
        <v>9.984567962447345</v>
      </c>
      <c r="V29" s="15" t="n">
        <v>0.356559923618151</v>
      </c>
      <c r="W29" t="n">
        <v>1</v>
      </c>
      <c r="X29" t="n">
        <v>0.5</v>
      </c>
      <c r="Y29" t="n">
        <v>0.25</v>
      </c>
      <c r="Z29" t="inlineStr">
        <is>
          <t>his_note_adaptive</t>
        </is>
      </c>
      <c r="AA29" t="n">
        <v>-90</v>
      </c>
      <c r="AB29" t="n">
        <v>20000</v>
      </c>
      <c r="AC29" s="15" t="n">
        <v>0.1176470588235294</v>
      </c>
      <c r="AD29" s="15" t="n">
        <v>0.1583333333333333</v>
      </c>
      <c r="AE29" t="n">
        <v>1.878977990737781</v>
      </c>
      <c r="AF29" s="15" t="n">
        <v>1.871377010924913</v>
      </c>
      <c r="AG29" s="15" t="n">
        <v>0.4413002427522734</v>
      </c>
      <c r="AH29" s="15" t="n">
        <v>0.06275877706236391</v>
      </c>
      <c r="AI29" s="15" t="n">
        <v>0.8513007166122813</v>
      </c>
      <c r="AJ29" s="15" t="n">
        <v>0.4993698793586695</v>
      </c>
      <c r="AK29" s="15" t="n">
        <v>0.7449698079360084</v>
      </c>
      <c r="AL29" s="15" t="n">
        <v>0.3085705633420519</v>
      </c>
      <c r="AM29" s="15" t="n">
        <v>0.2865761689291099</v>
      </c>
      <c r="AN29" s="15" t="n">
        <v>0</v>
      </c>
      <c r="AO29" s="15" t="n">
        <v>0.09638082794516918</v>
      </c>
      <c r="AP29" s="15" t="n">
        <v>1.924634374586028</v>
      </c>
      <c r="AQ29" s="15" t="n">
        <v>0.08693321835488466</v>
      </c>
      <c r="AR29" s="15" t="n">
        <v>381.0836903976673</v>
      </c>
      <c r="AS29" s="15" t="n">
        <v>0.1700217147588578</v>
      </c>
      <c r="AT29" s="15" t="n">
        <v>1.240922975656367</v>
      </c>
      <c r="AU29" s="15" t="n">
        <v>0.6311514512364717</v>
      </c>
      <c r="AV29" s="15" t="n">
        <v>0.05255994769318934</v>
      </c>
      <c r="AW29" s="19" t="n">
        <v>0.7735417815244034</v>
      </c>
      <c r="AX29" s="19" t="n">
        <v>3.579361143740844e-06</v>
      </c>
      <c r="AY29" s="19" t="n">
        <v>0.9999953727844225</v>
      </c>
      <c r="AZ29" s="19" t="n">
        <v>0</v>
      </c>
      <c r="BA29" s="19" t="n">
        <v>4.62721557743327e-06</v>
      </c>
    </row>
    <row r="30">
      <c r="A30" t="inlineStr">
        <is>
          <t>G#4</t>
        </is>
      </c>
      <c r="B30" t="n">
        <v>68</v>
      </c>
      <c r="C30" s="15" t="n">
        <v>-1.118751302888564</v>
      </c>
      <c r="D30" s="15" t="n">
        <v>16.65006781972564</v>
      </c>
      <c r="E30" s="15" t="n">
        <v>0.9945371271904417</v>
      </c>
      <c r="F30" s="15" t="n">
        <v>0.1843682848729734</v>
      </c>
      <c r="G30" s="19" t="n">
        <v>0.2248370855578846</v>
      </c>
      <c r="H30" s="15" t="n">
        <v>0.2851351624439974</v>
      </c>
      <c r="I30" s="15" t="n">
        <v>6</v>
      </c>
      <c r="J30" s="15" t="n">
        <v>48</v>
      </c>
      <c r="K30" s="15" t="n">
        <v>0.125</v>
      </c>
      <c r="L30" t="n">
        <v>6</v>
      </c>
      <c r="M30" t="n">
        <v>48</v>
      </c>
      <c r="N30" t="n">
        <v>0.125</v>
      </c>
      <c r="O30" t="n">
        <v>26</v>
      </c>
      <c r="P30" t="n">
        <v>1</v>
      </c>
      <c r="Q30" s="15" t="n">
        <v>14.65395495622872</v>
      </c>
      <c r="R30" s="15" t="n">
        <v>7.871421227983393</v>
      </c>
      <c r="S30" s="15" t="n">
        <v>0.05031515851440177</v>
      </c>
      <c r="T30" s="15" t="n">
        <v>4.319023641812767</v>
      </c>
      <c r="U30" s="15" t="n">
        <v>12.52897011748221</v>
      </c>
      <c r="V30" s="15" t="n">
        <v>0.3804786588101453</v>
      </c>
      <c r="W30" t="n">
        <v>1</v>
      </c>
      <c r="X30" t="n">
        <v>0.5</v>
      </c>
      <c r="Y30" t="n">
        <v>0.25</v>
      </c>
      <c r="Z30" t="inlineStr">
        <is>
          <t>his_note_adaptive</t>
        </is>
      </c>
      <c r="AA30" t="n">
        <v>-90</v>
      </c>
      <c r="AB30" t="n">
        <v>20000</v>
      </c>
      <c r="AC30" s="15" t="n">
        <v>0.125</v>
      </c>
      <c r="AD30" s="15" t="n">
        <v>0.2166666666666667</v>
      </c>
      <c r="AE30" t="n">
        <v>1.574797154663454</v>
      </c>
      <c r="AF30" s="15" t="n">
        <v>1.567653101984983</v>
      </c>
      <c r="AG30" s="15" t="n">
        <v>0.2619866712715131</v>
      </c>
      <c r="AH30" s="15" t="n">
        <v>0.03784392062465337</v>
      </c>
      <c r="AI30" s="15" t="n">
        <v>0.4490713549524605</v>
      </c>
      <c r="AJ30" s="15" t="n">
        <v>0.35841862006903</v>
      </c>
      <c r="AK30" s="15" t="n">
        <v>0.7299364886006054</v>
      </c>
      <c r="AL30" s="15" t="n">
        <v>0.2167263641595019</v>
      </c>
      <c r="AM30" s="15" t="n">
        <v>0.3653846153846153</v>
      </c>
      <c r="AN30" s="15" t="n">
        <v>0.1627906976744188</v>
      </c>
      <c r="AO30" s="15" t="n">
        <v>0.05056910604177259</v>
      </c>
      <c r="AP30" s="15" t="n">
        <v>1.931082606184009</v>
      </c>
      <c r="AQ30" s="15" t="n">
        <v>0.102439843394307</v>
      </c>
      <c r="AR30" s="15" t="n">
        <v>361.5839563772596</v>
      </c>
      <c r="AS30" s="15" t="n">
        <v>0.1589144842458263</v>
      </c>
      <c r="AT30" s="15" t="n">
        <v>1.233385455823458</v>
      </c>
      <c r="AU30" s="15" t="n">
        <v>0.6371052228931813</v>
      </c>
      <c r="AV30" s="15" t="n">
        <v>0.06059192746736949</v>
      </c>
      <c r="AW30" s="19" t="n">
        <v>0.7751563841140321</v>
      </c>
      <c r="AX30" s="19" t="n">
        <v>6.530328083237613e-06</v>
      </c>
      <c r="AY30" s="19" t="n">
        <v>0.9999915755411392</v>
      </c>
      <c r="AZ30" s="19" t="n">
        <v>0</v>
      </c>
      <c r="BA30" s="19" t="n">
        <v>8.424458860931822e-06</v>
      </c>
    </row>
    <row r="31">
      <c r="A31" t="inlineStr">
        <is>
          <t>A4</t>
        </is>
      </c>
      <c r="B31" t="n">
        <v>69</v>
      </c>
      <c r="C31" s="15" t="n">
        <v>-1.220989981613225</v>
      </c>
      <c r="D31" s="15" t="n">
        <v>15.39070856114897</v>
      </c>
      <c r="E31" s="15" t="n">
        <v>0.9944194499589742</v>
      </c>
      <c r="F31" s="15" t="n">
        <v>0.17013778519072</v>
      </c>
      <c r="G31" s="19" t="n">
        <v>0.2401432179184864</v>
      </c>
      <c r="H31" s="15" t="n">
        <v>0.2307810589330247</v>
      </c>
      <c r="I31" s="15" t="n">
        <v>6</v>
      </c>
      <c r="J31" s="15" t="n">
        <v>45</v>
      </c>
      <c r="K31" s="15" t="n">
        <v>0.1333333333333333</v>
      </c>
      <c r="L31" t="n">
        <v>6</v>
      </c>
      <c r="M31" t="n">
        <v>45</v>
      </c>
      <c r="N31" t="n">
        <v>0.1333333333333333</v>
      </c>
      <c r="O31" t="n">
        <v>24</v>
      </c>
      <c r="P31" t="n">
        <v>1</v>
      </c>
      <c r="Q31" s="15" t="n">
        <v>13.79554494251104</v>
      </c>
      <c r="R31" s="15" t="n">
        <v>7.657190160576958</v>
      </c>
      <c r="S31" s="15" t="n">
        <v>0.04176876989816199</v>
      </c>
      <c r="T31" s="15" t="n">
        <v>4.242885542538818</v>
      </c>
      <c r="U31" s="15" t="n">
        <v>12.12661641252177</v>
      </c>
      <c r="V31" s="15" t="n">
        <v>0.3875655461362071</v>
      </c>
      <c r="W31" t="n">
        <v>1</v>
      </c>
      <c r="X31" t="n">
        <v>0.5</v>
      </c>
      <c r="Y31" t="n">
        <v>0.25</v>
      </c>
      <c r="Z31" t="inlineStr">
        <is>
          <t>his_note_adaptive</t>
        </is>
      </c>
      <c r="AA31" t="n">
        <v>-90</v>
      </c>
      <c r="AB31" t="n">
        <v>20000</v>
      </c>
      <c r="AC31" s="15" t="n">
        <v>0.1333333333333333</v>
      </c>
      <c r="AD31" s="15" t="n">
        <v>0.2</v>
      </c>
      <c r="AE31" t="n">
        <v>1.338999773800341</v>
      </c>
      <c r="AF31" s="15" t="n">
        <v>1.328801868303218</v>
      </c>
      <c r="AG31" s="15" t="n">
        <v>0.2312531604974689</v>
      </c>
      <c r="AH31" s="15" t="n">
        <v>0.02285310074765872</v>
      </c>
      <c r="AI31" s="15" t="n">
        <v>0.4343642015635649</v>
      </c>
      <c r="AJ31" s="15" t="n">
        <v>0.2797072181619493</v>
      </c>
      <c r="AK31" s="15" t="n">
        <v>0.8721895686501212</v>
      </c>
      <c r="AL31" s="15" t="n">
        <v>0.1195873490256132</v>
      </c>
      <c r="AM31" s="15" t="n">
        <v>0.4547008547008543</v>
      </c>
      <c r="AN31" s="15" t="n">
        <v>0.116279069767442</v>
      </c>
      <c r="AO31" s="15" t="n">
        <v>0.01454235288986203</v>
      </c>
      <c r="AP31" s="15" t="n">
        <v>1.955287188497473</v>
      </c>
      <c r="AQ31" s="15" t="n">
        <v>0.1606467139862749</v>
      </c>
      <c r="AR31" s="15" t="n">
        <v>312.074536055743</v>
      </c>
      <c r="AS31" s="15" t="n">
        <v>0.1307134562983614</v>
      </c>
      <c r="AT31" s="15" t="n">
        <v>1.218675152018073</v>
      </c>
      <c r="AU31" s="15" t="n">
        <v>0.6736822976221685</v>
      </c>
      <c r="AV31" s="15" t="n">
        <v>0.06292973885723184</v>
      </c>
      <c r="AW31" s="19" t="n">
        <v>0.759848268968166</v>
      </c>
      <c r="AX31" s="19" t="n">
        <v>8.513113347624861e-06</v>
      </c>
      <c r="AY31" s="19" t="n">
        <v>0.9999887964238151</v>
      </c>
      <c r="AZ31" s="19" t="n">
        <v>0</v>
      </c>
      <c r="BA31" s="19" t="n">
        <v>1.120357618484955e-05</v>
      </c>
    </row>
    <row r="32">
      <c r="A32" t="inlineStr">
        <is>
          <t>A#4</t>
        </is>
      </c>
      <c r="B32" t="n">
        <v>70</v>
      </c>
      <c r="C32" s="15" t="n">
        <v>-0.8827801987644371</v>
      </c>
      <c r="D32" s="15" t="n">
        <v>13.68959816131867</v>
      </c>
      <c r="E32" s="15" t="n">
        <v>0.9960932651229523</v>
      </c>
      <c r="F32" s="15" t="n">
        <v>0.1909903550106955</v>
      </c>
      <c r="G32" s="19" t="n">
        <v>0.2405196675631502</v>
      </c>
      <c r="H32" s="15" t="n">
        <v>0.1653164863167477</v>
      </c>
      <c r="I32" s="15" t="n">
        <v>5</v>
      </c>
      <c r="J32" s="15" t="n">
        <v>42</v>
      </c>
      <c r="K32" s="15" t="n">
        <v>0.119047619047619</v>
      </c>
      <c r="L32" t="n">
        <v>5</v>
      </c>
      <c r="M32" t="n">
        <v>42</v>
      </c>
      <c r="N32" t="n">
        <v>0.119047619047619</v>
      </c>
      <c r="O32" t="n">
        <v>25</v>
      </c>
      <c r="P32" t="n">
        <v>1</v>
      </c>
      <c r="Q32" s="15" t="n">
        <v>14.16543999801165</v>
      </c>
      <c r="R32" s="15" t="n">
        <v>7.275057712892714</v>
      </c>
      <c r="S32" s="15" t="n">
        <v>0.02652423771932281</v>
      </c>
      <c r="T32" s="15" t="n">
        <v>3.738260597953607</v>
      </c>
      <c r="U32" s="15" t="n">
        <v>11.45599284275694</v>
      </c>
      <c r="V32" s="15" t="n">
        <v>0.3778110970813084</v>
      </c>
      <c r="W32" t="n">
        <v>1</v>
      </c>
      <c r="X32" t="n">
        <v>0.5</v>
      </c>
      <c r="Y32" t="n">
        <v>0.25</v>
      </c>
      <c r="Z32" t="inlineStr">
        <is>
          <t>his_note_adaptive</t>
        </is>
      </c>
      <c r="AA32" t="n">
        <v>-90</v>
      </c>
      <c r="AB32" t="n">
        <v>20000</v>
      </c>
      <c r="AC32" s="15" t="n">
        <v>0.119047619047619</v>
      </c>
      <c r="AD32" s="15" t="n">
        <v>0.2083333333333333</v>
      </c>
      <c r="AE32" t="n">
        <v>1.240263619001267</v>
      </c>
      <c r="AF32" s="15" t="n">
        <v>1.235714914044332</v>
      </c>
      <c r="AG32" s="15" t="n">
        <v>0.3329208867898192</v>
      </c>
      <c r="AH32" s="15" t="n">
        <v>0.002603883202254178</v>
      </c>
      <c r="AI32" s="15" t="n">
        <v>0.6435555298629905</v>
      </c>
      <c r="AJ32" s="15" t="n">
        <v>0.3950464571587662</v>
      </c>
      <c r="AK32" s="15" t="n">
        <v>0.8756882396517399</v>
      </c>
      <c r="AL32" s="15" t="n">
        <v>0.002592242872821265</v>
      </c>
      <c r="AM32" s="15" t="n">
        <v>0.301587301587301</v>
      </c>
      <c r="AN32" s="15" t="n">
        <v>0.1395348837209302</v>
      </c>
      <c r="AO32" s="15" t="n">
        <v>0.0005017273881479037</v>
      </c>
      <c r="AP32" s="15" t="n">
        <v>1.8884843081412</v>
      </c>
      <c r="AQ32" s="15" t="n">
        <v>0</v>
      </c>
      <c r="AR32" s="15" t="n">
        <v>310.5536085443335</v>
      </c>
      <c r="AS32" s="15" t="n">
        <v>0.1298471217911749</v>
      </c>
      <c r="AT32" s="15" t="n">
        <v>1.20957332636937</v>
      </c>
      <c r="AU32" s="15" t="n">
        <v>0.6198271020550854</v>
      </c>
      <c r="AV32" s="15" t="n">
        <v>0.05908387971674458</v>
      </c>
      <c r="AW32" s="19" t="n">
        <v>0.7594734653238071</v>
      </c>
      <c r="AX32" s="19" t="n">
        <v>6.86711304272667e-06</v>
      </c>
      <c r="AY32" s="19" t="n">
        <v>0.9999909581423647</v>
      </c>
      <c r="AZ32" s="19" t="n">
        <v>0</v>
      </c>
      <c r="BA32" s="19" t="n">
        <v>9.041857635329439e-06</v>
      </c>
    </row>
    <row r="33">
      <c r="A33" t="inlineStr">
        <is>
          <t>C5</t>
        </is>
      </c>
      <c r="B33" t="n">
        <v>72</v>
      </c>
      <c r="C33" s="15" t="n">
        <v>-1.990281122934144</v>
      </c>
      <c r="D33" s="15" t="n">
        <v>13.47084932396899</v>
      </c>
      <c r="E33" s="15" t="n">
        <v>0.9909439455335439</v>
      </c>
      <c r="F33" s="15" t="n">
        <v>0.1195685743427611</v>
      </c>
      <c r="G33" s="19" t="n">
        <v>0.2458072792138954</v>
      </c>
      <c r="H33" s="15" t="n">
        <v>0.163865997682076</v>
      </c>
      <c r="I33" s="15" t="n">
        <v>5</v>
      </c>
      <c r="J33" s="15" t="n">
        <v>38</v>
      </c>
      <c r="K33" s="15" t="n">
        <v>0.131578947368421</v>
      </c>
      <c r="L33" t="n">
        <v>5</v>
      </c>
      <c r="M33" t="n">
        <v>38</v>
      </c>
      <c r="N33" t="n">
        <v>0.131578947368421</v>
      </c>
      <c r="O33" t="n">
        <v>27</v>
      </c>
      <c r="P33" t="n">
        <v>0</v>
      </c>
      <c r="Q33" s="15" t="n">
        <v>15.5689463299935</v>
      </c>
      <c r="R33" s="15" t="n">
        <v>8.903299688303436</v>
      </c>
      <c r="S33" s="15" t="n">
        <v>0.09148021656777613</v>
      </c>
      <c r="T33" s="15" t="n">
        <v>3.616162229974248</v>
      </c>
      <c r="U33" s="15" t="n">
        <v>14.62170814263985</v>
      </c>
      <c r="V33" s="15" t="n">
        <v>0</v>
      </c>
      <c r="W33" t="n">
        <v>1</v>
      </c>
      <c r="X33" t="n">
        <v>0.5</v>
      </c>
      <c r="Y33" t="n">
        <v>0.25</v>
      </c>
      <c r="Z33" t="inlineStr">
        <is>
          <t>his_note_adaptive</t>
        </is>
      </c>
      <c r="AA33" t="n">
        <v>-90</v>
      </c>
      <c r="AB33" t="n">
        <v>20000</v>
      </c>
      <c r="AC33" s="15" t="n">
        <v>0.131578947368421</v>
      </c>
      <c r="AD33" s="15" t="n">
        <v>0.225</v>
      </c>
      <c r="AE33" t="n">
        <v>1.266712346865743</v>
      </c>
      <c r="AF33" s="15" t="n">
        <v>1.232388546965796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0.9248305719995459</v>
      </c>
      <c r="AL33" s="15" t="n">
        <v>0</v>
      </c>
      <c r="AM33" s="15" t="n">
        <v>0.4358974358974351</v>
      </c>
      <c r="AN33" s="15" t="n">
        <v>0.1860465116279071</v>
      </c>
      <c r="AO33" s="15" t="n">
        <v>0</v>
      </c>
      <c r="AP33" s="15" t="n">
        <v>2.076289544774465</v>
      </c>
      <c r="AQ33" s="15" t="n">
        <v>0.4516316358463089</v>
      </c>
      <c r="AR33" s="15" t="n">
        <v>82.595402826647</v>
      </c>
      <c r="AS33" s="15" t="n">
        <v>0</v>
      </c>
      <c r="AT33" s="15" t="n">
        <v>1.203499887611595</v>
      </c>
      <c r="AU33" s="15" t="n">
        <v>0.8144325324310188</v>
      </c>
      <c r="AV33" s="15" t="n">
        <v>0.05835712473185099</v>
      </c>
      <c r="AW33" s="19" t="n">
        <v>0.7541927207861047</v>
      </c>
      <c r="AX33" s="19" t="n">
        <v>0</v>
      </c>
      <c r="AY33" s="19" t="n">
        <v>1</v>
      </c>
      <c r="AZ33" s="19" t="n">
        <v>0</v>
      </c>
      <c r="BA33" s="19" t="n">
        <v>0</v>
      </c>
    </row>
  </sheetData>
  <autoFilter ref="A1:BA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Combined Density Metric</t>
        </is>
      </c>
      <c r="D1" s="11" t="inlineStr">
        <is>
          <t>Weighted Combined Metric</t>
        </is>
      </c>
    </row>
    <row r="2">
      <c r="A2" t="inlineStr">
        <is>
          <t>E2</t>
        </is>
      </c>
      <c r="B2" t="n">
        <v>40</v>
      </c>
      <c r="C2" s="15" t="n">
        <v>37.77959947688255</v>
      </c>
      <c r="D2" s="15" t="n">
        <v>5.219119415383729</v>
      </c>
    </row>
    <row r="3">
      <c r="A3" t="inlineStr">
        <is>
          <t>F2</t>
        </is>
      </c>
      <c r="B3" t="n">
        <v>41</v>
      </c>
      <c r="C3" s="15" t="n">
        <v>43.99576182288372</v>
      </c>
      <c r="D3" s="15" t="n">
        <v>5.193561988029662</v>
      </c>
    </row>
    <row r="4">
      <c r="A4" t="inlineStr">
        <is>
          <t>F#2</t>
        </is>
      </c>
      <c r="B4" t="n">
        <v>42</v>
      </c>
      <c r="C4" s="15" t="n">
        <v>34.64774398639028</v>
      </c>
      <c r="D4" s="15" t="n">
        <v>5.173580841582386</v>
      </c>
    </row>
    <row r="5">
      <c r="A5" t="inlineStr">
        <is>
          <t>G2</t>
        </is>
      </c>
      <c r="B5" t="n">
        <v>43</v>
      </c>
      <c r="C5" s="15" t="n">
        <v>31.67099724748144</v>
      </c>
      <c r="D5" s="15" t="n">
        <v>5.215064938645009</v>
      </c>
    </row>
    <row r="6">
      <c r="A6" t="inlineStr">
        <is>
          <t>G#2</t>
        </is>
      </c>
      <c r="B6" t="n">
        <v>44</v>
      </c>
      <c r="C6" s="15" t="n">
        <v>28.72114474728374</v>
      </c>
      <c r="D6" s="15" t="n">
        <v>5.167724468369827</v>
      </c>
    </row>
    <row r="7">
      <c r="A7" t="inlineStr">
        <is>
          <t>A2</t>
        </is>
      </c>
      <c r="B7" t="n">
        <v>45</v>
      </c>
      <c r="C7" s="15" t="n">
        <v>26.97711382747277</v>
      </c>
      <c r="D7" s="15" t="n">
        <v>5.166956935511977</v>
      </c>
    </row>
    <row r="8">
      <c r="A8" t="inlineStr">
        <is>
          <t>A#2</t>
        </is>
      </c>
      <c r="B8" t="n">
        <v>46</v>
      </c>
      <c r="C8" s="15" t="n">
        <v>28.47997282550353</v>
      </c>
      <c r="D8" s="15" t="n">
        <v>5.000835621989778</v>
      </c>
    </row>
    <row r="9">
      <c r="A9" t="inlineStr">
        <is>
          <t>B2</t>
        </is>
      </c>
      <c r="B9" t="n">
        <v>47</v>
      </c>
      <c r="C9" s="15" t="n">
        <v>23.74506028073832</v>
      </c>
      <c r="D9" s="15" t="n">
        <v>5.169073738486322</v>
      </c>
    </row>
    <row r="10">
      <c r="A10" t="inlineStr">
        <is>
          <t>C3</t>
        </is>
      </c>
      <c r="B10" t="n">
        <v>48</v>
      </c>
      <c r="C10" s="15" t="n">
        <v>18.03121393097045</v>
      </c>
      <c r="D10" s="15" t="n">
        <v>5.108336807579003</v>
      </c>
    </row>
    <row r="11">
      <c r="A11" t="inlineStr">
        <is>
          <t>C#3</t>
        </is>
      </c>
      <c r="B11" t="n">
        <v>49</v>
      </c>
      <c r="C11" s="15" t="n">
        <v>18.91855817687043</v>
      </c>
      <c r="D11" s="15" t="n">
        <v>4.994565597939065</v>
      </c>
    </row>
    <row r="12">
      <c r="A12" t="inlineStr">
        <is>
          <t>D3</t>
        </is>
      </c>
      <c r="B12" t="n">
        <v>50</v>
      </c>
      <c r="C12" s="15" t="n">
        <v>17.12555779199339</v>
      </c>
      <c r="D12" s="15" t="n">
        <v>5.116471467070978</v>
      </c>
    </row>
    <row r="13">
      <c r="A13" t="inlineStr">
        <is>
          <t>D#3</t>
        </is>
      </c>
      <c r="B13" t="n">
        <v>51</v>
      </c>
      <c r="C13" s="15" t="n">
        <v>18.13388486966822</v>
      </c>
      <c r="D13" s="15" t="n">
        <v>5.070825417473612</v>
      </c>
    </row>
    <row r="14">
      <c r="A14" t="inlineStr">
        <is>
          <t>E3</t>
        </is>
      </c>
      <c r="B14" t="n">
        <v>52</v>
      </c>
      <c r="C14" s="15" t="n">
        <v>14.8431300907087</v>
      </c>
      <c r="D14" s="15" t="n">
        <v>4.996045923125256</v>
      </c>
    </row>
    <row r="15">
      <c r="A15" t="inlineStr">
        <is>
          <t>F3</t>
        </is>
      </c>
      <c r="B15" t="n">
        <v>53</v>
      </c>
      <c r="C15" s="15" t="n">
        <v>15.80190299464707</v>
      </c>
      <c r="D15" s="15" t="n">
        <v>5.050212235711474</v>
      </c>
    </row>
    <row r="16">
      <c r="A16" t="inlineStr">
        <is>
          <t>F#3</t>
        </is>
      </c>
      <c r="B16" t="n">
        <v>54</v>
      </c>
      <c r="C16" s="15" t="n">
        <v>12.49081504384659</v>
      </c>
      <c r="D16" s="15" t="n">
        <v>4.911081630771315</v>
      </c>
    </row>
    <row r="17">
      <c r="A17" t="inlineStr">
        <is>
          <t>G3</t>
        </is>
      </c>
      <c r="B17" t="n">
        <v>55</v>
      </c>
      <c r="C17" s="15" t="n">
        <v>9.304886342443668</v>
      </c>
      <c r="D17" s="15" t="n">
        <v>4.944067388639382</v>
      </c>
    </row>
    <row r="18">
      <c r="A18" t="inlineStr">
        <is>
          <t>G#3</t>
        </is>
      </c>
      <c r="B18" t="n">
        <v>56</v>
      </c>
      <c r="C18" s="15" t="n">
        <v>9.139654605682615</v>
      </c>
      <c r="D18" s="15" t="n">
        <v>3.880322636327993</v>
      </c>
    </row>
    <row r="19">
      <c r="A19" t="inlineStr">
        <is>
          <t>A3</t>
        </is>
      </c>
      <c r="B19" t="n">
        <v>57</v>
      </c>
      <c r="C19" s="15" t="n">
        <v>8.55806965327719</v>
      </c>
      <c r="D19" s="15" t="n">
        <v>3.829402556443204</v>
      </c>
    </row>
    <row r="20">
      <c r="A20" t="inlineStr">
        <is>
          <t>A#3</t>
        </is>
      </c>
      <c r="B20" t="n">
        <v>58</v>
      </c>
      <c r="C20" s="15" t="n">
        <v>9.165771005338362</v>
      </c>
      <c r="D20" s="15" t="n">
        <v>3.866913783850285</v>
      </c>
    </row>
    <row r="21">
      <c r="A21" t="inlineStr">
        <is>
          <t>B3</t>
        </is>
      </c>
      <c r="B21" t="n">
        <v>59</v>
      </c>
      <c r="C21" s="15" t="n">
        <v>7.771465446264123</v>
      </c>
      <c r="D21" s="15" t="n">
        <v>3.800725304977671</v>
      </c>
    </row>
    <row r="22">
      <c r="A22" t="inlineStr">
        <is>
          <t>C4</t>
        </is>
      </c>
      <c r="B22" t="n">
        <v>60</v>
      </c>
      <c r="C22" s="15" t="n">
        <v>7.198090002027023</v>
      </c>
      <c r="D22" s="15" t="n">
        <v>3.77913408480984</v>
      </c>
    </row>
    <row r="23">
      <c r="A23" t="inlineStr">
        <is>
          <t>C#4</t>
        </is>
      </c>
      <c r="B23" t="n">
        <v>61</v>
      </c>
      <c r="C23" s="15" t="n">
        <v>7.073184431586576</v>
      </c>
      <c r="D23" s="15" t="n">
        <v>3.748494455675097</v>
      </c>
    </row>
    <row r="24">
      <c r="A24" t="inlineStr">
        <is>
          <t>D4</t>
        </is>
      </c>
      <c r="B24" t="n">
        <v>62</v>
      </c>
      <c r="C24" s="15" t="n">
        <v>6.560889386498779</v>
      </c>
      <c r="D24" s="15" t="n">
        <v>3.673717230290845</v>
      </c>
    </row>
    <row r="25">
      <c r="A25" t="inlineStr">
        <is>
          <t>D#4</t>
        </is>
      </c>
      <c r="B25" t="n">
        <v>63</v>
      </c>
      <c r="C25" s="15" t="n">
        <v>5.909815196417455</v>
      </c>
      <c r="D25" s="15" t="n">
        <v>3.901153445088738</v>
      </c>
    </row>
    <row r="26">
      <c r="A26" t="inlineStr">
        <is>
          <t>E4</t>
        </is>
      </c>
      <c r="B26" t="n">
        <v>64</v>
      </c>
      <c r="C26" s="15" t="n">
        <v>4.378339381898801</v>
      </c>
      <c r="D26" s="15" t="n">
        <v>3.994968980497878</v>
      </c>
    </row>
    <row r="27">
      <c r="A27" t="inlineStr">
        <is>
          <t>F4</t>
        </is>
      </c>
      <c r="B27" t="n">
        <v>65</v>
      </c>
      <c r="C27" s="15" t="n">
        <v>4.249964296042485</v>
      </c>
      <c r="D27" s="15" t="n">
        <v>3.517431214004111</v>
      </c>
    </row>
    <row r="28">
      <c r="A28" t="inlineStr">
        <is>
          <t>F#4</t>
        </is>
      </c>
      <c r="B28" t="n">
        <v>66</v>
      </c>
      <c r="C28" s="15" t="n">
        <v>4.146152612791909</v>
      </c>
      <c r="D28" s="15" t="n">
        <v>3.430854416279649</v>
      </c>
    </row>
    <row r="29">
      <c r="A29" t="inlineStr">
        <is>
          <t>G4</t>
        </is>
      </c>
      <c r="B29" t="n">
        <v>67</v>
      </c>
      <c r="C29" s="15" t="n">
        <v>3.325208212358064</v>
      </c>
      <c r="D29" s="15" t="n">
        <v>3.426997752141209</v>
      </c>
    </row>
    <row r="30">
      <c r="A30" t="inlineStr">
        <is>
          <t>G#4</t>
        </is>
      </c>
      <c r="B30" t="n">
        <v>68</v>
      </c>
      <c r="C30" s="15" t="n">
        <v>2.670150469061284</v>
      </c>
      <c r="D30" s="15" t="n">
        <v>3.749407412385514</v>
      </c>
    </row>
    <row r="31">
      <c r="A31" t="inlineStr">
        <is>
          <t>A4</t>
        </is>
      </c>
      <c r="B31" t="n">
        <v>69</v>
      </c>
      <c r="C31" s="15" t="n">
        <v>2.316149459000209</v>
      </c>
      <c r="D31" s="15" t="n">
        <v>3.82461362562911</v>
      </c>
    </row>
    <row r="32">
      <c r="A32" t="inlineStr">
        <is>
          <t>A#4</t>
        </is>
      </c>
      <c r="B32" t="n">
        <v>70</v>
      </c>
      <c r="C32" s="15" t="n">
        <v>2.132800208530807</v>
      </c>
      <c r="D32" s="15" t="n">
        <v>3.791891239918054</v>
      </c>
    </row>
    <row r="33">
      <c r="A33" t="inlineStr">
        <is>
          <t>C5</t>
        </is>
      </c>
      <c r="B33" t="n">
        <v>72</v>
      </c>
      <c r="C33" s="15" t="n">
        <v>2.111325379348644</v>
      </c>
      <c r="D33" s="15" t="n">
        <v>2.802272968466353</v>
      </c>
    </row>
  </sheetData>
  <autoFilter ref="A1:D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2" customWidth="1" min="4" max="4"/>
    <col width="36" customWidth="1" min="5" max="5"/>
    <col width="11" customWidth="1" min="6" max="6"/>
    <col width="15" customWidth="1" min="7" max="7"/>
    <col width="10" customWidth="1" min="8" max="8"/>
    <col width="12" customWidth="1" min="9" max="9"/>
    <col width="14" customWidth="1" min="10" max="10"/>
    <col width="16" customWidth="1" min="11" max="11"/>
    <col width="23" customWidth="1" min="12" max="12"/>
    <col width="19" customWidth="1" min="13" max="13"/>
    <col width="18" customWidth="1" min="14" max="14"/>
    <col width="18" customWidth="1" min="15" max="15"/>
    <col width="18" customWidth="1" min="16" max="16"/>
    <col width="24" customWidth="1" min="17" max="17"/>
    <col width="25" customWidth="1" min="18" max="18"/>
    <col width="27" customWidth="1" min="19" max="19"/>
    <col width="24" customWidth="1" min="20" max="20"/>
    <col width="31" customWidth="1" min="21" max="21"/>
    <col width="30" customWidth="1" min="22" max="22"/>
  </cols>
  <sheetData>
    <row r="1">
      <c r="A1" s="11" t="inlineStr">
        <is>
          <t>Note</t>
        </is>
      </c>
      <c r="B1" s="11" t="inlineStr">
        <is>
          <t>MIDI</t>
        </is>
      </c>
      <c r="C1" s="11" t="inlineStr">
        <is>
          <t>f0_used_for_density_hz</t>
        </is>
      </c>
      <c r="D1" s="11" t="inlineStr">
        <is>
          <t>f0_used_for_density_source</t>
        </is>
      </c>
      <c r="E1" s="11" t="inlineStr">
        <is>
          <t>acoustic_f0_status</t>
        </is>
      </c>
      <c r="F1" s="11" t="inlineStr">
        <is>
          <t>tier_name</t>
        </is>
      </c>
      <c r="G1" s="11" t="inlineStr">
        <is>
          <t>fft_policy</t>
        </is>
      </c>
      <c r="H1" s="11" t="inlineStr">
        <is>
          <t>n_fft</t>
        </is>
      </c>
      <c r="I1" s="11" t="inlineStr">
        <is>
          <t>hop_length</t>
        </is>
      </c>
      <c r="J1" s="11" t="inlineStr">
        <is>
          <t>zero_padding</t>
        </is>
      </c>
      <c r="K1" s="11" t="inlineStr">
        <is>
          <t>window_type</t>
        </is>
      </c>
      <c r="L1" s="11" t="inlineStr">
        <is>
          <t>harmonic_tolerance_hz</t>
        </is>
      </c>
      <c r="M1" s="11" t="inlineStr">
        <is>
          <t>frequency_min_hz</t>
        </is>
      </c>
      <c r="N1" s="11" t="inlineStr">
        <is>
          <t>frequency_max_hz</t>
        </is>
      </c>
      <c r="O1" s="11" t="inlineStr">
        <is>
          <t>magnitude_min_db</t>
        </is>
      </c>
      <c r="P1" s="11" t="inlineStr">
        <is>
          <t>magnitude_max_db</t>
        </is>
      </c>
      <c r="Q1" s="11" t="inlineStr">
        <is>
          <t>density_summation_mode</t>
        </is>
      </c>
      <c r="R1" s="11" t="inlineStr">
        <is>
          <t>harmonic_density_weight</t>
        </is>
      </c>
      <c r="S1" s="11" t="inlineStr">
        <is>
          <t>inharmonic_density_weight</t>
        </is>
      </c>
      <c r="T1" s="11" t="inlineStr">
        <is>
          <t>subbass_density_weight</t>
        </is>
      </c>
      <c r="U1" s="11" t="inlineStr">
        <is>
          <t>density_salience_threshold_db</t>
        </is>
      </c>
      <c r="V1" s="11" t="inlineStr">
        <is>
          <t>density_frequency_ceiling_hz</t>
        </is>
      </c>
    </row>
    <row r="2">
      <c r="A2" t="inlineStr">
        <is>
          <t>E2</t>
        </is>
      </c>
      <c r="B2" t="n">
        <v>40</v>
      </c>
      <c r="C2" s="15" t="n">
        <v>82.54233153503833</v>
      </c>
      <c r="D2" s="15" t="inlineStr">
        <is>
          <t>prior_constrained_harmonic_fit</t>
        </is>
      </c>
      <c r="E2" s="15" t="inlineStr">
        <is>
          <t>fit_accepted_acoustically_verified</t>
        </is>
      </c>
      <c r="F2" t="inlineStr">
        <is>
          <t>Tier_13</t>
        </is>
      </c>
      <c r="G2" t="inlineStr">
        <is>
          <t>adaptive_tier</t>
        </is>
      </c>
      <c r="H2" t="n">
        <v>8192</v>
      </c>
      <c r="I2" t="n">
        <v>1024</v>
      </c>
      <c r="J2" t="n">
        <v>2</v>
      </c>
      <c r="K2" t="inlineStr">
        <is>
          <t>blackmanharris</t>
        </is>
      </c>
      <c r="L2" s="15" t="n">
        <v>4.8</v>
      </c>
      <c r="M2" t="n">
        <v>65.57777451001532</v>
      </c>
      <c r="N2" t="n">
        <v>20000</v>
      </c>
      <c r="O2" t="n">
        <v>-90</v>
      </c>
      <c r="P2" t="n">
        <v>0</v>
      </c>
      <c r="Q2" t="inlineStr">
        <is>
          <t>his_note_adaptive</t>
        </is>
      </c>
      <c r="R2" t="n">
        <v>1</v>
      </c>
      <c r="S2" t="n">
        <v>0.5</v>
      </c>
      <c r="T2" t="n">
        <v>0.25</v>
      </c>
      <c r="U2" t="n">
        <v>-90</v>
      </c>
      <c r="V2" s="15" t="n">
        <v>20000</v>
      </c>
    </row>
    <row r="3">
      <c r="A3" t="inlineStr">
        <is>
          <t>F2</t>
        </is>
      </c>
      <c r="B3" t="n">
        <v>41</v>
      </c>
      <c r="C3" s="15" t="n">
        <v>87.31945401308352</v>
      </c>
      <c r="D3" s="15" t="inlineStr">
        <is>
          <t>prior_constrained_harmonic_fit</t>
        </is>
      </c>
      <c r="E3" s="15" t="inlineStr">
        <is>
          <t>fit_accepted_acoustically_verified</t>
        </is>
      </c>
      <c r="F3" t="inlineStr">
        <is>
          <t>Tier_14</t>
        </is>
      </c>
      <c r="G3" t="inlineStr">
        <is>
          <t>adaptive_tier</t>
        </is>
      </c>
      <c r="H3" t="n">
        <v>8192</v>
      </c>
      <c r="I3" t="n">
        <v>1024</v>
      </c>
      <c r="J3" t="n">
        <v>2</v>
      </c>
      <c r="K3" t="inlineStr">
        <is>
          <t>blackmanharris</t>
        </is>
      </c>
      <c r="L3" s="15" t="n">
        <v>5</v>
      </c>
      <c r="M3" t="n">
        <v>70.20479071906236</v>
      </c>
      <c r="N3" t="n">
        <v>20000</v>
      </c>
      <c r="O3" t="n">
        <v>-90</v>
      </c>
      <c r="P3" t="n">
        <v>0</v>
      </c>
      <c r="Q3" t="inlineStr">
        <is>
          <t>his_note_adaptive</t>
        </is>
      </c>
      <c r="R3" t="n">
        <v>1</v>
      </c>
      <c r="S3" t="n">
        <v>0.5</v>
      </c>
      <c r="T3" t="n">
        <v>0.25</v>
      </c>
      <c r="U3" t="n">
        <v>-90</v>
      </c>
      <c r="V3" s="15" t="n">
        <v>20000</v>
      </c>
    </row>
    <row r="4">
      <c r="A4" t="inlineStr">
        <is>
          <t>F#2</t>
        </is>
      </c>
      <c r="B4" t="n">
        <v>42</v>
      </c>
      <c r="C4" s="15" t="n">
        <v>92.35360484377048</v>
      </c>
      <c r="D4" s="15" t="inlineStr">
        <is>
          <t>prior_constrained_harmonic_fit</t>
        </is>
      </c>
      <c r="E4" s="15" t="inlineStr">
        <is>
          <t>fit_accepted_acoustically_verified</t>
        </is>
      </c>
      <c r="F4" t="inlineStr">
        <is>
          <t>Tier_14</t>
        </is>
      </c>
      <c r="G4" t="inlineStr">
        <is>
          <t>adaptive_tier</t>
        </is>
      </c>
      <c r="H4" t="n">
        <v>8192</v>
      </c>
      <c r="I4" t="n">
        <v>1024</v>
      </c>
      <c r="J4" t="n">
        <v>2</v>
      </c>
      <c r="K4" t="inlineStr">
        <is>
          <t>blackmanharris</t>
        </is>
      </c>
      <c r="L4" s="15" t="n">
        <v>5</v>
      </c>
      <c r="M4" t="n">
        <v>75.15020652804711</v>
      </c>
      <c r="N4" t="n">
        <v>20000</v>
      </c>
      <c r="O4" t="n">
        <v>-90</v>
      </c>
      <c r="P4" t="n">
        <v>0</v>
      </c>
      <c r="Q4" t="inlineStr">
        <is>
          <t>his_note_adaptive</t>
        </is>
      </c>
      <c r="R4" t="n">
        <v>1</v>
      </c>
      <c r="S4" t="n">
        <v>0.5</v>
      </c>
      <c r="T4" t="n">
        <v>0.25</v>
      </c>
      <c r="U4" t="n">
        <v>-90</v>
      </c>
      <c r="V4" s="15" t="n">
        <v>20000</v>
      </c>
    </row>
    <row r="5">
      <c r="A5" t="inlineStr">
        <is>
          <t>G2</t>
        </is>
      </c>
      <c r="B5" t="n">
        <v>43</v>
      </c>
      <c r="C5" s="15" t="n">
        <v>98.0605589907512</v>
      </c>
      <c r="D5" s="15" t="inlineStr">
        <is>
          <t>prior_constrained_harmonic_fit</t>
        </is>
      </c>
      <c r="E5" s="15" t="inlineStr">
        <is>
          <t>fit_accepted_acoustically_verified</t>
        </is>
      </c>
      <c r="F5" t="inlineStr">
        <is>
          <t>Tier_15</t>
        </is>
      </c>
      <c r="G5" t="inlineStr">
        <is>
          <t>adaptive_tier</t>
        </is>
      </c>
      <c r="H5" t="n">
        <v>8192</v>
      </c>
      <c r="I5" t="n">
        <v>1024</v>
      </c>
      <c r="J5" t="n">
        <v>2</v>
      </c>
      <c r="K5" t="inlineStr">
        <is>
          <t>blackmanharris</t>
        </is>
      </c>
      <c r="L5" s="15" t="n">
        <v>5.2</v>
      </c>
      <c r="M5" t="n">
        <v>80.43552750824023</v>
      </c>
      <c r="N5" t="n">
        <v>20000</v>
      </c>
      <c r="O5" t="n">
        <v>-90</v>
      </c>
      <c r="P5" t="n">
        <v>0</v>
      </c>
      <c r="Q5" t="inlineStr">
        <is>
          <t>his_note_adaptive</t>
        </is>
      </c>
      <c r="R5" t="n">
        <v>1</v>
      </c>
      <c r="S5" t="n">
        <v>0.5</v>
      </c>
      <c r="T5" t="n">
        <v>0.25</v>
      </c>
      <c r="U5" t="n">
        <v>-90</v>
      </c>
      <c r="V5" s="15" t="n">
        <v>20000</v>
      </c>
    </row>
    <row r="6">
      <c r="A6" t="inlineStr">
        <is>
          <t>G#2</t>
        </is>
      </c>
      <c r="B6" t="n">
        <v>44</v>
      </c>
      <c r="C6" s="15" t="n">
        <v>103.9748222794643</v>
      </c>
      <c r="D6" s="15" t="inlineStr">
        <is>
          <t>prior_constrained_harmonic_fit</t>
        </is>
      </c>
      <c r="E6" s="15" t="inlineStr">
        <is>
          <t>fit_accepted_acoustically_verified</t>
        </is>
      </c>
      <c r="F6" t="inlineStr">
        <is>
          <t>Tier_15</t>
        </is>
      </c>
      <c r="G6" t="inlineStr">
        <is>
          <t>adaptive_tier</t>
        </is>
      </c>
      <c r="H6" t="n">
        <v>8192</v>
      </c>
      <c r="I6" t="n">
        <v>1024</v>
      </c>
      <c r="J6" t="n">
        <v>2</v>
      </c>
      <c r="K6" t="inlineStr">
        <is>
          <t>blackmanharris</t>
        </is>
      </c>
      <c r="L6" s="15" t="n">
        <v>5.2</v>
      </c>
      <c r="M6" t="n">
        <v>86.08369099026061</v>
      </c>
      <c r="N6" t="n">
        <v>20000</v>
      </c>
      <c r="O6" t="n">
        <v>-90</v>
      </c>
      <c r="P6" t="n">
        <v>0</v>
      </c>
      <c r="Q6" t="inlineStr">
        <is>
          <t>his_note_adaptive</t>
        </is>
      </c>
      <c r="R6" t="n">
        <v>1</v>
      </c>
      <c r="S6" t="n">
        <v>0.5</v>
      </c>
      <c r="T6" t="n">
        <v>0.25</v>
      </c>
      <c r="U6" t="n">
        <v>-90</v>
      </c>
      <c r="V6" s="15" t="n">
        <v>20000</v>
      </c>
    </row>
    <row r="7">
      <c r="A7" t="inlineStr">
        <is>
          <t>A2</t>
        </is>
      </c>
      <c r="B7" t="n">
        <v>45</v>
      </c>
      <c r="C7" s="15" t="n">
        <v>110.1096751087339</v>
      </c>
      <c r="D7" s="15" t="inlineStr">
        <is>
          <t>prior_constrained_harmonic_fit</t>
        </is>
      </c>
      <c r="E7" s="15" t="inlineStr">
        <is>
          <t>fit_accepted_acoustically_verified</t>
        </is>
      </c>
      <c r="F7" t="inlineStr">
        <is>
          <t>Tier_16</t>
        </is>
      </c>
      <c r="G7" t="inlineStr">
        <is>
          <t>adaptive_tier</t>
        </is>
      </c>
      <c r="H7" t="n">
        <v>8192</v>
      </c>
      <c r="I7" t="n">
        <v>1024</v>
      </c>
      <c r="J7" t="n">
        <v>2</v>
      </c>
      <c r="K7" t="inlineStr">
        <is>
          <t>blackmanharris</t>
        </is>
      </c>
      <c r="L7" s="15" t="n">
        <v>5.4</v>
      </c>
      <c r="M7" t="n">
        <v>92.11916029707757</v>
      </c>
      <c r="N7" t="n">
        <v>20000</v>
      </c>
      <c r="O7" t="n">
        <v>-90</v>
      </c>
      <c r="P7" t="n">
        <v>0</v>
      </c>
      <c r="Q7" t="inlineStr">
        <is>
          <t>his_note_adaptive</t>
        </is>
      </c>
      <c r="R7" t="n">
        <v>1</v>
      </c>
      <c r="S7" t="n">
        <v>0.5</v>
      </c>
      <c r="T7" t="n">
        <v>0.25</v>
      </c>
      <c r="U7" t="n">
        <v>-90</v>
      </c>
      <c r="V7" s="15" t="n">
        <v>20000</v>
      </c>
    </row>
    <row r="8">
      <c r="A8" t="inlineStr">
        <is>
          <t>A#2</t>
        </is>
      </c>
      <c r="B8" t="n">
        <v>46</v>
      </c>
      <c r="C8" s="15" t="n">
        <v>116.3377034265882</v>
      </c>
      <c r="D8" s="15" t="inlineStr">
        <is>
          <t>prior_constrained_harmonic_fit</t>
        </is>
      </c>
      <c r="E8" s="15" t="inlineStr">
        <is>
          <t>fit_accepted_acoustically_verified</t>
        </is>
      </c>
      <c r="F8" t="inlineStr">
        <is>
          <t>Tier_17</t>
        </is>
      </c>
      <c r="G8" t="inlineStr">
        <is>
          <t>adaptive_tier</t>
        </is>
      </c>
      <c r="H8" t="n">
        <v>8192</v>
      </c>
      <c r="I8" t="n">
        <v>1024</v>
      </c>
      <c r="J8" t="n">
        <v>2</v>
      </c>
      <c r="K8" t="inlineStr">
        <is>
          <t>blackmanharris</t>
        </is>
      </c>
      <c r="L8" s="15" t="n">
        <v>5.6</v>
      </c>
      <c r="M8" t="n">
        <v>98.56802512128441</v>
      </c>
      <c r="N8" t="n">
        <v>20000</v>
      </c>
      <c r="O8" t="n">
        <v>-90</v>
      </c>
      <c r="P8" t="n">
        <v>0</v>
      </c>
      <c r="Q8" t="inlineStr">
        <is>
          <t>his_note_adaptive</t>
        </is>
      </c>
      <c r="R8" t="n">
        <v>1</v>
      </c>
      <c r="S8" t="n">
        <v>0.5</v>
      </c>
      <c r="T8" t="n">
        <v>0.25</v>
      </c>
      <c r="U8" t="n">
        <v>-90</v>
      </c>
      <c r="V8" s="15" t="n">
        <v>20000</v>
      </c>
    </row>
    <row r="9">
      <c r="A9" t="inlineStr">
        <is>
          <t>B2</t>
        </is>
      </c>
      <c r="B9" t="n">
        <v>47</v>
      </c>
      <c r="C9" s="15" t="n">
        <v>123.419330122081</v>
      </c>
      <c r="D9" s="15" t="inlineStr">
        <is>
          <t>prior_constrained_harmonic_fit</t>
        </is>
      </c>
      <c r="E9" s="15" t="inlineStr">
        <is>
          <t>fit_accepted_acoustically_verified</t>
        </is>
      </c>
      <c r="F9" t="inlineStr">
        <is>
          <t>Tier_17</t>
        </is>
      </c>
      <c r="G9" t="inlineStr">
        <is>
          <t>adaptive_tier</t>
        </is>
      </c>
      <c r="H9" t="n">
        <v>8192</v>
      </c>
      <c r="I9" t="n">
        <v>1024</v>
      </c>
      <c r="J9" t="n">
        <v>2</v>
      </c>
      <c r="K9" t="inlineStr">
        <is>
          <t>blackmanharris</t>
        </is>
      </c>
      <c r="L9" s="15" t="n">
        <v>5.6</v>
      </c>
      <c r="M9" t="n">
        <v>105.1423098960441</v>
      </c>
      <c r="N9" t="n">
        <v>20000</v>
      </c>
      <c r="O9" t="n">
        <v>-90</v>
      </c>
      <c r="P9" t="n">
        <v>0</v>
      </c>
      <c r="Q9" t="inlineStr">
        <is>
          <t>his_note_adaptive</t>
        </is>
      </c>
      <c r="R9" t="n">
        <v>1</v>
      </c>
      <c r="S9" t="n">
        <v>0.5</v>
      </c>
      <c r="T9" t="n">
        <v>0.25</v>
      </c>
      <c r="U9" t="n">
        <v>-90</v>
      </c>
      <c r="V9" s="15" t="n">
        <v>20000</v>
      </c>
    </row>
    <row r="10">
      <c r="A10" t="inlineStr">
        <is>
          <t>C3</t>
        </is>
      </c>
      <c r="B10" t="n">
        <v>48</v>
      </c>
      <c r="C10" s="15" t="n">
        <v>130.6777076146884</v>
      </c>
      <c r="D10" s="15" t="inlineStr">
        <is>
          <t>prior_constrained_harmonic_fit</t>
        </is>
      </c>
      <c r="E10" s="15" t="inlineStr">
        <is>
          <t>fit_accepted_acoustically_verified</t>
        </is>
      </c>
      <c r="F10" t="inlineStr">
        <is>
          <t>Tier_18</t>
        </is>
      </c>
      <c r="G10" t="inlineStr">
        <is>
          <t>adaptive_tier</t>
        </is>
      </c>
      <c r="H10" t="n">
        <v>8192</v>
      </c>
      <c r="I10" t="n">
        <v>1024</v>
      </c>
      <c r="J10" t="n">
        <v>2</v>
      </c>
      <c r="K10" t="inlineStr">
        <is>
          <t>blackmanharris</t>
        </is>
      </c>
      <c r="L10" s="15" t="n">
        <v>5.8</v>
      </c>
      <c r="M10" t="n">
        <v>111.8067138655349</v>
      </c>
      <c r="N10" t="n">
        <v>20000</v>
      </c>
      <c r="O10" t="n">
        <v>-90</v>
      </c>
      <c r="P10" t="n">
        <v>0</v>
      </c>
      <c r="Q10" t="inlineStr">
        <is>
          <t>his_note_adaptive</t>
        </is>
      </c>
      <c r="R10" t="n">
        <v>1</v>
      </c>
      <c r="S10" t="n">
        <v>0.5</v>
      </c>
      <c r="T10" t="n">
        <v>0.25</v>
      </c>
      <c r="U10" t="n">
        <v>-90</v>
      </c>
      <c r="V10" s="15" t="n">
        <v>20000</v>
      </c>
    </row>
    <row r="11">
      <c r="A11" t="inlineStr">
        <is>
          <t>C#3</t>
        </is>
      </c>
      <c r="B11" t="n">
        <v>49</v>
      </c>
      <c r="C11" s="15" t="n">
        <v>138.5789745280078</v>
      </c>
      <c r="D11" s="15" t="inlineStr">
        <is>
          <t>prior_constrained_harmonic_fit</t>
        </is>
      </c>
      <c r="E11" s="15" t="inlineStr">
        <is>
          <t>fit_accepted_acoustically_verified</t>
        </is>
      </c>
      <c r="F11" t="inlineStr">
        <is>
          <t>Tier_19</t>
        </is>
      </c>
      <c r="G11" t="inlineStr">
        <is>
          <t>adaptive_tier</t>
        </is>
      </c>
      <c r="H11" t="n">
        <v>8192</v>
      </c>
      <c r="I11" t="n">
        <v>1024</v>
      </c>
      <c r="J11" t="n">
        <v>2</v>
      </c>
      <c r="K11" t="inlineStr">
        <is>
          <t>blackmanharris</t>
        </is>
      </c>
      <c r="L11" s="15" t="n">
        <v>6</v>
      </c>
      <c r="M11" t="n">
        <v>118.8919215543554</v>
      </c>
      <c r="N11" t="n">
        <v>20000</v>
      </c>
      <c r="O11" t="n">
        <v>-90</v>
      </c>
      <c r="P11" t="n">
        <v>0</v>
      </c>
      <c r="Q11" t="inlineStr">
        <is>
          <t>his_note_adaptive</t>
        </is>
      </c>
      <c r="R11" t="n">
        <v>1</v>
      </c>
      <c r="S11" t="n">
        <v>0.5</v>
      </c>
      <c r="T11" t="n">
        <v>0.25</v>
      </c>
      <c r="U11" t="n">
        <v>-90</v>
      </c>
      <c r="V11" s="15" t="n">
        <v>20000</v>
      </c>
    </row>
    <row r="12">
      <c r="A12" t="inlineStr">
        <is>
          <t>D3</t>
        </is>
      </c>
      <c r="B12" t="n">
        <v>50</v>
      </c>
      <c r="C12" s="15" t="n">
        <v>146.6000044613016</v>
      </c>
      <c r="D12" s="15" t="inlineStr">
        <is>
          <t>prior_constrained_harmonic_fit</t>
        </is>
      </c>
      <c r="E12" s="15" t="inlineStr">
        <is>
          <t>fit_accepted_acoustically_verified</t>
        </is>
      </c>
      <c r="F12" t="inlineStr">
        <is>
          <t>Tier_20</t>
        </is>
      </c>
      <c r="G12" t="inlineStr">
        <is>
          <t>adaptive_tier</t>
        </is>
      </c>
      <c r="H12" t="n">
        <v>8192</v>
      </c>
      <c r="I12" t="n">
        <v>1024</v>
      </c>
      <c r="J12" t="n">
        <v>2</v>
      </c>
      <c r="K12" t="inlineStr">
        <is>
          <t>blackmanharris</t>
        </is>
      </c>
      <c r="L12" s="15" t="n">
        <v>6.2</v>
      </c>
      <c r="M12" t="n">
        <v>126.4244131483516</v>
      </c>
      <c r="N12" t="n">
        <v>20000</v>
      </c>
      <c r="O12" t="n">
        <v>-90</v>
      </c>
      <c r="P12" t="n">
        <v>0</v>
      </c>
      <c r="Q12" t="inlineStr">
        <is>
          <t>his_note_adaptive</t>
        </is>
      </c>
      <c r="R12" t="n">
        <v>1</v>
      </c>
      <c r="S12" t="n">
        <v>0.5</v>
      </c>
      <c r="T12" t="n">
        <v>0.25</v>
      </c>
      <c r="U12" t="n">
        <v>-90</v>
      </c>
      <c r="V12" s="15" t="n">
        <v>20000</v>
      </c>
    </row>
    <row r="13">
      <c r="A13" t="inlineStr">
        <is>
          <t>D#3</t>
        </is>
      </c>
      <c r="B13" t="n">
        <v>51</v>
      </c>
      <c r="C13" s="15" t="n">
        <v>155.4286522567423</v>
      </c>
      <c r="D13" s="15" t="inlineStr">
        <is>
          <t>prior_constrained_harmonic_fit</t>
        </is>
      </c>
      <c r="E13" s="15" t="inlineStr">
        <is>
          <t>fit_accepted_acoustically_verified</t>
        </is>
      </c>
      <c r="F13" t="inlineStr">
        <is>
          <t>Tier_21</t>
        </is>
      </c>
      <c r="G13" t="inlineStr">
        <is>
          <t>adaptive_tier</t>
        </is>
      </c>
      <c r="H13" t="n">
        <v>8192</v>
      </c>
      <c r="I13" t="n">
        <v>1024</v>
      </c>
      <c r="J13" t="n">
        <v>2</v>
      </c>
      <c r="K13" t="inlineStr">
        <is>
          <t>blackmanharris</t>
        </is>
      </c>
      <c r="L13" s="15" t="n">
        <v>6.4</v>
      </c>
      <c r="M13" t="n">
        <v>134.4323301180821</v>
      </c>
      <c r="N13" t="n">
        <v>20000</v>
      </c>
      <c r="O13" t="n">
        <v>-90</v>
      </c>
      <c r="P13" t="n">
        <v>0</v>
      </c>
      <c r="Q13" t="inlineStr">
        <is>
          <t>his_note_adaptive</t>
        </is>
      </c>
      <c r="R13" t="n">
        <v>1</v>
      </c>
      <c r="S13" t="n">
        <v>0.5</v>
      </c>
      <c r="T13" t="n">
        <v>0.25</v>
      </c>
      <c r="U13" t="n">
        <v>-90</v>
      </c>
      <c r="V13" s="15" t="n">
        <v>20000</v>
      </c>
    </row>
    <row r="14">
      <c r="A14" t="inlineStr">
        <is>
          <t>E3</t>
        </is>
      </c>
      <c r="B14" t="n">
        <v>52</v>
      </c>
      <c r="C14" s="15" t="n">
        <v>165.0367448081035</v>
      </c>
      <c r="D14" s="15" t="inlineStr">
        <is>
          <t>prior_constrained_harmonic_fit</t>
        </is>
      </c>
      <c r="E14" s="15" t="inlineStr">
        <is>
          <t>fit_accepted_acoustically_verified</t>
        </is>
      </c>
      <c r="F14" t="inlineStr">
        <is>
          <t>Tier_21</t>
        </is>
      </c>
      <c r="G14" t="inlineStr">
        <is>
          <t>adaptive_tier</t>
        </is>
      </c>
      <c r="H14" t="n">
        <v>8192</v>
      </c>
      <c r="I14" t="n">
        <v>1024</v>
      </c>
      <c r="J14" t="n">
        <v>2</v>
      </c>
      <c r="K14" t="inlineStr">
        <is>
          <t>blackmanharris</t>
        </is>
      </c>
      <c r="L14" s="15" t="n">
        <v>6.4</v>
      </c>
      <c r="M14" t="n">
        <v>142.9455791588579</v>
      </c>
      <c r="N14" t="n">
        <v>20000</v>
      </c>
      <c r="O14" t="n">
        <v>-90</v>
      </c>
      <c r="P14" t="n">
        <v>0</v>
      </c>
      <c r="Q14" t="inlineStr">
        <is>
          <t>his_note_adaptive</t>
        </is>
      </c>
      <c r="R14" t="n">
        <v>1</v>
      </c>
      <c r="S14" t="n">
        <v>0.5</v>
      </c>
      <c r="T14" t="n">
        <v>0.25</v>
      </c>
      <c r="U14" t="n">
        <v>-90</v>
      </c>
      <c r="V14" s="15" t="n">
        <v>20000</v>
      </c>
    </row>
    <row r="15">
      <c r="A15" t="inlineStr">
        <is>
          <t>F3</t>
        </is>
      </c>
      <c r="B15" t="n">
        <v>53</v>
      </c>
      <c r="C15" s="15" t="n">
        <v>174.6330422195815</v>
      </c>
      <c r="D15" s="15" t="inlineStr">
        <is>
          <t>prior_constrained_harmonic_fit</t>
        </is>
      </c>
      <c r="E15" s="15" t="inlineStr">
        <is>
          <t>fit_accepted_acoustically_verified</t>
        </is>
      </c>
      <c r="F15" t="inlineStr">
        <is>
          <t>Tier_22</t>
        </is>
      </c>
      <c r="G15" t="inlineStr">
        <is>
          <t>adaptive_tier</t>
        </is>
      </c>
      <c r="H15" t="n">
        <v>8192</v>
      </c>
      <c r="I15" t="n">
        <v>1024</v>
      </c>
      <c r="J15" t="n">
        <v>2</v>
      </c>
      <c r="K15" t="inlineStr">
        <is>
          <t>blackmanharris</t>
        </is>
      </c>
      <c r="L15" s="15" t="n">
        <v>6.6</v>
      </c>
      <c r="M15" t="n">
        <v>151.9959426179061</v>
      </c>
      <c r="N15" t="n">
        <v>20000</v>
      </c>
      <c r="O15" t="n">
        <v>-90</v>
      </c>
      <c r="P15" t="n">
        <v>0</v>
      </c>
      <c r="Q15" t="inlineStr">
        <is>
          <t>his_note_adaptive</t>
        </is>
      </c>
      <c r="R15" t="n">
        <v>1</v>
      </c>
      <c r="S15" t="n">
        <v>0.5</v>
      </c>
      <c r="T15" t="n">
        <v>0.25</v>
      </c>
      <c r="U15" t="n">
        <v>-90</v>
      </c>
      <c r="V15" s="15" t="n">
        <v>20000</v>
      </c>
    </row>
    <row r="16">
      <c r="A16" t="inlineStr">
        <is>
          <t>F#3</t>
        </is>
      </c>
      <c r="B16" t="n">
        <v>54</v>
      </c>
      <c r="C16" s="15" t="n">
        <v>185.2126705744269</v>
      </c>
      <c r="D16" s="15" t="inlineStr">
        <is>
          <t>prior_constrained_harmonic_fit</t>
        </is>
      </c>
      <c r="E16" s="15" t="inlineStr">
        <is>
          <t>fit_accepted_acoustically_verified</t>
        </is>
      </c>
      <c r="F16" t="inlineStr">
        <is>
          <t>Tier_23</t>
        </is>
      </c>
      <c r="G16" t="inlineStr">
        <is>
          <t>adaptive_tier</t>
        </is>
      </c>
      <c r="H16" t="n">
        <v>8192</v>
      </c>
      <c r="I16" t="n">
        <v>1024</v>
      </c>
      <c r="J16" t="n">
        <v>2</v>
      </c>
      <c r="K16" t="inlineStr">
        <is>
          <t>blackmanharris</t>
        </is>
      </c>
      <c r="L16" s="15" t="n">
        <v>6.8</v>
      </c>
      <c r="M16" t="n">
        <v>161.6171958126281</v>
      </c>
      <c r="N16" t="n">
        <v>20000</v>
      </c>
      <c r="O16" t="n">
        <v>-90</v>
      </c>
      <c r="P16" t="n">
        <v>0</v>
      </c>
      <c r="Q16" t="inlineStr">
        <is>
          <t>his_note_adaptive</t>
        </is>
      </c>
      <c r="R16" t="n">
        <v>1</v>
      </c>
      <c r="S16" t="n">
        <v>0.5</v>
      </c>
      <c r="T16" t="n">
        <v>0.25</v>
      </c>
      <c r="U16" t="n">
        <v>-90</v>
      </c>
      <c r="V16" s="15" t="n">
        <v>20000</v>
      </c>
    </row>
    <row r="17">
      <c r="A17" t="inlineStr">
        <is>
          <t>G3</t>
        </is>
      </c>
      <c r="B17" t="n">
        <v>55</v>
      </c>
      <c r="C17" s="15" t="n">
        <v>195.8123104750567</v>
      </c>
      <c r="D17" s="15" t="inlineStr">
        <is>
          <t>prior_constrained_harmonic_fit</t>
        </is>
      </c>
      <c r="E17" s="15" t="inlineStr">
        <is>
          <t>fit_accepted_acoustically_verified</t>
        </is>
      </c>
      <c r="F17" t="inlineStr">
        <is>
          <t>Tier_25</t>
        </is>
      </c>
      <c r="G17" t="inlineStr">
        <is>
          <t>adaptive_tier</t>
        </is>
      </c>
      <c r="H17" t="n">
        <v>8192</v>
      </c>
      <c r="I17" t="n">
        <v>1024</v>
      </c>
      <c r="J17" t="n">
        <v>2</v>
      </c>
      <c r="K17" t="inlineStr">
        <is>
          <t>blackmanharris</t>
        </is>
      </c>
      <c r="L17" s="15" t="n">
        <v>7.2</v>
      </c>
      <c r="M17" t="n">
        <v>171.8452316690294</v>
      </c>
      <c r="N17" t="n">
        <v>20000</v>
      </c>
      <c r="O17" t="n">
        <v>-90</v>
      </c>
      <c r="P17" t="n">
        <v>0</v>
      </c>
      <c r="Q17" t="inlineStr">
        <is>
          <t>his_note_adaptive</t>
        </is>
      </c>
      <c r="R17" t="n">
        <v>1</v>
      </c>
      <c r="S17" t="n">
        <v>0.5</v>
      </c>
      <c r="T17" t="n">
        <v>0.25</v>
      </c>
      <c r="U17" t="n">
        <v>-90</v>
      </c>
      <c r="V17" s="15" t="n">
        <v>20000</v>
      </c>
    </row>
    <row r="18">
      <c r="A18" t="inlineStr">
        <is>
          <t>G#3</t>
        </is>
      </c>
      <c r="B18" t="n">
        <v>56</v>
      </c>
      <c r="C18" s="15" t="n">
        <v>207.4353714857505</v>
      </c>
      <c r="D18" s="15" t="inlineStr">
        <is>
          <t>prior_constrained_harmonic_fit</t>
        </is>
      </c>
      <c r="E18" s="15" t="inlineStr">
        <is>
          <t>fit_accepted_acoustically_verified</t>
        </is>
      </c>
      <c r="F18" t="inlineStr">
        <is>
          <t>Tier_26</t>
        </is>
      </c>
      <c r="G18" t="inlineStr">
        <is>
          <t>adaptive_tier</t>
        </is>
      </c>
      <c r="H18" t="n">
        <v>4096</v>
      </c>
      <c r="I18" t="n">
        <v>512</v>
      </c>
      <c r="J18" t="n">
        <v>2</v>
      </c>
      <c r="K18" t="inlineStr">
        <is>
          <t>blackmanharris</t>
        </is>
      </c>
      <c r="L18" s="15" t="n">
        <v>7.4</v>
      </c>
      <c r="M18" t="n">
        <v>182.7181931360602</v>
      </c>
      <c r="N18" t="n">
        <v>20000</v>
      </c>
      <c r="O18" t="n">
        <v>-90</v>
      </c>
      <c r="P18" t="n">
        <v>0</v>
      </c>
      <c r="Q18" t="inlineStr">
        <is>
          <t>his_note_adaptive</t>
        </is>
      </c>
      <c r="R18" t="n">
        <v>1</v>
      </c>
      <c r="S18" t="n">
        <v>0.5</v>
      </c>
      <c r="T18" t="n">
        <v>0.25</v>
      </c>
      <c r="U18" t="n">
        <v>-90</v>
      </c>
      <c r="V18" s="15" t="n">
        <v>20000</v>
      </c>
    </row>
    <row r="19">
      <c r="A19" t="inlineStr">
        <is>
          <t>A3</t>
        </is>
      </c>
      <c r="B19" t="n">
        <v>57</v>
      </c>
      <c r="C19" s="15" t="n">
        <v>219.7248507174623</v>
      </c>
      <c r="D19" s="15" t="inlineStr">
        <is>
          <t>prior_constrained_harmonic_fit</t>
        </is>
      </c>
      <c r="E19" s="15" t="inlineStr">
        <is>
          <t>fit_accepted_acoustically_verified</t>
        </is>
      </c>
      <c r="F19" t="inlineStr">
        <is>
          <t>Tier_27</t>
        </is>
      </c>
      <c r="G19" t="inlineStr">
        <is>
          <t>adaptive_tier</t>
        </is>
      </c>
      <c r="H19" t="n">
        <v>4096</v>
      </c>
      <c r="I19" t="n">
        <v>512</v>
      </c>
      <c r="J19" t="n">
        <v>2</v>
      </c>
      <c r="K19" t="inlineStr">
        <is>
          <t>blackmanharris</t>
        </is>
      </c>
      <c r="L19" s="15" t="n">
        <v>7.6</v>
      </c>
      <c r="M19" t="n">
        <v>194.2766138599219</v>
      </c>
      <c r="N19" t="n">
        <v>20000</v>
      </c>
      <c r="O19" t="n">
        <v>-90</v>
      </c>
      <c r="P19" t="n">
        <v>0</v>
      </c>
      <c r="Q19" t="inlineStr">
        <is>
          <t>his_note_adaptive</t>
        </is>
      </c>
      <c r="R19" t="n">
        <v>1</v>
      </c>
      <c r="S19" t="n">
        <v>0.5</v>
      </c>
      <c r="T19" t="n">
        <v>0.25</v>
      </c>
      <c r="U19" t="n">
        <v>-90</v>
      </c>
      <c r="V19" s="15" t="n">
        <v>20000</v>
      </c>
    </row>
    <row r="20">
      <c r="A20" t="inlineStr">
        <is>
          <t>A#3</t>
        </is>
      </c>
      <c r="B20" t="n">
        <v>58</v>
      </c>
      <c r="C20" s="15" t="n">
        <v>233.4665702364799</v>
      </c>
      <c r="D20" s="15" t="inlineStr">
        <is>
          <t>prior_constrained_harmonic_fit</t>
        </is>
      </c>
      <c r="E20" s="15" t="inlineStr">
        <is>
          <t>fit_accepted_acoustically_verified</t>
        </is>
      </c>
      <c r="F20" t="inlineStr">
        <is>
          <t>Tier_28</t>
        </is>
      </c>
      <c r="G20" t="inlineStr">
        <is>
          <t>adaptive_tier</t>
        </is>
      </c>
      <c r="H20" t="n">
        <v>4096</v>
      </c>
      <c r="I20" t="n">
        <v>512</v>
      </c>
      <c r="J20" t="n">
        <v>2</v>
      </c>
      <c r="K20" t="inlineStr">
        <is>
          <t>blackmanharris</t>
        </is>
      </c>
      <c r="L20" s="15" t="n">
        <v>7.8</v>
      </c>
      <c r="M20" t="n">
        <v>206.5635676324679</v>
      </c>
      <c r="N20" t="n">
        <v>20000</v>
      </c>
      <c r="O20" t="n">
        <v>-90</v>
      </c>
      <c r="P20" t="n">
        <v>0</v>
      </c>
      <c r="Q20" t="inlineStr">
        <is>
          <t>his_note_adaptive</t>
        </is>
      </c>
      <c r="R20" t="n">
        <v>1</v>
      </c>
      <c r="S20" t="n">
        <v>0.5</v>
      </c>
      <c r="T20" t="n">
        <v>0.25</v>
      </c>
      <c r="U20" t="n">
        <v>-90</v>
      </c>
      <c r="V20" s="15" t="n">
        <v>20000</v>
      </c>
    </row>
    <row r="21">
      <c r="A21" t="inlineStr">
        <is>
          <t>B3</t>
        </is>
      </c>
      <c r="B21" t="n">
        <v>59</v>
      </c>
      <c r="C21" s="15" t="n">
        <v>246.6857847256978</v>
      </c>
      <c r="D21" s="15" t="inlineStr">
        <is>
          <t>prior_constrained_harmonic_fit</t>
        </is>
      </c>
      <c r="E21" s="15" t="inlineStr">
        <is>
          <t>fit_accepted_acoustically_verified</t>
        </is>
      </c>
      <c r="F21" t="inlineStr">
        <is>
          <t>Tier_30</t>
        </is>
      </c>
      <c r="G21" t="inlineStr">
        <is>
          <t>adaptive_tier</t>
        </is>
      </c>
      <c r="H21" t="n">
        <v>4096</v>
      </c>
      <c r="I21" t="n">
        <v>512</v>
      </c>
      <c r="J21" t="n">
        <v>2</v>
      </c>
      <c r="K21" t="inlineStr">
        <is>
          <t>blackmanharris</t>
        </is>
      </c>
      <c r="L21" s="15" t="n">
        <v>8.199999999999999</v>
      </c>
      <c r="M21" t="n">
        <v>219.6248271597629</v>
      </c>
      <c r="N21" t="n">
        <v>20000</v>
      </c>
      <c r="O21" t="n">
        <v>-90</v>
      </c>
      <c r="P21" t="n">
        <v>0</v>
      </c>
      <c r="Q21" t="inlineStr">
        <is>
          <t>his_note_adaptive</t>
        </is>
      </c>
      <c r="R21" t="n">
        <v>1</v>
      </c>
      <c r="S21" t="n">
        <v>0.5</v>
      </c>
      <c r="T21" t="n">
        <v>0.25</v>
      </c>
      <c r="U21" t="n">
        <v>-90</v>
      </c>
      <c r="V21" s="15" t="n">
        <v>20000</v>
      </c>
    </row>
    <row r="22">
      <c r="A22" t="inlineStr">
        <is>
          <t>C4</t>
        </is>
      </c>
      <c r="B22" t="n">
        <v>60</v>
      </c>
      <c r="C22" s="15" t="n">
        <v>261.3103015177074</v>
      </c>
      <c r="D22" s="15" t="inlineStr">
        <is>
          <t>prior_constrained_harmonic_fit</t>
        </is>
      </c>
      <c r="E22" s="15" t="inlineStr">
        <is>
          <t>fit_accepted_acoustically_verified</t>
        </is>
      </c>
      <c r="F22" t="inlineStr">
        <is>
          <t>Tier_31</t>
        </is>
      </c>
      <c r="G22" t="inlineStr">
        <is>
          <t>adaptive_tier</t>
        </is>
      </c>
      <c r="H22" t="n">
        <v>4096</v>
      </c>
      <c r="I22" t="n">
        <v>512</v>
      </c>
      <c r="J22" t="n">
        <v>2</v>
      </c>
      <c r="K22" t="inlineStr">
        <is>
          <t>blackmanharris</t>
        </is>
      </c>
      <c r="L22" s="15" t="n">
        <v>8.4</v>
      </c>
      <c r="M22" t="n">
        <v>233.5090327307839</v>
      </c>
      <c r="N22" t="n">
        <v>20000</v>
      </c>
      <c r="O22" t="n">
        <v>-90</v>
      </c>
      <c r="P22" t="n">
        <v>0</v>
      </c>
      <c r="Q22" t="inlineStr">
        <is>
          <t>his_note_adaptive</t>
        </is>
      </c>
      <c r="R22" t="n">
        <v>1</v>
      </c>
      <c r="S22" t="n">
        <v>0.5</v>
      </c>
      <c r="T22" t="n">
        <v>0.25</v>
      </c>
      <c r="U22" t="n">
        <v>-90</v>
      </c>
      <c r="V22" s="15" t="n">
        <v>20000</v>
      </c>
    </row>
    <row r="23">
      <c r="A23" t="inlineStr">
        <is>
          <t>C#4</t>
        </is>
      </c>
      <c r="B23" t="n">
        <v>61</v>
      </c>
      <c r="C23" s="15" t="n">
        <v>276.7191881480906</v>
      </c>
      <c r="D23" s="15" t="inlineStr">
        <is>
          <t>prior_constrained_harmonic_fit</t>
        </is>
      </c>
      <c r="E23" s="15" t="inlineStr">
        <is>
          <t>fit_accepted_acoustically_verified</t>
        </is>
      </c>
      <c r="F23" t="inlineStr">
        <is>
          <t>Tier_32</t>
        </is>
      </c>
      <c r="G23" t="inlineStr">
        <is>
          <t>adaptive_tier</t>
        </is>
      </c>
      <c r="H23" t="n">
        <v>4096</v>
      </c>
      <c r="I23" t="n">
        <v>512</v>
      </c>
      <c r="J23" t="n">
        <v>2</v>
      </c>
      <c r="K23" t="inlineStr">
        <is>
          <t>blackmanharris</t>
        </is>
      </c>
      <c r="L23" s="15" t="n">
        <v>8.6</v>
      </c>
      <c r="M23" t="n">
        <v>248.2678714022651</v>
      </c>
      <c r="N23" t="n">
        <v>20000</v>
      </c>
      <c r="O23" t="n">
        <v>-90</v>
      </c>
      <c r="P23" t="n">
        <v>0</v>
      </c>
      <c r="Q23" t="inlineStr">
        <is>
          <t>his_note_adaptive</t>
        </is>
      </c>
      <c r="R23" t="n">
        <v>1</v>
      </c>
      <c r="S23" t="n">
        <v>0.5</v>
      </c>
      <c r="T23" t="n">
        <v>0.25</v>
      </c>
      <c r="U23" t="n">
        <v>-90</v>
      </c>
      <c r="V23" s="15" t="n">
        <v>20000</v>
      </c>
    </row>
    <row r="24">
      <c r="A24" t="inlineStr">
        <is>
          <t>D4</t>
        </is>
      </c>
      <c r="B24" t="n">
        <v>62</v>
      </c>
      <c r="C24" s="15" t="n">
        <v>293.899956856537</v>
      </c>
      <c r="D24" s="15" t="inlineStr">
        <is>
          <t>prior_constrained_harmonic_fit</t>
        </is>
      </c>
      <c r="E24" s="15" t="inlineStr">
        <is>
          <t>fit_accepted_acoustically_verified</t>
        </is>
      </c>
      <c r="F24" t="inlineStr">
        <is>
          <t>Tier_33</t>
        </is>
      </c>
      <c r="G24" t="inlineStr">
        <is>
          <t>adaptive_tier</t>
        </is>
      </c>
      <c r="H24" t="n">
        <v>4096</v>
      </c>
      <c r="I24" t="n">
        <v>512</v>
      </c>
      <c r="J24" t="n">
        <v>2</v>
      </c>
      <c r="K24" t="inlineStr">
        <is>
          <t>blackmanharris</t>
        </is>
      </c>
      <c r="L24" s="15" t="n">
        <v>8.800000000000001</v>
      </c>
      <c r="M24" t="n">
        <v>263.9562673539427</v>
      </c>
      <c r="N24" t="n">
        <v>20000</v>
      </c>
      <c r="O24" t="n">
        <v>-90</v>
      </c>
      <c r="P24" t="n">
        <v>0</v>
      </c>
      <c r="Q24" t="inlineStr">
        <is>
          <t>his_note_adaptive</t>
        </is>
      </c>
      <c r="R24" t="n">
        <v>1</v>
      </c>
      <c r="S24" t="n">
        <v>0.5</v>
      </c>
      <c r="T24" t="n">
        <v>0.25</v>
      </c>
      <c r="U24" t="n">
        <v>-90</v>
      </c>
      <c r="V24" s="15" t="n">
        <v>20000</v>
      </c>
    </row>
    <row r="25">
      <c r="A25" t="inlineStr">
        <is>
          <t>D#4</t>
        </is>
      </c>
      <c r="B25" t="n">
        <v>63</v>
      </c>
      <c r="C25" s="15" t="n">
        <v>311.4886326945447</v>
      </c>
      <c r="D25" s="15" t="inlineStr">
        <is>
          <t>prior_constrained_harmonic_fit</t>
        </is>
      </c>
      <c r="E25" s="15" t="inlineStr">
        <is>
          <t>fit_accepted_acoustically_verified</t>
        </is>
      </c>
      <c r="F25" t="inlineStr">
        <is>
          <t>Tier_34</t>
        </is>
      </c>
      <c r="G25" t="inlineStr">
        <is>
          <t>adaptive_tier</t>
        </is>
      </c>
      <c r="H25" t="n">
        <v>4096</v>
      </c>
      <c r="I25" t="n">
        <v>512</v>
      </c>
      <c r="J25" t="n">
        <v>2</v>
      </c>
      <c r="K25" t="inlineStr">
        <is>
          <t>blackmanharris</t>
        </is>
      </c>
      <c r="L25" s="15" t="n">
        <v>9</v>
      </c>
      <c r="M25" t="n">
        <v>280.0142853498729</v>
      </c>
      <c r="N25" t="n">
        <v>20000</v>
      </c>
      <c r="O25" t="n">
        <v>-90</v>
      </c>
      <c r="P25" t="n">
        <v>0</v>
      </c>
      <c r="Q25" t="inlineStr">
        <is>
          <t>his_note_adaptive</t>
        </is>
      </c>
      <c r="R25" t="n">
        <v>1</v>
      </c>
      <c r="S25" t="n">
        <v>0.5</v>
      </c>
      <c r="T25" t="n">
        <v>0.25</v>
      </c>
      <c r="U25" t="n">
        <v>-90</v>
      </c>
      <c r="V25" s="15" t="n">
        <v>20000</v>
      </c>
    </row>
    <row r="26">
      <c r="A26" t="inlineStr">
        <is>
          <t>E4</t>
        </is>
      </c>
      <c r="B26" t="n">
        <v>64</v>
      </c>
      <c r="C26" s="15" t="n">
        <v>329.743428106592</v>
      </c>
      <c r="D26" s="15" t="inlineStr">
        <is>
          <t>prior_constrained_harmonic_fit</t>
        </is>
      </c>
      <c r="E26" s="15" t="inlineStr">
        <is>
          <t>fit_accepted_acoustically_verified</t>
        </is>
      </c>
      <c r="F26" t="inlineStr">
        <is>
          <t>Tier_35</t>
        </is>
      </c>
      <c r="G26" t="inlineStr">
        <is>
          <t>adaptive_tier</t>
        </is>
      </c>
      <c r="H26" t="n">
        <v>4096</v>
      </c>
      <c r="I26" t="n">
        <v>512</v>
      </c>
      <c r="J26" t="n">
        <v>2</v>
      </c>
      <c r="K26" t="inlineStr">
        <is>
          <t>blackmanharris</t>
        </is>
      </c>
      <c r="L26" s="15" t="n">
        <v>9.199999999999999</v>
      </c>
      <c r="M26" t="n">
        <v>296.6648012215829</v>
      </c>
      <c r="N26" t="n">
        <v>20000</v>
      </c>
      <c r="O26" t="n">
        <v>-90</v>
      </c>
      <c r="P26" t="n">
        <v>0</v>
      </c>
      <c r="Q26" t="inlineStr">
        <is>
          <t>his_note_adaptive</t>
        </is>
      </c>
      <c r="R26" t="n">
        <v>1</v>
      </c>
      <c r="S26" t="n">
        <v>0.5</v>
      </c>
      <c r="T26" t="n">
        <v>0.25</v>
      </c>
      <c r="U26" t="n">
        <v>-90</v>
      </c>
      <c r="V26" s="15" t="n">
        <v>20000</v>
      </c>
    </row>
    <row r="27">
      <c r="A27" t="inlineStr">
        <is>
          <t>F4</t>
        </is>
      </c>
      <c r="B27" t="n">
        <v>65</v>
      </c>
      <c r="C27" s="15" t="n">
        <v>349.8026842042775</v>
      </c>
      <c r="D27" s="15" t="inlineStr">
        <is>
          <t>prior_constrained_harmonic_fit</t>
        </is>
      </c>
      <c r="E27" s="15" t="inlineStr">
        <is>
          <t>fit_accepted_acoustically_verified</t>
        </is>
      </c>
      <c r="F27" t="inlineStr">
        <is>
          <t>Tier_36</t>
        </is>
      </c>
      <c r="G27" t="inlineStr">
        <is>
          <t>adaptive_tier</t>
        </is>
      </c>
      <c r="H27" t="n">
        <v>4096</v>
      </c>
      <c r="I27" t="n">
        <v>512</v>
      </c>
      <c r="J27" t="n">
        <v>2</v>
      </c>
      <c r="K27" t="inlineStr">
        <is>
          <t>blackmanharris</t>
        </is>
      </c>
      <c r="L27" s="15" t="n">
        <v>9.4</v>
      </c>
      <c r="M27" t="n">
        <v>314.3054082897035</v>
      </c>
      <c r="N27" t="n">
        <v>20000</v>
      </c>
      <c r="O27" t="n">
        <v>-90</v>
      </c>
      <c r="P27" t="n">
        <v>0</v>
      </c>
      <c r="Q27" t="inlineStr">
        <is>
          <t>his_note_adaptive</t>
        </is>
      </c>
      <c r="R27" t="n">
        <v>1</v>
      </c>
      <c r="S27" t="n">
        <v>0.5</v>
      </c>
      <c r="T27" t="n">
        <v>0.25</v>
      </c>
      <c r="U27" t="n">
        <v>-90</v>
      </c>
      <c r="V27" s="15" t="n">
        <v>20000</v>
      </c>
    </row>
    <row r="28">
      <c r="A28" t="inlineStr">
        <is>
          <t>F#4</t>
        </is>
      </c>
      <c r="B28" t="n">
        <v>66</v>
      </c>
      <c r="C28" s="15" t="n">
        <v>369.9823482967305</v>
      </c>
      <c r="D28" s="15" t="inlineStr">
        <is>
          <t>prior_constrained_harmonic_fit</t>
        </is>
      </c>
      <c r="E28" s="15" t="inlineStr">
        <is>
          <t>fit_accepted_acoustically_verified</t>
        </is>
      </c>
      <c r="F28" t="inlineStr">
        <is>
          <t>Tier_37</t>
        </is>
      </c>
      <c r="G28" t="inlineStr">
        <is>
          <t>adaptive_tier</t>
        </is>
      </c>
      <c r="H28" t="n">
        <v>4096</v>
      </c>
      <c r="I28" t="n">
        <v>512</v>
      </c>
      <c r="J28" t="n">
        <v>2</v>
      </c>
      <c r="K28" t="inlineStr">
        <is>
          <t>blackmanharris</t>
        </is>
      </c>
      <c r="L28" s="15" t="n">
        <v>9.6</v>
      </c>
      <c r="M28" t="n">
        <v>332.994980440471</v>
      </c>
      <c r="N28" t="n">
        <v>20000</v>
      </c>
      <c r="O28" t="n">
        <v>-90</v>
      </c>
      <c r="P28" t="n">
        <v>0</v>
      </c>
      <c r="Q28" t="inlineStr">
        <is>
          <t>his_note_adaptive</t>
        </is>
      </c>
      <c r="R28" t="n">
        <v>1</v>
      </c>
      <c r="S28" t="n">
        <v>0.5</v>
      </c>
      <c r="T28" t="n">
        <v>0.25</v>
      </c>
      <c r="U28" t="n">
        <v>-90</v>
      </c>
      <c r="V28" s="15" t="n">
        <v>20000</v>
      </c>
    </row>
    <row r="29">
      <c r="A29" t="inlineStr">
        <is>
          <t>G4</t>
        </is>
      </c>
      <c r="B29" t="n">
        <v>67</v>
      </c>
      <c r="C29" s="15" t="n">
        <v>391.2839173079032</v>
      </c>
      <c r="D29" s="15" t="inlineStr">
        <is>
          <t>prior_constrained_harmonic_fit</t>
        </is>
      </c>
      <c r="E29" s="15" t="inlineStr">
        <is>
          <t>fit_accepted_acoustically_verified</t>
        </is>
      </c>
      <c r="F29" t="inlineStr">
        <is>
          <t>Tier_38</t>
        </is>
      </c>
      <c r="G29" t="inlineStr">
        <is>
          <t>adaptive_tier</t>
        </is>
      </c>
      <c r="H29" t="n">
        <v>4096</v>
      </c>
      <c r="I29" t="n">
        <v>512</v>
      </c>
      <c r="J29" t="n">
        <v>2</v>
      </c>
      <c r="K29" t="inlineStr">
        <is>
          <t>blackmanharris</t>
        </is>
      </c>
      <c r="L29" s="15" t="n">
        <v>9.800000000000001</v>
      </c>
      <c r="M29" t="n">
        <v>352.7958923835744</v>
      </c>
      <c r="N29" t="n">
        <v>20000</v>
      </c>
      <c r="O29" t="n">
        <v>-90</v>
      </c>
      <c r="P29" t="n">
        <v>0</v>
      </c>
      <c r="Q29" t="inlineStr">
        <is>
          <t>his_note_adaptive</t>
        </is>
      </c>
      <c r="R29" t="n">
        <v>1</v>
      </c>
      <c r="S29" t="n">
        <v>0.5</v>
      </c>
      <c r="T29" t="n">
        <v>0.25</v>
      </c>
      <c r="U29" t="n">
        <v>-90</v>
      </c>
      <c r="V29" s="15" t="n">
        <v>20000</v>
      </c>
    </row>
    <row r="30">
      <c r="A30" t="inlineStr">
        <is>
          <t>G#4</t>
        </is>
      </c>
      <c r="B30" t="n">
        <v>68</v>
      </c>
      <c r="C30" s="15" t="n">
        <v>415.2317141664756</v>
      </c>
      <c r="D30" s="15" t="inlineStr">
        <is>
          <t>prior_constrained_harmonic_fit</t>
        </is>
      </c>
      <c r="E30" s="15" t="inlineStr">
        <is>
          <t>fit_accepted_acoustically_verified</t>
        </is>
      </c>
      <c r="F30" t="inlineStr">
        <is>
          <t>Tier_39</t>
        </is>
      </c>
      <c r="G30" t="inlineStr">
        <is>
          <t>adaptive_tier</t>
        </is>
      </c>
      <c r="H30" t="n">
        <v>4096</v>
      </c>
      <c r="I30" t="n">
        <v>512</v>
      </c>
      <c r="J30" t="n">
        <v>2</v>
      </c>
      <c r="K30" t="inlineStr">
        <is>
          <t>blackmanharris</t>
        </is>
      </c>
      <c r="L30" s="15" t="n">
        <v>10</v>
      </c>
      <c r="M30" t="n">
        <v>373.7742278219506</v>
      </c>
      <c r="N30" t="n">
        <v>20000</v>
      </c>
      <c r="O30" t="n">
        <v>-90</v>
      </c>
      <c r="P30" t="n">
        <v>0</v>
      </c>
      <c r="Q30" t="inlineStr">
        <is>
          <t>his_note_adaptive</t>
        </is>
      </c>
      <c r="R30" t="n">
        <v>1</v>
      </c>
      <c r="S30" t="n">
        <v>0.5</v>
      </c>
      <c r="T30" t="n">
        <v>0.25</v>
      </c>
      <c r="U30" t="n">
        <v>-90</v>
      </c>
      <c r="V30" s="15" t="n">
        <v>20000</v>
      </c>
    </row>
    <row r="31">
      <c r="A31" t="inlineStr">
        <is>
          <t>A4</t>
        </is>
      </c>
      <c r="B31" t="n">
        <v>69</v>
      </c>
      <c r="C31" s="15" t="n">
        <v>439.6186722182108</v>
      </c>
      <c r="D31" s="15" t="inlineStr">
        <is>
          <t>prior_constrained_harmonic_fit</t>
        </is>
      </c>
      <c r="E31" s="15" t="inlineStr">
        <is>
          <t>fit_accepted_acoustically_verified</t>
        </is>
      </c>
      <c r="F31" t="inlineStr">
        <is>
          <t>Tier_40</t>
        </is>
      </c>
      <c r="G31" t="inlineStr">
        <is>
          <t>adaptive_tier</t>
        </is>
      </c>
      <c r="H31" t="n">
        <v>4096</v>
      </c>
      <c r="I31" t="n">
        <v>512</v>
      </c>
      <c r="J31" t="n">
        <v>2</v>
      </c>
      <c r="K31" t="inlineStr">
        <is>
          <t>blackmanharris</t>
        </is>
      </c>
      <c r="L31" s="15" t="n">
        <v>10.2</v>
      </c>
      <c r="M31" t="n">
        <v>396</v>
      </c>
      <c r="N31" t="n">
        <v>20000</v>
      </c>
      <c r="O31" t="n">
        <v>-90</v>
      </c>
      <c r="P31" t="n">
        <v>0</v>
      </c>
      <c r="Q31" t="inlineStr">
        <is>
          <t>his_note_adaptive</t>
        </is>
      </c>
      <c r="R31" t="n">
        <v>1</v>
      </c>
      <c r="S31" t="n">
        <v>0.5</v>
      </c>
      <c r="T31" t="n">
        <v>0.25</v>
      </c>
      <c r="U31" t="n">
        <v>-90</v>
      </c>
      <c r="V31" s="15" t="n">
        <v>20000</v>
      </c>
    </row>
    <row r="32">
      <c r="A32" t="inlineStr">
        <is>
          <t>A#4</t>
        </is>
      </c>
      <c r="B32" t="n">
        <v>70</v>
      </c>
      <c r="C32" s="15" t="n">
        <v>466.3046722624817</v>
      </c>
      <c r="D32" s="15" t="inlineStr">
        <is>
          <t>prior_constrained_harmonic_fit</t>
        </is>
      </c>
      <c r="E32" s="15" t="inlineStr">
        <is>
          <t>fit_accepted_acoustically_verified</t>
        </is>
      </c>
      <c r="F32" t="inlineStr">
        <is>
          <t>Tier_41</t>
        </is>
      </c>
      <c r="G32" t="inlineStr">
        <is>
          <t>adaptive_tier</t>
        </is>
      </c>
      <c r="H32" t="n">
        <v>4096</v>
      </c>
      <c r="I32" t="n">
        <v>512</v>
      </c>
      <c r="J32" t="n">
        <v>2</v>
      </c>
      <c r="K32" t="inlineStr">
        <is>
          <t>blackmanharris</t>
        </is>
      </c>
      <c r="L32" s="15" t="n">
        <v>10.4</v>
      </c>
      <c r="M32" t="n">
        <v>419.5473853662809</v>
      </c>
      <c r="N32" t="n">
        <v>20000</v>
      </c>
      <c r="O32" t="n">
        <v>-90</v>
      </c>
      <c r="P32" t="n">
        <v>0</v>
      </c>
      <c r="Q32" t="inlineStr">
        <is>
          <t>his_note_adaptive</t>
        </is>
      </c>
      <c r="R32" t="n">
        <v>1</v>
      </c>
      <c r="S32" t="n">
        <v>0.5</v>
      </c>
      <c r="T32" t="n">
        <v>0.25</v>
      </c>
      <c r="U32" t="n">
        <v>-90</v>
      </c>
      <c r="V32" s="15" t="n">
        <v>20000</v>
      </c>
    </row>
    <row r="33">
      <c r="A33" t="inlineStr">
        <is>
          <t>C5</t>
        </is>
      </c>
      <c r="B33" t="n">
        <v>72</v>
      </c>
      <c r="C33" s="15" t="n">
        <v>523.8268547261894</v>
      </c>
      <c r="D33" s="15" t="inlineStr">
        <is>
          <t>prior_constrained_harmonic_fit</t>
        </is>
      </c>
      <c r="E33" s="15" t="inlineStr">
        <is>
          <t>fit_accepted_acoustically_verified</t>
        </is>
      </c>
      <c r="F33" t="inlineStr">
        <is>
          <t>Tier_43</t>
        </is>
      </c>
      <c r="G33" t="inlineStr">
        <is>
          <t>adaptive_tier</t>
        </is>
      </c>
      <c r="H33" t="n">
        <v>2048</v>
      </c>
      <c r="I33" t="n">
        <v>256</v>
      </c>
      <c r="J33" t="n">
        <v>2</v>
      </c>
      <c r="K33" t="inlineStr">
        <is>
          <t>blackmanharris</t>
        </is>
      </c>
      <c r="L33" s="15" t="n">
        <v>10.8</v>
      </c>
      <c r="M33" t="n">
        <v>470.9260175410776</v>
      </c>
      <c r="N33" t="n">
        <v>20000</v>
      </c>
      <c r="O33" t="n">
        <v>-90</v>
      </c>
      <c r="P33" t="n">
        <v>0</v>
      </c>
      <c r="Q33" t="inlineStr">
        <is>
          <t>his_note_adaptive</t>
        </is>
      </c>
      <c r="R33" t="n">
        <v>1</v>
      </c>
      <c r="S33" t="n">
        <v>0.5</v>
      </c>
      <c r="T33" t="n">
        <v>0.25</v>
      </c>
      <c r="U33" t="n">
        <v>-90</v>
      </c>
      <c r="V33" s="15" t="n">
        <v>20000</v>
      </c>
    </row>
  </sheetData>
  <autoFilter ref="A1:V3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1" t="inlineStr">
        <is>
          <t>Field</t>
        </is>
      </c>
      <c r="B1" s="11" t="inlineStr">
        <is>
          <t>Value</t>
        </is>
      </c>
    </row>
    <row r="2">
      <c r="A2" t="inlineStr">
        <is>
          <t>source_corpus_path</t>
        </is>
      </c>
      <c r="B2" t="inlineStr">
        <is>
          <t>D:\METAIS\TROMBONE\IOWA_Trombone - Test\TenorTrombone\IOWA_Trombone_pp\_Sustains_Stable</t>
        </is>
      </c>
    </row>
    <row r="3">
      <c r="A3" t="inlineStr">
        <is>
          <t>output_path</t>
        </is>
      </c>
      <c r="B3" t="inlineStr">
        <is>
          <t>analysis_results</t>
        </is>
      </c>
    </row>
    <row r="4">
      <c r="A4" t="inlineStr">
        <is>
          <t>source_workbook_sha256</t>
        </is>
      </c>
      <c r="B4" t="inlineStr">
        <is>
          <t>147e5c9bf3670b304a6e910d112f2de54feccfac46f3f3239e2885ceaf8e3d3d</t>
        </is>
      </c>
    </row>
    <row r="5">
      <c r="A5" t="inlineStr">
        <is>
          <t>git_commit</t>
        </is>
      </c>
      <c r="B5" t="inlineStr">
        <is>
          <t>unavailable_not_a_git_repository</t>
        </is>
      </c>
    </row>
    <row r="6">
      <c r="A6" t="inlineStr">
        <is>
          <t>package_version</t>
        </is>
      </c>
      <c r="B6" t="inlineStr">
        <is>
          <t>4.1.0</t>
        </is>
      </c>
    </row>
    <row r="7">
      <c r="A7" t="inlineStr">
        <is>
          <t>code_commit</t>
        </is>
      </c>
      <c r="B7" t="inlineStr">
        <is>
          <t>6b0e51a</t>
        </is>
      </c>
    </row>
    <row r="8">
      <c r="A8" t="inlineStr">
        <is>
          <t>code_dirty</t>
        </is>
      </c>
      <c r="B8" t="b">
        <v>0</v>
      </c>
    </row>
    <row r="9">
      <c r="A9" t="inlineStr">
        <is>
          <t>git_status_reason</t>
        </is>
      </c>
      <c r="B9" t="inlineStr">
        <is>
          <t>not_a_git_repository</t>
        </is>
      </c>
    </row>
    <row r="10">
      <c r="A10" t="inlineStr">
        <is>
          <t>git_branch</t>
        </is>
      </c>
      <c r="B10" t="inlineStr">
        <is>
          <t>unavailable_not_recorded</t>
        </is>
      </c>
    </row>
    <row r="11">
      <c r="A11" t="inlineStr">
        <is>
          <t>research_export_created_at</t>
        </is>
      </c>
      <c r="B11" t="inlineStr">
        <is>
          <t>2026-08-19T16:59:52Z</t>
        </is>
      </c>
    </row>
    <row r="12">
      <c r="A12" t="inlineStr">
        <is>
          <t>research_export_script</t>
        </is>
      </c>
      <c r="B12" t="inlineStr">
        <is>
          <t>export_research_density_workbook.py</t>
        </is>
      </c>
    </row>
    <row r="13">
      <c r="A13" t="inlineStr">
        <is>
          <t>research_export_version</t>
        </is>
      </c>
      <c r="B13" t="inlineStr">
        <is>
          <t>1.1.3</t>
        </is>
      </c>
    </row>
    <row r="14">
      <c r="A14" t="inlineStr">
        <is>
          <t>pipeline_contract_version</t>
        </is>
      </c>
      <c r="B14" t="inlineStr">
        <is>
          <t>SSA_CANONICAL_PIPELINE_2026_06_STAGE1_STAGE2_STAGE3_EWSD_v18_1_UQ</t>
        </is>
      </c>
    </row>
    <row r="15">
      <c r="A15" t="inlineStr">
        <is>
          <t>analysis_schema_version</t>
        </is>
      </c>
      <c r="B15" t="inlineStr">
        <is>
          <t>unavailable_not_recorded</t>
        </is>
      </c>
    </row>
    <row r="16">
      <c r="A16" t="inlineStr">
        <is>
          <t>stage1_module</t>
        </is>
      </c>
      <c r="B16" t="inlineStr">
        <is>
          <t>proc_audio</t>
        </is>
      </c>
    </row>
    <row r="17">
      <c r="A17" t="inlineStr">
        <is>
          <t>stage1_class</t>
        </is>
      </c>
      <c r="B17" t="inlineStr">
        <is>
          <t>AudioProcessor</t>
        </is>
      </c>
    </row>
    <row r="18">
      <c r="A18" t="inlineStr">
        <is>
          <t>stage2_module</t>
        </is>
      </c>
      <c r="B18" t="inlineStr">
        <is>
          <t>compile_metrics</t>
        </is>
      </c>
    </row>
    <row r="19">
      <c r="A19" t="inlineStr">
        <is>
          <t>stage2_function</t>
        </is>
      </c>
      <c r="B19" t="inlineStr">
        <is>
          <t>compile_density_metrics_with_pca</t>
        </is>
      </c>
    </row>
    <row r="20">
      <c r="A20" t="inlineStr">
        <is>
          <t>compiled_from</t>
        </is>
      </c>
      <c r="B20" t="inlineStr">
        <is>
          <t>spectral_analysis.xlsx</t>
        </is>
      </c>
    </row>
    <row r="21">
      <c r="A21" t="inlineStr">
        <is>
          <t>accepted_input_engine</t>
        </is>
      </c>
      <c r="B21" t="inlineStr">
        <is>
          <t>proc_audio.AudioProcessor</t>
        </is>
      </c>
    </row>
    <row r="22">
      <c r="A22" t="inlineStr">
        <is>
          <t>legacy_pipeline_used</t>
        </is>
      </c>
      <c r="B22" t="n">
        <v>0</v>
      </c>
    </row>
    <row r="23">
      <c r="A23" t="inlineStr">
        <is>
          <t>legacy_super_json_allowed</t>
        </is>
      </c>
      <c r="B23" t="n">
        <v>0</v>
      </c>
    </row>
    <row r="24">
      <c r="A24" t="inlineStr">
        <is>
          <t>publication_output_allowed</t>
        </is>
      </c>
      <c r="B24" t="n">
        <v>1</v>
      </c>
    </row>
    <row r="25">
      <c r="A25" t="inlineStr">
        <is>
          <t>input_schema_validation_status</t>
        </is>
      </c>
      <c r="B25" t="inlineStr">
        <is>
          <t>gui_orchestrator_pipeline</t>
        </is>
      </c>
    </row>
    <row r="26">
      <c r="A26" t="inlineStr">
        <is>
          <t>weight_function</t>
        </is>
      </c>
      <c r="B26" t="inlineStr">
        <is>
          <t>log</t>
        </is>
      </c>
    </row>
    <row r="27">
      <c r="A27" t="inlineStr">
        <is>
          <t>window_type</t>
        </is>
      </c>
      <c r="B27" t="inlineStr">
        <is>
          <t>blackmanharris</t>
        </is>
      </c>
    </row>
    <row r="28">
      <c r="A28" t="inlineStr">
        <is>
          <t>n_fft_strategy_or_tier_strategy</t>
        </is>
      </c>
      <c r="B28" t="inlineStr">
        <is>
          <t>90_tier_granular</t>
        </is>
      </c>
    </row>
    <row r="29">
      <c r="A29" t="inlineStr">
        <is>
          <t>n_fft</t>
        </is>
      </c>
      <c r="B29" t="inlineStr">
        <is>
          <t>tier_dependent_see_Analysis_Settings_By_Note</t>
        </is>
      </c>
    </row>
    <row r="30">
      <c r="A30" t="inlineStr">
        <is>
          <t>hop_length_strategy_or_tier_strategy</t>
        </is>
      </c>
      <c r="B30" t="inlineStr">
        <is>
          <t>90_tier_granular</t>
        </is>
      </c>
    </row>
    <row r="31">
      <c r="A31" t="inlineStr">
        <is>
          <t>hop_length</t>
        </is>
      </c>
      <c r="B31" t="inlineStr">
        <is>
          <t>tier_dependent_see_Analysis_Settings_By_Note</t>
        </is>
      </c>
    </row>
    <row r="32">
      <c r="A32" t="inlineStr">
        <is>
          <t>zero_padding</t>
        </is>
      </c>
      <c r="B32" t="inlineStr">
        <is>
          <t>tier_dependent_see_Analysis_Settings_By_Note</t>
        </is>
      </c>
    </row>
    <row r="33">
      <c r="A33" t="inlineStr">
        <is>
          <t>harmonic_tolerance_strategy</t>
        </is>
      </c>
      <c r="B33" t="inlineStr">
        <is>
          <t>90_tier_granular</t>
        </is>
      </c>
    </row>
    <row r="34">
      <c r="A34" t="inlineStr">
        <is>
          <t>harmonic_tolerance</t>
        </is>
      </c>
      <c r="B34" t="inlineStr">
        <is>
          <t>tier_dependent_see_Analysis_Settings_By_Note</t>
        </is>
      </c>
    </row>
    <row r="35">
      <c r="A35" t="inlineStr">
        <is>
          <t>harmonic_tolerance_policy_version</t>
        </is>
      </c>
      <c r="B35" t="n">
        <v/>
      </c>
    </row>
    <row r="36">
      <c r="A36" t="inlineStr">
        <is>
          <t>harmonic_tolerance_spacing_cap_fraction</t>
        </is>
      </c>
      <c r="B36" t="n">
        <v/>
      </c>
    </row>
    <row r="37">
      <c r="A37" t="inlineStr">
        <is>
          <t>harmonic_body_stop_enabled</t>
        </is>
      </c>
      <c r="B37" t="n">
        <v/>
      </c>
    </row>
    <row r="38">
      <c r="A38" t="inlineStr">
        <is>
          <t>harmonic_body_stop_margin_db</t>
        </is>
      </c>
      <c r="B38" t="n">
        <v/>
      </c>
    </row>
    <row r="39">
      <c r="A39" t="inlineStr">
        <is>
          <t>density_ci_enabled</t>
        </is>
      </c>
      <c r="B39" t="n">
        <v/>
      </c>
    </row>
    <row r="40">
      <c r="A40" t="inlineStr">
        <is>
          <t>frequency_min_hz</t>
        </is>
      </c>
      <c r="B40" t="inlineStr">
        <is>
          <t>unknown_not_parseable</t>
        </is>
      </c>
    </row>
    <row r="41">
      <c r="A41" t="inlineStr">
        <is>
          <t>frequency_max_hz</t>
        </is>
      </c>
      <c r="B41" t="inlineStr">
        <is>
          <t>unknown_not_parseable</t>
        </is>
      </c>
    </row>
    <row r="42">
      <c r="A42" t="inlineStr">
        <is>
          <t>magnitude_min_db</t>
        </is>
      </c>
      <c r="B42" t="inlineStr">
        <is>
          <t>unknown_not_parseable</t>
        </is>
      </c>
    </row>
    <row r="43">
      <c r="A43" t="inlineStr">
        <is>
          <t>magnitude_max_db</t>
        </is>
      </c>
      <c r="B43" t="inlineStr">
        <is>
          <t>unknown_not_parseable</t>
        </is>
      </c>
    </row>
    <row r="44">
      <c r="A44" t="inlineStr">
        <is>
          <t>density_summation_mode</t>
        </is>
      </c>
      <c r="B44" t="inlineStr">
        <is>
          <t>unavailable_not_recorded</t>
        </is>
      </c>
    </row>
    <row r="45">
      <c r="A45" t="inlineStr">
        <is>
          <t>harmonic_density_weight</t>
        </is>
      </c>
      <c r="B45" t="n">
        <v>0.4942854458207977</v>
      </c>
    </row>
    <row r="46">
      <c r="A46" t="inlineStr">
        <is>
          <t>inharmonic_density_weight</t>
        </is>
      </c>
      <c r="B46" t="n">
        <v>0.4413114426028812</v>
      </c>
    </row>
    <row r="47">
      <c r="A47" t="inlineStr">
        <is>
          <t>subbass_density_weight</t>
        </is>
      </c>
      <c r="B47" t="n">
        <v>0.06440311157632113</v>
      </c>
    </row>
    <row r="48">
      <c r="A48" t="inlineStr">
        <is>
          <t>density_salience_threshold_db</t>
        </is>
      </c>
      <c r="B48" t="n">
        <v>-90</v>
      </c>
    </row>
    <row r="49">
      <c r="A49" t="inlineStr">
        <is>
          <t>density_frequency_ceiling_hz</t>
        </is>
      </c>
      <c r="B49" t="n">
        <v>20000</v>
      </c>
    </row>
    <row r="50">
      <c r="A50" t="inlineStr">
        <is>
          <t>sample_row_count</t>
        </is>
      </c>
      <c r="B50" t="n">
        <v>32</v>
      </c>
    </row>
    <row r="51">
      <c r="A51" t="inlineStr">
        <is>
          <t>unique_midi_count</t>
        </is>
      </c>
      <c r="B51" t="n">
        <v>32</v>
      </c>
    </row>
    <row r="52">
      <c r="A52" t="inlineStr">
        <is>
          <t>unique_note_label_count</t>
        </is>
      </c>
      <c r="B52" t="n">
        <v>32</v>
      </c>
    </row>
    <row r="53">
      <c r="A53" t="inlineStr">
        <is>
          <t>notes_count</t>
        </is>
      </c>
      <c r="B53" t="n">
        <v>32</v>
      </c>
    </row>
    <row r="54">
      <c r="A54" t="inlineStr">
        <is>
          <t>notes_count_semantics</t>
        </is>
      </c>
      <c r="B54" t="inlineStr">
        <is>
          <t>sample_row_count (compiled rows), not unique pitch count</t>
        </is>
      </c>
    </row>
    <row r="55">
      <c r="A55" t="inlineStr">
        <is>
          <t>pitch_range</t>
        </is>
      </c>
      <c r="B55" t="inlineStr">
        <is>
          <t>40-72</t>
        </is>
      </c>
    </row>
    <row r="56">
      <c r="A56" t="inlineStr">
        <is>
          <t>harmonic_slot_coverage_ratio_formula</t>
        </is>
      </c>
      <c r="B56" t="inlineStr">
        <is>
          <t>harmonic_slot_matched_count / harmonic_slot_expected_count</t>
        </is>
      </c>
    </row>
    <row r="57">
      <c r="A57" t="inlineStr">
        <is>
          <t>harmonic_region_occupancy_count_definition</t>
        </is>
      </c>
      <c r="B57" t="inlineStr">
        <is>
          <t>Occupancy/slot-derived descriptor; not a strict count of detected harmonic partial orders and not bounded by floor(ceiling/f0).</t>
        </is>
      </c>
    </row>
    <row r="58">
      <c r="A58" t="inlineStr">
        <is>
          <t>harmonic_occupancy_detected_order_count_definition</t>
        </is>
      </c>
      <c r="B58" t="inlineStr">
        <is>
          <t>DEPRECATED alias of harmonic_region_occupancy_count. Occupancy/slot-derived descriptor; not a strict count of detected harmonic partial orders and not bounded by floor(ceiling/f0).</t>
        </is>
      </c>
    </row>
    <row r="59">
      <c r="A59" t="inlineStr">
        <is>
          <t>theoretical_harmonic_order_count_up_to_body_ceiling_definition</t>
        </is>
      </c>
      <c r="B59" t="inlineStr">
        <is>
          <t>alias of expected_harmonic_order_count_up_to_body_ceiling (= floor(body_density_frequency_ceiling_hz/f0))</t>
        </is>
      </c>
    </row>
    <row r="60">
      <c r="A60" t="inlineStr">
        <is>
          <t>detected_salient_harmonic_order_count_up_to_body_ceiling_definition</t>
        </is>
      </c>
      <c r="B60" t="inlineStr">
        <is>
          <t>alias of salient_harmonic_order_count_up_to_body_ceiling</t>
        </is>
      </c>
    </row>
    <row r="61">
      <c r="A61" t="inlineStr">
        <is>
          <t>salient_harmonic_coverage_ratio_up_to_body_ceiling_definition</t>
        </is>
      </c>
      <c r="B61" t="inlineStr">
        <is>
          <t>alias of salient_harmonic_coverage_up_to_body_ceiling</t>
        </is>
      </c>
    </row>
    <row r="62">
      <c r="A62" t="inlineStr">
        <is>
          <t>legacy_high_ceiling_harmonic_slot_index_count_definition</t>
        </is>
      </c>
      <c r="B62" t="inlineStr">
        <is>
          <t>legacy high-ceiling harmonic-slot index count (historical Harmonic Count/Harmonic Count (N)); not a fixed-ceiling physical harmonic-order count</t>
        </is>
      </c>
    </row>
    <row r="63">
      <c r="A63" t="inlineStr">
        <is>
          <t>density_body_weighted_sum_body_ceiling_definition</t>
        </is>
      </c>
      <c r="B63" t="inlineStr">
        <is>
          <t>alias of density_component_body_weighted_sum_body_ceiling (component-based body metric)</t>
        </is>
      </c>
    </row>
    <row r="64">
      <c r="A64" t="inlineStr">
        <is>
          <t>density_component_body_weighted_sum_body_ceiling_definition</t>
        </is>
      </c>
      <c r="B64" t="inlineStr">
        <is>
          <t>legacy alias of density_component_body_weighted_sum_body_ceiling</t>
        </is>
      </c>
    </row>
    <row r="65">
      <c r="A65" t="inlineStr">
        <is>
          <t>harmonic_component_energy_sum_body_ceiling_definition</t>
        </is>
      </c>
      <c r="B65" t="inlineStr">
        <is>
          <t>legacy alias of harmonic_component_energy_sum_body_ceiling</t>
        </is>
      </c>
    </row>
    <row r="66">
      <c r="A66" t="inlineStr">
        <is>
          <t>inharmonic_component_energy_sum_body_ceiling_definition</t>
        </is>
      </c>
      <c r="B66" t="inlineStr">
        <is>
          <t>legacy alias of inharmonic_component_energy_sum_body_ceiling</t>
        </is>
      </c>
    </row>
    <row r="67">
      <c r="A67" t="inlineStr">
        <is>
          <t>subbass_component_energy_sum_body_ceiling_definition</t>
        </is>
      </c>
      <c r="B67" t="inlineStr">
        <is>
          <t>sum Power_raw of accepted subbass residual candidates under subbass policy with current body-ceiling configuration</t>
        </is>
      </c>
    </row>
    <row r="68">
      <c r="A68" t="inlineStr">
        <is>
          <t>subbass_component_energy_sum_definition</t>
        </is>
      </c>
      <c r="B68" t="inlineStr">
        <is>
          <t>legacy alias of subbass_component_energy_sum_body_ceiling</t>
        </is>
      </c>
    </row>
    <row r="69">
      <c r="A69" t="inlineStr">
        <is>
          <t>harmonic_body_energy_sum_body_ceiling_definition</t>
        </is>
      </c>
      <c r="B69" t="inlineStr">
        <is>
          <t>harmonic component energy sum with runtime body ceiling</t>
        </is>
      </c>
    </row>
    <row r="70">
      <c r="A70" t="inlineStr">
        <is>
          <t>inharmonic_body_energy_sum_body_ceiling_definition</t>
        </is>
      </c>
      <c r="B70" t="inlineStr">
        <is>
          <t>inharmonic component energy sum with runtime body ceiling</t>
        </is>
      </c>
    </row>
    <row r="71">
      <c r="A71" t="inlineStr">
        <is>
          <t>subbass_rumble_energy_sum_definition</t>
        </is>
      </c>
      <c r="B71" t="inlineStr">
        <is>
          <t>subbass/rumble component energy sum used in body-density weighting</t>
        </is>
      </c>
    </row>
    <row r="72">
      <c r="A72" t="inlineStr">
        <is>
          <t>body_band_harmonic_bin_energy_sum_body_ceiling_definition</t>
        </is>
      </c>
      <c r="B72" t="inlineStr">
        <is>
          <t>diagnostic-only bin-integrated harmonic-band energy within runtime body ceiling</t>
        </is>
      </c>
    </row>
    <row r="73">
      <c r="A73" t="inlineStr">
        <is>
          <t>body_band_residual_bin_energy_sum_body_ceiling_definition</t>
        </is>
      </c>
      <c r="B73" t="inlineStr">
        <is>
          <t>diagnostic-only bin-integrated residual-band energy within runtime body ceiling</t>
        </is>
      </c>
    </row>
    <row r="74">
      <c r="A74" t="inlineStr">
        <is>
          <t>body_band_total_bin_energy_sum_body_ceiling_definition</t>
        </is>
      </c>
      <c r="B74" t="inlineStr">
        <is>
          <t>diagnostic-only total bin-integrated body-band energy within runtime body ceiling</t>
        </is>
      </c>
    </row>
    <row r="75">
      <c r="A75" t="inlineStr">
        <is>
          <t>density_body_band_bin_integrated_index_body_ceiling_definition</t>
        </is>
      </c>
      <c r="B75" t="inlineStr">
        <is>
          <t>diagnostic-only weighted index from bin-integrated body-band energies; not the primary fatness metric</t>
        </is>
      </c>
    </row>
    <row r="76">
      <c r="A76" t="inlineStr">
        <is>
          <t>density_full_spectrum_weighted_sum_20khz_definition</t>
        </is>
      </c>
      <c r="B76" t="inlineStr">
        <is>
          <t>full-spectrum weighted diagnostic sum (&lt;=20000 Hz); not the primary body/fatness metric</t>
        </is>
      </c>
    </row>
    <row r="77">
      <c r="A77" t="inlineStr">
        <is>
          <t>harmonic_full_spectrum_energy_sum_20khz_definition</t>
        </is>
      </c>
      <c r="B77" t="inlineStr">
        <is>
          <t>harmonic full-spectrum energy sum (&lt;=20000 Hz diagnostic/extension family)</t>
        </is>
      </c>
    </row>
    <row r="78">
      <c r="A78" t="inlineStr">
        <is>
          <t>inharmonic_full_spectrum_energy_sum_20khz_definition</t>
        </is>
      </c>
      <c r="B78" t="inlineStr">
        <is>
          <t>inharmonic full-spectrum energy sum (&lt;=20000 Hz diagnostic/extension family)</t>
        </is>
      </c>
    </row>
    <row r="79">
      <c r="A79" t="inlineStr">
        <is>
          <t>high_frequency_spectral_activity_sum_definition</t>
        </is>
      </c>
      <c r="B79" t="inlineStr">
        <is>
          <t>upper-band spectral activity above body ceiling; diagnostic for brightness/extension</t>
        </is>
      </c>
    </row>
    <row r="80">
      <c r="A80" t="inlineStr">
        <is>
          <t>spectral_extension_index_20khz_definition</t>
        </is>
      </c>
      <c r="B80" t="inlineStr">
        <is>
          <t>ratio-like extension indicator comparing full-spectrum to body-limited weighted energy</t>
        </is>
      </c>
    </row>
    <row r="81">
      <c r="A81" t="inlineStr">
        <is>
          <t>brightness_or_upper_spectral_activity_index_20khz_definition</t>
        </is>
      </c>
      <c r="B81" t="inlineStr">
        <is>
          <t>upper-band activity index in the full-spectrum diagnostic family (20 kHz ceiling)</t>
        </is>
      </c>
    </row>
    <row r="82">
      <c r="A82" t="inlineStr">
        <is>
          <t>full_spectrum_harmonic_candidate_count_20khz_definition</t>
        </is>
      </c>
      <c r="B82" t="inlineStr">
        <is>
          <t>harmonic candidate count under full-spectrum ceiling (20 kHz); not a body-density harmonic-order metric</t>
        </is>
      </c>
    </row>
    <row r="83">
      <c r="A83" t="inlineStr">
        <is>
          <t>harmonic_occupancy_ratio_formula</t>
        </is>
      </c>
      <c r="B83" t="inlineStr">
        <is>
          <t>unique harmonic-order bins (nearest n*f0 within harmonic_tolerance_cents, excluding subbass) / expected_harmonic_slot_count</t>
        </is>
      </c>
    </row>
    <row r="84">
      <c r="A84" t="inlineStr">
        <is>
          <t>harmonic_occupancy_ratio_definition</t>
        </is>
      </c>
      <c r="B84" t="inlineStr">
        <is>
          <t>acoustic_density_core occupancy metric based on accepted harmonic-order bins; not identical to validation-slot coverage</t>
        </is>
      </c>
    </row>
    <row r="85">
      <c r="A85" t="inlineStr">
        <is>
          <t>body_weighted_effective_density_formula</t>
        </is>
      </c>
      <c r="B85" t="inlineStr">
        <is>
          <t>(sum(w_body_i*sqrt(P_i))^2)/sum((w_body_i*sqrt(P_i))^2), with w_body(f)=1/(1+(f/1800)^2) on salient peaks up to runtime body ceiling</t>
        </is>
      </c>
    </row>
    <row r="86">
      <c r="A86" t="inlineStr">
        <is>
          <t>spectral_body_thickness_index_formula</t>
        </is>
      </c>
      <c r="B86" t="inlineStr">
        <is>
          <t>0.45*z(body_weighted_effective_density)+0.25*z(low_mid_energy_ratio)+0.20*z(harmonic_body_density_normalized)+0.10*z(residual_body_contribution_capped)</t>
        </is>
      </c>
    </row>
    <row r="87">
      <c r="A87" t="inlineStr">
        <is>
          <t>instrument_detected</t>
        </is>
      </c>
      <c r="B87" t="inlineStr">
        <is>
          <t>Trombone</t>
        </is>
      </c>
    </row>
    <row r="88">
      <c r="A88" t="inlineStr">
        <is>
          <t>dynamic_detected</t>
        </is>
      </c>
      <c r="B88" t="inlineStr">
        <is>
          <t>pp</t>
        </is>
      </c>
    </row>
    <row r="89">
      <c r="A89" t="inlineStr">
        <is>
          <t>frequency_magnitude_fields_recovery_status</t>
        </is>
      </c>
      <c r="B89" t="inlineStr">
        <is>
          <t>partially_unavailable_in_compiled_source</t>
        </is>
      </c>
    </row>
    <row r="90">
      <c r="A90" t="inlineStr">
        <is>
          <t>research_export_source_workbook</t>
        </is>
      </c>
      <c r="B90" t="inlineStr">
        <is>
          <t>compiled_density_metrics.xlsx</t>
        </is>
      </c>
    </row>
    <row r="91">
      <c r="A91" t="inlineStr">
        <is>
          <t>git_describe</t>
        </is>
      </c>
      <c r="B91" t="inlineStr">
        <is>
          <t>v0.1.0-validated-2026-05-15-242-g6b0e51a</t>
        </is>
      </c>
    </row>
    <row r="92">
      <c r="A92" t="inlineStr">
        <is>
          <t>analysis_version</t>
        </is>
      </c>
      <c r="B92" t="inlineStr">
        <is>
          <t>4.1.0+v0.1.0-validated-2026-05-15-242-g6b0e51a</t>
        </is>
      </c>
    </row>
    <row r="93">
      <c r="A93" t="inlineStr">
        <is>
          <t>export_schema_version</t>
        </is>
      </c>
      <c r="B93" t="inlineStr">
        <is>
          <t>spectral_analysis_schema_2026_08</t>
        </is>
      </c>
    </row>
  </sheetData>
  <autoFilter ref="A1:B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2026-08-19T16:59:58Z</dcterms:created>
  <dcterms:modified xmlns:dcterms="http://purl.org/dc/terms/" xmlns:xsi="http://www.w3.org/2001/XMLSchema-instance" xsi:type="dcterms:W3CDTF">2026-08-19T16:59:58Z</dcterms:modified>
</cp:coreProperties>
</file>